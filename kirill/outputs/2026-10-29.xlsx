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6" authorId="0">
      <text>
        <r>
          <rPr>
            <sz val="10"/>
            <rFont val="FreeSans"/>
            <family val="2"/>
          </rPr>
          <t xml:space="preserve">שורה חדשה שנוספה </t>
        </r>
        <r>
          <rPr>
            <sz val="10"/>
            <rFont val="Arial"/>
            <family val="2"/>
          </rPr>
          <t xml:space="preserve">26/10/2026 - "אילת זיכויי BE" </t>
        </r>
        <r>
          <rPr>
            <sz val="10"/>
            <rFont val="FreeSans"/>
            <family val="2"/>
          </rPr>
          <t xml:space="preserve">הופיעה לראשונה בדוח </t>
        </r>
        <r>
          <rPr>
            <sz val="10"/>
            <rFont val="Arial"/>
            <family val="2"/>
          </rPr>
          <t xml:space="preserve">PPLAY1 </t>
        </r>
        <r>
          <rPr>
            <sz val="10"/>
            <rFont val="FreeSans"/>
            <family val="2"/>
          </rPr>
          <t xml:space="preserve">הגולמי (ערך -</t>
        </r>
        <r>
          <rPr>
            <sz val="10"/>
            <rFont val="Arial"/>
            <family val="2"/>
          </rPr>
          <t xml:space="preserve">63.4). מופתה ל-C=7 (BE) </t>
        </r>
        <r>
          <rPr>
            <sz val="10"/>
            <rFont val="FreeSans"/>
            <family val="2"/>
          </rPr>
          <t xml:space="preserve">על בסיס השם, באנלוגיה למיפוי "זיכויים </t>
        </r>
        <r>
          <rPr>
            <sz val="10"/>
            <rFont val="Arial"/>
            <family val="2"/>
          </rPr>
          <t xml:space="preserve">BE"/"</t>
        </r>
        <r>
          <rPr>
            <sz val="10"/>
            <rFont val="FreeSans"/>
            <family val="2"/>
          </rPr>
          <t xml:space="preserve">אילת </t>
        </r>
        <r>
          <rPr>
            <sz val="10"/>
            <rFont val="Arial"/>
            <family val="2"/>
          </rPr>
          <t xml:space="preserve">BE" </t>
        </r>
        <r>
          <rPr>
            <sz val="10"/>
            <rFont val="FreeSans"/>
            <family val="2"/>
          </rPr>
          <t xml:space="preserve">הקיים - בלי אישור מפורש חדש מהמשתמש לשורה הזו עצמה. יש לאשר מול ראובן/המשתמש. אם יתברר שהמיפוי שגוי - יש לעדכן את </t>
        </r>
        <r>
          <rPr>
            <sz val="10"/>
            <rFont val="Arial"/>
            <family val="2"/>
          </rPr>
          <t xml:space="preserve">C16 </t>
        </r>
        <r>
          <rPr>
            <sz val="10"/>
            <rFont val="FreeSans"/>
            <family val="2"/>
          </rPr>
          <t xml:space="preserve">ולהרחיב שוב את טווחי </t>
        </r>
        <r>
          <rPr>
            <sz val="10"/>
            <rFont val="Arial"/>
            <family val="2"/>
          </rPr>
          <t xml:space="preserve">SUMIF </t>
        </r>
        <r>
          <rPr>
            <sz val="10"/>
            <rFont val="FreeSans"/>
            <family val="2"/>
          </rPr>
          <t xml:space="preserve">הרלוונטיים בגיליון סהכ בהתאם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<sst xmlns="http://schemas.openxmlformats.org/spreadsheetml/2006/main" count="138" uniqueCount="103">
  <si>
    <t xml:space="preserve">דוח מכירות אוקטובר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</si>
  <si>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</si>
  <si>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</si>
  <si>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</si>
  <si>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</si>
  <si>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</si>
  <si>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</si>
  <si>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</si>
  <si>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</si>
  <si>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</si>
  <si>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</si>
  <si>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</si>
  <si>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</si>
  <si>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</si>
  <si>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</si>
  <si>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</si>
  <si>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</si>
  <si>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</si>
  <si>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</si>
  <si>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</si>
  <si>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</si>
  <si>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</si>
  <si>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</si>
  <si>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</si>
  <si>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</si>
  <si>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</si>
  <si>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</si>
  <si>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</si>
  <si>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</si>
  <si>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</si>
  <si>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</si>
  <si>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</si>
  <si>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</si>
  <si>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</si>
  <si>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</si>
  <si>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</si>
  <si>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</si>
  <si>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</si>
  <si>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</si>
  <si>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</si>
  <si>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</si>
  <si>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</si>
  <si>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</si>
  <si>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</si>
  <si>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</si>
  <si>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</si>
  <si>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</si>
  <si>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</si>
  <si>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</si>
  <si>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</si>
  <si>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</si>
  <si>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</si>
  <si>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</si>
  <si>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</si>
  <si>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</si>
  <si>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</si>
  <si>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</si>
  <si>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</si>
  <si>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</si>
  <si>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זיכויים BE</t>
  </si>
  <si>
    <t xml:space="preserve">אילת זיכויי BE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</si>
  <si>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</si>
  <si>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</si>
  <si>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</si>
  <si>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</si>
  <si>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</si>
  <si>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</si>
  <si>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</si>
  <si>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</si>
  <si>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</si>
  <si>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</si>
  <si>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</si>
  <si>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</si>
  <si>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</si>
  <si>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</si>
  <si>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</si>
  <si>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</si>
  <si>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</si>
  <si>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</si>
  <si>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</si>
  <si>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</si>
  <si>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</si>
  <si>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</si>
  <si>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</si>
  <si>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</si>
  <si>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</si>
  <si>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</si>
  <si>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</si>
  <si>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</si>
  <si>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</si>
  <si>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105 - Pedicure Salons</t>
  </si>
  <si>
    <t xml:space="preserve">Source: PPlay1.xls (PPlay1.xls), "PPlay1 of uriel (Reporter)", נוצר 29/10/2026 10:49:12, תקופה 2026/Oct (ממשיך MTD אוקטובר 2026, אין מעבר חודש - B1 נשאר "אוקטובר 2026"). קובץ הגיע כ-MHTML ("Excel Web Page", MIME multipart) ולא כ-XLSX/ZIP רגיל - פוענח לפי שיטת email.message_from_binary_file + BeautifulSoup (part[2] עם Content-Location שמסתיים ב-sheet001.htm, windows-1255), כמתועד ב-kirill.md. נשלפו 13 שורות קטגוריה - אותן קטגוריות כמו 27/10, אין קטגוריה חדשה: 0בתי מרקחת, 0מפיצי משנה, 0פארמים, אילת BE, אילת זיכויי BE, גוד פארם, גוד פארם מרכז, הפרכל הפרפארם, זיכויים BE, סופרפארם, שופרסל BE, 0צרכנים פרטיים, 0קופות חולים. מול 27/10: כל הערכים עלו או נשארו ללא שינוי (הצטברות MTD): 0בתי מרקחת 118,925.5-&gt;124,848.2, 0מפיצי משנה 533.7-&gt;1,873.9, 0פארמים 533,078.1-&gt;605,857.7, אילת BE 7,852.3-&gt;8,150.4, הפרכל הפרפארם 1,022.2-&gt;1,062.2, סופרפארם 466,783.2-&gt;533,226.7, שופרסל BE 58,358.9-&gt;64,356.9, 0קופות חולים 56,363.8-&gt;59,875.7; גוד פארם, גוד פארם מרכז, זיכויים BE, 0צרכנים פרטיים, אילת זיכויי BE נשארו ללא שינוי (אין תנועה נוספת). קטגוריה אחת נותרה ללא נתונים עדיין החודש (0שונות) - תקין, לא נתון חסר. שורת "Customers" (₪792,665.2) היא שורת-אב/סכום-ביניים של שדה הפיבוט ואינה שווה לסכום 13 שורות הקטגוריה (₪1,398,522.9) - הוחרגה מהייבוא כמקובל לשורות-אב. &gt;&gt;&gt; מיפוי "אילת זיכויי BE" ל-C=7 (BE) נותר Best-guess שטרם אושר במפורש ע"י המשתמש (הוחל בעקביות עם הדוחות הקודמים כדי לא לשנות הנחה בלי סיבה) - יש לאשר/לתקן מול ראובן/המשתמש. מכר נטו = עמודה B × 0.91 (מקדם קבוע, מאושר ב-kirill.md).</t>
  </si>
  <si>
    <t xml:space="preserve">2026/Oct (סכום גולמי, MTD)</t>
  </si>
  <si>
    <t xml:space="preserve">הערה</t>
  </si>
  <si>
    <t xml:space="preserve">Customer</t>
  </si>
  <si>
    <t xml:space="preserve">Sales</t>
  </si>
  <si>
    <t xml:space="preserve">Source: CustomSalesbyCustomerSummary653.xlsx (CustomSalesbyCustomerSummary653.xlsx), Meditex Group IL, Custom Sales by Customer Summary, 01 October 2026 - 31 October 2026 (MTD, אוקטובר), נמסר 29/10/2026 עבור דוח 29/10/2026. קובץ xlsx תקני (2007+) - נטען ישירות ע"י openpyxl ללא צורך בתיקון קידוד. דוח פירוט (שורות חשבוניות/זיכויים מתחת לכל קטגוריה, סכום הקטגוריה מופיע על שורת הכותרת עצמה בעמודה D) - נשלפו רק שורות קטגוריה. מול 27/10: אותן 14 שורות קטגוריה, אין קטגוריה חדשה. חלק עלו, חלק נשארו ללא שינוי (הצטברות MTD): 102 - Orthopedic institutes 68,256.45-&gt;74,109.94; 111 - Superpharm Life 79,677.00-&gt;165,792.20; 103 - Physiotherapy institutes 1,864.98-&gt;2,654.98; 101 - Factory customers 14,865.03-&gt;15,394.51; 107 - Pharmacies 16,615.03-&gt;17,358.48; 112 - Kupat Holim Clalit 185,750.50-&gt;236,586.40; 114 - IL online 297,811.99-&gt;335,990.00; 115-SuperPharm Online 3,062.66-&gt;3,223.50; 109 - Private Shops, 106 - Hospitals, 209 - Ortoprofil Prod ROMANIA, 216 - Max Konnaris CYPRUS, 202 - Super-Pharm POLAND, 205 - Health Care Prod. Gmbh GERMANY נשארו ללא שינוי (אין תנועה נוספת). סה"כ שורת "Total" בדוח הגולמי המלא: ₪1,058,230.97 - תואם בדיוק לסכום 14 שורות הקטגוריה שנשלפו.</t>
  </si>
  <si>
    <t xml:space="preserve">Source: צילום מסך/נתונים שסופקו על ידי המשתמש (ראובן), לוח בקרה Sellerboard/Amazon Seller "Month to date, 1-29 October 2026", נמסר 29/10/2026 עבור דוח 29/10/2026, מאומת בטקסט (לא תמלול תמונה). נתונים נוספים שסופקו במקור (לא בשימוש בנוסחה): Sales +1.0% מול תקופה קודמת, Orders/Units 2,281/2,340, Refunds 183, Est. payout $21,363.96, Gross profit $7,924.89, Net profit $7,924.89 -25.1% (זהה ל-Gross profit, כפי שמופיע במקור).</t>
  </si>
  <si>
    <t xml:space="preserve">תיאור</t>
  </si>
  <si>
    <t xml:space="preserve">סכום ($)</t>
  </si>
  <si>
    <t xml:space="preserve">משמש בנוסחת 'סהכ'!C20: =(Sales+Refund cost)×3.</t>
  </si>
  <si>
    <t xml:space="preserve">Refund cost</t>
  </si>
  <si>
    <t xml:space="preserve">מכפיל ×3 לפי הנחיית המשתמש (לא מתועד במקור התמונה).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</si>
</sst>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21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46324</v>
      </c>
      <c r="C2" s="6" t="n">
        <v>10.2026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SUMIF(Pplay1!$F$3:$F$16,A3,Pplay1!$H$3:$H$16)+SUMIF(ריכוז!$B$3:$B$30,A3,ריכוז!$C$3:$C$30)</f>
        <v>165792.2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SUMIF(Pplay1!$F$3:$F$16,A4,Pplay1!$H$3:$H$16)+SUMIF(ריכוז!$B$3:$B$30,A4,ריכוז!$C$3:$C$30)</f>
        <v>485236.297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SUMIF(Pplay1!$F$3:$F$16,A5,Pplay1!$H$3:$H$16)+SUMIF(ריכוז!$B$3:$B$30,A5,ריכוז!$C$3:$C$30)</f>
        <v>65735.306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SUMIF(Pplay1!$F$3:$F$16,A6,Pplay1!$H$3:$H$16)+SUMIF(ריכוז!$B$3:$B$30,A6,ריכוז!$C$3:$C$30)</f>
        <v>133225.322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SUMIF(Pplay1!$F$3:$F$16,A7,Pplay1!$H$3:$H$16)+SUMIF(ריכוז!$B$3:$B$30,A7,ריכוז!$C$3:$C$30)</f>
        <v>236586.4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SUMIF(Pplay1!$F$3:$F$16,A8,Pplay1!$H$3:$H$16)+SUMIF(ריכוז!$B$3:$B$30,A8,ריכוז!$C$3:$C$30)</f>
        <v>54486.887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SUMIF(Pplay1!$F$3:$F$16,A9,Pplay1!$H$3:$H$16)+SUMIF(ריכוז!$B$3:$B$30,A9,ריכוז!$C$3:$C$30)</f>
        <v>74109.94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SUMIF(Pplay1!$F$3:$F$16,A10,Pplay1!$H$3:$H$16)+SUMIF(ריכוז!$B$3:$B$30,A10,ריכוז!$C$3:$C$30)</f>
        <v>15394.51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SUMIF(Pplay1!$F$3:$F$16,A11,Pplay1!$H$3:$H$16)+SUMIF(ריכוז!$B$3:$B$30,A11,ריכוז!$C$3:$C$30)</f>
        <v>2342.42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SUMIF(Pplay1!$F$3:$F$16,A12,Pplay1!$H$3:$H$16)+SUMIF(ריכוז!$B$3:$B$30,A12,ריכוז!$C$3:$C$30)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SUMIF(Pplay1!$F$3:$F$16,A13,Pplay1!$H$3:$H$16)+SUMIF(ריכוז!$B$3:$B$30,A13,ריכוז!$C$3:$C$30)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SUMIF(Pplay1!$F$3:$F$16,A14,Pplay1!$H$3:$H$16)+SUMIF(ריכוז!$B$3:$B$30,A14,ריכוז!$C$3:$C$30)</f>
        <v>5323.62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SUMIF(Pplay1!$F$3:$F$16,A15,Pplay1!$H$3:$H$16)+SUMIF(ריכוז!$B$3:$B$30,A15,ריכוז!$C$3:$C$30)</f>
        <v>2654.98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1240887.882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SUMIF(Pplay1!$F$3:$F$16,A17,Pplay1!$H$3:$H$16)+SUMIF(ריכוז!$B$3:$B$30,A17,ריכוז!$C$3:$C$30)</f>
        <v>335990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SUMIF(Pplay1!$F$3:$F$16,A18,Pplay1!$H$3:$H$16)+SUMIF(ריכוז!$B$3:$B$30,A18,ריכוז!$C$3:$C$30)</f>
        <v>3223.5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1580101.382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193618.68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SUMIF(Pplay1!$F$3:$F$16,A21,Pplay1!$H$3:$H$16)+SUMIF(ריכוז!$B$3:$B$30,A21,ריכוז!$C$3:$C$30)</f>
        <v>131295.8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SUMIF(Pplay1!$F$3:$F$16,A22,Pplay1!$H$3:$H$16)+SUMIF(ריכוז!$B$3:$B$30,A22,ריכוז!$C$3:$C$30)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SUMIF(Pplay1!$F$3:$F$16,A23,Pplay1!$H$3:$H$16)+SUMIF(ריכוז!$B$3:$B$30,A23,ריכוז!$C$3:$C$30)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SUMIF(Pplay1!$F$3:$F$16,A24,Pplay1!$H$3:$H$16)+SUMIF(ריכוז!$B$3:$B$30,A24,ריכוז!$C$3:$C$30)</f>
        <v>13860.04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SUMIF(Pplay1!$F$3:$F$16,A25,Pplay1!$H$3:$H$16)+SUMIF(ריכוז!$B$3:$B$30,A25,ריכוז!$C$3:$C$30)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SUMIF(Pplay1!$F$3:$F$16,A26,Pplay1!$H$3:$H$16)+SUMIF(ריכוז!$B$3:$B$30,A26,ריכוז!$C$3:$C$30)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SUMIF(Pplay1!$F$3:$F$16,A27,Pplay1!$H$3:$H$16)+SUMIF(ריכוז!$B$3:$B$30,A27,ריכוז!$C$3:$C$30)</f>
        <v>23809.14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SUMIF(Pplay1!$F$3:$F$16,A28,Pplay1!$H$3:$H$16)+SUMIF(ריכוז!$B$3:$B$30,A28,ריכוז!$C$3:$C$30)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SUMIF(Pplay1!$F$3:$F$16,A29,Pplay1!$H$3:$H$16)+SUMIF(ריכוז!$B$3:$B$30,A29,ריכוז!$C$3:$C$30)</f>
        <v>30489.94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SUMIF(Pplay1!$F$3:$F$16,A30,Pplay1!$H$3:$H$16)+SUMIF(ריכוז!$B$3:$B$30,A30,ריכוז!$C$3:$C$30)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SUMIF(Pplay1!$F$3:$F$16,A31,Pplay1!$H$3:$H$16)+SUMIF(ריכוז!$B$3:$B$30,A31,ריכוז!$C$3:$C$30)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SUMIF(Pplay1!$F$3:$F$16,A32,Pplay1!$H$3:$H$16)+SUMIF(ריכוז!$B$3:$B$30,A32,ריכוז!$C$3:$C$30)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SUMIF(Pplay1!$F$3:$F$16,A33,Pplay1!$H$3:$H$16)+SUMIF(ריכוז!$B$3:$B$30,A33,ריכוז!$C$3:$C$30)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SUMIF(Pplay1!$F$3:$F$16,A34,Pplay1!$H$3:$H$16)+SUMIF(ריכוז!$B$3:$B$30,A34,ריכוז!$C$3:$C$30)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SUMIF(Pplay1!$F$3:$F$16,A35,Pplay1!$H$3:$H$16)+SUMIF(ריכוז!$B$3:$B$30,A35,ריכוז!$C$3:$C$30)</f>
        <v>0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SUMIF(Pplay1!$F$3:$F$16,A36,Pplay1!$H$3:$H$16)+SUMIF(ריכוז!$B$3:$B$30,A36,ריכוז!$C$3:$C$30)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SUMIF(Pplay1!$F$3:$F$16,A37,Pplay1!$H$3:$H$16)+SUMIF(ריכוז!$B$3:$B$30,A37,ריכוז!$C$3:$C$30)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SUMIF(Pplay1!$F$3:$F$16,A38,Pplay1!$H$3:$H$16)+SUMIF(ריכוז!$B$3:$B$30,A38,ריכוז!$C$3:$C$30)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SUMIF(Pplay1!$F$3:$F$16,A39,Pplay1!$H$3:$H$16)+SUMIF(ריכוז!$B$3:$B$30,A39,ריכוז!$C$3:$C$30)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393073.6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1973174.982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124848.2</v>
      </c>
      <c r="H3" s="27" t="n">
        <f aca="false">IF(G3="","",G3*0.91)</f>
        <v>113611.862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1873.9</v>
      </c>
      <c r="H4" s="27" t="n">
        <f aca="false">IF(G4="","",G4*0.91)</f>
        <v>1705.249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605857.7</v>
      </c>
      <c r="H5" s="27" t="n">
        <f aca="false">IF(G5="","",G5*0.91)</f>
        <v>551330.507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8150.4</v>
      </c>
      <c r="H6" s="27" t="n">
        <f aca="false">IF(G6="","",G6*0.91)</f>
        <v>7416.864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679.1</v>
      </c>
      <c r="H7" s="27" t="n">
        <f aca="false">IF(G7="","",G7*0.91)</f>
        <v>617.981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n">
        <f aca="false">IFERROR(INDEX(PPLAY1_מקור!$B:$B,MATCH(A8,PPLAY1_מקור!$A:$A,0)),"")</f>
        <v>-284.7</v>
      </c>
      <c r="H8" s="27" t="n">
        <f aca="false">IF(G8="","",G8*0.91)</f>
        <v>-259.077</v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1062.2</v>
      </c>
      <c r="H9" s="27" t="n">
        <f aca="false">IF(G9="","",G9*0.91)</f>
        <v>966.602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533226.7</v>
      </c>
      <c r="H10" s="27" t="n">
        <f aca="false">IF(G10="","",G10*0.91)</f>
        <v>485236.297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64356.9</v>
      </c>
      <c r="H11" s="27" t="n">
        <f aca="false">IF(G11="","",G11*0.91)</f>
        <v>58564.779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n">
        <f aca="false">IFERROR(INDEX(PPLAY1_מקור!$B:$B,MATCH(A12,PPLAY1_מקור!$A:$A,0)),"")</f>
        <v>209.7</v>
      </c>
      <c r="H12" s="27" t="n">
        <f aca="false">IF(G12="","",G12*0.91)</f>
        <v>190.827</v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59875.7</v>
      </c>
      <c r="H13" s="27" t="n">
        <f aca="false">IF(G13="","",G13*0.91)</f>
        <v>54486.887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  <row r="15" customFormat="false" ht="14.25" hidden="false" customHeight="true" outlineLevel="0" collapsed="false">
      <c r="A15" s="25" t="s">
        <v>59</v>
      </c>
      <c r="B15" s="23"/>
      <c r="C15" s="23" t="n">
        <v>7</v>
      </c>
      <c r="D15" s="23"/>
      <c r="E15" s="23"/>
      <c r="F15" s="26" t="n">
        <f aca="false">IF(B15&lt;&gt;"",B15,IF(C15&lt;&gt;"",C15,IF(D15&lt;&gt;"",D15,IF(E15&lt;&gt;"",E15,""))))</f>
        <v>7</v>
      </c>
      <c r="G15" s="27" t="n">
        <f aca="false">IFERROR(INDEX(PPLAY1_מקור!$B:$B,MATCH(A15,PPLAY1_מקור!$A:$A,0)),"")</f>
        <v>-1269.5</v>
      </c>
      <c r="H15" s="27" t="n">
        <f aca="false">IF(G15="","",G15*0.91)</f>
        <v>-1155.245</v>
      </c>
    </row>
    <row r="16" customFormat="false" ht="14.25" hidden="false" customHeight="true" outlineLevel="0" collapsed="false">
      <c r="A16" s="25" t="s">
        <v>60</v>
      </c>
      <c r="B16" s="23"/>
      <c r="C16" s="23" t="n">
        <v>7</v>
      </c>
      <c r="D16" s="23"/>
      <c r="E16" s="23"/>
      <c r="F16" s="26" t="n">
        <f aca="false">IF(B16&lt;&gt;"",B16,IF(C16&lt;&gt;"",C16,IF(D16&lt;&gt;"",D16,IF(E16&lt;&gt;"",E16,""))))</f>
        <v>7</v>
      </c>
      <c r="G16" s="27" t="n">
        <f aca="false">IFERROR(INDEX(PPLAY1_מקור!$B:$B,MATCH(A16,PPLAY1_מקור!$A:$A,0)),"")</f>
        <v>-63.4</v>
      </c>
      <c r="H16" s="27" t="n">
        <f aca="false">IF(G16="","",G16*0.91)</f>
        <v>-57.694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61</v>
      </c>
      <c r="C1" s="24" t="s">
        <v>62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63</v>
      </c>
      <c r="B3" s="1" t="n">
        <v>6</v>
      </c>
      <c r="C3" s="27" t="n">
        <f aca="false">IFERROR(INDEX(NetSuite_מקור!$D:$D,MATCH(A3,NetSuite_מקור!$A:$A,0)),"")</f>
        <v>74109.94</v>
      </c>
    </row>
    <row r="4" customFormat="false" ht="14.25" hidden="false" customHeight="true" outlineLevel="0" collapsed="false">
      <c r="A4" s="28" t="s">
        <v>64</v>
      </c>
      <c r="B4" s="1" t="n">
        <v>5</v>
      </c>
      <c r="C4" s="27" t="n">
        <f aca="false">IFERROR(INDEX(NetSuite_מקור!$D:$D,MATCH(A4,NetSuite_מקור!$A:$A,0)),"")</f>
        <v>165792.2</v>
      </c>
    </row>
    <row r="5" customFormat="false" ht="14.25" hidden="false" customHeight="true" outlineLevel="0" collapsed="false">
      <c r="A5" s="28" t="s">
        <v>65</v>
      </c>
      <c r="B5" s="1" t="n">
        <v>9</v>
      </c>
      <c r="C5" s="27" t="n">
        <f aca="false">IFERROR(INDEX(NetSuite_מקור!$D:$D,MATCH(A5,NetSuite_מקור!$A:$A,0)),"")</f>
        <v>2654.98</v>
      </c>
    </row>
    <row r="6" customFormat="false" ht="14.25" hidden="false" customHeight="true" outlineLevel="0" collapsed="false">
      <c r="A6" s="28" t="s">
        <v>66</v>
      </c>
      <c r="B6" s="1" t="n">
        <v>11</v>
      </c>
      <c r="C6" s="27" t="n">
        <f aca="false">IFERROR(INDEX(NetSuite_מקור!$D:$D,MATCH(A6,NetSuite_מקור!$A:$A,0)),"")</f>
        <v>2342.42</v>
      </c>
    </row>
    <row r="7" customFormat="false" ht="14.25" hidden="false" customHeight="true" outlineLevel="0" collapsed="false">
      <c r="A7" s="28" t="s">
        <v>67</v>
      </c>
      <c r="B7" s="1" t="n">
        <v>10</v>
      </c>
      <c r="C7" s="27" t="n">
        <f aca="false">IFERROR(INDEX(NetSuite_מקור!$D:$D,MATCH(A7,NetSuite_מקור!$A:$A,0)),"")</f>
        <v>15394.51</v>
      </c>
    </row>
    <row r="8" customFormat="false" ht="14.25" hidden="false" customHeight="true" outlineLevel="0" collapsed="false">
      <c r="A8" s="28" t="s">
        <v>68</v>
      </c>
      <c r="B8" s="1" t="n">
        <v>4</v>
      </c>
      <c r="C8" s="27" t="n">
        <f aca="false">IFERROR(INDEX(NetSuite_מקור!$D:$D,MATCH(A8,NetSuite_מקור!$A:$A,0)),"")</f>
        <v>17358.48</v>
      </c>
    </row>
    <row r="9" customFormat="false" ht="14.25" hidden="false" customHeight="true" outlineLevel="0" collapsed="false">
      <c r="A9" s="28" t="s">
        <v>69</v>
      </c>
      <c r="B9" s="1" t="n">
        <v>13</v>
      </c>
      <c r="C9" s="27" t="n">
        <f aca="false">IFERROR(INDEX(NetSuite_מקור!$D:$D,MATCH(A9,NetSuite_מקור!$A:$A,0)),"")</f>
        <v>5323.62</v>
      </c>
    </row>
    <row r="10" customFormat="false" ht="14.25" hidden="false" customHeight="true" outlineLevel="0" collapsed="false">
      <c r="A10" s="28" t="s">
        <v>70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71</v>
      </c>
      <c r="B11" s="1" t="n">
        <v>3</v>
      </c>
      <c r="C11" s="27" t="n">
        <f aca="false">IFERROR(INDEX(NetSuite_מקור!$D:$D,MATCH(A11,NetSuite_מקור!$A:$A,0)),"")</f>
        <v>236586.4</v>
      </c>
    </row>
    <row r="12" customFormat="false" ht="14.25" hidden="false" customHeight="true" outlineLevel="0" collapsed="false">
      <c r="A12" s="28" t="s">
        <v>72</v>
      </c>
      <c r="B12" s="1" t="n">
        <v>2</v>
      </c>
      <c r="C12" s="27" t="n">
        <f aca="false">IFERROR(INDEX(NetSuite_מקור!$D:$D,MATCH(A12,NetSuite_מקור!$A:$A,0)),"")</f>
        <v>335990</v>
      </c>
    </row>
    <row r="13" customFormat="false" ht="14.25" hidden="false" customHeight="true" outlineLevel="0" collapsed="false">
      <c r="A13" s="28" t="s">
        <v>73</v>
      </c>
      <c r="B13" s="1" t="n">
        <v>12</v>
      </c>
      <c r="C13" s="27" t="n">
        <f aca="false">IFERROR(INDEX(NetSuite_מקור!$D:$D,MATCH(A13,NetSuite_מקור!$A:$A,0)),"")</f>
        <v>3223.5</v>
      </c>
    </row>
    <row r="14" customFormat="false" ht="14.25" hidden="false" customHeight="true" outlineLevel="0" collapsed="false">
      <c r="A14" s="28" t="s">
        <v>74</v>
      </c>
      <c r="B14" s="1" t="n">
        <v>23</v>
      </c>
      <c r="C14" s="27" t="n">
        <f aca="false">IFERROR(INDEX(NetSuite_מקור!$D:$D,MATCH(A14,NetSuite_מקור!$A:$A,0)),"")</f>
        <v>13860.04</v>
      </c>
    </row>
    <row r="15" customFormat="false" ht="14.25" hidden="false" customHeight="true" outlineLevel="0" collapsed="false">
      <c r="A15" s="28" t="s">
        <v>75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76</v>
      </c>
      <c r="B16" s="1" t="n">
        <v>28</v>
      </c>
      <c r="C16" s="27" t="n">
        <f aca="false">IFERROR(INDEX(NetSuite_מקור!$D:$D,MATCH(A16,NetSuite_מקור!$A:$A,0)),"")</f>
        <v>30489.94</v>
      </c>
    </row>
    <row r="17" customFormat="false" ht="14.25" hidden="false" customHeight="true" outlineLevel="0" collapsed="false">
      <c r="A17" s="28" t="s">
        <v>77</v>
      </c>
      <c r="B17" s="1" t="n">
        <v>20</v>
      </c>
      <c r="C17" s="29" t="n">
        <f aca="false">IFERROR(INDEX(NetSuite_מקור!$D:$D,MATCH(A17,NetSuite_מקור!$A:$A,0)),"")</f>
        <v>131295.8</v>
      </c>
    </row>
    <row r="18" customFormat="false" ht="14.25" hidden="false" customHeight="true" outlineLevel="0" collapsed="false">
      <c r="A18" s="28" t="s">
        <v>78</v>
      </c>
      <c r="B18" s="1" t="n">
        <v>33</v>
      </c>
      <c r="C18" s="29" t="str">
        <f aca="false">IFERROR(INDEX(NetSuite_מקור!$D:$D,MATCH(A18,NetSuite_מקור!$A:$A,0)),"")</f>
        <v/>
      </c>
    </row>
    <row r="19" customFormat="false" ht="14.25" hidden="false" customHeight="true" outlineLevel="0" collapsed="false">
      <c r="A19" s="28" t="s">
        <v>79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80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81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82</v>
      </c>
      <c r="B22" s="1" t="n">
        <v>26</v>
      </c>
      <c r="C22" s="29" t="n">
        <f aca="false">IFERROR(INDEX(NetSuite_מקור!$D:$D,MATCH(A22,NetSuite_מקור!$A:$A,0)),"")</f>
        <v>23809.14</v>
      </c>
    </row>
    <row r="23" customFormat="false" ht="14.25" hidden="false" customHeight="true" outlineLevel="0" collapsed="false">
      <c r="A23" s="28" t="s">
        <v>83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84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85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86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87</v>
      </c>
      <c r="B27" s="1" t="n">
        <v>32</v>
      </c>
      <c r="C27" s="29" t="str">
        <f aca="false">IFERROR(INDEX(NetSuite_מקור!$D:$D,MATCH(A27,NetSuite_מקור!$A:$A,0)),"")</f>
        <v/>
      </c>
    </row>
    <row r="28" customFormat="false" ht="14.25" hidden="false" customHeight="true" outlineLevel="0" collapsed="false">
      <c r="A28" s="28" t="s">
        <v>88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89</v>
      </c>
      <c r="B29" s="1" t="n">
        <v>35</v>
      </c>
      <c r="C29" s="29" t="str">
        <f aca="false">IFERROR(INDEX(NetSuite_מקור!$D:$D,MATCH(A29,NetSuite_מקור!$A:$A,0)),"")</f>
        <v/>
      </c>
    </row>
    <row r="30" customFormat="false" ht="14.25" hidden="false" customHeight="true" outlineLevel="0" collapsed="false">
      <c r="A30" s="28" t="s">
        <v>90</v>
      </c>
      <c r="B30" s="1" t="n">
        <v>14</v>
      </c>
      <c r="C30" s="29" t="str">
        <f aca="false">IFERROR(INDEX(NetSuite_מקור!$D:$D,MATCH(A30,NetSuite_מקור!$A:$A,0)),"")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91</v>
      </c>
      <c r="B1" s="24" t="s">
        <v>92</v>
      </c>
      <c r="C1" s="24" t="s">
        <v>47</v>
      </c>
      <c r="D1" s="24" t="s">
        <v>93</v>
      </c>
    </row>
    <row r="2" customFormat="false" ht="14.25" hidden="false" customHeight="true" outlineLevel="0" collapsed="false">
      <c r="A2" s="26" t="s">
        <v>94</v>
      </c>
      <c r="B2" s="27"/>
      <c r="C2" s="27"/>
      <c r="D2" s="30" t="s">
        <v>95</v>
      </c>
    </row>
    <row r="3" customFormat="false" ht="14.25" hidden="false" customHeight="true" outlineLevel="0" collapsed="false">
      <c r="A3" s="26" t="s">
        <v>48</v>
      </c>
      <c r="B3" s="27" t="n">
        <v>124848.2</v>
      </c>
      <c r="C3" s="27" t="n">
        <f aca="false">B3*0.91</f>
        <v>113611.862</v>
      </c>
      <c r="D3" s="30"/>
    </row>
    <row r="4" customFormat="false" ht="14.25" hidden="false" customHeight="true" outlineLevel="0" collapsed="false">
      <c r="A4" s="26" t="s">
        <v>49</v>
      </c>
      <c r="B4" s="27" t="n">
        <v>1873.9</v>
      </c>
      <c r="C4" s="27" t="n">
        <f aca="false">B4*0.91</f>
        <v>1705.249</v>
      </c>
      <c r="D4" s="30"/>
    </row>
    <row r="5" customFormat="false" ht="14.25" hidden="false" customHeight="true" outlineLevel="0" collapsed="false">
      <c r="A5" s="26" t="s">
        <v>50</v>
      </c>
      <c r="B5" s="27" t="n">
        <v>605857.7</v>
      </c>
      <c r="C5" s="27" t="n">
        <f aca="false">B5*0.91</f>
        <v>551330.507</v>
      </c>
      <c r="D5" s="30"/>
    </row>
    <row r="6" customFormat="false" ht="14.25" hidden="false" customHeight="true" outlineLevel="0" collapsed="false">
      <c r="A6" s="26" t="s">
        <v>51</v>
      </c>
      <c r="B6" s="27" t="n">
        <v>8150.4</v>
      </c>
      <c r="C6" s="27" t="n">
        <f aca="false">B6*0.91</f>
        <v>7416.864</v>
      </c>
      <c r="D6" s="30"/>
    </row>
    <row r="7" customFormat="false" ht="14.25" hidden="false" customHeight="true" outlineLevel="0" collapsed="false">
      <c r="A7" s="26" t="s">
        <v>52</v>
      </c>
      <c r="B7" s="27" t="n">
        <v>679.1</v>
      </c>
      <c r="C7" s="27" t="n">
        <f aca="false">B7*0.91</f>
        <v>617.981</v>
      </c>
      <c r="D7" s="30"/>
    </row>
    <row r="8" customFormat="false" ht="14.25" hidden="false" customHeight="true" outlineLevel="0" collapsed="false">
      <c r="A8" s="26" t="s">
        <v>53</v>
      </c>
      <c r="B8" s="27" t="n">
        <v>-284.7</v>
      </c>
      <c r="C8" s="27" t="n">
        <f aca="false">B8*0.91</f>
        <v>-259.077</v>
      </c>
      <c r="D8" s="30"/>
    </row>
    <row r="9" customFormat="false" ht="14.25" hidden="false" customHeight="true" outlineLevel="0" collapsed="false">
      <c r="A9" s="26" t="s">
        <v>54</v>
      </c>
      <c r="B9" s="27" t="n">
        <v>1062.2</v>
      </c>
      <c r="C9" s="27" t="n">
        <f aca="false">B9*0.91</f>
        <v>966.602</v>
      </c>
      <c r="D9" s="30"/>
    </row>
    <row r="10" customFormat="false" ht="14.25" hidden="false" customHeight="true" outlineLevel="0" collapsed="false">
      <c r="A10" s="26" t="s">
        <v>59</v>
      </c>
      <c r="B10" s="27" t="n">
        <v>-1269.5</v>
      </c>
      <c r="C10" s="27" t="n">
        <f aca="false">B10*0.91</f>
        <v>-1155.245</v>
      </c>
      <c r="D10" s="30"/>
    </row>
    <row r="11" customFormat="false" ht="14.25" hidden="false" customHeight="true" outlineLevel="0" collapsed="false">
      <c r="A11" s="26" t="s">
        <v>3</v>
      </c>
      <c r="B11" s="27" t="n">
        <v>533226.7</v>
      </c>
      <c r="C11" s="27" t="n">
        <f aca="false">B11*0.91</f>
        <v>485236.297</v>
      </c>
      <c r="D11" s="30"/>
    </row>
    <row r="12" customFormat="false" ht="14.25" hidden="false" customHeight="true" outlineLevel="0" collapsed="false">
      <c r="A12" s="26" t="s">
        <v>55</v>
      </c>
      <c r="B12" s="27" t="n">
        <v>64356.9</v>
      </c>
      <c r="C12" s="27" t="n">
        <f aca="false">B12*0.91</f>
        <v>58564.779</v>
      </c>
      <c r="D12" s="30"/>
    </row>
    <row r="13" customFormat="false" ht="14.25" hidden="false" customHeight="true" outlineLevel="0" collapsed="false">
      <c r="A13" s="26" t="s">
        <v>56</v>
      </c>
      <c r="B13" s="27" t="n">
        <v>209.7</v>
      </c>
      <c r="C13" s="27" t="n">
        <f aca="false">B13*0.91</f>
        <v>190.827</v>
      </c>
      <c r="D13" s="30"/>
    </row>
    <row r="14" customFormat="false" ht="14.25" hidden="false" customHeight="true" outlineLevel="0" collapsed="false">
      <c r="A14" s="26" t="s">
        <v>57</v>
      </c>
      <c r="B14" s="27" t="n">
        <v>59875.7</v>
      </c>
      <c r="C14" s="27" t="n">
        <f aca="false">B14*0.91</f>
        <v>54486.887</v>
      </c>
      <c r="D14" s="30"/>
    </row>
    <row r="15" customFormat="false" ht="14.25" hidden="false" customHeight="true" outlineLevel="0" collapsed="false">
      <c r="A15" s="26" t="s">
        <v>60</v>
      </c>
      <c r="B15" s="27" t="n">
        <v>-63.4</v>
      </c>
      <c r="C15" s="1" t="n">
        <f aca="false">B15*0.91</f>
        <v>-57.694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96</v>
      </c>
    </row>
    <row r="2" customFormat="false" ht="15" hidden="false" customHeight="true" outlineLevel="0" collapsed="false">
      <c r="A2" s="24" t="s">
        <v>94</v>
      </c>
      <c r="D2" s="24" t="s">
        <v>95</v>
      </c>
    </row>
    <row r="3" customFormat="false" ht="15" hidden="false" customHeight="true" outlineLevel="0" collapsed="false">
      <c r="A3" s="26" t="s">
        <v>63</v>
      </c>
      <c r="D3" s="29" t="n">
        <v>74109.94</v>
      </c>
    </row>
    <row r="4" customFormat="false" ht="15" hidden="false" customHeight="true" outlineLevel="0" collapsed="false">
      <c r="A4" s="26" t="s">
        <v>64</v>
      </c>
      <c r="D4" s="29" t="n">
        <v>165792.2</v>
      </c>
    </row>
    <row r="5" customFormat="false" ht="15" hidden="false" customHeight="true" outlineLevel="0" collapsed="false">
      <c r="A5" s="26" t="s">
        <v>65</v>
      </c>
      <c r="D5" s="29" t="n">
        <v>2654.98</v>
      </c>
    </row>
    <row r="6" customFormat="false" ht="15" hidden="false" customHeight="true" outlineLevel="0" collapsed="false">
      <c r="A6" s="26" t="s">
        <v>66</v>
      </c>
      <c r="D6" s="29" t="n">
        <v>2342.42</v>
      </c>
    </row>
    <row r="7" customFormat="false" ht="15" hidden="false" customHeight="true" outlineLevel="0" collapsed="false">
      <c r="A7" s="26" t="s">
        <v>67</v>
      </c>
      <c r="D7" s="29" t="n">
        <v>15394.51</v>
      </c>
    </row>
    <row r="8" customFormat="false" ht="15" hidden="false" customHeight="true" outlineLevel="0" collapsed="false">
      <c r="A8" s="26" t="s">
        <v>68</v>
      </c>
      <c r="D8" s="29" t="n">
        <v>17358.48</v>
      </c>
    </row>
    <row r="9" customFormat="false" ht="15" hidden="false" customHeight="true" outlineLevel="0" collapsed="false">
      <c r="A9" s="26" t="s">
        <v>69</v>
      </c>
      <c r="D9" s="29" t="n">
        <v>5323.62</v>
      </c>
    </row>
    <row r="10" customFormat="false" ht="14.25" hidden="false" customHeight="true" outlineLevel="0" collapsed="false">
      <c r="A10" s="26" t="s">
        <v>71</v>
      </c>
      <c r="D10" s="29" t="n">
        <v>236586.4</v>
      </c>
    </row>
    <row r="11" customFormat="false" ht="14.25" hidden="false" customHeight="true" outlineLevel="0" collapsed="false">
      <c r="A11" s="26" t="s">
        <v>72</v>
      </c>
      <c r="D11" s="29" t="n">
        <v>335990</v>
      </c>
    </row>
    <row r="12" customFormat="false" ht="14.25" hidden="false" customHeight="true" outlineLevel="0" collapsed="false">
      <c r="A12" s="26" t="s">
        <v>73</v>
      </c>
      <c r="B12" s="31"/>
      <c r="C12" s="31"/>
      <c r="D12" s="29" t="n">
        <v>3223.5</v>
      </c>
      <c r="E12" s="32"/>
    </row>
    <row r="13" customFormat="false" ht="14.25" hidden="false" customHeight="true" outlineLevel="0" collapsed="false">
      <c r="A13" s="33" t="s">
        <v>76</v>
      </c>
      <c r="B13" s="31"/>
      <c r="C13" s="31"/>
      <c r="D13" s="34" t="n">
        <v>30489.94</v>
      </c>
      <c r="E13" s="32"/>
    </row>
    <row r="14" customFormat="false" ht="14.25" hidden="false" customHeight="true" outlineLevel="0" collapsed="false">
      <c r="A14" s="26" t="s">
        <v>82</v>
      </c>
      <c r="D14" s="27" t="n">
        <v>23809.14</v>
      </c>
    </row>
    <row r="15" customFormat="false" ht="14.25" hidden="false" customHeight="true" outlineLevel="0" collapsed="false">
      <c r="A15" s="26" t="s">
        <v>77</v>
      </c>
      <c r="D15" s="27" t="n">
        <v>131295.8</v>
      </c>
    </row>
    <row r="16" customFormat="false" ht="14.25" hidden="false" customHeight="true" outlineLevel="0" collapsed="false">
      <c r="A16" s="26" t="s">
        <v>74</v>
      </c>
      <c r="D16" s="27" t="n">
        <v>13860.04</v>
      </c>
    </row>
    <row r="17" customFormat="false" ht="14.25" hidden="false" customHeight="true" outlineLevel="0" collapsed="false"/>
    <row r="18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97</v>
      </c>
    </row>
    <row r="2" customFormat="false" ht="15" hidden="false" customHeight="true" outlineLevel="0" collapsed="false">
      <c r="A2" s="24" t="s">
        <v>98</v>
      </c>
      <c r="B2" s="24" t="s">
        <v>99</v>
      </c>
      <c r="C2" s="24" t="s">
        <v>93</v>
      </c>
    </row>
    <row r="3" customFormat="false" ht="15" hidden="false" customHeight="true" outlineLevel="0" collapsed="false">
      <c r="A3" s="26" t="s">
        <v>95</v>
      </c>
      <c r="B3" s="27" t="n">
        <v>69721.76</v>
      </c>
      <c r="C3" s="30" t="s">
        <v>100</v>
      </c>
    </row>
    <row r="4" customFormat="false" ht="15" hidden="false" customHeight="true" outlineLevel="0" collapsed="false">
      <c r="A4" s="26" t="s">
        <v>101</v>
      </c>
      <c r="B4" s="27" t="n">
        <v>-5182.2</v>
      </c>
      <c r="C4" s="3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2026-10-29T09:33:45Z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