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Matched by CHEMIPAL CODE" sheetId="2" state="visible" r:id="rId4"/>
    <sheet name="Unmatched" sheetId="3" state="visible" r:id="rId5"/>
    <sheet name="Catalog" sheetId="4" state="visible" r:id="rId6"/>
    <sheet name="TRANS" sheetId="5" state="visible" r:id="rId7"/>
    <sheet name="CEMI Raw" sheetId="6" state="visible" r:id="rId8"/>
    <sheet name="SALES Raw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<sst xmlns="http://schemas.openxmlformats.org/spreadsheetml/2006/main" count="3504" uniqueCount="1429">
  <si>
    <t xml:space="preserve">BETI — CEMI (בתי מרקחת) vs SALES (NetSuite "107 - Pharmacies") — Product-Level Match, STEP 1 (matching/reporting only)</t>
  </si>
  <si>
    <t xml:space="preserve">Calculation date:</t>
  </si>
  <si>
    <t xml:space="preserve">Same methodology as the first round of 2026-09-24-meuhedet-comparison-v2.xlsx: match/report only, NOT yet combined into a single unified "BETI" total (per explicit instruction - "בהתחלה אני רוצה לראות אם יש בעיות"). CEMI side = kirill/outputs/2026-09-25-CEMI-UPDATED-grouped-2025-vs-2026.xlsx, "בתי מרקחת Raw" (group #4, already 100% matched there). SALES side = kirill/outputs/2026-09-20-salestype-2025-vs-2026.xlsx, Sale Type "107 - Pharmacies". Neither original file was modified. Per instruction, the 777-row Catalog (from CEMI UPDATED / "חנה_1") was tried FIRST as the primary match source for SALES - it gave 0% match (confirmed by direct testing: Catalog item names are long PPLAY1-format text, SALES uses short NetSuite-style codes - different formats). Fell back to TRANS's ITEM NAME column (same short-code format) for SALES-side matching, exactly as done for מאוחדת.</t>
  </si>
  <si>
    <t xml:space="preserve">Sheet map</t>
  </si>
  <si>
    <t xml:space="preserve">Sheet</t>
  </si>
  <si>
    <t xml:space="preserve">Contents</t>
  </si>
  <si>
    <t xml:space="preserve">Matched by CHEMIPAL CODE</t>
  </si>
  <si>
    <t xml:space="preserve">Match-rate summary + full row-by-row CEMI vs SALES comparison table at CHEMIPAL CODE level.</t>
  </si>
  <si>
    <t xml:space="preserve">Unmatched</t>
  </si>
  <si>
    <t xml:space="preserve">Every SALES item name that could NOT be bridged via TRANS (77 items) - reported as-is, not guessed. CEMI side is 100% matched (0 unmatched).</t>
  </si>
  <si>
    <t xml:space="preserve">TRANS</t>
  </si>
  <si>
    <t xml:space="preserve">The crosswalk table used for SALES-side matching (short NetSuite-style codes), plus a normalized helper column.</t>
  </si>
  <si>
    <t xml:space="preserve">Catalog</t>
  </si>
  <si>
    <t xml:space="preserve">The 777-row global מק"ט&lt;-&gt;item-name catalog (from CEMI UPDATED / "חנה_1") used for CEMI-side matching (long PPLAY1-format text) - already 100% matched.</t>
  </si>
  <si>
    <t xml:space="preserve">CEMI Raw</t>
  </si>
  <si>
    <t xml:space="preserve">Pre-aggregation item-level data for בתי מרקחת from CEMI UPDATED (nonzero rows only), with live CHEMIPAL Code match against Catalog.</t>
  </si>
  <si>
    <t xml:space="preserve">SALES Raw</t>
  </si>
  <si>
    <t xml:space="preserve">Pre-aggregation item-level data for 107 - Pharmacies from SALES/NetSuite (nonzero rows only), with live CHEMIPAL Code match against TRANS.</t>
  </si>
  <si>
    <t xml:space="preserve">Match-rate summary</t>
  </si>
  <si>
    <t xml:space="preserve">Source</t>
  </si>
  <si>
    <t xml:space="preserve">Metric</t>
  </si>
  <si>
    <t xml:space="preserve">Matched</t>
  </si>
  <si>
    <t xml:space="preserve">Total</t>
  </si>
  <si>
    <t xml:space="preserve">Match %</t>
  </si>
  <si>
    <t xml:space="preserve">CEMI (בתי מרקחת)</t>
  </si>
  <si>
    <t xml:space="preserve">Quantity</t>
  </si>
  <si>
    <t xml:space="preserve">Amount (₪)</t>
  </si>
  <si>
    <t xml:space="preserve">SALES (107-Pharmacies)</t>
  </si>
  <si>
    <t xml:space="preserve">Matched CHEMIPAL codes:</t>
  </si>
  <si>
    <t xml:space="preserve">SALES unmatched distinct items:</t>
  </si>
  <si>
    <t xml:space="preserve">CEMI unmatched distinct items:</t>
  </si>
  <si>
    <t xml:space="preserve">NEXT STEP (not done yet, per instruction): if the user confirms this match rate is acceptable (or approves manual overrides for specific unmatched items, similar to מאוחדת's 397/363/T90 rules), a follow-up round can combine CEMI+SALES into a single unified "בתי מרקחת" total inside the CEMI file, with annualization and DROP/NEW - exactly as was done for מאוחדת.</t>
  </si>
  <si>
    <t xml:space="preserve">בתי מרקחת — Product-Level Match: CEMI (PPLAY1) vs SALES (NetSuite "107 - Pharmacies"), by CHEMIPAL CODE</t>
  </si>
  <si>
    <t xml:space="preserve">STEP 1 ONLY per user instruction ("בהתחלה אני רוצה לראות אם יש בעיות") - matching/reporting only, NOT yet combined into a single "BETI" total like מאוחדת was. CEMI side comes from kirill/outputs/2026-09-25-CEMI-UPDATED-grouped-2025-vs-2026.xlsx ("בתי מרקחת Raw", already 100% matched there). SALES side comes from kirill/outputs/2026-09-20-salestype-2025-vs-2026.xlsx (Sale Type "107 - Pharmacies"). Neither original file was modified. Every row here is a CHEMIPAL CODE matched from at least one of the two sources; a 0 in any column means that product was not sold through that channel/system in that year.</t>
  </si>
  <si>
    <t xml:space="preserve">Source / Metric</t>
  </si>
  <si>
    <t xml:space="preserve">CEMI — Quantity</t>
  </si>
  <si>
    <t xml:space="preserve">CEMI — Amount (₪)</t>
  </si>
  <si>
    <t xml:space="preserve">SALES — Quantity</t>
  </si>
  <si>
    <t xml:space="preserve">SALES — Amount (₪)</t>
  </si>
  <si>
    <t xml:space="preserve">CHEMIPAL CODE</t>
  </si>
  <si>
    <t xml:space="preserve">Product Name (Catalog)</t>
  </si>
  <si>
    <t xml:space="preserve">Product Name (TRANS ITEM NAME)</t>
  </si>
  <si>
    <t xml:space="preserve">CEMI Qty 2025</t>
  </si>
  <si>
    <t xml:space="preserve">CEMI Amt 2025 (₪)</t>
  </si>
  <si>
    <t xml:space="preserve">CEMI Qty 2026</t>
  </si>
  <si>
    <t xml:space="preserve">CEMI Amt 2026 (₪)</t>
  </si>
  <si>
    <t xml:space="preserve">SALES Qty 2025</t>
  </si>
  <si>
    <t xml:space="preserve">SALES Amt 2025 (₪)</t>
  </si>
  <si>
    <t xml:space="preserve">SALES Qty 2026</t>
  </si>
  <si>
    <t xml:space="preserve">SALES Amt 2026 (₪)</t>
  </si>
  <si>
    <t xml:space="preserve">Combined Qty 2025</t>
  </si>
  <si>
    <t xml:space="preserve">Combined Amt 2025 (₪)</t>
  </si>
  <si>
    <t xml:space="preserve">Combined Qty 2026</t>
  </si>
  <si>
    <t xml:space="preserve">Combined Amt 2026 (₪)</t>
  </si>
  <si>
    <t xml:space="preserve">TOTAL (matched codes only)</t>
  </si>
  <si>
    <t xml:space="preserve">Unmatched — Items NOT Found in Catalog/TRANS (reported only, not guessed)</t>
  </si>
  <si>
    <t xml:space="preserve">CEMI side: 0 unmatched items (100% matched via the Catalog sheet, already established in CEMI UPDATED). SALES side: 77 distinct item names could not be bridged via TRANS - listed below with their quantities/amounts, pulled live from SALES Raw. No manual overrides applied yet (this is step 1 - matching/reporting only, per user instruction; a later round may apply user-approved manual rules, same as was done for מאוחדת).</t>
  </si>
  <si>
    <t xml:space="preserve">CEMI — Unmatched items</t>
  </si>
  <si>
    <t xml:space="preserve">(none — 100% matched, see Matched by CHEMIPAL CODE sheet / CEMI Raw)</t>
  </si>
  <si>
    <t xml:space="preserve">SALES — Unmatched items (107 - Pharmacies, from NetSuite)</t>
  </si>
  <si>
    <t xml:space="preserve">Item Name (raw, NetSuite format)</t>
  </si>
  <si>
    <t xml:space="preserve">Qty 2025</t>
  </si>
  <si>
    <t xml:space="preserve">Amt 2025 (₪)</t>
  </si>
  <si>
    <t xml:space="preserve">Qty 2026</t>
  </si>
  <si>
    <t xml:space="preserve">Amt 2026 (₪)</t>
  </si>
  <si>
    <t xml:space="preserve">062 XXL</t>
  </si>
  <si>
    <t xml:space="preserve">06U M</t>
  </si>
  <si>
    <t xml:space="preserve">06U XXL</t>
  </si>
  <si>
    <t xml:space="preserve">07UB-L-XL</t>
  </si>
  <si>
    <t xml:space="preserve">07UB-S-M</t>
  </si>
  <si>
    <t xml:space="preserve">10 XXL</t>
  </si>
  <si>
    <t xml:space="preserve">11EU S</t>
  </si>
  <si>
    <t xml:space="preserve">11EU XS</t>
  </si>
  <si>
    <t xml:space="preserve">11PS M</t>
  </si>
  <si>
    <t xml:space="preserve">13 L</t>
  </si>
  <si>
    <t xml:space="preserve">13 M</t>
  </si>
  <si>
    <t xml:space="preserve">15M L</t>
  </si>
  <si>
    <t xml:space="preserve">15M XL</t>
  </si>
  <si>
    <t xml:space="preserve">15W S</t>
  </si>
  <si>
    <t xml:space="preserve">15W XL</t>
  </si>
  <si>
    <t xml:space="preserve">18 L</t>
  </si>
  <si>
    <t xml:space="preserve">18 M</t>
  </si>
  <si>
    <t xml:space="preserve">18 S</t>
  </si>
  <si>
    <t xml:space="preserve">18 XL</t>
  </si>
  <si>
    <t xml:space="preserve">18 XXL</t>
  </si>
  <si>
    <t xml:space="preserve">239P-S-M</t>
  </si>
  <si>
    <t xml:space="preserve">30 S</t>
  </si>
  <si>
    <t xml:space="preserve">303-43-44</t>
  </si>
  <si>
    <t xml:space="preserve">305GA-35-36</t>
  </si>
  <si>
    <t xml:space="preserve">32 M</t>
  </si>
  <si>
    <t xml:space="preserve">322B M</t>
  </si>
  <si>
    <t xml:space="preserve">332B L</t>
  </si>
  <si>
    <t xml:space="preserve">332B M</t>
  </si>
  <si>
    <t xml:space="preserve">35 XS</t>
  </si>
  <si>
    <t xml:space="preserve">363 L/R</t>
  </si>
  <si>
    <t xml:space="preserve">376-38-40</t>
  </si>
  <si>
    <t xml:space="preserve">376-44-45</t>
  </si>
  <si>
    <t xml:space="preserve">390G-39-42</t>
  </si>
  <si>
    <t xml:space="preserve">394G-35-38</t>
  </si>
  <si>
    <t xml:space="preserve">394G-39-42</t>
  </si>
  <si>
    <t xml:space="preserve">394G-43-46</t>
  </si>
  <si>
    <t xml:space="preserve">397-35-38</t>
  </si>
  <si>
    <t xml:space="preserve">397-43-46</t>
  </si>
  <si>
    <t xml:space="preserve">422 XL</t>
  </si>
  <si>
    <t xml:space="preserve">422 XXL</t>
  </si>
  <si>
    <t xml:space="preserve">422E XL</t>
  </si>
  <si>
    <t xml:space="preserve">422EB L</t>
  </si>
  <si>
    <t xml:space="preserve">422ED L</t>
  </si>
  <si>
    <t xml:space="preserve">45C XXL</t>
  </si>
  <si>
    <t xml:space="preserve">48 S</t>
  </si>
  <si>
    <t xml:space="preserve">48 XL</t>
  </si>
  <si>
    <t xml:space="preserve">49PS L</t>
  </si>
  <si>
    <t xml:space="preserve">49PS M</t>
  </si>
  <si>
    <t xml:space="preserve">49PS XL</t>
  </si>
  <si>
    <t xml:space="preserve">50 S</t>
  </si>
  <si>
    <t xml:space="preserve">50 XXL</t>
  </si>
  <si>
    <t xml:space="preserve">55 M</t>
  </si>
  <si>
    <t xml:space="preserve">55 XXL</t>
  </si>
  <si>
    <t xml:space="preserve">56B XL</t>
  </si>
  <si>
    <t xml:space="preserve">59R XXL</t>
  </si>
  <si>
    <t xml:space="preserve">63 L</t>
  </si>
  <si>
    <t xml:space="preserve">63 S</t>
  </si>
  <si>
    <t xml:space="preserve">67 0</t>
  </si>
  <si>
    <t xml:space="preserve">67600000</t>
  </si>
  <si>
    <t xml:space="preserve">776 L</t>
  </si>
  <si>
    <t xml:space="preserve">776 M</t>
  </si>
  <si>
    <t xml:space="preserve">776 XXL</t>
  </si>
  <si>
    <t xml:space="preserve">78A S</t>
  </si>
  <si>
    <t xml:space="preserve">84-S-M</t>
  </si>
  <si>
    <t xml:space="preserve">FC316 0</t>
  </si>
  <si>
    <t xml:space="preserve">M93</t>
  </si>
  <si>
    <t xml:space="preserve">SH776 L</t>
  </si>
  <si>
    <t xml:space="preserve">T28A XS</t>
  </si>
  <si>
    <t xml:space="preserve">T28AC XS</t>
  </si>
  <si>
    <t xml:space="preserve">T39 L</t>
  </si>
  <si>
    <t xml:space="preserve">T39 M</t>
  </si>
  <si>
    <t xml:space="preserve">T402 L</t>
  </si>
  <si>
    <t xml:space="preserve">T402 M</t>
  </si>
  <si>
    <t xml:space="preserve">T402 XL</t>
  </si>
  <si>
    <t xml:space="preserve">T402 XXL</t>
  </si>
  <si>
    <t xml:space="preserve">T45X L</t>
  </si>
  <si>
    <t xml:space="preserve">T45X M</t>
  </si>
  <si>
    <t xml:space="preserve">TOTAL</t>
  </si>
  <si>
    <t xml:space="preserve">Note: match rate here (~77-93% by amount, ~86-93% by quantity - see Index) is noticeably lower than the ~96-99% achieved for מאוחדת. Likely largest driver: "67 0" alone is 13,580.19 ₪ (2025) + 8,495.51 ₪ (2026) unmatched, a significant chunk of the unmatched amount. The remaining 76 items are mostly small-quantity variants not present in TRANS - no single dominant cause identified besides TRANS coverage gaps for this product mix.</t>
  </si>
  <si>
    <t xml:space="preserve">Catalog — global מק"ט (CHEMIPAL Code) &lt;-&gt; Item Name, from CEMI UPDATED's Catalog sheet (source: "חנה_1" PPLAY1 export)</t>
  </si>
  <si>
    <t xml:space="preserve">Source: kirill/outputs/2026-09-25-CEMI-UPDATED-grouped-2025-vs-2026.xlsx, "Catalog" sheet (777 rows) - used for CEMI-side matching (long PPLAY1-format raw item text, same format CEMI UPDATED already uses with 100% match). Column C is a whitespace-normalized helper.</t>
  </si>
  <si>
    <t xml:space="preserve">CHEMIPAL Code</t>
  </si>
  <si>
    <t xml:space="preserve">Item Name</t>
  </si>
  <si>
    <t xml:space="preserve">Item Name (normalized)</t>
  </si>
  <si>
    <t xml:space="preserve">BE CARE  תחבושת אלסטית 10ס""מ</t>
  </si>
  <si>
    <t xml:space="preserve">BE CARE  תחבושת אלסטית 5 ס""מ</t>
  </si>
  <si>
    <t xml:space="preserve">BE CARE  תחבושת אלסטית 7.5סמ</t>
  </si>
  <si>
    <t xml:space="preserve">BE CARE CB BEIGE</t>
  </si>
  <si>
    <t xml:space="preserve">BE CARE CB BLACK</t>
  </si>
  <si>
    <t xml:space="preserve">BE CARE CB GREEN</t>
  </si>
  <si>
    <t xml:space="preserve">BE CARE CB PINK</t>
  </si>
  <si>
    <t xml:space="preserve">BE CARE KT BEIGE</t>
  </si>
  <si>
    <t xml:space="preserve">BE CARE KT BLACK</t>
  </si>
  <si>
    <t xml:space="preserve">BE CARE KT BLUE</t>
  </si>
  <si>
    <t xml:space="preserve">BE CARE KT PINK</t>
  </si>
  <si>
    <t xml:space="preserve">40-רצועת פיקה לברך</t>
  </si>
  <si>
    <t xml:space="preserve">4022 רצועת ""פיקה""+כרית</t>
  </si>
  <si>
    <t xml:space="preserve">41  XL.מ.ברך מוצלב+ספירלות בצד</t>
  </si>
  <si>
    <t xml:space="preserve">41 Lמ.ברך מוצלב+ספירלות בצדדים</t>
  </si>
  <si>
    <t xml:space="preserve">41 Mמ.ברך מוצלב+ספירלות בצדדים</t>
  </si>
  <si>
    <t xml:space="preserve">41 Sמ.ברך מוצלב+ספירלות בצדדים</t>
  </si>
  <si>
    <t xml:space="preserve">41 XS מ.ברך מוצלב+מוטות</t>
  </si>
  <si>
    <t xml:space="preserve">41 XXL.מ.ברך מוצלב+ספירלות בצד</t>
  </si>
  <si>
    <t xml:space="preserve">41X L מגן ברך מוצלב+מוט</t>
  </si>
  <si>
    <t xml:space="preserve">41X M מגן ברך מוצלב+מוט</t>
  </si>
  <si>
    <t xml:space="preserve">41X S מגן ברך מוצלב+מוט</t>
  </si>
  <si>
    <t xml:space="preserve">41X XL מגן ברך מוצלב+מוט</t>
  </si>
  <si>
    <t xml:space="preserve">41X XS מגן ברך מוצלב+מוט</t>
  </si>
  <si>
    <t xml:space="preserve">41X XXL מגן ברך מוצלב+מוט</t>
  </si>
  <si>
    <t xml:space="preserve">422 Lמ.ברך+כרית סיל.סביב לפיקה</t>
  </si>
  <si>
    <t xml:space="preserve">422 Mמ.ברך+כרית סיל.סביב לפיקה</t>
  </si>
  <si>
    <t xml:space="preserve">422 Sמ.ברך+כרית סיל.סביב לפיקה</t>
  </si>
  <si>
    <t xml:space="preserve">422 XLמ.ברך+כרית סיל.סביב לפיק</t>
  </si>
  <si>
    <t xml:space="preserve">422 XXLמ.ברך+כרית סיל.סב. פיקה</t>
  </si>
  <si>
    <t xml:space="preserve">422+ L מ.ברך סיליק.רצועות לבן</t>
  </si>
  <si>
    <t xml:space="preserve">422+ Mמ.ברך סיל.רצועות חזק לבן</t>
  </si>
  <si>
    <t xml:space="preserve">422+ XLמ.ברך סיליק.לבן</t>
  </si>
  <si>
    <t xml:space="preserve">422+ XXLמ.ברך סיל.רצוע.חזק לבן</t>
  </si>
  <si>
    <t xml:space="preserve">422E L מגן ברך ארוך עם כרית</t>
  </si>
  <si>
    <t xml:space="preserve">422E M מגן ברך ארוך עם כרית</t>
  </si>
  <si>
    <t xml:space="preserve">422E S מגן ברך ארוך עם כרית</t>
  </si>
  <si>
    <t xml:space="preserve">422E XL מגן ברך ארוך עם כרית</t>
  </si>
  <si>
    <t xml:space="preserve">422E XXL מגן ברך ארוך עם כרית</t>
  </si>
  <si>
    <t xml:space="preserve">422E XXXL מגן ברך ארוך עם כרית</t>
  </si>
  <si>
    <t xml:space="preserve">422N L מ.ברך אפור+כרית סיליקון</t>
  </si>
  <si>
    <t xml:space="preserve">422N M מ.ברך אפור+כרית סיליקון</t>
  </si>
  <si>
    <t xml:space="preserve">422N XLמ.ברך אפור+כרית סיליקון</t>
  </si>
  <si>
    <t xml:space="preserve">422N XXL.מ.ברך אפור+כרית סיליק</t>
  </si>
  <si>
    <t xml:space="preserve">44G XL-Lסד ברך לאחר ניתוח</t>
  </si>
  <si>
    <t xml:space="preserve">45  XS מגן ברך רגיל לבן</t>
  </si>
  <si>
    <t xml:space="preserve">45 L מגן ברך לבן</t>
  </si>
  <si>
    <t xml:space="preserve">45 M מגן ברך לבן</t>
  </si>
  <si>
    <t xml:space="preserve">45 S מגן ברך לבן</t>
  </si>
  <si>
    <t xml:space="preserve">45 XL מגן ברך לבן</t>
  </si>
  <si>
    <t xml:space="preserve">45 XXL מגן ברך לבן</t>
  </si>
  <si>
    <t xml:space="preserve">45B L מגן ברך שחור</t>
  </si>
  <si>
    <t xml:space="preserve">45B M מגן ברך שחור</t>
  </si>
  <si>
    <t xml:space="preserve">45B S מגן ברך שחור</t>
  </si>
  <si>
    <t xml:space="preserve">45B XL מגן ברך שחור</t>
  </si>
  <si>
    <t xml:space="preserve">45B XXLמגן ברך שחור</t>
  </si>
  <si>
    <t xml:space="preserve">45C L מגן ברך חום</t>
  </si>
  <si>
    <t xml:space="preserve">45C M מגן ברך חום</t>
  </si>
  <si>
    <t xml:space="preserve">45C S מגן ברך חום</t>
  </si>
  <si>
    <t xml:space="preserve">45C XL מגן ברך חום</t>
  </si>
  <si>
    <t xml:space="preserve">45E  L        מגן ברך ארוך לבן</t>
  </si>
  <si>
    <t xml:space="preserve">45E Mמגן ברך ארוך לבן</t>
  </si>
  <si>
    <t xml:space="preserve">45E Sמגן ברך ארוך לבן</t>
  </si>
  <si>
    <t xml:space="preserve">45E XLמגן ברך ארוך לבן</t>
  </si>
  <si>
    <t xml:space="preserve">45E XXLמגן ברך ארוך לבן</t>
  </si>
  <si>
    <t xml:space="preserve">45EC L 'מגן ברך ארוך בז</t>
  </si>
  <si>
    <t xml:space="preserve">45EC M 'מגן ברך ארוך בז</t>
  </si>
  <si>
    <t xml:space="preserve">45EC S 'מגן ברך ארוך בז</t>
  </si>
  <si>
    <t xml:space="preserve">45EC XL'מגן ברך ארוך בז</t>
  </si>
  <si>
    <t xml:space="preserve">45EC XXL'מגן ברך ארוך בז</t>
  </si>
  <si>
    <t xml:space="preserve">48 L מגן ברך מחמם</t>
  </si>
  <si>
    <t xml:space="preserve">48 M מגן ברך מחמם</t>
  </si>
  <si>
    <t xml:space="preserve">48 S מגן ברך מחמם</t>
  </si>
  <si>
    <t xml:space="preserve">48 XL מגן ברך מחמם</t>
  </si>
  <si>
    <t xml:space="preserve">48 XXL מגן ברך מחמם</t>
  </si>
  <si>
    <t xml:space="preserve">AC40 רצועה לפיקת הברך</t>
  </si>
  <si>
    <t xml:space="preserve">AC43D מגן ברך + צירים</t>
  </si>
  <si>
    <t xml:space="preserve">AC45X מגן ברך עם תמיכות</t>
  </si>
  <si>
    <t xml:space="preserve">S-XLST422 מגן ברך+כרית ג'ל</t>
  </si>
  <si>
    <t xml:space="preserve">SC422  S מגן ברך</t>
  </si>
  <si>
    <t xml:space="preserve">SC422 XXLמגן ברך</t>
  </si>
  <si>
    <t xml:space="preserve">SH422 1 תומך ברך גנושילד</t>
  </si>
  <si>
    <t xml:space="preserve">SH422 2 תומך ברך גנושילד</t>
  </si>
  <si>
    <t xml:space="preserve">SH422 3 תומך ברך גנושילד</t>
  </si>
  <si>
    <t xml:space="preserve">SH422 4 תומך ברך גנושילד</t>
  </si>
  <si>
    <t xml:space="preserve">SH422 5 תומך ברך גנושילד</t>
  </si>
  <si>
    <t xml:space="preserve">SH422 6 תומך ברך גנושילד</t>
  </si>
  <si>
    <t xml:space="preserve">ST433 H מגן ברך עם ציר</t>
  </si>
  <si>
    <t xml:space="preserve">T 45 L מגן ברך רגיל</t>
  </si>
  <si>
    <t xml:space="preserve">T 45 M מגן ברך רגיל</t>
  </si>
  <si>
    <t xml:space="preserve">T 45XL מגן ברך רגיל</t>
  </si>
  <si>
    <t xml:space="preserve">T40 רצועת פיקה לברך</t>
  </si>
  <si>
    <t xml:space="preserve">T402 L מיצב פיקה</t>
  </si>
  <si>
    <t xml:space="preserve">T402 M מיצב פיקה</t>
  </si>
  <si>
    <t xml:space="preserve">T402 S מיצב פיקה</t>
  </si>
  <si>
    <t xml:space="preserve">T402 XL מיצב פיקה</t>
  </si>
  <si>
    <t xml:space="preserve">T402 XXL מיצב פיקה</t>
  </si>
  <si>
    <t xml:space="preserve">T40B רצועה לפיקה</t>
  </si>
  <si>
    <t xml:space="preserve">T43 SKI XXL מגן ברך לסקי</t>
  </si>
  <si>
    <t xml:space="preserve">T433 XL מגן ברך משופר</t>
  </si>
  <si>
    <t xml:space="preserve">T43SKI L מגן ברך לסקי</t>
  </si>
  <si>
    <t xml:space="preserve">T43SKI M מגן ברך לסקי</t>
  </si>
  <si>
    <t xml:space="preserve">T43SKI XLמגן ברך לסקי</t>
  </si>
  <si>
    <t xml:space="preserve">T45 S מגן ברך רגיל</t>
  </si>
  <si>
    <t xml:space="preserve">T45 XXL מגן ברך רגיל</t>
  </si>
  <si>
    <t xml:space="preserve">T45X-XXLמגן ברך רגיל</t>
  </si>
  <si>
    <t xml:space="preserve">T45X L מגן ברך רגיל</t>
  </si>
  <si>
    <t xml:space="preserve">T45X M מגן ברך רגיל</t>
  </si>
  <si>
    <t xml:space="preserve">T45X S מגן ברך רגיל</t>
  </si>
  <si>
    <t xml:space="preserve">T45X XL מגן ברך רגיל</t>
  </si>
  <si>
    <t xml:space="preserve">3444 0   גרביים+סיליקון</t>
  </si>
  <si>
    <t xml:space="preserve">3444B גרבי ג'ל לריכוך עור העקב</t>
  </si>
  <si>
    <t xml:space="preserve">3445Wתתגרב לבן סיליקון טיפ יום</t>
  </si>
  <si>
    <t xml:space="preserve">390B 39-42.גרב.כסף לסכרתיים שח</t>
  </si>
  <si>
    <t xml:space="preserve">390B 43-46.גרב.כסף לסכרתיים שח</t>
  </si>
  <si>
    <t xml:space="preserve">390B גרב.כסף לסכרתים שחור35-38</t>
  </si>
  <si>
    <t xml:space="preserve">390G 39-42.גרב.כסף לסכרתיים אפ</t>
  </si>
  <si>
    <t xml:space="preserve">390G ג.כסף לסכרתיים אפור35-38</t>
  </si>
  <si>
    <t xml:space="preserve">390W גרב כסף לסכרתיים לבן35-38</t>
  </si>
  <si>
    <t xml:space="preserve">390W גרב.כסף לסכרתיים לבן39-42</t>
  </si>
  <si>
    <t xml:space="preserve">390W גרב.כסף לסכרתיים לבן43-46</t>
  </si>
  <si>
    <t xml:space="preserve">394B גרב.כסף לסכרתים שחור35-38</t>
  </si>
  <si>
    <t xml:space="preserve">394B גרב.כסף לסכרתים שחור39-42</t>
  </si>
  <si>
    <t xml:space="preserve">394B גרב.כסף לסכרתים שחור43-46</t>
  </si>
  <si>
    <t xml:space="preserve">394G גרב.כסף לסכרתים אפור35-38</t>
  </si>
  <si>
    <t xml:space="preserve">394G גרב.כסף לסכרתים אפור39-42</t>
  </si>
  <si>
    <t xml:space="preserve">394G גרב.כסף לסכרתים אפור43-46</t>
  </si>
  <si>
    <t xml:space="preserve">394W 35-38 גרב.כסף לסכרתים לבן</t>
  </si>
  <si>
    <t xml:space="preserve">394W 39-42 גרב.כסף לסכרתים לבן</t>
  </si>
  <si>
    <t xml:space="preserve">394W 43-46 גרב.כסף לסכרתים לבן</t>
  </si>
  <si>
    <t xml:space="preserve">395B גרבי קיץ אנטי בקטריא39-42</t>
  </si>
  <si>
    <t xml:space="preserve">395B גרבי קיץ אנטי בקטריא43-46</t>
  </si>
  <si>
    <t xml:space="preserve">396-35-38 גרביים טרמיות</t>
  </si>
  <si>
    <t xml:space="preserve">396-39-42 גרביים טרמיות</t>
  </si>
  <si>
    <t xml:space="preserve">397 35-38 גרבי טיסה מידה</t>
  </si>
  <si>
    <t xml:space="preserve">397 39-42 גרבי טיסה מידה</t>
  </si>
  <si>
    <t xml:space="preserve">397 43-46 גרבי טיסה מידה</t>
  </si>
  <si>
    <t xml:space="preserve">397A-גרבי טיסה אנטי בקטרי35-38</t>
  </si>
  <si>
    <t xml:space="preserve">397A-גרבי טיסה אנטי בקטרי39-42</t>
  </si>
  <si>
    <t xml:space="preserve">397A-גרבי טיסה אנטי בקטרי43-46</t>
  </si>
  <si>
    <t xml:space="preserve">G390.43-46 גרבי כסף לסכרת מידה</t>
  </si>
  <si>
    <t xml:space="preserve">ST3555 S-Mגרב לילה לטיפ.בדורבן</t>
  </si>
  <si>
    <t xml:space="preserve">ST3555L-XLגרב לילה לטיפ.בדורבן</t>
  </si>
  <si>
    <t xml:space="preserve">06 L  ""ח.גב קלה ""מיקדו</t>
  </si>
  <si>
    <t xml:space="preserve">06 M  ""ח.גב קלה ""מיקדו</t>
  </si>
  <si>
    <t xml:space="preserve">06 S  ""ח.גב קלה ""מיקדו</t>
  </si>
  <si>
    <t xml:space="preserve">06 XL ""ח.גב קלה ""מיקדו</t>
  </si>
  <si>
    <t xml:space="preserve">06 XXL ""ח.גב קלה ""מיקדו</t>
  </si>
  <si>
    <t xml:space="preserve">06U  XXL ח.בטן מותנית צר</t>
  </si>
  <si>
    <t xml:space="preserve">06U L ח.בטן מותנית צר</t>
  </si>
  <si>
    <t xml:space="preserve">06U M ח.בטן מותנית צר</t>
  </si>
  <si>
    <t xml:space="preserve">06U XL ח.בטן מותנית צר</t>
  </si>
  <si>
    <t xml:space="preserve">06W S חגורת גב לנשים</t>
  </si>
  <si>
    <t xml:space="preserve">077A   XXL חגורת גב עם חיזוקים</t>
  </si>
  <si>
    <t xml:space="preserve">077A L-XLחגורת גב</t>
  </si>
  <si>
    <t xml:space="preserve">077A S-M חגורת גב</t>
  </si>
  <si>
    <t xml:space="preserve">078 L חגורת גב +סגירה</t>
  </si>
  <si>
    <t xml:space="preserve">078C L'חגורת גב+סגירה כפו בז</t>
  </si>
  <si>
    <t xml:space="preserve">078C M'חגורת גב+סגירה כפו בז</t>
  </si>
  <si>
    <t xml:space="preserve">078C S'חגורת גב+סגירה כפו בז</t>
  </si>
  <si>
    <t xml:space="preserve">078C XLתתחגורת גב+סגירה כפו בז</t>
  </si>
  <si>
    <t xml:space="preserve">078C XXL 'חג.גב+סגירה כפו בז</t>
  </si>
  <si>
    <t xml:space="preserve">078G-L חגורת גב אפורה</t>
  </si>
  <si>
    <t xml:space="preserve">078G-M חגורת גב אפורה</t>
  </si>
  <si>
    <t xml:space="preserve">078G-S חגורת גב אפורה</t>
  </si>
  <si>
    <t xml:space="preserve">078G-XLחגורת גב אפורה</t>
  </si>
  <si>
    <t xml:space="preserve">078G-XXLחגורת גב אפורה</t>
  </si>
  <si>
    <t xml:space="preserve">078XL חגורת גב +סגירה כפולה</t>
  </si>
  <si>
    <t xml:space="preserve">078XXL חגורת גב +סגירה כפולה</t>
  </si>
  <si>
    <t xml:space="preserve">079  M ח.גב סג.כפולה שחור+אדום</t>
  </si>
  <si>
    <t xml:space="preserve">079 L ח.גב סג.כפולה שחור+אדום</t>
  </si>
  <si>
    <t xml:space="preserve">079 S ח.גב סג. כפולה שחור+אדום</t>
  </si>
  <si>
    <t xml:space="preserve">079 XL ח.גב סג.כפולה שחור+אדום</t>
  </si>
  <si>
    <t xml:space="preserve">079 XXLח.גב סג.כפולה שחור+אדום</t>
  </si>
  <si>
    <t xml:space="preserve">07AU L ח.גב ""איטלקית"" אורירית</t>
  </si>
  <si>
    <t xml:space="preserve">07AU M ח.גב ""איטלקית"" אורירית</t>
  </si>
  <si>
    <t xml:space="preserve">07AU S ח.גב ""איטלקית"" אורירית</t>
  </si>
  <si>
    <t xml:space="preserve">07AU XL ח.גב ""איטלקית"" אורירית</t>
  </si>
  <si>
    <t xml:space="preserve">07AU XXL.ח.גב ""איטלקית"" אוריר</t>
  </si>
  <si>
    <t xml:space="preserve">07UC L-XLח.גב אמר+סגירה כפ.חום</t>
  </si>
  <si>
    <t xml:space="preserve">10 L ""חגורת גב ""לומבו</t>
  </si>
  <si>
    <t xml:space="preserve">10 M ""חגורת גב ""לומבו</t>
  </si>
  <si>
    <t xml:space="preserve">10 S ""חגורת גב ""לומבו</t>
  </si>
  <si>
    <t xml:space="preserve">10 XL ""חגורת גב ""לומבו</t>
  </si>
  <si>
    <t xml:space="preserve">10 XXL""חגורת גב ""לומבו</t>
  </si>
  <si>
    <t xml:space="preserve">11 L""חגורת בטן""אורירית</t>
  </si>
  <si>
    <t xml:space="preserve">11 M""חגורת בטן""אורירית</t>
  </si>
  <si>
    <t xml:space="preserve">11 S""חגורת בטן""אורירית</t>
  </si>
  <si>
    <t xml:space="preserve">11 XL""חגורת בטן""אורירית</t>
  </si>
  <si>
    <t xml:space="preserve">11 XS  חגורת בטן</t>
  </si>
  <si>
    <t xml:space="preserve">11 XXL""חגורת בטן""אורירית</t>
  </si>
  <si>
    <t xml:space="preserve">11EU L ח.בטן לאחר ניתוח</t>
  </si>
  <si>
    <t xml:space="preserve">11EU M ח.בטן לאחר ניתוח</t>
  </si>
  <si>
    <t xml:space="preserve">11EU S ח.בטן לאחר ניתוח</t>
  </si>
  <si>
    <t xml:space="preserve">11EU XLח.בטן לאחר ניתוח</t>
  </si>
  <si>
    <t xml:space="preserve">11EU XXL חגורת בטןלאחר ניתוח</t>
  </si>
  <si>
    <t xml:space="preserve">11PS Lחגורה למנותחי בטן</t>
  </si>
  <si>
    <t xml:space="preserve">11PS Mחגורה למנותחי בטן</t>
  </si>
  <si>
    <t xml:space="preserve">11PS Sחגורה למנותחי בטן</t>
  </si>
  <si>
    <t xml:space="preserve">11PS XLחגורה למנותחי בטן</t>
  </si>
  <si>
    <t xml:space="preserve">11PS XXLחגורה למנותחי בטן</t>
  </si>
  <si>
    <t xml:space="preserve">11STO L חגורה אחרי ניתוח</t>
  </si>
  <si>
    <t xml:space="preserve">11STO M חגורה אחרי ניתוח</t>
  </si>
  <si>
    <t xml:space="preserve">11STO S חגורה אחרי ניתוח</t>
  </si>
  <si>
    <t xml:space="preserve">11STO XL  חגורה אחרי ניתוח</t>
  </si>
  <si>
    <t xml:space="preserve">11STO XXL חגורה אחרי ניתוח</t>
  </si>
  <si>
    <t xml:space="preserve">11TO L חגורה למנותחי בית החזה</t>
  </si>
  <si>
    <t xml:space="preserve">11TO M חגורה למנותחי בית החזה</t>
  </si>
  <si>
    <t xml:space="preserve">11TO S חגורה למנותחי בית החזה</t>
  </si>
  <si>
    <t xml:space="preserve">11TO XLחגורה למנותחי בית החזה</t>
  </si>
  <si>
    <t xml:space="preserve">11TO XXLחגורה למנותחי בית החזה</t>
  </si>
  <si>
    <t xml:space="preserve">11U Lחגורת בטן וחזה אחרי ניתוח</t>
  </si>
  <si>
    <t xml:space="preserve">11U Mחגורת בטן וחזה אחרי ניתוח</t>
  </si>
  <si>
    <t xml:space="preserve">11U XL ח.בטן לאחר ניתוח קלה</t>
  </si>
  <si>
    <t xml:space="preserve">11UC'M'תתחגורת בטן עממית בז</t>
  </si>
  <si>
    <t xml:space="preserve">11UC S'תתחגורת בטן עממית בז</t>
  </si>
  <si>
    <t xml:space="preserve">11UC XL 'תתחגורת בטן עממ.בז</t>
  </si>
  <si>
    <t xml:space="preserve">12 L ח.גב מגנטית+מוטות תמיכה</t>
  </si>
  <si>
    <t xml:space="preserve">12 M ח.גב מגנטית+מוטות תמיכה</t>
  </si>
  <si>
    <t xml:space="preserve">12 S ח.גב מגנטית+מוטות תמיכה</t>
  </si>
  <si>
    <t xml:space="preserve">12 XL ח.גב מגנטית+מוטות תמיכה</t>
  </si>
  <si>
    <t xml:space="preserve">13 L חגורה לשבר טבור</t>
  </si>
  <si>
    <t xml:space="preserve">13 M חגורה לשבר טבור</t>
  </si>
  <si>
    <t xml:space="preserve">13 S חגורה לשבר טבור</t>
  </si>
  <si>
    <t xml:space="preserve">13 XL חגורה לשבר טבור</t>
  </si>
  <si>
    <t xml:space="preserve">13 XXL חגורה לשבר טבור</t>
  </si>
  <si>
    <t xml:space="preserve">14 0 חגורה למנותחי בית חזה</t>
  </si>
  <si>
    <t xml:space="preserve">15M L חגורת צלעות לגבר</t>
  </si>
  <si>
    <t xml:space="preserve">15M M חגורת צלעות לגבר</t>
  </si>
  <si>
    <t xml:space="preserve">15M XL חגורת צלעות לגבר</t>
  </si>
  <si>
    <t xml:space="preserve">15W L חגורת צלעות לאשה</t>
  </si>
  <si>
    <t xml:space="preserve">15W M חגורת צלעות לאשה</t>
  </si>
  <si>
    <t xml:space="preserve">15W XL חגורת צלעות לאשה</t>
  </si>
  <si>
    <t xml:space="preserve">15W XXL חגורת צלעות לאשה</t>
  </si>
  <si>
    <t xml:space="preserve">16 L-XL חגורת הריון</t>
  </si>
  <si>
    <t xml:space="preserve">16 S-M חגורת הריון</t>
  </si>
  <si>
    <t xml:space="preserve">16 XXL חגורת הריון</t>
  </si>
  <si>
    <t xml:space="preserve">18  XL.ח.הריון מכנס למניעת כאב</t>
  </si>
  <si>
    <t xml:space="preserve">18 L ח.הריון מכנס למניעת כאבים</t>
  </si>
  <si>
    <t xml:space="preserve">18 M ח.הריון מכנס למניעת כאבים</t>
  </si>
  <si>
    <t xml:space="preserve">18 S ח.הריון מכנס למניעת כאבים</t>
  </si>
  <si>
    <t xml:space="preserve">19 L-XLחגורת הריון בכאב.חזק</t>
  </si>
  <si>
    <t xml:space="preserve">19 S-M חגורת הריון בכאב חזק</t>
  </si>
  <si>
    <t xml:space="preserve">70 L חגורת פיסוק פאב</t>
  </si>
  <si>
    <t xml:space="preserve">70 M חגורת פיסוק פאב</t>
  </si>
  <si>
    <t xml:space="preserve">70 S חגורת פיסוק פאב</t>
  </si>
  <si>
    <t xml:space="preserve">70N L חגורת פאבליק</t>
  </si>
  <si>
    <t xml:space="preserve">70N M חגורת פאבליק</t>
  </si>
  <si>
    <t xml:space="preserve">70N S חגורת פאבליק</t>
  </si>
  <si>
    <t xml:space="preserve">70N XS חגורת פאבליק</t>
  </si>
  <si>
    <t xml:space="preserve">776 L  ח.גב גבוהה</t>
  </si>
  <si>
    <t xml:space="preserve">776 M  ח.גב גבוהה</t>
  </si>
  <si>
    <t xml:space="preserve">776 XL ח.גב גבוהה</t>
  </si>
  <si>
    <t xml:space="preserve">AC-07 חגורת גב עם תמיכות</t>
  </si>
  <si>
    <t xml:space="preserve">AC-11 חגורת בטן קלה</t>
  </si>
  <si>
    <t xml:space="preserve">L-XL 099 חגורת גב שרוכים</t>
  </si>
  <si>
    <t xml:space="preserve">L 11 אפורUG חגורת בטן</t>
  </si>
  <si>
    <t xml:space="preserve">M 11 אפורUG חגורת בטן</t>
  </si>
  <si>
    <t xml:space="preserve">M078 חגורת גב +סגירה כפולה</t>
  </si>
  <si>
    <t xml:space="preserve">S-M 099 חגורת גב שרוכים</t>
  </si>
  <si>
    <t xml:space="preserve">S 11 אפורUGחגורת בטן</t>
  </si>
  <si>
    <t xml:space="preserve">S078 חגורת גב +סגירה כפולה</t>
  </si>
  <si>
    <t xml:space="preserve">ST11  חגורת בטן</t>
  </si>
  <si>
    <t xml:space="preserve">T11C L  חגורת גב פוג'יאמה</t>
  </si>
  <si>
    <t xml:space="preserve">T11C M  חגורת גב פוג'יאמה</t>
  </si>
  <si>
    <t xml:space="preserve">T11C S  חגורת גב פוג'יאמה</t>
  </si>
  <si>
    <t xml:space="preserve">T11C XL חגורת גב פוג'יאמה</t>
  </si>
  <si>
    <t xml:space="preserve">T11C XXL חגורת גב פוג'יאמה</t>
  </si>
  <si>
    <t xml:space="preserve">XL 11 אפורUG חגורת בטן</t>
  </si>
  <si>
    <t xml:space="preserve">XXL 11אפורUGחגורת בטן</t>
  </si>
  <si>
    <t xml:space="preserve">804AT-B      טייפ חבישה לספורט</t>
  </si>
  <si>
    <t xml:space="preserve">804AT-BL     טייפ חבישה לספורט</t>
  </si>
  <si>
    <t xml:space="preserve">804AT-C      טייפ חבישה לספורט</t>
  </si>
  <si>
    <t xml:space="preserve">804AT-W      טייפ חבישה לספורט</t>
  </si>
  <si>
    <t xml:space="preserve">805AT-B אתלטיק טייפ שחור 20מ""מ</t>
  </si>
  <si>
    <t xml:space="preserve">805AT-BLאתלטיק טייפ כחול 20מ""מ</t>
  </si>
  <si>
    <t xml:space="preserve">805AT-Cאתלטיק טייפ בז' 20מ""מ20</t>
  </si>
  <si>
    <t xml:space="preserve">805AT-W  אתלטיק טייפ לבן 20מ""מ</t>
  </si>
  <si>
    <t xml:space="preserve">808KT-B        טייפ קינזיולוגי</t>
  </si>
  <si>
    <t xml:space="preserve">808KT-BL       טייפ קינזיולוגי</t>
  </si>
  <si>
    <t xml:space="preserve">808KT-C        טייפ קינזיולוגי</t>
  </si>
  <si>
    <t xml:space="preserve">808KT-P        טייפ קינזיולוגי</t>
  </si>
  <si>
    <t xml:space="preserve">239B L-XL STRAP4U</t>
  </si>
  <si>
    <t xml:space="preserve">239B S-M STRAP4U</t>
  </si>
  <si>
    <t xml:space="preserve">239P S-M STRAP4U</t>
  </si>
  <si>
    <t xml:space="preserve">239TR L-XL STRAP4U</t>
  </si>
  <si>
    <t xml:space="preserve">67 כרית שינה חלומי</t>
  </si>
  <si>
    <t xml:space="preserve">FC342-נוזל לציפורן חודרנית</t>
  </si>
  <si>
    <t xml:space="preserve">FCתתסבון אנטי ספטי לכף הרגל350</t>
  </si>
  <si>
    <t xml:space="preserve">STRAP4U DISPLAY 239D</t>
  </si>
  <si>
    <t xml:space="preserve">שרוול לגבס ארוך רגל</t>
  </si>
  <si>
    <t xml:space="preserve">שרוול לגבס קצר רגל</t>
  </si>
  <si>
    <t xml:space="preserve">FC321-מלח אמבט לכף הרגל</t>
  </si>
  <si>
    <t xml:space="preserve">FC334  תרסיס דאודורנט לכף הרגל</t>
  </si>
  <si>
    <t xml:space="preserve">FC335 טלק מעושר באלוורה</t>
  </si>
  <si>
    <t xml:space="preserve">FCתרסיס דאודורנט אנטיבק.נעל333</t>
  </si>
  <si>
    <t xml:space="preserve">שרוול לגבס ארוך יד</t>
  </si>
  <si>
    <t xml:space="preserve">שרוול לגבס קצר יד</t>
  </si>
  <si>
    <t xml:space="preserve">74  SM מיצב כתפיים</t>
  </si>
  <si>
    <t xml:space="preserve">74 L-XL מיצב כתפיים</t>
  </si>
  <si>
    <t xml:space="preserve">75  XXL מיישר כתף יציב ישור צר</t>
  </si>
  <si>
    <t xml:space="preserve">75 Lמיישר כתף יציב יישור גב צר</t>
  </si>
  <si>
    <t xml:space="preserve">75 Mמיישר כתף יציב יישור גב צר</t>
  </si>
  <si>
    <t xml:space="preserve">75 Sמיישר כתף יציב יישור גב צר</t>
  </si>
  <si>
    <t xml:space="preserve">75 XLמיישר כתף יציב יישור ג.צר</t>
  </si>
  <si>
    <t xml:space="preserve">76 Lמיישר כתף יציב יישור רחב</t>
  </si>
  <si>
    <t xml:space="preserve">76 Mמיישר כתף יציב,יישור רחב</t>
  </si>
  <si>
    <t xml:space="preserve">76 Sמיישר כתף יציב יישור ג.רחב</t>
  </si>
  <si>
    <t xml:space="preserve">76 XLמיישר כתף יציב יישור רחב</t>
  </si>
  <si>
    <t xml:space="preserve">76 XXL מישר כתפיים רחב</t>
  </si>
  <si>
    <t xml:space="preserve">776 S  ח.גב גבוהה</t>
  </si>
  <si>
    <t xml:space="preserve">78 M מגן למרפק כתף</t>
  </si>
  <si>
    <t xml:space="preserve">78 XXLמגן למרפק כתף</t>
  </si>
  <si>
    <t xml:space="preserve">78A  M מגן למפרק כתף</t>
  </si>
  <si>
    <t xml:space="preserve">78A L מגן למפרק כתף</t>
  </si>
  <si>
    <t xml:space="preserve">78A S מגן למפרק כתף</t>
  </si>
  <si>
    <t xml:space="preserve">78A XL מגן למפרק כתף</t>
  </si>
  <si>
    <t xml:space="preserve">78A XXL מגן למפרק כתף</t>
  </si>
  <si>
    <t xml:space="preserve">87 L מקבע כתף ויד</t>
  </si>
  <si>
    <t xml:space="preserve">87 M מקבע כתף ויד</t>
  </si>
  <si>
    <t xml:space="preserve">87 S מקבע כתף ויד</t>
  </si>
  <si>
    <t xml:space="preserve">87 XL מקבע כתף ויד</t>
  </si>
  <si>
    <t xml:space="preserve">87 XXL מקבע כתף ויד</t>
  </si>
  <si>
    <t xml:space="preserve">AC75 XXL  מיישר כתפיים אקטיב</t>
  </si>
  <si>
    <t xml:space="preserve">AC75 מישר כתפיים אקטיב</t>
  </si>
  <si>
    <t xml:space="preserve">T78 L תומך זרוע וכתף</t>
  </si>
  <si>
    <t xml:space="preserve">T78 M תומך זרוע וכתף</t>
  </si>
  <si>
    <t xml:space="preserve">T78 S תומך זרוע וכתף</t>
  </si>
  <si>
    <t xml:space="preserve">T78 XLתומך זרוע וכתף</t>
  </si>
  <si>
    <t xml:space="preserve">T78 XXL תומך זרוע וכתף</t>
  </si>
  <si>
    <t xml:space="preserve">LF360 מדרס מטטרזלי לנעלי עקב</t>
  </si>
  <si>
    <t xml:space="preserve">LF370 ריפוד סיליקון לעקב אחורי</t>
  </si>
  <si>
    <t xml:space="preserve">LF371 ריפוד סיליקון לנעלי אצבע</t>
  </si>
  <si>
    <t xml:space="preserve">LF374 ריפוד סיליק.לעקב תחתון</t>
  </si>
  <si>
    <t xml:space="preserve">LF377 L-מדרס סיליקון לנעלי עקב</t>
  </si>
  <si>
    <t xml:space="preserve">LF377 M-מדרס סיליקון לנעלי עקב</t>
  </si>
  <si>
    <t xml:space="preserve">LF377 S-מדרס סיליקון לנעלי עקב</t>
  </si>
  <si>
    <t xml:space="preserve">LF378 L מדרס ג'ל לנעלי עקב</t>
  </si>
  <si>
    <t xml:space="preserve">LFריפוד סיליק.לכרית כף הרגל373</t>
  </si>
  <si>
    <t xml:space="preserve">300M תתמדרס.ציפוי עור גבר זו43</t>
  </si>
  <si>
    <t xml:space="preserve">300M תתמדרס/ציפוי עור גבר זו44</t>
  </si>
  <si>
    <t xml:space="preserve">302 W מדרס לאישה</t>
  </si>
  <si>
    <t xml:space="preserve">302 מדרס ג'ל לגבר</t>
  </si>
  <si>
    <t xml:space="preserve">302SP M מדרס ג'ל ספורט לגבר</t>
  </si>
  <si>
    <t xml:space="preserve">302SP Wמדרס ג'ל ספורט לאישה</t>
  </si>
  <si>
    <t xml:space="preserve">303 37-38 מדרסי סיליק.לח.סכרת</t>
  </si>
  <si>
    <t xml:space="preserve">303 39-40 מדרסי סיליק.לח.סכרת</t>
  </si>
  <si>
    <t xml:space="preserve">303 41-42 מדרסי סיליק.לח.סכרת</t>
  </si>
  <si>
    <t xml:space="preserve">303 43-44 מדרסי סיליק.לח.סכרת</t>
  </si>
  <si>
    <t xml:space="preserve">303 45-46 מדרסי סיליק.לח.סכרת</t>
  </si>
  <si>
    <t xml:space="preserve">305GA מדרס אורטופ.מתכוון35-36</t>
  </si>
  <si>
    <t xml:space="preserve">305GA מדרס אורטופ.מתכוון37-38</t>
  </si>
  <si>
    <t xml:space="preserve">305GA מדרס אורטופ.מתכוון39-40</t>
  </si>
  <si>
    <t xml:space="preserve">305GA מדרס אורטופ.מתכוון41-42</t>
  </si>
  <si>
    <t xml:space="preserve">305GA מדרס אורטופ.מתכוון43-44</t>
  </si>
  <si>
    <t xml:space="preserve">305GA מדרס אורטופ.מתכוון45-46</t>
  </si>
  <si>
    <t xml:space="preserve">305GA מדרס מתכוונן47-48</t>
  </si>
  <si>
    <t xml:space="preserve">310Lמדרס 3/4לכאבי דורבן וספורט</t>
  </si>
  <si>
    <t xml:space="preserve">310Mמדרס 3/4לכאבי דורבן וספורט</t>
  </si>
  <si>
    <t xml:space="preserve">310Sמדרס 3/4לכאבי דורבן וספורט</t>
  </si>
  <si>
    <t xml:space="preserve">35-38 מדרסי אפיק ג'ל נוחות</t>
  </si>
  <si>
    <t xml:space="preserve">35-38 מדרסי אפיק ג'ל עבודה</t>
  </si>
  <si>
    <t xml:space="preserve">39-42 מדרסי אפיק ג'ל נוחות</t>
  </si>
  <si>
    <t xml:space="preserve">39-42 מדרסי אפיק ג'ל עבודה</t>
  </si>
  <si>
    <t xml:space="preserve">43-47 מדרסי אפיק ג'ל נוחות</t>
  </si>
  <si>
    <t xml:space="preserve">43-47 מדרסי אפיק ג'ל עבודה</t>
  </si>
  <si>
    <t xml:space="preserve">LF378 M מדרס ג'ל לנעלי עקב</t>
  </si>
  <si>
    <t xml:space="preserve">LF378 S מדרס ג'ל לנעלי עקב</t>
  </si>
  <si>
    <t xml:space="preserve">מדרסי אפיק ג'ל מולט.ספורט35-38</t>
  </si>
  <si>
    <t xml:space="preserve">מדרסי אפיק ג'ל מולט.ספורט43-47</t>
  </si>
  <si>
    <t xml:space="preserve">מדרסי אפיק ג'ל מולטי ספור39-42</t>
  </si>
  <si>
    <t xml:space="preserve">50 L מתלה אשכים לאחר ניתוח</t>
  </si>
  <si>
    <t xml:space="preserve">50 M מתלה אשכים לאחר ניתוח</t>
  </si>
  <si>
    <t xml:space="preserve">50 S מתלה אשכים לאחר ניתוח</t>
  </si>
  <si>
    <t xml:space="preserve">50 XL מתלה אשכים לאחר ניתוח</t>
  </si>
  <si>
    <t xml:space="preserve">50 XXL מתלה אשכים לאחר ניתוח</t>
  </si>
  <si>
    <t xml:space="preserve">55 L מתלה אשכים לספורטאים</t>
  </si>
  <si>
    <t xml:space="preserve">55 M מתלה אשכים לספורטאים</t>
  </si>
  <si>
    <t xml:space="preserve">55 S מתלה אשכים לספורטאים</t>
  </si>
  <si>
    <t xml:space="preserve">55 XL מתלה אשכים לספורטאים</t>
  </si>
  <si>
    <t xml:space="preserve">55 XXL מתלה אשכים לספורטאים</t>
  </si>
  <si>
    <t xml:space="preserve">59D L חגורת שבר דו צדדי</t>
  </si>
  <si>
    <t xml:space="preserve">59D M חגורת שבר דו צדדי</t>
  </si>
  <si>
    <t xml:space="preserve">59D S חגורת שבר דו צדדי</t>
  </si>
  <si>
    <t xml:space="preserve">59D XL חגורת שבר דו צדדי</t>
  </si>
  <si>
    <t xml:space="preserve">59D XXLחגורת שבר דו צדדי</t>
  </si>
  <si>
    <t xml:space="preserve">59L L חגורת שבר לצד שמאל</t>
  </si>
  <si>
    <t xml:space="preserve">59L M חגורת שבר לצד שמאל</t>
  </si>
  <si>
    <t xml:space="preserve">59L S חגורת שבר לצד שמאל</t>
  </si>
  <si>
    <t xml:space="preserve">59L XLחגורת שבר לצד שמאל</t>
  </si>
  <si>
    <t xml:space="preserve">59R L חגורת שבר לצד ימין</t>
  </si>
  <si>
    <t xml:space="preserve">59R M חגורת שבר לצד ימין</t>
  </si>
  <si>
    <t xml:space="preserve">59R S חגורת שבר לצד ימין</t>
  </si>
  <si>
    <t xml:space="preserve">59R XL חגורת שבר לצד ימין</t>
  </si>
  <si>
    <t xml:space="preserve">604L מסכה ארקי</t>
  </si>
  <si>
    <t xml:space="preserve">604XL מסכה ארקי</t>
  </si>
  <si>
    <t xml:space="preserve">605XL מסכה אלה</t>
  </si>
  <si>
    <t xml:space="preserve">655L ""מסכה ""גדי</t>
  </si>
  <si>
    <t xml:space="preserve">91  חבק ""טניס אלבו רצועה</t>
  </si>
  <si>
    <t xml:space="preserve">911 חבק לטניס אלבו</t>
  </si>
  <si>
    <t xml:space="preserve">91B חבק טניס אלבו</t>
  </si>
  <si>
    <t xml:space="preserve">922L.חבק יד לטניס כרית סיליק</t>
  </si>
  <si>
    <t xml:space="preserve">922M.מחבק יד לטניס כרית סילי</t>
  </si>
  <si>
    <t xml:space="preserve">922S.חבק יד לטניס כרית סיליק</t>
  </si>
  <si>
    <t xml:space="preserve">922XLחבק יד לטניס כרית סיליק</t>
  </si>
  <si>
    <t xml:space="preserve">922XXLמגן מרפק+כרית סילקון</t>
  </si>
  <si>
    <t xml:space="preserve">95 L מגן מרפק רגיל לבן</t>
  </si>
  <si>
    <t xml:space="preserve">95 M מגן מרפק רגיל לבן</t>
  </si>
  <si>
    <t xml:space="preserve">95 S מגן מרפק רגיל לבן</t>
  </si>
  <si>
    <t xml:space="preserve">95 XL מגן מרפק רגיל לבן</t>
  </si>
  <si>
    <t xml:space="preserve">95 XS מגן מרפק רגיל לבן</t>
  </si>
  <si>
    <t xml:space="preserve">95 XXL מגן מרפק רגיל לבן</t>
  </si>
  <si>
    <t xml:space="preserve">95+ L מגן מרפק+רצועה לטניס</t>
  </si>
  <si>
    <t xml:space="preserve">95+ M מגן מרפק+רצועה לטניס</t>
  </si>
  <si>
    <t xml:space="preserve">95+ XL מגן מרפק+רצועה לטניס</t>
  </si>
  <si>
    <t xml:space="preserve">95B L מגן מרפק שחור</t>
  </si>
  <si>
    <t xml:space="preserve">95B M מגן מרפק שחור</t>
  </si>
  <si>
    <t xml:space="preserve">95B S מגן מרפק שחור</t>
  </si>
  <si>
    <t xml:space="preserve">95B XL מגן מרפק שחור</t>
  </si>
  <si>
    <t xml:space="preserve">95B XXLמגן מרפק שחור</t>
  </si>
  <si>
    <t xml:space="preserve">95C L 'מגן מרפק בז</t>
  </si>
  <si>
    <t xml:space="preserve">95C M 'מגן מרפק בז</t>
  </si>
  <si>
    <t xml:space="preserve">95C S 'מגן מרפק בז</t>
  </si>
  <si>
    <t xml:space="preserve">95C XL'מגן מרפק בז</t>
  </si>
  <si>
    <t xml:space="preserve">95C XS'מגן מרפק בז</t>
  </si>
  <si>
    <t xml:space="preserve">95C XXL'מגן מרפק בז</t>
  </si>
  <si>
    <t xml:space="preserve">95G XXLמגן מרפק אפור</t>
  </si>
  <si>
    <t xml:space="preserve">AC91 חבק טניס</t>
  </si>
  <si>
    <t xml:space="preserve">AC95 מגן מרפק</t>
  </si>
  <si>
    <t xml:space="preserve">SC95 S מגן מרפק</t>
  </si>
  <si>
    <t xml:space="preserve">SC95 XXL מגן מרפק</t>
  </si>
  <si>
    <t xml:space="preserve">ST91 מגן מרפק לטניס</t>
  </si>
  <si>
    <t xml:space="preserve">T90 רצועת טניס אלבו עם פלסטיק</t>
  </si>
  <si>
    <t xml:space="preserve">T91  L-XL רצועת טניס אלבו</t>
  </si>
  <si>
    <t xml:space="preserve">T91 S-M רצועת טניס אלבו</t>
  </si>
  <si>
    <t xml:space="preserve">T95 L מגן מרפק רגיל</t>
  </si>
  <si>
    <t xml:space="preserve">T95 M מגן מרפק רגיל</t>
  </si>
  <si>
    <t xml:space="preserve">T95 S מגן מרפק רגיל</t>
  </si>
  <si>
    <t xml:space="preserve">T95 XLמגן מרפק רגיל</t>
  </si>
  <si>
    <t xml:space="preserve">T95+ L מגן מרפק +רצועה</t>
  </si>
  <si>
    <t xml:space="preserve">T95+ XLמגן מרפק +רצועה</t>
  </si>
  <si>
    <t xml:space="preserve">80 L תתמתלה ליד רצועה</t>
  </si>
  <si>
    <t xml:space="preserve">80 M תתמתלה ליד רצועה</t>
  </si>
  <si>
    <t xml:space="preserve">80 S תתמתלה ליד רצועה</t>
  </si>
  <si>
    <t xml:space="preserve">80 XL  תתמתלה ליד</t>
  </si>
  <si>
    <t xml:space="preserve">82 0 מתלה יד מספוג</t>
  </si>
  <si>
    <t xml:space="preserve">85 L (מתלה ליד )כיס</t>
  </si>
  <si>
    <t xml:space="preserve">85 M (מתלה ליד )כיס</t>
  </si>
  <si>
    <t xml:space="preserve">85 S (מתלה ליד )כיס</t>
  </si>
  <si>
    <t xml:space="preserve">85 XL (מתלה ליד )כיס</t>
  </si>
  <si>
    <t xml:space="preserve">85+ Lמתלה ליד)כיס(+רצועת חיזוק</t>
  </si>
  <si>
    <t xml:space="preserve">85+ Mמתלה ליד)כיס(+רצועת חיזוק</t>
  </si>
  <si>
    <t xml:space="preserve">85+ Sמתלה ליד)כיס(+רצועת חיזוק</t>
  </si>
  <si>
    <t xml:space="preserve">85+ XLמתלה ליד)כיס(רצועת חיזוק</t>
  </si>
  <si>
    <t xml:space="preserve">85B L מתלה רשת לזרוע שחור</t>
  </si>
  <si>
    <t xml:space="preserve">85B M מתלה רשת לזרוע שחור</t>
  </si>
  <si>
    <t xml:space="preserve">85B S מתלה רשת לזרוע שחור</t>
  </si>
  <si>
    <t xml:space="preserve">85B XL מתלה רשת לזרוע שחור</t>
  </si>
  <si>
    <t xml:space="preserve">85K מתלה ליד לילדים</t>
  </si>
  <si>
    <t xml:space="preserve">306  L זוג עקבים סיליקון</t>
  </si>
  <si>
    <t xml:space="preserve">307 L עקבים לדורבן-זוג כריות</t>
  </si>
  <si>
    <t xml:space="preserve">307 M עקבים לדורבן-זוג כריות</t>
  </si>
  <si>
    <t xml:space="preserve">307 S עקבים לדורבן-זוג כריות</t>
  </si>
  <si>
    <t xml:space="preserve">307 XL כרית סיליקון לעקב</t>
  </si>
  <si>
    <t xml:space="preserve">308 Lעקבים סיליקון כחול לדורבן</t>
  </si>
  <si>
    <t xml:space="preserve">308 Mעקבים סיליק.כחול לדורבן</t>
  </si>
  <si>
    <t xml:space="preserve">308 Sעקבים סיליק.כחול לדורבן</t>
  </si>
  <si>
    <t xml:space="preserve">309 L תתמוקפאעקב סיליקון+ קשת</t>
  </si>
  <si>
    <t xml:space="preserve">309 M תתעקב סיליקון+ קשת</t>
  </si>
  <si>
    <t xml:space="preserve">309 S תתמוקפאעקב סיליקון+ קשת</t>
  </si>
  <si>
    <t xml:space="preserve">311'מדב.ג'ל למניעת שפשוף 5 יח</t>
  </si>
  <si>
    <t xml:space="preserve">312 9 מ""ס להתאמהX5 מדבקה גדולה</t>
  </si>
  <si>
    <t xml:space="preserve">313 סט פלסטרים נגד שפשופים</t>
  </si>
  <si>
    <t xml:space="preserve">320 בליסטר פלסטר</t>
  </si>
  <si>
    <t xml:space="preserve">3611 שרוול מטטרזלי מסיליקון</t>
  </si>
  <si>
    <t xml:space="preserve">3622S מדבקה לשחרור לחץ 2 יח</t>
  </si>
  <si>
    <t xml:space="preserve">3623 כרית ליישור אצבע פטיש</t>
  </si>
  <si>
    <t xml:space="preserve">363  בננה לתמיכת אצבעות ז.כרית</t>
  </si>
  <si>
    <t xml:space="preserve">364 XLמפריד אצבע סיליקון ליבלת</t>
  </si>
  <si>
    <t xml:space="preserve">3641-מיישר בוהן סיליקון קשיח</t>
  </si>
  <si>
    <t xml:space="preserve">364S Lמפר.אצבע סיליק. ליבל.זוג</t>
  </si>
  <si>
    <t xml:space="preserve">365  X-Lטבעת אלסטית מסיליקון</t>
  </si>
  <si>
    <t xml:space="preserve">365 S-Lטבעת אלסטית מסיליקון</t>
  </si>
  <si>
    <t xml:space="preserve">3655 שרוול מסיליקון לאצבע</t>
  </si>
  <si>
    <t xml:space="preserve">3666 מפריד הלוקס</t>
  </si>
  <si>
    <t xml:space="preserve">366S-'מדבק.לשחרור לחץ מיבלת2יח</t>
  </si>
  <si>
    <t xml:space="preserve">3672 שרוול מגן לבוניון</t>
  </si>
  <si>
    <t xml:space="preserve">3674 0 מ.בוניון+מפריד אצבע</t>
  </si>
  <si>
    <t xml:space="preserve">3675    מגן זרת מסיליקון</t>
  </si>
  <si>
    <t xml:space="preserve">3677S-מד.לשחרור לחץ א.הבוניון</t>
  </si>
  <si>
    <t xml:space="preserve">369   XL אצבעון מסיליקון יחידה</t>
  </si>
  <si>
    <t xml:space="preserve">369  S-L אצבעון מסיליקון יחידה</t>
  </si>
  <si>
    <t xml:space="preserve">38 .חבישת""הלוקס ולגוס""לאחר נית</t>
  </si>
  <si>
    <t xml:space="preserve">386  מיישר בוניון-האלוקס ולגוס</t>
  </si>
  <si>
    <t xml:space="preserve">388L סד לילה לבוהן</t>
  </si>
  <si>
    <t xml:space="preserve">388R סד לילה לבוהן</t>
  </si>
  <si>
    <t xml:space="preserve">820 0 כרית חום וקור</t>
  </si>
  <si>
    <t xml:space="preserve">URI 3667 מגן בוניון</t>
  </si>
  <si>
    <t xml:space="preserve">כרית מטטרזלי סיליקון362</t>
  </si>
  <si>
    <t xml:space="preserve">PD 344-אבן טבעית להסרת עור קשה</t>
  </si>
  <si>
    <t xml:space="preserve">PD340-קוצץ ציפורניים</t>
  </si>
  <si>
    <t xml:space="preserve">PD341-מקצוע להסרת עור קשה</t>
  </si>
  <si>
    <t xml:space="preserve">PD342-פומפיה להסרת עור קשה</t>
  </si>
  <si>
    <t xml:space="preserve">PD343-פומפיה מאבן להסר.עור</t>
  </si>
  <si>
    <t xml:space="preserve">PD346-10 סכינים למקצוע</t>
  </si>
  <si>
    <t xml:space="preserve">PD350-תתמשופית ניקל קדמיום</t>
  </si>
  <si>
    <t xml:space="preserve">213CTSR L ימין CTS כפפות</t>
  </si>
  <si>
    <t xml:space="preserve">20 L חבק יד מתכוון עם צמדן</t>
  </si>
  <si>
    <t xml:space="preserve">20 M חבק יד מתכוון עם צמדן</t>
  </si>
  <si>
    <t xml:space="preserve">20 S חבק יד מתכוון עם צמדן</t>
  </si>
  <si>
    <t xml:space="preserve">20 XL חבק יד מתכוון עם צמדן</t>
  </si>
  <si>
    <t xml:space="preserve">20 XXL חבק יד מתכוון עם צמדן</t>
  </si>
  <si>
    <t xml:space="preserve">202  ONE SIZE חבק יד</t>
  </si>
  <si>
    <t xml:space="preserve">21 L  חבק יד ארוך</t>
  </si>
  <si>
    <t xml:space="preserve">21 M  חבק יד ארוך</t>
  </si>
  <si>
    <t xml:space="preserve">21 S  חבק יד ארוך</t>
  </si>
  <si>
    <t xml:space="preserve">21 XL חבק יד ארוך</t>
  </si>
  <si>
    <t xml:space="preserve">21 XS מגן יד</t>
  </si>
  <si>
    <t xml:space="preserve">21 XXL מגן יד</t>
  </si>
  <si>
    <t xml:space="preserve">211L כפפות לחץ</t>
  </si>
  <si>
    <t xml:space="preserve">211M כפפות לחץ</t>
  </si>
  <si>
    <t xml:space="preserve">211S כפפות לחץ</t>
  </si>
  <si>
    <t xml:space="preserve">211XL כפפות לחץ</t>
  </si>
  <si>
    <t xml:space="preserve">212L כפפות אגודל לחץ</t>
  </si>
  <si>
    <t xml:space="preserve">212M כפפות אגודל לחץ</t>
  </si>
  <si>
    <t xml:space="preserve">212S כפפות אגודל לחץ</t>
  </si>
  <si>
    <t xml:space="preserve">212XL כפפות אגודל לחץ</t>
  </si>
  <si>
    <t xml:space="preserve">213CTS  S ימין CTS כפפות</t>
  </si>
  <si>
    <t xml:space="preserve">213CTSL L שמאל CTS כפפות</t>
  </si>
  <si>
    <t xml:space="preserve">213CTSL M שמאל CTS כפפות</t>
  </si>
  <si>
    <t xml:space="preserve">213CTSL S שמאל CTS כפפות</t>
  </si>
  <si>
    <t xml:space="preserve">213CTSR M ימין CTS כפפות</t>
  </si>
  <si>
    <t xml:space="preserve">238L סד ליישור אצבע</t>
  </si>
  <si>
    <t xml:space="preserve">238M סד ליישור אצבע</t>
  </si>
  <si>
    <t xml:space="preserve">238S סד ליישור אצבע</t>
  </si>
  <si>
    <t xml:space="preserve">238XL סד ליישור אצבע</t>
  </si>
  <si>
    <t xml:space="preserve">24 M(תתחבקון ליד )ללא צמדן</t>
  </si>
  <si>
    <t xml:space="preserve">25 L חבק יד אגודלי</t>
  </si>
  <si>
    <t xml:space="preserve">25 M חבק יד אגודלי</t>
  </si>
  <si>
    <t xml:space="preserve">25 S חבק יד אגודלי</t>
  </si>
  <si>
    <t xml:space="preserve">25 XL חבק יד אגודלי</t>
  </si>
  <si>
    <t xml:space="preserve">26 L סד ליד דו צדדי לאחר שבר</t>
  </si>
  <si>
    <t xml:space="preserve">26 M סד ליד דו צדדי לאחר שבר</t>
  </si>
  <si>
    <t xml:space="preserve">26 S סד ליד דו צדדי לאחר שבר</t>
  </si>
  <si>
    <t xml:space="preserve">26 XL סד ליד דו צדדי לאחר שבר</t>
  </si>
  <si>
    <t xml:space="preserve">26 XS סד ליד דו צדדי לאחר שבר</t>
  </si>
  <si>
    <t xml:space="preserve">26 XXL סד ליד דו צדדי לאחר שבר</t>
  </si>
  <si>
    <t xml:space="preserve">266 סד ליד דו צדדי</t>
  </si>
  <si>
    <t xml:space="preserve">267LB  L-XLסד יד שמאל שחור</t>
  </si>
  <si>
    <t xml:space="preserve">267LB  S-M סד יד שמאל שחור</t>
  </si>
  <si>
    <t xml:space="preserve">267LC   S-M'סד יד שמאל בז</t>
  </si>
  <si>
    <t xml:space="preserve">267LC  L-XL 'סד יד שמאל בז</t>
  </si>
  <si>
    <t xml:space="preserve">267LC  XXL'סד יד שמאל בז</t>
  </si>
  <si>
    <t xml:space="preserve">267RB  L-XLסד יד ימין שחור</t>
  </si>
  <si>
    <t xml:space="preserve">267RB  S-M סד יד ימין שחור</t>
  </si>
  <si>
    <t xml:space="preserve">267RC  L-XL 'סד יד ימין בז</t>
  </si>
  <si>
    <t xml:space="preserve">267RC  S-M 'סד יד ימין בז</t>
  </si>
  <si>
    <t xml:space="preserve">267RC XXL 'סד יד ימין בז</t>
  </si>
  <si>
    <t xml:space="preserve">268 סד לאגודל</t>
  </si>
  <si>
    <t xml:space="preserve">27 R-M סד ליד ימין</t>
  </si>
  <si>
    <t xml:space="preserve">278 L-XL סד יד ואגודל</t>
  </si>
  <si>
    <t xml:space="preserve">278 S-M סד יד ואגודל</t>
  </si>
  <si>
    <t xml:space="preserve">27L L סד ליד שמאל</t>
  </si>
  <si>
    <t xml:space="preserve">27L M סד ליד שמאל</t>
  </si>
  <si>
    <t xml:space="preserve">27L S סד ליד שמאל</t>
  </si>
  <si>
    <t xml:space="preserve">27L XLסד ליד שמאל</t>
  </si>
  <si>
    <t xml:space="preserve">27R L סד ליד ימין</t>
  </si>
  <si>
    <t xml:space="preserve">27R XLסד ליד ימין</t>
  </si>
  <si>
    <t xml:space="preserve">28-XS סד לאגודל לאחר שבר</t>
  </si>
  <si>
    <t xml:space="preserve">28 L סד לאגודל לאחר שבר</t>
  </si>
  <si>
    <t xml:space="preserve">28 M סד לאגודל לאחר שבר</t>
  </si>
  <si>
    <t xml:space="preserve">28 S סד לאגודל לאחר שבר</t>
  </si>
  <si>
    <t xml:space="preserve">28 XL סד לאגודל לאחר שבר</t>
  </si>
  <si>
    <t xml:space="preserve">28 XXL סד לאגודל לאחר שבר</t>
  </si>
  <si>
    <t xml:space="preserve">28A S-M  סד לאגודל</t>
  </si>
  <si>
    <t xml:space="preserve">AC-28 סד לאגודל</t>
  </si>
  <si>
    <t xml:space="preserve">ST20 חבק יד</t>
  </si>
  <si>
    <t xml:space="preserve">ST25 חבק שורש לכף היד</t>
  </si>
  <si>
    <t xml:space="preserve">ST28 סד אגודלי עם מוט תמיכה</t>
  </si>
  <si>
    <t xml:space="preserve">T20 L-XL  חבק יד עם צמדן</t>
  </si>
  <si>
    <t xml:space="preserve">T20 S-M חבק יד עם צמדן</t>
  </si>
  <si>
    <t xml:space="preserve">T20C L-XL חבק יד עם צמדן חום</t>
  </si>
  <si>
    <t xml:space="preserve">T20C S-M חבק יד עם צמדןחום</t>
  </si>
  <si>
    <t xml:space="preserve">T25-חבק יד אגודלי</t>
  </si>
  <si>
    <t xml:space="preserve">T25B   חבק יד אגודלי</t>
  </si>
  <si>
    <t xml:space="preserve">T25C-חבק יד אגודלי</t>
  </si>
  <si>
    <t xml:space="preserve">T26 L סד לאגודל דו צדדי</t>
  </si>
  <si>
    <t xml:space="preserve">T26 M סד לאגודל דו צדדי</t>
  </si>
  <si>
    <t xml:space="preserve">T26 S סד לאגודל דו צדדי</t>
  </si>
  <si>
    <t xml:space="preserve">T26 XLסד לאגודל דו צדדי</t>
  </si>
  <si>
    <t xml:space="preserve">T27L L סד ליד שמאל</t>
  </si>
  <si>
    <t xml:space="preserve">T27L M סד ליד שמאל</t>
  </si>
  <si>
    <t xml:space="preserve">T27L S סד ליד שמאל</t>
  </si>
  <si>
    <t xml:space="preserve">T27L XL סד ליד שמאל</t>
  </si>
  <si>
    <t xml:space="preserve">T27R Mסד ליד ימין</t>
  </si>
  <si>
    <t xml:space="preserve">T27R Sסד ליד ימין</t>
  </si>
  <si>
    <t xml:space="preserve">T27R XLסד ליד ימין</t>
  </si>
  <si>
    <t xml:space="preserve">T28 L סד לאגודל כפפה</t>
  </si>
  <si>
    <t xml:space="preserve">T28 M סד לאגודל כפפה</t>
  </si>
  <si>
    <t xml:space="preserve">T28 S סד לאגודל כפפה</t>
  </si>
  <si>
    <t xml:space="preserve">T28 XL סד לאגודל כפפה</t>
  </si>
  <si>
    <t xml:space="preserve">T28 XXLסד לאגודל צד ימין</t>
  </si>
  <si>
    <t xml:space="preserve">T28A L-XL סד לאגודל</t>
  </si>
  <si>
    <t xml:space="preserve">T28A S-M סד לאגודל</t>
  </si>
  <si>
    <t xml:space="preserve">T28A XS סד לאגודל</t>
  </si>
  <si>
    <t xml:space="preserve">T28AC L-XL סד לאגודל</t>
  </si>
  <si>
    <t xml:space="preserve">T28AC S-M סד לאגודל</t>
  </si>
  <si>
    <t xml:space="preserve">T28C  XL סד לאגודל כפפה</t>
  </si>
  <si>
    <t xml:space="preserve">T28C L סד לאגודל כפפה</t>
  </si>
  <si>
    <t xml:space="preserve">T28C M סד לאגודל כפפה</t>
  </si>
  <si>
    <t xml:space="preserve">T28C S סד לאגודל כפפה</t>
  </si>
  <si>
    <t xml:space="preserve">סד קיבוע לאצבע הדק</t>
  </si>
  <si>
    <t xml:space="preserve">1314-    62 L צוארון ספוגי</t>
  </si>
  <si>
    <t xml:space="preserve">60 L צוארון ספוגי</t>
  </si>
  <si>
    <t xml:space="preserve">60 M צוארון ספוגי</t>
  </si>
  <si>
    <t xml:space="preserve">60 S צוארון ספוגי</t>
  </si>
  <si>
    <t xml:space="preserve">60 XL צוארון ספוגי</t>
  </si>
  <si>
    <t xml:space="preserve">60 XXL צוארון ספוגי</t>
  </si>
  <si>
    <t xml:space="preserve">60XS צוארון ספוגי</t>
  </si>
  <si>
    <t xml:space="preserve">62 M צוארון ספוגי</t>
  </si>
  <si>
    <t xml:space="preserve">62 S צוארון ספוגי</t>
  </si>
  <si>
    <t xml:space="preserve">62 XL צוארון ספוגי</t>
  </si>
  <si>
    <t xml:space="preserve">63 L צוארון פלסטי מתכוון</t>
  </si>
  <si>
    <t xml:space="preserve">63 M צוארון פלסטי מתכוון</t>
  </si>
  <si>
    <t xml:space="preserve">63 S צוארון פלסטי מתכוון</t>
  </si>
  <si>
    <t xml:space="preserve">FC310-תתקרם הגנה לכף הרגל</t>
  </si>
  <si>
    <t xml:space="preserve">FC311-תתקרם דאודורנט לכף הרגל</t>
  </si>
  <si>
    <t xml:space="preserve">FC312-תתקרם מירוק גרגרי פילינג</t>
  </si>
  <si>
    <t xml:space="preserve">FC313- תתקרם ריכוך</t>
  </si>
  <si>
    <t xml:space="preserve">FC314-תתטלק נוזלי</t>
  </si>
  <si>
    <t xml:space="preserve">FC315-תתג'ל צינון</t>
  </si>
  <si>
    <t xml:space="preserve">FC316   קרם רגליים שיקומי</t>
  </si>
  <si>
    <t xml:space="preserve">FC330Z-תתדאו'אנטי בקט.לנעל120</t>
  </si>
  <si>
    <t xml:space="preserve">FC331Z- 120 תתתרסיס מרענן לרגל</t>
  </si>
  <si>
    <t xml:space="preserve">FC341-טיפות נגד פטרת הציפורן</t>
  </si>
  <si>
    <t xml:space="preserve">30 L מגן קרסול מתכוון עם סקוטש</t>
  </si>
  <si>
    <t xml:space="preserve">30 M מגן קרסול מתכוון עם סקוטש</t>
  </si>
  <si>
    <t xml:space="preserve">30 S מגן קרסול מתכוון עם סקוטש</t>
  </si>
  <si>
    <t xml:space="preserve">30 XL מגן קרסול מתכוון סקוטש</t>
  </si>
  <si>
    <t xml:space="preserve">30 XXL מגן קרסול מתכוון+סקוטש</t>
  </si>
  <si>
    <t xml:space="preserve">32 L  סד קרסול+מוטות אלומיניום</t>
  </si>
  <si>
    <t xml:space="preserve">32 M  סד קרסול+מוטות אלומיניום</t>
  </si>
  <si>
    <t xml:space="preserve">32 XL סד קרסול+מוטות אלומיניום</t>
  </si>
  <si>
    <t xml:space="preserve">322-L מגן קרסול+כרית סילקון</t>
  </si>
  <si>
    <t xml:space="preserve">322-M מגן קרסול+כרית סילקון</t>
  </si>
  <si>
    <t xml:space="preserve">322-S מגן קרסול+כרית סילקון</t>
  </si>
  <si>
    <t xml:space="preserve">322XL מגן קרסול+כרית סילקון</t>
  </si>
  <si>
    <t xml:space="preserve">322XXLמגן קרסול+כרית סילקון</t>
  </si>
  <si>
    <t xml:space="preserve">33 Lסד קל לקרסול עם סדי פלסטיק</t>
  </si>
  <si>
    <t xml:space="preserve">33 Mסד קל לקרסול עם סדי פלסטיק</t>
  </si>
  <si>
    <t xml:space="preserve">33 Sסד קל לקרסול עם סדי פלסטיק</t>
  </si>
  <si>
    <t xml:space="preserve">33 XL.סד קל לקרסול עם סדי פלסט</t>
  </si>
  <si>
    <t xml:space="preserve">332CL'מייצב קרסול עם שרוכים בז</t>
  </si>
  <si>
    <t xml:space="preserve">332CM'מייצב קרסול עם שרוכים בז</t>
  </si>
  <si>
    <t xml:space="preserve">332CS'מייצב קרסול עם שרוכים בז</t>
  </si>
  <si>
    <t xml:space="preserve">332CXLמייצב קרסול עם שרוכים בז</t>
  </si>
  <si>
    <t xml:space="preserve">332CXXLמיצב קרסול עם שרוכים בז</t>
  </si>
  <si>
    <t xml:space="preserve">333 סד לקרסול עם כריות אויר</t>
  </si>
  <si>
    <t xml:space="preserve">34  L מגן קרסול עקב סגור</t>
  </si>
  <si>
    <t xml:space="preserve">34  M מגן קרסול עקב סגור</t>
  </si>
  <si>
    <t xml:space="preserve">34  S מגן קרסול עקב סגור</t>
  </si>
  <si>
    <t xml:space="preserve">34 XL מגן קרסול עקב סגור</t>
  </si>
  <si>
    <t xml:space="preserve">34 XS מגן קרסול עקב סגור</t>
  </si>
  <si>
    <t xml:space="preserve">34 XXL מגן קרסול עקב סגור</t>
  </si>
  <si>
    <t xml:space="preserve">34+ L מגן קרסול עקב סגור+רצוע</t>
  </si>
  <si>
    <t xml:space="preserve">34+ M מגן קרסול עקב סגור+רצוע</t>
  </si>
  <si>
    <t xml:space="preserve">34+ S מגן קרסול עקב סגור+רצוע</t>
  </si>
  <si>
    <t xml:space="preserve">34+XL מגן קרסול עקב סגור+רצוע</t>
  </si>
  <si>
    <t xml:space="preserve">34+XXL מ.קרסול+עכב סגור+רצועות</t>
  </si>
  <si>
    <t xml:space="preserve">35 L מגן קרסול לבן</t>
  </si>
  <si>
    <t xml:space="preserve">35 M מגן קרסול לבן</t>
  </si>
  <si>
    <t xml:space="preserve">35 S מגן קרסול לבן</t>
  </si>
  <si>
    <t xml:space="preserve">35 XL מגן קרסול לבן</t>
  </si>
  <si>
    <t xml:space="preserve">35 XS מגן קרסול לבן</t>
  </si>
  <si>
    <t xml:space="preserve">35 XXL מגן קרסול לבן</t>
  </si>
  <si>
    <t xml:space="preserve">35B L מגן קרסול שחור</t>
  </si>
  <si>
    <t xml:space="preserve">35B M מגן קרסול שחור</t>
  </si>
  <si>
    <t xml:space="preserve">35B S מגן קרסול שחור</t>
  </si>
  <si>
    <t xml:space="preserve">35B XL מגן קרסול שחור</t>
  </si>
  <si>
    <t xml:space="preserve">35B XXL מגן קרסול שחור</t>
  </si>
  <si>
    <t xml:space="preserve">35C L מגן קרסול חום</t>
  </si>
  <si>
    <t xml:space="preserve">35C M מגן קרסול חום</t>
  </si>
  <si>
    <t xml:space="preserve">35C S מגן קרסול חום</t>
  </si>
  <si>
    <t xml:space="preserve">35C XL מגן קרסול חום</t>
  </si>
  <si>
    <t xml:space="preserve">35C XXL מגן קרסול חום</t>
  </si>
  <si>
    <t xml:space="preserve">AC37 מגן קרסול נושם</t>
  </si>
  <si>
    <t xml:space="preserve">SH333 מקבע קרסול</t>
  </si>
  <si>
    <t xml:space="preserve">ST37 חבק לקרסול</t>
  </si>
  <si>
    <t xml:space="preserve">T32 S סד קרסול+מוטות אלומיניום</t>
  </si>
  <si>
    <t xml:space="preserve">T33  L  סד לקרסול</t>
  </si>
  <si>
    <t xml:space="preserve">T33  M  סד לקרסול</t>
  </si>
  <si>
    <t xml:space="preserve">T33 XXL סד לקרסול</t>
  </si>
  <si>
    <t xml:space="preserve">T35 Lמגן קרסול+ צמדן</t>
  </si>
  <si>
    <t xml:space="preserve">T35 Mמגן קרסול+ צמדן</t>
  </si>
  <si>
    <t xml:space="preserve">T35 Sמגן קרסול+ צמדן</t>
  </si>
  <si>
    <t xml:space="preserve">T35 XLמגן קרסול+ צמדן</t>
  </si>
  <si>
    <t xml:space="preserve">301CM 41-45 'רפידת ג'ל בז</t>
  </si>
  <si>
    <t xml:space="preserve">301CW 36-40 'רפידת ג'ל בז</t>
  </si>
  <si>
    <t xml:space="preserve">301JM רפידת ג'ל כחול40-45</t>
  </si>
  <si>
    <t xml:space="preserve">301JW רפידת ג'ל כחול36-40</t>
  </si>
  <si>
    <t xml:space="preserve">35-37 רפידת ספורט 376 מידה</t>
  </si>
  <si>
    <t xml:space="preserve">370  רפידת נוחות-זוג</t>
  </si>
  <si>
    <t xml:space="preserve">370K 0 רפידת לילדים אנטי ריח</t>
  </si>
  <si>
    <t xml:space="preserve">371 רפידת מגבת כותנה-זוג</t>
  </si>
  <si>
    <t xml:space="preserve">372 רפידת אנטי ריח -זוג</t>
  </si>
  <si>
    <t xml:space="preserve">374 רפידת בולמת זעזועים -זוג</t>
  </si>
  <si>
    <t xml:space="preserve">377   רפ.ורטופדית ספורט זוג38</t>
  </si>
  <si>
    <t xml:space="preserve">377   רפידה אורט.ספורט זוג43</t>
  </si>
  <si>
    <t xml:space="preserve">377  רפ.אורטופדית ספורט זוג35</t>
  </si>
  <si>
    <t xml:space="preserve">377  רפ.אורטופדית ספורט זוג37</t>
  </si>
  <si>
    <t xml:space="preserve">377  רפ.אורטופדית ספורט זוג39</t>
  </si>
  <si>
    <t xml:space="preserve">377  רפ.אורטופדית ספורט זוג40</t>
  </si>
  <si>
    <t xml:space="preserve">377  רפ.אורטופדית ספורט זוג46</t>
  </si>
  <si>
    <t xml:space="preserve">377  רפידה אורט.ספורט זוג44</t>
  </si>
  <si>
    <t xml:space="preserve">377  רפידה אורטופ.ספורט זוג41</t>
  </si>
  <si>
    <t xml:space="preserve">377 רפ.אורטופדית ספורט זוג36</t>
  </si>
  <si>
    <t xml:space="preserve">377 רפ.אורטופדית ספורט זוג45</t>
  </si>
  <si>
    <t xml:space="preserve">377 רפידה אורטופ.ספורט זוג42</t>
  </si>
  <si>
    <t xml:space="preserve">38-40 רפידת ספורט 376 מידה</t>
  </si>
  <si>
    <t xml:space="preserve">41-43 רפידת ספורט 376 מידה</t>
  </si>
  <si>
    <t xml:space="preserve">44-45 רפידת ספורט 376 מידה</t>
  </si>
  <si>
    <t xml:space="preserve">46-47 רפידת ספורט 376 מידה</t>
  </si>
  <si>
    <t xml:space="preserve">SP372 רפידה אנטי ריח ספורט</t>
  </si>
  <si>
    <t xml:space="preserve">49  L מגן ירך</t>
  </si>
  <si>
    <t xml:space="preserve">49  M מגן ירך</t>
  </si>
  <si>
    <t xml:space="preserve">49  S מגן ירך</t>
  </si>
  <si>
    <t xml:space="preserve">49 XL מגן ירך</t>
  </si>
  <si>
    <t xml:space="preserve">49 XXL מגן ירך</t>
  </si>
  <si>
    <t xml:space="preserve">AC49 מגן ירך</t>
  </si>
  <si>
    <t xml:space="preserve">ST49 מגן ירך</t>
  </si>
  <si>
    <t xml:space="preserve">T39  M מגן שוק</t>
  </si>
  <si>
    <t xml:space="preserve">T39  S מגן שוק</t>
  </si>
  <si>
    <t xml:space="preserve">T39 XL מגן שוק</t>
  </si>
  <si>
    <t xml:space="preserve">T49 M מגן ירך</t>
  </si>
  <si>
    <t xml:space="preserve">T49 XS מגן ירך</t>
  </si>
  <si>
    <t xml:space="preserve">AC-25 חבק לשורש כף היד</t>
  </si>
  <si>
    <t xml:space="preserve">AC-27L סד לש.כף יד שמאל</t>
  </si>
  <si>
    <t xml:space="preserve">AC-27R סד לש.כף יד ימין</t>
  </si>
  <si>
    <t xml:space="preserve">SC25  L חבק יד</t>
  </si>
  <si>
    <t xml:space="preserve">SC25  M חבק יד</t>
  </si>
  <si>
    <t xml:space="preserve">SC25  S חבק יד</t>
  </si>
  <si>
    <t xml:space="preserve">SC25 XL חבק יד</t>
  </si>
  <si>
    <t xml:space="preserve">SC35L  L מגן קרסול שמאל</t>
  </si>
  <si>
    <t xml:space="preserve">SC35L  M מגן קרסול שמאל</t>
  </si>
  <si>
    <t xml:space="preserve">SC35L  S מגן קרסול שמאל</t>
  </si>
  <si>
    <t xml:space="preserve">SC35L XL מגן קרסול שמאל</t>
  </si>
  <si>
    <t xml:space="preserve">SC35R  L מגן קרסול ימין</t>
  </si>
  <si>
    <t xml:space="preserve">SC35R  M מגן קרסול ימין</t>
  </si>
  <si>
    <t xml:space="preserve">SC35R  S מגן קרסול ימין</t>
  </si>
  <si>
    <t xml:space="preserve">SC35R  XLמגן קרסול ימין</t>
  </si>
  <si>
    <t xml:space="preserve">SC39  L מגן שוק</t>
  </si>
  <si>
    <t xml:space="preserve">SC39  M מגן שוק</t>
  </si>
  <si>
    <t xml:space="preserve">SC39  S מגן שוק</t>
  </si>
  <si>
    <t xml:space="preserve">SC39 XL מגן שוק</t>
  </si>
  <si>
    <t xml:space="preserve">SC39 XXLמגן שוק</t>
  </si>
  <si>
    <t xml:space="preserve">SC422  L מגן ברך</t>
  </si>
  <si>
    <t xml:space="preserve">SC422  M מגן ברך</t>
  </si>
  <si>
    <t xml:space="preserve">SC422 XL מגן ברך</t>
  </si>
  <si>
    <t xml:space="preserve">SC95 L מגן מרפק</t>
  </si>
  <si>
    <t xml:space="preserve">SC95 M מגן מרפק</t>
  </si>
  <si>
    <t xml:space="preserve">SC95 XLמגן מרפק</t>
  </si>
  <si>
    <t xml:space="preserve">T39  L מגן שוק</t>
  </si>
  <si>
    <t xml:space="preserve">381 HV רצועה אלסטית</t>
  </si>
  <si>
    <t xml:space="preserve">388B L סד לילה שחור לבוהן ימין</t>
  </si>
  <si>
    <t xml:space="preserve">388B L סד לילה שחור לבוהן שמאל</t>
  </si>
  <si>
    <t xml:space="preserve">801  תחבושת אלסטית מקררת</t>
  </si>
  <si>
    <t xml:space="preserve">806CB-BEIGE      תחבושת א.נצמ</t>
  </si>
  <si>
    <t xml:space="preserve">806CB-BLACK      תחבושת א.נצמ</t>
  </si>
  <si>
    <t xml:space="preserve">806CB-GREEN      תחבושת א.נצמ</t>
  </si>
  <si>
    <t xml:space="preserve">806CB-PINK       תחבושת א.נצמ</t>
  </si>
  <si>
    <t xml:space="preserve">807B-Bתחבושת נצמדת שחור 20 מ""מ</t>
  </si>
  <si>
    <t xml:space="preserve">807CB-BLתחבושת נצמדת כחול20מ""מ</t>
  </si>
  <si>
    <t xml:space="preserve">807CB-Cתחבושת נצמדת בז' 20 מ""מ</t>
  </si>
  <si>
    <t xml:space="preserve">807CB-P תחבושת נצמדת ורוד 20ממ</t>
  </si>
  <si>
    <t xml:space="preserve">B10 - תחבושת אלסטית 10 ס""מ</t>
  </si>
  <si>
    <t xml:space="preserve">B10 - תחבושת אלסטית 5ס""מ</t>
  </si>
  <si>
    <t xml:space="preserve">B75 תחבושת אלסטית 7.5ס""מ</t>
  </si>
  <si>
    <t xml:space="preserve">TRANS Crosswalk — used to match SALES (NetSuite short item codes) to CHEMIPAL CODE</t>
  </si>
  <si>
    <t xml:space="preserve">Source: da0cb0ca-TRANS.xlsx. Tested the 777-row Catalog sheet (from CEMI UPDATED, "חנה_1" export) against SALES's raw Item Name first, per instruction - got 0% match (Catalog item names are in the long CEMI/PPLAY1 format, e.g. "40-רצועת פיקה לברך", while SALES uses short NetSuite-style codes, e.g. "40 0" - different format, confirmed by direct testing, not a guess). Fell back to TRANS's ITEM NAME column (same short-code format as SALES) for SALES-side matching, exactly as used previously for the Meuhedet build. Column D is a whitespace-normalized helper (fallback match key).</t>
  </si>
  <si>
    <t xml:space="preserve">ITEM NAME</t>
  </si>
  <si>
    <t xml:space="preserve">CHEMIPAL NAME</t>
  </si>
  <si>
    <t xml:space="preserve">ITEM NAME (normalized)</t>
  </si>
  <si>
    <t xml:space="preserve">40 0</t>
  </si>
  <si>
    <t xml:space="preserve">4022 0</t>
  </si>
  <si>
    <t xml:space="preserve">4022 רצועת """"פיקה""""+כרית</t>
  </si>
  <si>
    <t xml:space="preserve">41 XL</t>
  </si>
  <si>
    <t xml:space="preserve">41 L</t>
  </si>
  <si>
    <t xml:space="preserve">41 M</t>
  </si>
  <si>
    <t xml:space="preserve">41 S</t>
  </si>
  <si>
    <t xml:space="preserve">41X L</t>
  </si>
  <si>
    <t xml:space="preserve">41X XL</t>
  </si>
  <si>
    <t xml:space="preserve">422 S</t>
  </si>
  <si>
    <t xml:space="preserve">422E XXXL</t>
  </si>
  <si>
    <t xml:space="preserve">45 XS</t>
  </si>
  <si>
    <t xml:space="preserve">45 L</t>
  </si>
  <si>
    <t xml:space="preserve">45 M</t>
  </si>
  <si>
    <t xml:space="preserve">45 S</t>
  </si>
  <si>
    <t xml:space="preserve">45 XL</t>
  </si>
  <si>
    <t xml:space="preserve">45 XXL</t>
  </si>
  <si>
    <t xml:space="preserve">45B L</t>
  </si>
  <si>
    <t xml:space="preserve">45B M</t>
  </si>
  <si>
    <t xml:space="preserve">45B S</t>
  </si>
  <si>
    <t xml:space="preserve">45B XL</t>
  </si>
  <si>
    <t xml:space="preserve">45B XXL</t>
  </si>
  <si>
    <t xml:space="preserve">45C L</t>
  </si>
  <si>
    <t xml:space="preserve">45C M</t>
  </si>
  <si>
    <t xml:space="preserve">45C S</t>
  </si>
  <si>
    <t xml:space="preserve">45C XL</t>
  </si>
  <si>
    <t xml:space="preserve">45E L</t>
  </si>
  <si>
    <t xml:space="preserve">45E M</t>
  </si>
  <si>
    <t xml:space="preserve">45E S</t>
  </si>
  <si>
    <t xml:space="preserve">45E XL</t>
  </si>
  <si>
    <t xml:space="preserve">45E XXL</t>
  </si>
  <si>
    <t xml:space="preserve">45EC L</t>
  </si>
  <si>
    <t xml:space="preserve">45EC M</t>
  </si>
  <si>
    <t xml:space="preserve">45EC S</t>
  </si>
  <si>
    <t xml:space="preserve">45EC XL</t>
  </si>
  <si>
    <t xml:space="preserve">45EC XXL</t>
  </si>
  <si>
    <t xml:space="preserve">48 L</t>
  </si>
  <si>
    <t xml:space="preserve">48 M</t>
  </si>
  <si>
    <t xml:space="preserve">AC40 0</t>
  </si>
  <si>
    <t xml:space="preserve">AC43D 0</t>
  </si>
  <si>
    <t xml:space="preserve">AC45X 0</t>
  </si>
  <si>
    <t xml:space="preserve">ST422 0</t>
  </si>
  <si>
    <t xml:space="preserve">SC422 S</t>
  </si>
  <si>
    <t xml:space="preserve">SC422 XXL</t>
  </si>
  <si>
    <t xml:space="preserve">SH422 1</t>
  </si>
  <si>
    <t xml:space="preserve">SH422 2</t>
  </si>
  <si>
    <t xml:space="preserve">SH422 3</t>
  </si>
  <si>
    <t xml:space="preserve">SH422 4</t>
  </si>
  <si>
    <t xml:space="preserve">SH422 5</t>
  </si>
  <si>
    <t xml:space="preserve">SH422 6</t>
  </si>
  <si>
    <t xml:space="preserve">ST433 0</t>
  </si>
  <si>
    <t xml:space="preserve">T45 L</t>
  </si>
  <si>
    <t xml:space="preserve">T45 M</t>
  </si>
  <si>
    <t xml:space="preserve">T45 XL</t>
  </si>
  <si>
    <t xml:space="preserve">T45 S</t>
  </si>
  <si>
    <t xml:space="preserve">T45 XXL</t>
  </si>
  <si>
    <t xml:space="preserve">T45X XXL</t>
  </si>
  <si>
    <t xml:space="preserve">T45X XL</t>
  </si>
  <si>
    <t xml:space="preserve">3444B 0</t>
  </si>
  <si>
    <t xml:space="preserve">390B-39-42</t>
  </si>
  <si>
    <t xml:space="preserve">390B-43-46</t>
  </si>
  <si>
    <t xml:space="preserve">390B-35-38</t>
  </si>
  <si>
    <t xml:space="preserve">390G-35-38</t>
  </si>
  <si>
    <t xml:space="preserve">390W-35-38</t>
  </si>
  <si>
    <t xml:space="preserve">390W-39-42</t>
  </si>
  <si>
    <t xml:space="preserve">390W-43-46</t>
  </si>
  <si>
    <t xml:space="preserve">394B-35-38</t>
  </si>
  <si>
    <t xml:space="preserve">394B-39-42</t>
  </si>
  <si>
    <t xml:space="preserve">394B-43-46</t>
  </si>
  <si>
    <t xml:space="preserve">394W-35-38</t>
  </si>
  <si>
    <t xml:space="preserve">394W-39-42</t>
  </si>
  <si>
    <t xml:space="preserve">394W-43-46</t>
  </si>
  <si>
    <t xml:space="preserve">395B-39-42</t>
  </si>
  <si>
    <t xml:space="preserve">395B-43-46</t>
  </si>
  <si>
    <t xml:space="preserve">397-39-42</t>
  </si>
  <si>
    <t xml:space="preserve">397A-35-38</t>
  </si>
  <si>
    <t xml:space="preserve">397A-39-42</t>
  </si>
  <si>
    <t xml:space="preserve">397A-43-46</t>
  </si>
  <si>
    <t xml:space="preserve">390G-43-46</t>
  </si>
  <si>
    <t xml:space="preserve">ST3555-S-M</t>
  </si>
  <si>
    <t xml:space="preserve">ST3555-L-XL</t>
  </si>
  <si>
    <t xml:space="preserve">06U L</t>
  </si>
  <si>
    <t xml:space="preserve">06U XL</t>
  </si>
  <si>
    <t xml:space="preserve">077A XXL</t>
  </si>
  <si>
    <t xml:space="preserve">077A-L-XL</t>
  </si>
  <si>
    <t xml:space="preserve">077A-S-M</t>
  </si>
  <si>
    <t xml:space="preserve">078 L</t>
  </si>
  <si>
    <t xml:space="preserve">078G L</t>
  </si>
  <si>
    <t xml:space="preserve">078G M</t>
  </si>
  <si>
    <t xml:space="preserve">078G S</t>
  </si>
  <si>
    <t xml:space="preserve">078G XL</t>
  </si>
  <si>
    <t xml:space="preserve">078G XXL</t>
  </si>
  <si>
    <t xml:space="preserve">078 XL</t>
  </si>
  <si>
    <t xml:space="preserve">078 XXL</t>
  </si>
  <si>
    <t xml:space="preserve">07AU L</t>
  </si>
  <si>
    <t xml:space="preserve">07AU L ח.גב """"איטלקית"""" אורירית</t>
  </si>
  <si>
    <t xml:space="preserve">07AU M</t>
  </si>
  <si>
    <t xml:space="preserve">07AU M ח.גב """"איטלקית"""" אורירית</t>
  </si>
  <si>
    <t xml:space="preserve">07AU S</t>
  </si>
  <si>
    <t xml:space="preserve">07AU S ח.גב """"איטלקית"""" אורירית</t>
  </si>
  <si>
    <t xml:space="preserve">07AU XL</t>
  </si>
  <si>
    <t xml:space="preserve">07AU XL ח.גב """"איטלקית"""" אורירית</t>
  </si>
  <si>
    <t xml:space="preserve">07AU XXL</t>
  </si>
  <si>
    <t xml:space="preserve">07AU XXL.ח.גב """"איטלקית"""" אוריר</t>
  </si>
  <si>
    <t xml:space="preserve">10 L</t>
  </si>
  <si>
    <t xml:space="preserve">10 L """"חגורת גב """"לומבו</t>
  </si>
  <si>
    <t xml:space="preserve">10 M</t>
  </si>
  <si>
    <t xml:space="preserve">10 M """"חגורת גב """"לומבו</t>
  </si>
  <si>
    <t xml:space="preserve">10 XL</t>
  </si>
  <si>
    <t xml:space="preserve">10 XL """"חגורת גב """"לומבו</t>
  </si>
  <si>
    <t xml:space="preserve">11 L</t>
  </si>
  <si>
    <t xml:space="preserve">11 L""""חגורת בטן""""אורירית</t>
  </si>
  <si>
    <t xml:space="preserve">11 M</t>
  </si>
  <si>
    <t xml:space="preserve">11 M""""חגורת בטן""""אורירית</t>
  </si>
  <si>
    <t xml:space="preserve">11 S</t>
  </si>
  <si>
    <t xml:space="preserve">11 S""""חגורת בטן""""אורירית</t>
  </si>
  <si>
    <t xml:space="preserve">11 XL</t>
  </si>
  <si>
    <t xml:space="preserve">11 XL""""חגורת בטן""""אורירית</t>
  </si>
  <si>
    <t xml:space="preserve">11 XXL</t>
  </si>
  <si>
    <t xml:space="preserve">11 XXL""""חגורת בטן""""אורירית</t>
  </si>
  <si>
    <t xml:space="preserve">11EU L</t>
  </si>
  <si>
    <t xml:space="preserve">11EU M</t>
  </si>
  <si>
    <t xml:space="preserve">11EU XL</t>
  </si>
  <si>
    <t xml:space="preserve">11EU XXL</t>
  </si>
  <si>
    <t xml:space="preserve">11PS L</t>
  </si>
  <si>
    <t xml:space="preserve">11PS S</t>
  </si>
  <si>
    <t xml:space="preserve">11PS XL</t>
  </si>
  <si>
    <t xml:space="preserve">11PS XXL</t>
  </si>
  <si>
    <t xml:space="preserve">11STO L</t>
  </si>
  <si>
    <t xml:space="preserve">11STO M</t>
  </si>
  <si>
    <t xml:space="preserve">11STO S</t>
  </si>
  <si>
    <t xml:space="preserve">11STO XL</t>
  </si>
  <si>
    <t xml:space="preserve">11STO XXL</t>
  </si>
  <si>
    <t xml:space="preserve">11TO L</t>
  </si>
  <si>
    <t xml:space="preserve">11TO M</t>
  </si>
  <si>
    <t xml:space="preserve">11TO S</t>
  </si>
  <si>
    <t xml:space="preserve">11TO XL</t>
  </si>
  <si>
    <t xml:space="preserve">11TO XXL</t>
  </si>
  <si>
    <t xml:space="preserve">13 XL</t>
  </si>
  <si>
    <t xml:space="preserve">13 XXL</t>
  </si>
  <si>
    <t xml:space="preserve">14 0</t>
  </si>
  <si>
    <t xml:space="preserve">15W L</t>
  </si>
  <si>
    <t xml:space="preserve">16-L-XL</t>
  </si>
  <si>
    <t xml:space="preserve">16-S-M</t>
  </si>
  <si>
    <t xml:space="preserve">16 XXL</t>
  </si>
  <si>
    <t xml:space="preserve">70N L</t>
  </si>
  <si>
    <t xml:space="preserve">70N M</t>
  </si>
  <si>
    <t xml:space="preserve">70N S</t>
  </si>
  <si>
    <t xml:space="preserve">70N XS</t>
  </si>
  <si>
    <t xml:space="preserve">AC07 0</t>
  </si>
  <si>
    <t xml:space="preserve">AC11 0</t>
  </si>
  <si>
    <t xml:space="preserve">11UG L</t>
  </si>
  <si>
    <t xml:space="preserve">078 M</t>
  </si>
  <si>
    <t xml:space="preserve">078 S</t>
  </si>
  <si>
    <t xml:space="preserve">ST11 0</t>
  </si>
  <si>
    <t xml:space="preserve">T11C L</t>
  </si>
  <si>
    <t xml:space="preserve">T11C M</t>
  </si>
  <si>
    <t xml:space="preserve">T11C S</t>
  </si>
  <si>
    <t xml:space="preserve">T11C XL</t>
  </si>
  <si>
    <t xml:space="preserve">T11C XXL</t>
  </si>
  <si>
    <t xml:space="preserve">804AT-B</t>
  </si>
  <si>
    <t xml:space="preserve">804AT-BL</t>
  </si>
  <si>
    <t xml:space="preserve">804AT-C</t>
  </si>
  <si>
    <t xml:space="preserve">804AT-W</t>
  </si>
  <si>
    <t xml:space="preserve">805AT-B</t>
  </si>
  <si>
    <t xml:space="preserve">805AT-B אתלטיק טייפ שחור 20מ""""מ</t>
  </si>
  <si>
    <t xml:space="preserve">805AT-BL</t>
  </si>
  <si>
    <t xml:space="preserve">805AT-BLאתלטיק טייפ כחול 20מ""""מ</t>
  </si>
  <si>
    <t xml:space="preserve">805AT-C</t>
  </si>
  <si>
    <t xml:space="preserve">805AT-Cאתלטיק טייפ בז' 20מ""""מ20</t>
  </si>
  <si>
    <t xml:space="preserve">805AT-W</t>
  </si>
  <si>
    <t xml:space="preserve">805AT-W  אתלטיק טייפ לבן 20מ""""מ</t>
  </si>
  <si>
    <t xml:space="preserve">808KT-B</t>
  </si>
  <si>
    <t xml:space="preserve">808KT-BL</t>
  </si>
  <si>
    <t xml:space="preserve">808KT-C</t>
  </si>
  <si>
    <t xml:space="preserve">808KT-P</t>
  </si>
  <si>
    <t xml:space="preserve">239B-L-XL</t>
  </si>
  <si>
    <t xml:space="preserve">239B-S-M</t>
  </si>
  <si>
    <t xml:space="preserve">239TR-L-XL</t>
  </si>
  <si>
    <t xml:space="preserve">FC342 0</t>
  </si>
  <si>
    <t xml:space="preserve">351 0</t>
  </si>
  <si>
    <t xml:space="preserve">350 0</t>
  </si>
  <si>
    <t xml:space="preserve">FC321 0</t>
  </si>
  <si>
    <t xml:space="preserve">FC334 0</t>
  </si>
  <si>
    <t xml:space="preserve">FC335 0</t>
  </si>
  <si>
    <t xml:space="preserve">FC333 0</t>
  </si>
  <si>
    <t xml:space="preserve">251 0</t>
  </si>
  <si>
    <t xml:space="preserve">250 0</t>
  </si>
  <si>
    <t xml:space="preserve">74-L-XL</t>
  </si>
  <si>
    <t xml:space="preserve">75 XXL</t>
  </si>
  <si>
    <t xml:space="preserve">75 L</t>
  </si>
  <si>
    <t xml:space="preserve">75 M</t>
  </si>
  <si>
    <t xml:space="preserve">75 S</t>
  </si>
  <si>
    <t xml:space="preserve">75 XL</t>
  </si>
  <si>
    <t xml:space="preserve">76 L</t>
  </si>
  <si>
    <t xml:space="preserve">76 M</t>
  </si>
  <si>
    <t xml:space="preserve">76 S</t>
  </si>
  <si>
    <t xml:space="preserve">76 XL</t>
  </si>
  <si>
    <t xml:space="preserve">87 L</t>
  </si>
  <si>
    <t xml:space="preserve">87 M</t>
  </si>
  <si>
    <t xml:space="preserve">87 S</t>
  </si>
  <si>
    <t xml:space="preserve">87 XL</t>
  </si>
  <si>
    <t xml:space="preserve">87 XXL</t>
  </si>
  <si>
    <t xml:space="preserve">AC75 XXL</t>
  </si>
  <si>
    <t xml:space="preserve">AC75-S-XL</t>
  </si>
  <si>
    <t xml:space="preserve">T78 L</t>
  </si>
  <si>
    <t xml:space="preserve">T78 M</t>
  </si>
  <si>
    <t xml:space="preserve">T78 S</t>
  </si>
  <si>
    <t xml:space="preserve">T78 XL</t>
  </si>
  <si>
    <t xml:space="preserve">T78 XXL</t>
  </si>
  <si>
    <t xml:space="preserve">LF360 0</t>
  </si>
  <si>
    <t xml:space="preserve">LF370 0</t>
  </si>
  <si>
    <t xml:space="preserve">LF371 0</t>
  </si>
  <si>
    <t xml:space="preserve">LF374 0</t>
  </si>
  <si>
    <t xml:space="preserve">LF377 L</t>
  </si>
  <si>
    <t xml:space="preserve">LF377 M</t>
  </si>
  <si>
    <t xml:space="preserve">LF377 S</t>
  </si>
  <si>
    <t xml:space="preserve">LF378 L</t>
  </si>
  <si>
    <t xml:space="preserve">LF373 0</t>
  </si>
  <si>
    <t xml:space="preserve">302W 0</t>
  </si>
  <si>
    <t xml:space="preserve">302M 0</t>
  </si>
  <si>
    <t xml:space="preserve">303-37-38</t>
  </si>
  <si>
    <t xml:space="preserve">303-41-42</t>
  </si>
  <si>
    <t xml:space="preserve">303-45-46</t>
  </si>
  <si>
    <t xml:space="preserve">305GA-37-38</t>
  </si>
  <si>
    <t xml:space="preserve">305GA-39-40</t>
  </si>
  <si>
    <t xml:space="preserve">305GA-41-42</t>
  </si>
  <si>
    <t xml:space="preserve">305GA-43-44</t>
  </si>
  <si>
    <t xml:space="preserve">305GA-45-46</t>
  </si>
  <si>
    <t xml:space="preserve">379COM-35-38</t>
  </si>
  <si>
    <t xml:space="preserve">379WRK-35-38</t>
  </si>
  <si>
    <t xml:space="preserve">379COM-39-42</t>
  </si>
  <si>
    <t xml:space="preserve">379WRK-39-42</t>
  </si>
  <si>
    <t xml:space="preserve">379COM-43-46</t>
  </si>
  <si>
    <t xml:space="preserve">379WRK-43-46</t>
  </si>
  <si>
    <t xml:space="preserve">LF378 M</t>
  </si>
  <si>
    <t xml:space="preserve">LF378 S</t>
  </si>
  <si>
    <t xml:space="preserve">379MSP-35-38</t>
  </si>
  <si>
    <t xml:space="preserve">379MSP-43-46</t>
  </si>
  <si>
    <t xml:space="preserve">379MSP-39-42</t>
  </si>
  <si>
    <t xml:space="preserve">50 L</t>
  </si>
  <si>
    <t xml:space="preserve">50 M</t>
  </si>
  <si>
    <t xml:space="preserve">50 XL</t>
  </si>
  <si>
    <t xml:space="preserve">55 L</t>
  </si>
  <si>
    <t xml:space="preserve">55 XL</t>
  </si>
  <si>
    <t xml:space="preserve">59D L</t>
  </si>
  <si>
    <t xml:space="preserve">59D M</t>
  </si>
  <si>
    <t xml:space="preserve">59D S</t>
  </si>
  <si>
    <t xml:space="preserve">59D XL</t>
  </si>
  <si>
    <t xml:space="preserve">59L L</t>
  </si>
  <si>
    <t xml:space="preserve">59L M</t>
  </si>
  <si>
    <t xml:space="preserve">59L S</t>
  </si>
  <si>
    <t xml:space="preserve">59L XL</t>
  </si>
  <si>
    <t xml:space="preserve">59R L</t>
  </si>
  <si>
    <t xml:space="preserve">59R M</t>
  </si>
  <si>
    <t xml:space="preserve">59R S</t>
  </si>
  <si>
    <t xml:space="preserve">59R XL</t>
  </si>
  <si>
    <t xml:space="preserve">91B 0</t>
  </si>
  <si>
    <t xml:space="preserve">922 L</t>
  </si>
  <si>
    <t xml:space="preserve">922 XL</t>
  </si>
  <si>
    <t xml:space="preserve">95 L</t>
  </si>
  <si>
    <t xml:space="preserve">95 M</t>
  </si>
  <si>
    <t xml:space="preserve">95 S</t>
  </si>
  <si>
    <t xml:space="preserve">95 XL</t>
  </si>
  <si>
    <t xml:space="preserve">95 XS</t>
  </si>
  <si>
    <t xml:space="preserve">95 XXL</t>
  </si>
  <si>
    <t xml:space="preserve">95B L</t>
  </si>
  <si>
    <t xml:space="preserve">95B M</t>
  </si>
  <si>
    <t xml:space="preserve">95B S</t>
  </si>
  <si>
    <t xml:space="preserve">95B XL</t>
  </si>
  <si>
    <t xml:space="preserve">95B XXL</t>
  </si>
  <si>
    <t xml:space="preserve">95C L</t>
  </si>
  <si>
    <t xml:space="preserve">95C M</t>
  </si>
  <si>
    <t xml:space="preserve">95C S</t>
  </si>
  <si>
    <t xml:space="preserve">95C XL</t>
  </si>
  <si>
    <t xml:space="preserve">95C XS</t>
  </si>
  <si>
    <t xml:space="preserve">95C XXL</t>
  </si>
  <si>
    <t xml:space="preserve">AC91 0</t>
  </si>
  <si>
    <t xml:space="preserve">AC95 0</t>
  </si>
  <si>
    <t xml:space="preserve">SC95 S</t>
  </si>
  <si>
    <t xml:space="preserve">ST91 0</t>
  </si>
  <si>
    <t xml:space="preserve">(missing in TRANS source - cell was blank/error)</t>
  </si>
  <si>
    <t xml:space="preserve">T95 S</t>
  </si>
  <si>
    <t xml:space="preserve">85 L</t>
  </si>
  <si>
    <t xml:space="preserve">85 M</t>
  </si>
  <si>
    <t xml:space="preserve">85 S</t>
  </si>
  <si>
    <t xml:space="preserve">85 XL</t>
  </si>
  <si>
    <t xml:space="preserve">85+ L</t>
  </si>
  <si>
    <t xml:space="preserve">85+ M</t>
  </si>
  <si>
    <t xml:space="preserve">85+ XL</t>
  </si>
  <si>
    <t xml:space="preserve">85B L</t>
  </si>
  <si>
    <t xml:space="preserve">85B M</t>
  </si>
  <si>
    <t xml:space="preserve">85B S</t>
  </si>
  <si>
    <t xml:space="preserve">85B XL</t>
  </si>
  <si>
    <t xml:space="preserve">85K 0</t>
  </si>
  <si>
    <t xml:space="preserve">307 L</t>
  </si>
  <si>
    <t xml:space="preserve">307 M</t>
  </si>
  <si>
    <t xml:space="preserve">307 S</t>
  </si>
  <si>
    <t xml:space="preserve">307 XL</t>
  </si>
  <si>
    <t xml:space="preserve">308 L</t>
  </si>
  <si>
    <t xml:space="preserve">308 M</t>
  </si>
  <si>
    <t xml:space="preserve">311 0</t>
  </si>
  <si>
    <t xml:space="preserve">312 0</t>
  </si>
  <si>
    <t xml:space="preserve">312 9 מ""""ס להתאמהX5 מדבקה גדולה</t>
  </si>
  <si>
    <t xml:space="preserve">313 0</t>
  </si>
  <si>
    <t xml:space="preserve">320 0</t>
  </si>
  <si>
    <t xml:space="preserve">3611 0</t>
  </si>
  <si>
    <t xml:space="preserve">3622S 0</t>
  </si>
  <si>
    <t xml:space="preserve">3623 0</t>
  </si>
  <si>
    <t xml:space="preserve">363-L-R</t>
  </si>
  <si>
    <t xml:space="preserve">364 XL</t>
  </si>
  <si>
    <t xml:space="preserve">3641 0</t>
  </si>
  <si>
    <t xml:space="preserve">364-S-L</t>
  </si>
  <si>
    <t xml:space="preserve">365-XL</t>
  </si>
  <si>
    <t xml:space="preserve">365-S-L</t>
  </si>
  <si>
    <t xml:space="preserve">3655 0</t>
  </si>
  <si>
    <t xml:space="preserve">3666 0</t>
  </si>
  <si>
    <t xml:space="preserve">366S 0</t>
  </si>
  <si>
    <t xml:space="preserve">3672 0</t>
  </si>
  <si>
    <t xml:space="preserve">3674 0</t>
  </si>
  <si>
    <t xml:space="preserve">3675 0</t>
  </si>
  <si>
    <t xml:space="preserve">3677S 0</t>
  </si>
  <si>
    <t xml:space="preserve">369-XL</t>
  </si>
  <si>
    <t xml:space="preserve">369-S-L</t>
  </si>
  <si>
    <t xml:space="preserve">38 0</t>
  </si>
  <si>
    <t xml:space="preserve">38 .חבישת""""הלוקס ולגוס""""לאחר נית</t>
  </si>
  <si>
    <t xml:space="preserve">386 0</t>
  </si>
  <si>
    <t xml:space="preserve">820 0</t>
  </si>
  <si>
    <t xml:space="preserve">3667 0</t>
  </si>
  <si>
    <t xml:space="preserve">362-L-R</t>
  </si>
  <si>
    <t xml:space="preserve">PD344 0</t>
  </si>
  <si>
    <t xml:space="preserve">PD340 0</t>
  </si>
  <si>
    <t xml:space="preserve">PD341 0</t>
  </si>
  <si>
    <t xml:space="preserve">PD342 0</t>
  </si>
  <si>
    <t xml:space="preserve">PD346 0</t>
  </si>
  <si>
    <t xml:space="preserve">213CTSR L</t>
  </si>
  <si>
    <t xml:space="preserve">20 L</t>
  </si>
  <si>
    <t xml:space="preserve">20 M</t>
  </si>
  <si>
    <t xml:space="preserve">20 S</t>
  </si>
  <si>
    <t xml:space="preserve">20 XL</t>
  </si>
  <si>
    <t xml:space="preserve">20 XXL</t>
  </si>
  <si>
    <t xml:space="preserve">202 0</t>
  </si>
  <si>
    <t xml:space="preserve">21 L</t>
  </si>
  <si>
    <t xml:space="preserve">21 M</t>
  </si>
  <si>
    <t xml:space="preserve">21 S</t>
  </si>
  <si>
    <t xml:space="preserve">21 XL</t>
  </si>
  <si>
    <t xml:space="preserve">21 XS</t>
  </si>
  <si>
    <t xml:space="preserve">211 L</t>
  </si>
  <si>
    <t xml:space="preserve">211 M</t>
  </si>
  <si>
    <t xml:space="preserve">211 S</t>
  </si>
  <si>
    <t xml:space="preserve">211 XL</t>
  </si>
  <si>
    <t xml:space="preserve">212 L</t>
  </si>
  <si>
    <t xml:space="preserve">212 M</t>
  </si>
  <si>
    <t xml:space="preserve">212 S</t>
  </si>
  <si>
    <t xml:space="preserve">212 XL</t>
  </si>
  <si>
    <t xml:space="preserve">213CTSR S</t>
  </si>
  <si>
    <t xml:space="preserve">213CTSL L</t>
  </si>
  <si>
    <t xml:space="preserve">213CTSL M</t>
  </si>
  <si>
    <t xml:space="preserve">213CTSL S</t>
  </si>
  <si>
    <t xml:space="preserve">213CTSR M</t>
  </si>
  <si>
    <t xml:space="preserve">238 L</t>
  </si>
  <si>
    <t xml:space="preserve">238 M</t>
  </si>
  <si>
    <t xml:space="preserve">238 S</t>
  </si>
  <si>
    <t xml:space="preserve">238 XL</t>
  </si>
  <si>
    <t xml:space="preserve">26 L</t>
  </si>
  <si>
    <t xml:space="preserve">26 M</t>
  </si>
  <si>
    <t xml:space="preserve">26 S</t>
  </si>
  <si>
    <t xml:space="preserve">26 XL</t>
  </si>
  <si>
    <t xml:space="preserve">26 XXL</t>
  </si>
  <si>
    <t xml:space="preserve">266 0</t>
  </si>
  <si>
    <t xml:space="preserve">268 0</t>
  </si>
  <si>
    <t xml:space="preserve">28 XS</t>
  </si>
  <si>
    <t xml:space="preserve">28 L</t>
  </si>
  <si>
    <t xml:space="preserve">28 M</t>
  </si>
  <si>
    <t xml:space="preserve">28 S</t>
  </si>
  <si>
    <t xml:space="preserve">28 XL</t>
  </si>
  <si>
    <t xml:space="preserve">AC28 0</t>
  </si>
  <si>
    <t xml:space="preserve">ST20 0</t>
  </si>
  <si>
    <t xml:space="preserve">ST25 0</t>
  </si>
  <si>
    <t xml:space="preserve">ST28 0</t>
  </si>
  <si>
    <t xml:space="preserve">T20-L-XL</t>
  </si>
  <si>
    <t xml:space="preserve">T20-S-M</t>
  </si>
  <si>
    <t xml:space="preserve">T20C-L-XL</t>
  </si>
  <si>
    <t xml:space="preserve">T20C-S-M</t>
  </si>
  <si>
    <t xml:space="preserve">T25 0</t>
  </si>
  <si>
    <t xml:space="preserve">T25B 0</t>
  </si>
  <si>
    <t xml:space="preserve">T25C 0</t>
  </si>
  <si>
    <t xml:space="preserve">T28 XL</t>
  </si>
  <si>
    <t xml:space="preserve">T28A-L-XL</t>
  </si>
  <si>
    <t xml:space="preserve">T28A-S-M</t>
  </si>
  <si>
    <t xml:space="preserve">T28AC-L-XL</t>
  </si>
  <si>
    <t xml:space="preserve">T28AC-S-M</t>
  </si>
  <si>
    <t xml:space="preserve">T28C XL</t>
  </si>
  <si>
    <t xml:space="preserve">T28C L</t>
  </si>
  <si>
    <t xml:space="preserve">237 0</t>
  </si>
  <si>
    <t xml:space="preserve">60 L</t>
  </si>
  <si>
    <t xml:space="preserve">60 M</t>
  </si>
  <si>
    <t xml:space="preserve">60 S</t>
  </si>
  <si>
    <t xml:space="preserve">60 XL</t>
  </si>
  <si>
    <t xml:space="preserve">32 XL</t>
  </si>
  <si>
    <t xml:space="preserve">322 L</t>
  </si>
  <si>
    <t xml:space="preserve">322 XL</t>
  </si>
  <si>
    <t xml:space="preserve">333 0</t>
  </si>
  <si>
    <t xml:space="preserve">34 L</t>
  </si>
  <si>
    <t xml:space="preserve">34 M</t>
  </si>
  <si>
    <t xml:space="preserve">34 S</t>
  </si>
  <si>
    <t xml:space="preserve">34 XL</t>
  </si>
  <si>
    <t xml:space="preserve">34 XXL</t>
  </si>
  <si>
    <t xml:space="preserve">34+ L</t>
  </si>
  <si>
    <t xml:space="preserve">34+ M</t>
  </si>
  <si>
    <t xml:space="preserve">34+ S</t>
  </si>
  <si>
    <t xml:space="preserve">34+ XL</t>
  </si>
  <si>
    <t xml:space="preserve">34+ XXL</t>
  </si>
  <si>
    <t xml:space="preserve">35 L</t>
  </si>
  <si>
    <t xml:space="preserve">35 M</t>
  </si>
  <si>
    <t xml:space="preserve">35 S</t>
  </si>
  <si>
    <t xml:space="preserve">35 XL</t>
  </si>
  <si>
    <t xml:space="preserve">35 XXL</t>
  </si>
  <si>
    <t xml:space="preserve">35B L</t>
  </si>
  <si>
    <t xml:space="preserve">35B M</t>
  </si>
  <si>
    <t xml:space="preserve">35B S</t>
  </si>
  <si>
    <t xml:space="preserve">35B XL</t>
  </si>
  <si>
    <t xml:space="preserve">35B XXL</t>
  </si>
  <si>
    <t xml:space="preserve">35C L</t>
  </si>
  <si>
    <t xml:space="preserve">35C M</t>
  </si>
  <si>
    <t xml:space="preserve">35C S</t>
  </si>
  <si>
    <t xml:space="preserve">35C XL</t>
  </si>
  <si>
    <t xml:space="preserve">AC37 0</t>
  </si>
  <si>
    <t xml:space="preserve">SH333 0</t>
  </si>
  <si>
    <t xml:space="preserve">ST37 0</t>
  </si>
  <si>
    <t xml:space="preserve">301CM-41-45</t>
  </si>
  <si>
    <t xml:space="preserve">301CW-36-40</t>
  </si>
  <si>
    <t xml:space="preserve">301JW-36-40</t>
  </si>
  <si>
    <t xml:space="preserve">370 0</t>
  </si>
  <si>
    <t xml:space="preserve">370K 0</t>
  </si>
  <si>
    <t xml:space="preserve">371 0</t>
  </si>
  <si>
    <t xml:space="preserve">372 0</t>
  </si>
  <si>
    <t xml:space="preserve">374 0</t>
  </si>
  <si>
    <t xml:space="preserve">377-35</t>
  </si>
  <si>
    <t xml:space="preserve">376-46-47</t>
  </si>
  <si>
    <t xml:space="preserve">49 L</t>
  </si>
  <si>
    <t xml:space="preserve">49 M</t>
  </si>
  <si>
    <t xml:space="preserve">49 S</t>
  </si>
  <si>
    <t xml:space="preserve">49 XL</t>
  </si>
  <si>
    <t xml:space="preserve">49 XXL</t>
  </si>
  <si>
    <t xml:space="preserve">AC49 0</t>
  </si>
  <si>
    <t xml:space="preserve">ST49 0</t>
  </si>
  <si>
    <t xml:space="preserve">T39 S</t>
  </si>
  <si>
    <t xml:space="preserve">AC25 0</t>
  </si>
  <si>
    <t xml:space="preserve">AC27L 0</t>
  </si>
  <si>
    <t xml:space="preserve">AC27R 0</t>
  </si>
  <si>
    <t xml:space="preserve">SC25 L</t>
  </si>
  <si>
    <t xml:space="preserve">SC25 M</t>
  </si>
  <si>
    <t xml:space="preserve">SC25 S</t>
  </si>
  <si>
    <t xml:space="preserve">SC25 XL</t>
  </si>
  <si>
    <t xml:space="preserve">SC35L L</t>
  </si>
  <si>
    <t xml:space="preserve">SC35L M</t>
  </si>
  <si>
    <t xml:space="preserve">SC35L S</t>
  </si>
  <si>
    <t xml:space="preserve">SC35L XL</t>
  </si>
  <si>
    <t xml:space="preserve">SC35R L</t>
  </si>
  <si>
    <t xml:space="preserve">SC35R M</t>
  </si>
  <si>
    <t xml:space="preserve">SC35R S</t>
  </si>
  <si>
    <t xml:space="preserve">SC35R XL</t>
  </si>
  <si>
    <t xml:space="preserve">SC39 L</t>
  </si>
  <si>
    <t xml:space="preserve">SC39 M</t>
  </si>
  <si>
    <t xml:space="preserve">SC39 S</t>
  </si>
  <si>
    <t xml:space="preserve">SC39 XL</t>
  </si>
  <si>
    <t xml:space="preserve">SC39 XXL</t>
  </si>
  <si>
    <t xml:space="preserve">SC422 L</t>
  </si>
  <si>
    <t xml:space="preserve">SC422 M</t>
  </si>
  <si>
    <t xml:space="preserve">SC422 XL</t>
  </si>
  <si>
    <t xml:space="preserve">SC95 L</t>
  </si>
  <si>
    <t xml:space="preserve">SC95 M</t>
  </si>
  <si>
    <t xml:space="preserve">SC95 XL</t>
  </si>
  <si>
    <t xml:space="preserve">381 0</t>
  </si>
  <si>
    <t xml:space="preserve">388BR 0</t>
  </si>
  <si>
    <t xml:space="preserve">388BL 0</t>
  </si>
  <si>
    <t xml:space="preserve">801 0</t>
  </si>
  <si>
    <t xml:space="preserve">806CB-C</t>
  </si>
  <si>
    <t xml:space="preserve">806CB-B</t>
  </si>
  <si>
    <t xml:space="preserve">806CB-GR</t>
  </si>
  <si>
    <t xml:space="preserve">806CB-P</t>
  </si>
  <si>
    <t xml:space="preserve">807CB-B</t>
  </si>
  <si>
    <t xml:space="preserve">807B-Bתחבושת נצמדת שחור 20 מ""""מ</t>
  </si>
  <si>
    <t xml:space="preserve">807CB-BL</t>
  </si>
  <si>
    <t xml:space="preserve">807CB-BLתחבושת נצמדת כחול20מ""""מ</t>
  </si>
  <si>
    <t xml:space="preserve">807CB-C</t>
  </si>
  <si>
    <t xml:space="preserve">807CB-Cתחבושת נצמדת בז' 20 מ""""מ</t>
  </si>
  <si>
    <t xml:space="preserve">807CB-P</t>
  </si>
  <si>
    <t xml:space="preserve">CEMI Raw — בתי מרקחת (group #4) — item-level data from CEMI UPDATED's "בתי מרקחת Raw" sheet</t>
  </si>
  <si>
    <t xml:space="preserve">Source: kirill/outputs/2026-09-25-CEMI-UPDATED-grouped-2025-vs-2026.xlsx, "בתי מרקחת Raw" sheet (already has CHEMIPAL Code, 100% matched there against the Catalog). Re-matched HERE (live) against this file's own Catalog sheet for a self-contained, auditable formula chain - exact match first, then whitespace-normalized fallback.</t>
  </si>
  <si>
    <t xml:space="preserve">Item Name (raw, PPLAY1 format)</t>
  </si>
  <si>
    <t xml:space="preserve">Year</t>
  </si>
  <si>
    <t xml:space="preserve">CHEMIPAL CODE (matched via Catalog)</t>
  </si>
  <si>
    <t xml:space="preserve">Match Status</t>
  </si>
  <si>
    <t xml:space="preserve">SALES Raw — 107 - Pharmacies — pre-aggregation item-level data from NetSuite Source (salestype file)</t>
  </si>
  <si>
    <t xml:space="preserve">Source: kirill/outputs/2026-09-20-salestype-2025-vs-2026.xlsx, "Source" sheet, filtered to Sale Type = "107 - Pharmacies" (file only read, never modified). Item Name is the raw NetSuite variant code. Only rows with non-zero Quantity or Amount (per year) are included (lean/relevant-only convention). CHEMIPAL CODE is matched live against TRANS: exact match first, then whitespace-normalized fallback (the 777-row Catalog sheet was tested first per instruction and gave 0% match - different format, see TRANS sheet note).</t>
  </si>
  <si>
    <t xml:space="preserve">CHEMIPAL CODE (matched via TRANS)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</si>
</sst>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"/>
    <numFmt numFmtId="166" formatCode="#,##0"/>
    <numFmt numFmtId="167" formatCode="0.0%"/>
    <numFmt numFmtId="168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2CC"/>
        <bgColor rgb="FFFCE4D6"/>
      </patternFill>
    </fill>
    <fill>
      <patternFill patternType="solid">
        <fgColor rgb="FFC6E0B4"/>
        <bgColor rgb="FFBFBFBF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77777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55"/>
    <col collapsed="false" customWidth="true" hidden="false" outlineLevel="0" max="4" min="3" style="1" width="16"/>
    <col collapsed="false" customWidth="true" hidden="false" outlineLevel="0" max="5" min="5" style="1" width="12"/>
  </cols>
  <sheetData>
    <row r="1" customFormat="false" ht="17.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4" t="n">
        <v>46290</v>
      </c>
    </row>
    <row r="3" customFormat="false" ht="43.25" hidden="false" customHeight="true" outlineLevel="0" collapsed="false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6" t="s">
        <v>4</v>
      </c>
      <c r="B7" s="6" t="s">
        <v>5</v>
      </c>
    </row>
    <row r="8" customFormat="false" ht="23.85" hidden="false" customHeight="false" outlineLevel="0" collapsed="false">
      <c r="A8" s="7" t="s">
        <v>6</v>
      </c>
      <c r="B8" s="8" t="s">
        <v>7</v>
      </c>
    </row>
    <row r="9" customFormat="false" ht="23.85" hidden="false" customHeight="false" outlineLevel="0" collapsed="false">
      <c r="A9" s="7" t="s">
        <v>8</v>
      </c>
      <c r="B9" s="8" t="s">
        <v>9</v>
      </c>
    </row>
    <row r="10" customFormat="false" ht="23.85" hidden="false" customHeight="false" outlineLevel="0" collapsed="false">
      <c r="A10" s="7" t="s">
        <v>10</v>
      </c>
      <c r="B10" s="8" t="s">
        <v>11</v>
      </c>
    </row>
    <row r="11" customFormat="false" ht="23.85" hidden="false" customHeight="false" outlineLevel="0" collapsed="false">
      <c r="A11" s="7" t="s">
        <v>12</v>
      </c>
      <c r="B11" s="8" t="s">
        <v>13</v>
      </c>
    </row>
    <row r="12" customFormat="false" ht="23.85" hidden="false" customHeight="false" outlineLevel="0" collapsed="false">
      <c r="A12" s="7" t="s">
        <v>14</v>
      </c>
      <c r="B12" s="8" t="s">
        <v>15</v>
      </c>
    </row>
    <row r="13" customFormat="false" ht="23.85" hidden="false" customHeight="false" outlineLevel="0" collapsed="false">
      <c r="A13" s="7" t="s">
        <v>16</v>
      </c>
      <c r="B13" s="8" t="s">
        <v>17</v>
      </c>
    </row>
    <row r="15" customFormat="false" ht="15" hidden="false" customHeight="false" outlineLevel="0" collapsed="false">
      <c r="A15" s="3" t="s">
        <v>18</v>
      </c>
    </row>
    <row r="16" customFormat="false" ht="15" hidden="false" customHeight="false" outlineLevel="0" collapsed="false">
      <c r="A16" s="6" t="s">
        <v>19</v>
      </c>
      <c r="B16" s="6" t="s">
        <v>20</v>
      </c>
      <c r="C16" s="6" t="s">
        <v>21</v>
      </c>
      <c r="D16" s="6" t="s">
        <v>22</v>
      </c>
      <c r="E16" s="6" t="s">
        <v>23</v>
      </c>
    </row>
    <row r="17" customFormat="false" ht="15" hidden="false" customHeight="false" outlineLevel="0" collapsed="false">
      <c r="A17" s="9" t="s">
        <v>24</v>
      </c>
      <c r="B17" s="9" t="s">
        <v>25</v>
      </c>
      <c r="C17" s="10" t="n">
        <f aca="false">SUMIFS('CEMI Raw'!$C$6:$C$1018,'CEMI Raw'!$F$6:$F$1018,"Matched*")</f>
        <v>87664</v>
      </c>
      <c r="D17" s="10" t="n">
        <f aca="false">SUM('CEMI Raw'!$C$6:$C$1018)</f>
        <v>87664</v>
      </c>
      <c r="E17" s="11" t="n">
        <f aca="false">IFERROR(C17/D17,"")</f>
        <v>1</v>
      </c>
    </row>
    <row r="18" customFormat="false" ht="15" hidden="false" customHeight="false" outlineLevel="0" collapsed="false">
      <c r="A18" s="9" t="s">
        <v>24</v>
      </c>
      <c r="B18" s="9" t="s">
        <v>26</v>
      </c>
      <c r="C18" s="12" t="n">
        <f aca="false">SUMIFS('CEMI Raw'!$D$6:$D$1018,'CEMI Raw'!$F$6:$F$1018,"Matched*")</f>
        <v>3261441.5</v>
      </c>
      <c r="D18" s="12" t="n">
        <f aca="false">SUM('CEMI Raw'!$D$6:$D$1018)</f>
        <v>3261441.5</v>
      </c>
      <c r="E18" s="11" t="n">
        <f aca="false">IFERROR(C18/D18,"")</f>
        <v>1</v>
      </c>
    </row>
    <row r="19" customFormat="false" ht="15" hidden="false" customHeight="false" outlineLevel="0" collapsed="false">
      <c r="A19" s="9" t="s">
        <v>27</v>
      </c>
      <c r="B19" s="9" t="s">
        <v>25</v>
      </c>
      <c r="C19" s="10" t="n">
        <f aca="false">SUMIFS('SALES Raw'!$C$6:$C$603,'SALES Raw'!$F$6:$F$603,"Matched*")</f>
        <v>3660</v>
      </c>
      <c r="D19" s="10" t="n">
        <f aca="false">SUM('SALES Raw'!$C$6:$C$603)</f>
        <v>4121</v>
      </c>
      <c r="E19" s="11" t="n">
        <f aca="false">IFERROR(C19/D19,"")</f>
        <v>0.888133948070857</v>
      </c>
    </row>
    <row r="20" customFormat="false" ht="15" hidden="false" customHeight="false" outlineLevel="0" collapsed="false">
      <c r="A20" s="9" t="s">
        <v>27</v>
      </c>
      <c r="B20" s="9" t="s">
        <v>26</v>
      </c>
      <c r="C20" s="12" t="n">
        <f aca="false">SUMIFS('SALES Raw'!$D$6:$D$603,'SALES Raw'!$F$6:$F$603,"Matched*")</f>
        <v>213208.58</v>
      </c>
      <c r="D20" s="12" t="n">
        <f aca="false">SUM('SALES Raw'!$D$6:$D$603)</f>
        <v>263312.43</v>
      </c>
      <c r="E20" s="11" t="n">
        <f aca="false">IFERROR(C20/D20,"")</f>
        <v>0.809717110582284</v>
      </c>
    </row>
    <row r="22" customFormat="false" ht="15" hidden="false" customHeight="false" outlineLevel="0" collapsed="false">
      <c r="A22" s="3" t="s">
        <v>28</v>
      </c>
      <c r="B22" s="7" t="n">
        <f aca="false">COUNTA('Matched by CHEMIPAL CODE'!$A$12:$A$602)</f>
        <v>591</v>
      </c>
    </row>
    <row r="23" customFormat="false" ht="15" hidden="false" customHeight="false" outlineLevel="0" collapsed="false">
      <c r="A23" s="3" t="s">
        <v>29</v>
      </c>
      <c r="B23" s="7" t="n">
        <f aca="false">COUNTA('Unmatched'!$A$10:$A$86)</f>
        <v>77</v>
      </c>
    </row>
    <row r="24" customFormat="false" ht="15" hidden="false" customHeight="false" outlineLevel="0" collapsed="false">
      <c r="A24" s="3" t="s">
        <v>30</v>
      </c>
      <c r="B24" s="7" t="n">
        <v>0</v>
      </c>
    </row>
    <row r="26" customFormat="false" ht="22.35" hidden="false" customHeight="true" outlineLevel="0" collapsed="false">
      <c r="A26" s="13" t="s">
        <v>31</v>
      </c>
      <c r="B26" s="13"/>
      <c r="C26" s="13"/>
      <c r="D26" s="13"/>
      <c r="E26" s="13"/>
      <c r="F26" s="13"/>
      <c r="G26" s="13"/>
      <c r="H26" s="13"/>
    </row>
  </sheetData>
  <mergeCells count="2">
    <mergeCell ref="A3:J3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30"/>
    <col collapsed="false" customWidth="true" hidden="false" outlineLevel="0" max="3" min="3" style="1" width="22"/>
    <col collapsed="false" customWidth="true" hidden="false" outlineLevel="0" max="4" min="4" style="1" width="11"/>
    <col collapsed="false" customWidth="true" hidden="false" outlineLevel="0" max="5" min="5" style="1" width="13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8" min="8" style="1" width="11"/>
    <col collapsed="false" customWidth="true" hidden="false" outlineLevel="0" max="9" min="9" style="1" width="13"/>
    <col collapsed="false" customWidth="true" hidden="false" outlineLevel="0" max="10" min="10" style="1" width="11"/>
    <col collapsed="false" customWidth="true" hidden="false" outlineLevel="0" max="12" min="11" style="1" width="13"/>
    <col collapsed="false" customWidth="true" hidden="false" outlineLevel="0" max="13" min="13" style="1" width="15"/>
    <col collapsed="false" customWidth="true" hidden="false" outlineLevel="0" max="14" min="14" style="1" width="13"/>
    <col collapsed="false" customWidth="true" hidden="false" outlineLevel="0" max="15" min="15" style="1" width="15"/>
  </cols>
  <sheetData>
    <row r="1" customFormat="false" ht="17.15" hidden="false" customHeight="false" outlineLevel="0" collapsed="false">
      <c r="A1" s="2" t="s">
        <v>32</v>
      </c>
    </row>
    <row r="2" customFormat="false" ht="15" hidden="false" customHeight="false" outlineLevel="0" collapsed="false">
      <c r="A2" s="3" t="s">
        <v>1</v>
      </c>
      <c r="B2" s="4" t="n">
        <v>46290</v>
      </c>
    </row>
    <row r="3" customFormat="false" ht="22.35" hidden="false" customHeight="true" outlineLevel="0" collapsed="false">
      <c r="A3" s="5" t="s">
        <v>33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5" customFormat="false" ht="15" hidden="false" customHeight="false" outlineLevel="0" collapsed="false">
      <c r="A5" s="14" t="s">
        <v>34</v>
      </c>
      <c r="B5" s="14" t="s">
        <v>21</v>
      </c>
      <c r="C5" s="14" t="s">
        <v>22</v>
      </c>
      <c r="D5" s="14" t="s">
        <v>23</v>
      </c>
    </row>
    <row r="6" customFormat="false" ht="15" hidden="false" customHeight="false" outlineLevel="0" collapsed="false">
      <c r="A6" s="15" t="s">
        <v>35</v>
      </c>
      <c r="B6" s="16" t="n">
        <f aca="false">SUMIFS('CEMI Raw'!$C$6:$C$1018,'CEMI Raw'!$F$6:$F$1018,"Matched")</f>
        <v>87664</v>
      </c>
      <c r="C6" s="16" t="n">
        <f aca="false">SUM('CEMI Raw'!$C$6:$C$1018)</f>
        <v>87664</v>
      </c>
      <c r="D6" s="17" t="n">
        <f aca="false">IFERROR(B6/C6,"")</f>
        <v>1</v>
      </c>
    </row>
    <row r="7" customFormat="false" ht="15" hidden="false" customHeight="false" outlineLevel="0" collapsed="false">
      <c r="A7" s="15" t="s">
        <v>36</v>
      </c>
      <c r="B7" s="18" t="n">
        <f aca="false">SUMIFS('CEMI Raw'!$D$6:$D$1018,'CEMI Raw'!$F$6:$F$1018,"Matched")</f>
        <v>3261441.5</v>
      </c>
      <c r="C7" s="18" t="n">
        <f aca="false">SUM('CEMI Raw'!$D$6:$D$1018)</f>
        <v>3261441.5</v>
      </c>
      <c r="D7" s="17" t="n">
        <f aca="false">IFERROR(B7/C7,"")</f>
        <v>1</v>
      </c>
    </row>
    <row r="8" customFormat="false" ht="15" hidden="false" customHeight="false" outlineLevel="0" collapsed="false">
      <c r="A8" s="15" t="s">
        <v>37</v>
      </c>
      <c r="B8" s="16" t="n">
        <f aca="false">SUMIFS('SALES Raw'!$C$6:$C$603,'SALES Raw'!$F$6:$F$603,"Matched")</f>
        <v>3660</v>
      </c>
      <c r="C8" s="16" t="n">
        <f aca="false">SUM('SALES Raw'!$C$6:$C$603)</f>
        <v>4121</v>
      </c>
      <c r="D8" s="17" t="n">
        <f aca="false">IFERROR(B8/C8,"")</f>
        <v>0.888133948070857</v>
      </c>
    </row>
    <row r="9" customFormat="false" ht="15" hidden="false" customHeight="false" outlineLevel="0" collapsed="false">
      <c r="A9" s="15" t="s">
        <v>38</v>
      </c>
      <c r="B9" s="18" t="n">
        <f aca="false">SUMIFS('SALES Raw'!$D$6:$D$603,'SALES Raw'!$F$6:$F$603,"Matched")</f>
        <v>213208.58</v>
      </c>
      <c r="C9" s="18" t="n">
        <f aca="false">SUM('SALES Raw'!$D$6:$D$603)</f>
        <v>263312.43</v>
      </c>
      <c r="D9" s="17" t="n">
        <f aca="false">IFERROR(B9/C9,"")</f>
        <v>0.809717110582284</v>
      </c>
    </row>
    <row r="11" customFormat="false" ht="26.85" hidden="false" customHeight="false" outlineLevel="0" collapsed="false">
      <c r="A11" s="19" t="s">
        <v>39</v>
      </c>
      <c r="B11" s="19" t="s">
        <v>40</v>
      </c>
      <c r="C11" s="19" t="s">
        <v>41</v>
      </c>
      <c r="D11" s="19" t="s">
        <v>42</v>
      </c>
      <c r="E11" s="19" t="s">
        <v>43</v>
      </c>
      <c r="F11" s="19" t="s">
        <v>44</v>
      </c>
      <c r="G11" s="19" t="s">
        <v>45</v>
      </c>
      <c r="H11" s="19" t="s">
        <v>46</v>
      </c>
      <c r="I11" s="19" t="s">
        <v>47</v>
      </c>
      <c r="J11" s="19" t="s">
        <v>48</v>
      </c>
      <c r="K11" s="19" t="s">
        <v>49</v>
      </c>
      <c r="L11" s="19" t="s">
        <v>50</v>
      </c>
      <c r="M11" s="19" t="s">
        <v>51</v>
      </c>
      <c r="N11" s="19" t="s">
        <v>52</v>
      </c>
      <c r="O11" s="19" t="s">
        <v>53</v>
      </c>
    </row>
    <row r="12" customFormat="false" ht="15" hidden="false" customHeight="false" outlineLevel="0" collapsed="false">
      <c r="A12" s="20" t="n">
        <v>4401000</v>
      </c>
      <c r="B12" s="20" t="str">
        <f aca="false">IFERROR(INDEX('Catalog'!$B:$B,MATCH($A12,'Catalog'!$A:$A,0)),"")</f>
        <v>369  S-L אצבעון מסיליקון יחידה</v>
      </c>
      <c r="C12" s="20" t="str">
        <f aca="false">IFERROR(INDEX('TRANS'!$A:$A,MATCH($A12,'TRANS'!$B:$B,0)),"")</f>
        <v>369-S-L</v>
      </c>
      <c r="D12" s="21" t="n">
        <f aca="false">SUMIFS('CEMI Raw'!$C$6:$C$1018,'CEMI Raw'!$E$6:$E$1018,$A12,'CEMI Raw'!$B$6:$B$1018,2025)</f>
        <v>328</v>
      </c>
      <c r="E12" s="22" t="n">
        <f aca="false">SUMIFS('CEMI Raw'!$D$6:$D$1018,'CEMI Raw'!$E$6:$E$1018,$A12,'CEMI Raw'!$B$6:$B$1018,2025)</f>
        <v>7458.3</v>
      </c>
      <c r="F12" s="21" t="n">
        <f aca="false">SUMIFS('CEMI Raw'!$C$6:$C$1018,'CEMI Raw'!$E$6:$E$1018,$A12,'CEMI Raw'!$B$6:$B$1018,2026)</f>
        <v>246</v>
      </c>
      <c r="G12" s="22" t="n">
        <f aca="false">SUMIFS('CEMI Raw'!$D$6:$D$1018,'CEMI Raw'!$E$6:$E$1018,$A12,'CEMI Raw'!$B$6:$B$1018,2026)</f>
        <v>5653.1</v>
      </c>
      <c r="H12" s="21" t="n">
        <f aca="false">SUMIFS('SALES Raw'!$C$6:$C$603,'SALES Raw'!$E$6:$E$603,$A12,'SALES Raw'!$B$6:$B$603,2025)</f>
        <v>9</v>
      </c>
      <c r="I12" s="22" t="n">
        <f aca="false">SUMIFS('SALES Raw'!$D$6:$D$603,'SALES Raw'!$E$6:$E$603,$A12,'SALES Raw'!$B$6:$B$603,2025)</f>
        <v>214.72</v>
      </c>
      <c r="J12" s="21" t="n">
        <f aca="false">SUMIFS('SALES Raw'!$C$6:$C$603,'SALES Raw'!$E$6:$E$603,$A12,'SALES Raw'!$B$6:$B$603,2026)</f>
        <v>11</v>
      </c>
      <c r="K12" s="22" t="n">
        <f aca="false">SUMIFS('SALES Raw'!$D$6:$D$603,'SALES Raw'!$E$6:$E$603,$A12,'SALES Raw'!$B$6:$B$603,2026)</f>
        <v>262.44</v>
      </c>
      <c r="L12" s="21" t="n">
        <f aca="false">D12+H12</f>
        <v>337</v>
      </c>
      <c r="M12" s="22" t="n">
        <f aca="false">E12+I12</f>
        <v>7673.02</v>
      </c>
      <c r="N12" s="21" t="n">
        <f aca="false">F12+J12</f>
        <v>257</v>
      </c>
      <c r="O12" s="22" t="n">
        <f aca="false">G12+K12</f>
        <v>5915.54</v>
      </c>
    </row>
    <row r="13" customFormat="false" ht="15" hidden="false" customHeight="false" outlineLevel="0" collapsed="false">
      <c r="A13" s="20" t="n">
        <v>4401001</v>
      </c>
      <c r="B13" s="20" t="str">
        <f aca="false">IFERROR(INDEX('Catalog'!$B:$B,MATCH($A13,'Catalog'!$A:$A,0)),"")</f>
        <v>369   XL אצבעון מסיליקון יחידה</v>
      </c>
      <c r="C13" s="20" t="str">
        <f aca="false">IFERROR(INDEX('TRANS'!$A:$A,MATCH($A13,'TRANS'!$B:$B,0)),"")</f>
        <v>369-XL</v>
      </c>
      <c r="D13" s="21" t="n">
        <f aca="false">SUMIFS('CEMI Raw'!$C$6:$C$1018,'CEMI Raw'!$E$6:$E$1018,$A13,'CEMI Raw'!$B$6:$B$1018,2025)</f>
        <v>415</v>
      </c>
      <c r="E13" s="22" t="n">
        <f aca="false">SUMIFS('CEMI Raw'!$D$6:$D$1018,'CEMI Raw'!$E$6:$E$1018,$A13,'CEMI Raw'!$B$6:$B$1018,2025)</f>
        <v>10264.8</v>
      </c>
      <c r="F13" s="21" t="n">
        <f aca="false">SUMIFS('CEMI Raw'!$C$6:$C$1018,'CEMI Raw'!$E$6:$E$1018,$A13,'CEMI Raw'!$B$6:$B$1018,2026)</f>
        <v>288</v>
      </c>
      <c r="G13" s="22" t="n">
        <f aca="false">SUMIFS('CEMI Raw'!$D$6:$D$1018,'CEMI Raw'!$E$6:$E$1018,$A13,'CEMI Raw'!$B$6:$B$1018,2026)</f>
        <v>7178.1</v>
      </c>
      <c r="H13" s="21" t="n">
        <f aca="false">SUMIFS('SALES Raw'!$C$6:$C$603,'SALES Raw'!$E$6:$E$603,$A13,'SALES Raw'!$B$6:$B$603,2025)</f>
        <v>17</v>
      </c>
      <c r="I13" s="22" t="n">
        <f aca="false">SUMIFS('SALES Raw'!$D$6:$D$603,'SALES Raw'!$E$6:$E$603,$A13,'SALES Raw'!$B$6:$B$603,2025)</f>
        <v>445.35</v>
      </c>
      <c r="J13" s="21" t="n">
        <f aca="false">SUMIFS('SALES Raw'!$C$6:$C$603,'SALES Raw'!$E$6:$E$603,$A13,'SALES Raw'!$B$6:$B$603,2026)</f>
        <v>4</v>
      </c>
      <c r="K13" s="22" t="n">
        <f aca="false">SUMIFS('SALES Raw'!$D$6:$D$603,'SALES Raw'!$E$6:$E$603,$A13,'SALES Raw'!$B$6:$B$603,2026)</f>
        <v>104.79</v>
      </c>
      <c r="L13" s="21" t="n">
        <f aca="false">D13+H13</f>
        <v>432</v>
      </c>
      <c r="M13" s="22" t="n">
        <f aca="false">E13+I13</f>
        <v>10710.15</v>
      </c>
      <c r="N13" s="21" t="n">
        <f aca="false">F13+J13</f>
        <v>292</v>
      </c>
      <c r="O13" s="22" t="n">
        <f aca="false">G13+K13</f>
        <v>7282.89</v>
      </c>
    </row>
    <row r="14" customFormat="false" ht="15" hidden="false" customHeight="false" outlineLevel="0" collapsed="false">
      <c r="A14" s="20" t="n">
        <v>4401002</v>
      </c>
      <c r="B14" s="20" t="str">
        <f aca="false">IFERROR(INDEX('Catalog'!$B:$B,MATCH($A14,'Catalog'!$A:$A,0)),"")</f>
        <v>PD 344-אבן טבעית להסרת עור קשה</v>
      </c>
      <c r="C14" s="20" t="str">
        <f aca="false">IFERROR(INDEX('TRANS'!$A:$A,MATCH($A14,'TRANS'!$B:$B,0)),"")</f>
        <v>PD344 0</v>
      </c>
      <c r="D14" s="21" t="n">
        <f aca="false">SUMIFS('CEMI Raw'!$C$6:$C$1018,'CEMI Raw'!$E$6:$E$1018,$A14,'CEMI Raw'!$B$6:$B$1018,2025)</f>
        <v>261</v>
      </c>
      <c r="E14" s="22" t="n">
        <f aca="false">SUMIFS('CEMI Raw'!$D$6:$D$1018,'CEMI Raw'!$E$6:$E$1018,$A14,'CEMI Raw'!$B$6:$B$1018,2025)</f>
        <v>2230.9</v>
      </c>
      <c r="F14" s="21" t="n">
        <f aca="false">SUMIFS('CEMI Raw'!$C$6:$C$1018,'CEMI Raw'!$E$6:$E$1018,$A14,'CEMI Raw'!$B$6:$B$1018,2026)</f>
        <v>184</v>
      </c>
      <c r="G14" s="22" t="n">
        <f aca="false">SUMIFS('CEMI Raw'!$D$6:$D$1018,'CEMI Raw'!$E$6:$E$1018,$A14,'CEMI Raw'!$B$6:$B$1018,2026)</f>
        <v>1578.6</v>
      </c>
      <c r="H14" s="21" t="n">
        <f aca="false">SUMIFS('SALES Raw'!$C$6:$C$603,'SALES Raw'!$E$6:$E$603,$A14,'SALES Raw'!$B$6:$B$603,2025)</f>
        <v>5</v>
      </c>
      <c r="I14" s="22" t="n">
        <f aca="false">SUMIFS('SALES Raw'!$D$6:$D$603,'SALES Raw'!$E$6:$E$603,$A14,'SALES Raw'!$B$6:$B$603,2025)</f>
        <v>44.28</v>
      </c>
      <c r="J14" s="21" t="n">
        <f aca="false">SUMIFS('SALES Raw'!$C$6:$C$603,'SALES Raw'!$E$6:$E$603,$A14,'SALES Raw'!$B$6:$B$603,2026)</f>
        <v>0</v>
      </c>
      <c r="K14" s="22" t="n">
        <f aca="false">SUMIFS('SALES Raw'!$D$6:$D$603,'SALES Raw'!$E$6:$E$603,$A14,'SALES Raw'!$B$6:$B$603,2026)</f>
        <v>0</v>
      </c>
      <c r="L14" s="21" t="n">
        <f aca="false">D14+H14</f>
        <v>266</v>
      </c>
      <c r="M14" s="22" t="n">
        <f aca="false">E14+I14</f>
        <v>2275.18</v>
      </c>
      <c r="N14" s="21" t="n">
        <f aca="false">F14+J14</f>
        <v>184</v>
      </c>
      <c r="O14" s="22" t="n">
        <f aca="false">G14+K14</f>
        <v>1578.6</v>
      </c>
    </row>
    <row r="15" customFormat="false" ht="15" hidden="false" customHeight="false" outlineLevel="0" collapsed="false">
      <c r="A15" s="20" t="n">
        <v>4401011</v>
      </c>
      <c r="B15" s="20" t="str">
        <f aca="false">IFERROR(INDEX('Catalog'!$B:$B,MATCH($A15,'Catalog'!$A:$A,0)),"")</f>
        <v>805AT-Cאתלטיק טייפ בז' 20מ""מ20</v>
      </c>
      <c r="C15" s="20" t="str">
        <f aca="false">IFERROR(INDEX('TRANS'!$A:$A,MATCH($A15,'TRANS'!$B:$B,0)),"")</f>
        <v>805AT-C</v>
      </c>
      <c r="D15" s="21" t="n">
        <f aca="false">SUMIFS('CEMI Raw'!$C$6:$C$1018,'CEMI Raw'!$E$6:$E$1018,$A15,'CEMI Raw'!$B$6:$B$1018,2025)</f>
        <v>70</v>
      </c>
      <c r="E15" s="22" t="n">
        <f aca="false">SUMIFS('CEMI Raw'!$D$6:$D$1018,'CEMI Raw'!$E$6:$E$1018,$A15,'CEMI Raw'!$B$6:$B$1018,2025)</f>
        <v>1089.5</v>
      </c>
      <c r="F15" s="21" t="n">
        <f aca="false">SUMIFS('CEMI Raw'!$C$6:$C$1018,'CEMI Raw'!$E$6:$E$1018,$A15,'CEMI Raw'!$B$6:$B$1018,2026)</f>
        <v>48</v>
      </c>
      <c r="G15" s="22" t="n">
        <f aca="false">SUMIFS('CEMI Raw'!$D$6:$D$1018,'CEMI Raw'!$E$6:$E$1018,$A15,'CEMI Raw'!$B$6:$B$1018,2026)</f>
        <v>788.6</v>
      </c>
      <c r="H15" s="21" t="n">
        <f aca="false">SUMIFS('SALES Raw'!$C$6:$C$603,'SALES Raw'!$E$6:$E$603,$A15,'SALES Raw'!$B$6:$B$603,2025)</f>
        <v>2</v>
      </c>
      <c r="I15" s="22" t="n">
        <f aca="false">SUMIFS('SALES Raw'!$D$6:$D$603,'SALES Raw'!$E$6:$E$603,$A15,'SALES Raw'!$B$6:$B$603,2025)</f>
        <v>34.59</v>
      </c>
      <c r="J15" s="21" t="n">
        <f aca="false">SUMIFS('SALES Raw'!$C$6:$C$603,'SALES Raw'!$E$6:$E$603,$A15,'SALES Raw'!$B$6:$B$603,2026)</f>
        <v>1</v>
      </c>
      <c r="K15" s="22" t="n">
        <f aca="false">SUMIFS('SALES Raw'!$D$6:$D$603,'SALES Raw'!$E$6:$E$603,$A15,'SALES Raw'!$B$6:$B$603,2026)</f>
        <v>17.29</v>
      </c>
      <c r="L15" s="21" t="n">
        <f aca="false">D15+H15</f>
        <v>72</v>
      </c>
      <c r="M15" s="22" t="n">
        <f aca="false">E15+I15</f>
        <v>1124.09</v>
      </c>
      <c r="N15" s="21" t="n">
        <f aca="false">F15+J15</f>
        <v>49</v>
      </c>
      <c r="O15" s="22" t="n">
        <f aca="false">G15+K15</f>
        <v>805.89</v>
      </c>
    </row>
    <row r="16" customFormat="false" ht="15" hidden="false" customHeight="false" outlineLevel="0" collapsed="false">
      <c r="A16" s="20" t="n">
        <v>4401012</v>
      </c>
      <c r="B16" s="20" t="str">
        <f aca="false">IFERROR(INDEX('Catalog'!$B:$B,MATCH($A16,'Catalog'!$A:$A,0)),"")</f>
        <v>805AT-B אתלטיק טייפ שחור 20מ""מ</v>
      </c>
      <c r="C16" s="20" t="str">
        <f aca="false">IFERROR(INDEX('TRANS'!$A:$A,MATCH($A16,'TRANS'!$B:$B,0)),"")</f>
        <v>805AT-B</v>
      </c>
      <c r="D16" s="21" t="n">
        <f aca="false">SUMIFS('CEMI Raw'!$C$6:$C$1018,'CEMI Raw'!$E$6:$E$1018,$A16,'CEMI Raw'!$B$6:$B$1018,2025)</f>
        <v>20</v>
      </c>
      <c r="E16" s="22" t="n">
        <f aca="false">SUMIFS('CEMI Raw'!$D$6:$D$1018,'CEMI Raw'!$E$6:$E$1018,$A16,'CEMI Raw'!$B$6:$B$1018,2025)</f>
        <v>318.7</v>
      </c>
      <c r="F16" s="21" t="n">
        <f aca="false">SUMIFS('CEMI Raw'!$C$6:$C$1018,'CEMI Raw'!$E$6:$E$1018,$A16,'CEMI Raw'!$B$6:$B$1018,2026)</f>
        <v>21</v>
      </c>
      <c r="G16" s="22" t="n">
        <f aca="false">SUMIFS('CEMI Raw'!$D$6:$D$1018,'CEMI Raw'!$E$6:$E$1018,$A16,'CEMI Raw'!$B$6:$B$1018,2026)</f>
        <v>358.6</v>
      </c>
      <c r="H16" s="21" t="n">
        <f aca="false">SUMIFS('SALES Raw'!$C$6:$C$603,'SALES Raw'!$E$6:$E$603,$A16,'SALES Raw'!$B$6:$B$603,2025)</f>
        <v>0</v>
      </c>
      <c r="I16" s="22" t="n">
        <f aca="false">SUMIFS('SALES Raw'!$D$6:$D$603,'SALES Raw'!$E$6:$E$603,$A16,'SALES Raw'!$B$6:$B$603,2025)</f>
        <v>0</v>
      </c>
      <c r="J16" s="21" t="n">
        <f aca="false">SUMIFS('SALES Raw'!$C$6:$C$603,'SALES Raw'!$E$6:$E$603,$A16,'SALES Raw'!$B$6:$B$603,2026)</f>
        <v>0</v>
      </c>
      <c r="K16" s="22" t="n">
        <f aca="false">SUMIFS('SALES Raw'!$D$6:$D$603,'SALES Raw'!$E$6:$E$603,$A16,'SALES Raw'!$B$6:$B$603,2026)</f>
        <v>0</v>
      </c>
      <c r="L16" s="21" t="n">
        <f aca="false">D16+H16</f>
        <v>20</v>
      </c>
      <c r="M16" s="22" t="n">
        <f aca="false">E16+I16</f>
        <v>318.7</v>
      </c>
      <c r="N16" s="21" t="n">
        <f aca="false">F16+J16</f>
        <v>21</v>
      </c>
      <c r="O16" s="22" t="n">
        <f aca="false">G16+K16</f>
        <v>358.6</v>
      </c>
    </row>
    <row r="17" customFormat="false" ht="15" hidden="false" customHeight="false" outlineLevel="0" collapsed="false">
      <c r="A17" s="20" t="n">
        <v>4401013</v>
      </c>
      <c r="B17" s="20" t="str">
        <f aca="false">IFERROR(INDEX('Catalog'!$B:$B,MATCH($A17,'Catalog'!$A:$A,0)),"")</f>
        <v>805AT-BLאתלטיק טייפ כחול 20מ""מ</v>
      </c>
      <c r="C17" s="20" t="str">
        <f aca="false">IFERROR(INDEX('TRANS'!$A:$A,MATCH($A17,'TRANS'!$B:$B,0)),"")</f>
        <v>805AT-BL</v>
      </c>
      <c r="D17" s="21" t="n">
        <f aca="false">SUMIFS('CEMI Raw'!$C$6:$C$1018,'CEMI Raw'!$E$6:$E$1018,$A17,'CEMI Raw'!$B$6:$B$1018,2025)</f>
        <v>19</v>
      </c>
      <c r="E17" s="22" t="n">
        <f aca="false">SUMIFS('CEMI Raw'!$D$6:$D$1018,'CEMI Raw'!$E$6:$E$1018,$A17,'CEMI Raw'!$B$6:$B$1018,2025)</f>
        <v>301.4</v>
      </c>
      <c r="F17" s="21" t="n">
        <f aca="false">SUMIFS('CEMI Raw'!$C$6:$C$1018,'CEMI Raw'!$E$6:$E$1018,$A17,'CEMI Raw'!$B$6:$B$1018,2026)</f>
        <v>19</v>
      </c>
      <c r="G17" s="22" t="n">
        <f aca="false">SUMIFS('CEMI Raw'!$D$6:$D$1018,'CEMI Raw'!$E$6:$E$1018,$A17,'CEMI Raw'!$B$6:$B$1018,2026)</f>
        <v>319.4</v>
      </c>
      <c r="H17" s="21" t="n">
        <f aca="false">SUMIFS('SALES Raw'!$C$6:$C$603,'SALES Raw'!$E$6:$E$603,$A17,'SALES Raw'!$B$6:$B$603,2025)</f>
        <v>0</v>
      </c>
      <c r="I17" s="22" t="n">
        <f aca="false">SUMIFS('SALES Raw'!$D$6:$D$603,'SALES Raw'!$E$6:$E$603,$A17,'SALES Raw'!$B$6:$B$603,2025)</f>
        <v>0</v>
      </c>
      <c r="J17" s="21" t="n">
        <f aca="false">SUMIFS('SALES Raw'!$C$6:$C$603,'SALES Raw'!$E$6:$E$603,$A17,'SALES Raw'!$B$6:$B$603,2026)</f>
        <v>0</v>
      </c>
      <c r="K17" s="22" t="n">
        <f aca="false">SUMIFS('SALES Raw'!$D$6:$D$603,'SALES Raw'!$E$6:$E$603,$A17,'SALES Raw'!$B$6:$B$603,2026)</f>
        <v>0</v>
      </c>
      <c r="L17" s="21" t="n">
        <f aca="false">D17+H17</f>
        <v>19</v>
      </c>
      <c r="M17" s="22" t="n">
        <f aca="false">E17+I17</f>
        <v>301.4</v>
      </c>
      <c r="N17" s="21" t="n">
        <f aca="false">F17+J17</f>
        <v>19</v>
      </c>
      <c r="O17" s="22" t="n">
        <f aca="false">G17+K17</f>
        <v>319.4</v>
      </c>
    </row>
    <row r="18" customFormat="false" ht="15" hidden="false" customHeight="false" outlineLevel="0" collapsed="false">
      <c r="A18" s="20" t="n">
        <v>4401014</v>
      </c>
      <c r="B18" s="20" t="str">
        <f aca="false">IFERROR(INDEX('Catalog'!$B:$B,MATCH($A18,'Catalog'!$A:$A,0)),"")</f>
        <v>805AT-W  אתלטיק טייפ לבן 20מ""מ</v>
      </c>
      <c r="C18" s="20" t="str">
        <f aca="false">IFERROR(INDEX('TRANS'!$A:$A,MATCH($A18,'TRANS'!$B:$B,0)),"")</f>
        <v>805AT-W</v>
      </c>
      <c r="D18" s="21" t="n">
        <f aca="false">SUMIFS('CEMI Raw'!$C$6:$C$1018,'CEMI Raw'!$E$6:$E$1018,$A18,'CEMI Raw'!$B$6:$B$1018,2025)</f>
        <v>47</v>
      </c>
      <c r="E18" s="22" t="n">
        <f aca="false">SUMIFS('CEMI Raw'!$D$6:$D$1018,'CEMI Raw'!$E$6:$E$1018,$A18,'CEMI Raw'!$B$6:$B$1018,2025)</f>
        <v>719.1</v>
      </c>
      <c r="F18" s="21" t="n">
        <f aca="false">SUMIFS('CEMI Raw'!$C$6:$C$1018,'CEMI Raw'!$E$6:$E$1018,$A18,'CEMI Raw'!$B$6:$B$1018,2026)</f>
        <v>41</v>
      </c>
      <c r="G18" s="22" t="n">
        <f aca="false">SUMIFS('CEMI Raw'!$D$6:$D$1018,'CEMI Raw'!$E$6:$E$1018,$A18,'CEMI Raw'!$B$6:$B$1018,2026)</f>
        <v>665.2</v>
      </c>
      <c r="H18" s="21" t="n">
        <f aca="false">SUMIFS('SALES Raw'!$C$6:$C$603,'SALES Raw'!$E$6:$E$603,$A18,'SALES Raw'!$B$6:$B$603,2025)</f>
        <v>2</v>
      </c>
      <c r="I18" s="22" t="n">
        <f aca="false">SUMIFS('SALES Raw'!$D$6:$D$603,'SALES Raw'!$E$6:$E$603,$A18,'SALES Raw'!$B$6:$B$603,2025)</f>
        <v>34.59</v>
      </c>
      <c r="J18" s="21" t="n">
        <f aca="false">SUMIFS('SALES Raw'!$C$6:$C$603,'SALES Raw'!$E$6:$E$603,$A18,'SALES Raw'!$B$6:$B$603,2026)</f>
        <v>0</v>
      </c>
      <c r="K18" s="22" t="n">
        <f aca="false">SUMIFS('SALES Raw'!$D$6:$D$603,'SALES Raw'!$E$6:$E$603,$A18,'SALES Raw'!$B$6:$B$603,2026)</f>
        <v>0</v>
      </c>
      <c r="L18" s="21" t="n">
        <f aca="false">D18+H18</f>
        <v>49</v>
      </c>
      <c r="M18" s="22" t="n">
        <f aca="false">E18+I18</f>
        <v>753.69</v>
      </c>
      <c r="N18" s="21" t="n">
        <f aca="false">F18+J18</f>
        <v>41</v>
      </c>
      <c r="O18" s="22" t="n">
        <f aca="false">G18+K18</f>
        <v>665.2</v>
      </c>
    </row>
    <row r="19" customFormat="false" ht="15" hidden="false" customHeight="false" outlineLevel="0" collapsed="false">
      <c r="A19" s="20" t="n">
        <v>4402000</v>
      </c>
      <c r="B19" s="20" t="str">
        <f aca="false">IFERROR(INDEX('Catalog'!$B:$B,MATCH($A19,'Catalog'!$A:$A,0)),"")</f>
        <v>363  בננה לתמיכת אצבעות ז.כרית</v>
      </c>
      <c r="C19" s="20" t="str">
        <f aca="false">IFERROR(INDEX('TRANS'!$A:$A,MATCH($A19,'TRANS'!$B:$B,0)),"")</f>
        <v>363-L-R</v>
      </c>
      <c r="D19" s="21" t="n">
        <f aca="false">SUMIFS('CEMI Raw'!$C$6:$C$1018,'CEMI Raw'!$E$6:$E$1018,$A19,'CEMI Raw'!$B$6:$B$1018,2025)</f>
        <v>124</v>
      </c>
      <c r="E19" s="22" t="n">
        <f aca="false">SUMIFS('CEMI Raw'!$D$6:$D$1018,'CEMI Raw'!$E$6:$E$1018,$A19,'CEMI Raw'!$B$6:$B$1018,2025)</f>
        <v>3220.9</v>
      </c>
      <c r="F19" s="21" t="n">
        <f aca="false">SUMIFS('CEMI Raw'!$C$6:$C$1018,'CEMI Raw'!$E$6:$E$1018,$A19,'CEMI Raw'!$B$6:$B$1018,2026)</f>
        <v>105</v>
      </c>
      <c r="G19" s="22" t="n">
        <f aca="false">SUMIFS('CEMI Raw'!$D$6:$D$1018,'CEMI Raw'!$E$6:$E$1018,$A19,'CEMI Raw'!$B$6:$B$1018,2026)</f>
        <v>2749.1</v>
      </c>
      <c r="H19" s="21" t="n">
        <f aca="false">SUMIFS('SALES Raw'!$C$6:$C$603,'SALES Raw'!$E$6:$E$603,$A19,'SALES Raw'!$B$6:$B$603,2025)</f>
        <v>0</v>
      </c>
      <c r="I19" s="22" t="n">
        <f aca="false">SUMIFS('SALES Raw'!$D$6:$D$603,'SALES Raw'!$E$6:$E$603,$A19,'SALES Raw'!$B$6:$B$603,2025)</f>
        <v>0</v>
      </c>
      <c r="J19" s="21" t="n">
        <f aca="false">SUMIFS('SALES Raw'!$C$6:$C$603,'SALES Raw'!$E$6:$E$603,$A19,'SALES Raw'!$B$6:$B$603,2026)</f>
        <v>0</v>
      </c>
      <c r="K19" s="22" t="n">
        <f aca="false">SUMIFS('SALES Raw'!$D$6:$D$603,'SALES Raw'!$E$6:$E$603,$A19,'SALES Raw'!$B$6:$B$603,2026)</f>
        <v>0</v>
      </c>
      <c r="L19" s="21" t="n">
        <f aca="false">D19+H19</f>
        <v>124</v>
      </c>
      <c r="M19" s="22" t="n">
        <f aca="false">E19+I19</f>
        <v>3220.9</v>
      </c>
      <c r="N19" s="21" t="n">
        <f aca="false">F19+J19</f>
        <v>105</v>
      </c>
      <c r="O19" s="22" t="n">
        <f aca="false">G19+K19</f>
        <v>2749.1</v>
      </c>
    </row>
    <row r="20" customFormat="false" ht="15" hidden="false" customHeight="false" outlineLevel="0" collapsed="false">
      <c r="A20" s="20" t="n">
        <v>4402007</v>
      </c>
      <c r="B20" s="20" t="str">
        <f aca="false">IFERROR(INDEX('Catalog'!$B:$B,MATCH($A20,'Catalog'!$A:$A,0)),"")</f>
        <v>320 בליסטר פלסטר</v>
      </c>
      <c r="C20" s="20" t="str">
        <f aca="false">IFERROR(INDEX('TRANS'!$A:$A,MATCH($A20,'TRANS'!$B:$B,0)),"")</f>
        <v>320 0</v>
      </c>
      <c r="D20" s="21" t="n">
        <f aca="false">SUMIFS('CEMI Raw'!$C$6:$C$1018,'CEMI Raw'!$E$6:$E$1018,$A20,'CEMI Raw'!$B$6:$B$1018,2025)</f>
        <v>343</v>
      </c>
      <c r="E20" s="22" t="n">
        <f aca="false">SUMIFS('CEMI Raw'!$D$6:$D$1018,'CEMI Raw'!$E$6:$E$1018,$A20,'CEMI Raw'!$B$6:$B$1018,2025)</f>
        <v>6288.6</v>
      </c>
      <c r="F20" s="21" t="n">
        <f aca="false">SUMIFS('CEMI Raw'!$C$6:$C$1018,'CEMI Raw'!$E$6:$E$1018,$A20,'CEMI Raw'!$B$6:$B$1018,2026)</f>
        <v>222</v>
      </c>
      <c r="G20" s="22" t="n">
        <f aca="false">SUMIFS('CEMI Raw'!$D$6:$D$1018,'CEMI Raw'!$E$6:$E$1018,$A20,'CEMI Raw'!$B$6:$B$1018,2026)</f>
        <v>4074.7</v>
      </c>
      <c r="H20" s="21" t="n">
        <f aca="false">SUMIFS('SALES Raw'!$C$6:$C$603,'SALES Raw'!$E$6:$E$603,$A20,'SALES Raw'!$B$6:$B$603,2025)</f>
        <v>13</v>
      </c>
      <c r="I20" s="22" t="n">
        <f aca="false">SUMIFS('SALES Raw'!$D$6:$D$603,'SALES Raw'!$E$6:$E$603,$A20,'SALES Raw'!$B$6:$B$603,2025)</f>
        <v>250.66</v>
      </c>
      <c r="J20" s="21" t="n">
        <f aca="false">SUMIFS('SALES Raw'!$C$6:$C$603,'SALES Raw'!$E$6:$E$603,$A20,'SALES Raw'!$B$6:$B$603,2026)</f>
        <v>5</v>
      </c>
      <c r="K20" s="22" t="n">
        <f aca="false">SUMIFS('SALES Raw'!$D$6:$D$603,'SALES Raw'!$E$6:$E$603,$A20,'SALES Raw'!$B$6:$B$603,2026)</f>
        <v>98.2</v>
      </c>
      <c r="L20" s="21" t="n">
        <f aca="false">D20+H20</f>
        <v>356</v>
      </c>
      <c r="M20" s="22" t="n">
        <f aca="false">E20+I20</f>
        <v>6539.26</v>
      </c>
      <c r="N20" s="21" t="n">
        <f aca="false">F20+J20</f>
        <v>227</v>
      </c>
      <c r="O20" s="22" t="n">
        <f aca="false">G20+K20</f>
        <v>4172.9</v>
      </c>
    </row>
    <row r="21" customFormat="false" ht="15" hidden="false" customHeight="false" outlineLevel="0" collapsed="false">
      <c r="A21" s="20" t="n">
        <v>4403000</v>
      </c>
      <c r="B21" s="20" t="str">
        <f aca="false">IFERROR(INDEX('Catalog'!$B:$B,MATCH($A21,'Catalog'!$A:$A,0)),"")</f>
        <v>390B גרב.כסף לסכרתים שחור35-38</v>
      </c>
      <c r="C21" s="20" t="str">
        <f aca="false">IFERROR(INDEX('TRANS'!$A:$A,MATCH($A21,'TRANS'!$B:$B,0)),"")</f>
        <v>390B-35-38</v>
      </c>
      <c r="D21" s="21" t="n">
        <f aca="false">SUMIFS('CEMI Raw'!$C$6:$C$1018,'CEMI Raw'!$E$6:$E$1018,$A21,'CEMI Raw'!$B$6:$B$1018,2025)</f>
        <v>21</v>
      </c>
      <c r="E21" s="22" t="n">
        <f aca="false">SUMIFS('CEMI Raw'!$D$6:$D$1018,'CEMI Raw'!$E$6:$E$1018,$A21,'CEMI Raw'!$B$6:$B$1018,2025)</f>
        <v>614.1</v>
      </c>
      <c r="F21" s="21" t="n">
        <f aca="false">SUMIFS('CEMI Raw'!$C$6:$C$1018,'CEMI Raw'!$E$6:$E$1018,$A21,'CEMI Raw'!$B$6:$B$1018,2026)</f>
        <v>11</v>
      </c>
      <c r="G21" s="22" t="n">
        <f aca="false">SUMIFS('CEMI Raw'!$D$6:$D$1018,'CEMI Raw'!$E$6:$E$1018,$A21,'CEMI Raw'!$B$6:$B$1018,2026)</f>
        <v>360.4</v>
      </c>
      <c r="H21" s="21" t="n">
        <f aca="false">SUMIFS('SALES Raw'!$C$6:$C$603,'SALES Raw'!$E$6:$E$603,$A21,'SALES Raw'!$B$6:$B$603,2025)</f>
        <v>0</v>
      </c>
      <c r="I21" s="22" t="n">
        <f aca="false">SUMIFS('SALES Raw'!$D$6:$D$603,'SALES Raw'!$E$6:$E$603,$A21,'SALES Raw'!$B$6:$B$603,2025)</f>
        <v>0</v>
      </c>
      <c r="J21" s="21" t="n">
        <f aca="false">SUMIFS('SALES Raw'!$C$6:$C$603,'SALES Raw'!$E$6:$E$603,$A21,'SALES Raw'!$B$6:$B$603,2026)</f>
        <v>0</v>
      </c>
      <c r="K21" s="22" t="n">
        <f aca="false">SUMIFS('SALES Raw'!$D$6:$D$603,'SALES Raw'!$E$6:$E$603,$A21,'SALES Raw'!$B$6:$B$603,2026)</f>
        <v>0</v>
      </c>
      <c r="L21" s="21" t="n">
        <f aca="false">D21+H21</f>
        <v>21</v>
      </c>
      <c r="M21" s="22" t="n">
        <f aca="false">E21+I21</f>
        <v>614.1</v>
      </c>
      <c r="N21" s="21" t="n">
        <f aca="false">F21+J21</f>
        <v>11</v>
      </c>
      <c r="O21" s="22" t="n">
        <f aca="false">G21+K21</f>
        <v>360.4</v>
      </c>
    </row>
    <row r="22" customFormat="false" ht="15" hidden="false" customHeight="false" outlineLevel="0" collapsed="false">
      <c r="A22" s="20" t="n">
        <v>4403001</v>
      </c>
      <c r="B22" s="20" t="str">
        <f aca="false">IFERROR(INDEX('Catalog'!$B:$B,MATCH($A22,'Catalog'!$A:$A,0)),"")</f>
        <v>390B 39-42.גרב.כסף לסכרתיים שח</v>
      </c>
      <c r="C22" s="20" t="str">
        <f aca="false">IFERROR(INDEX('TRANS'!$A:$A,MATCH($A22,'TRANS'!$B:$B,0)),"")</f>
        <v>390B-39-42</v>
      </c>
      <c r="D22" s="21" t="n">
        <f aca="false">SUMIFS('CEMI Raw'!$C$6:$C$1018,'CEMI Raw'!$E$6:$E$1018,$A22,'CEMI Raw'!$B$6:$B$1018,2025)</f>
        <v>42</v>
      </c>
      <c r="E22" s="22" t="n">
        <f aca="false">SUMIFS('CEMI Raw'!$D$6:$D$1018,'CEMI Raw'!$E$6:$E$1018,$A22,'CEMI Raw'!$B$6:$B$1018,2025)</f>
        <v>1277.4</v>
      </c>
      <c r="F22" s="21" t="n">
        <f aca="false">SUMIFS('CEMI Raw'!$C$6:$C$1018,'CEMI Raw'!$E$6:$E$1018,$A22,'CEMI Raw'!$B$6:$B$1018,2026)</f>
        <v>15</v>
      </c>
      <c r="G22" s="22" t="n">
        <f aca="false">SUMIFS('CEMI Raw'!$D$6:$D$1018,'CEMI Raw'!$E$6:$E$1018,$A22,'CEMI Raw'!$B$6:$B$1018,2026)</f>
        <v>507.9</v>
      </c>
      <c r="H22" s="21" t="n">
        <f aca="false">SUMIFS('SALES Raw'!$C$6:$C$603,'SALES Raw'!$E$6:$E$603,$A22,'SALES Raw'!$B$6:$B$603,2025)</f>
        <v>0</v>
      </c>
      <c r="I22" s="22" t="n">
        <f aca="false">SUMIFS('SALES Raw'!$D$6:$D$603,'SALES Raw'!$E$6:$E$603,$A22,'SALES Raw'!$B$6:$B$603,2025)</f>
        <v>0</v>
      </c>
      <c r="J22" s="21" t="n">
        <f aca="false">SUMIFS('SALES Raw'!$C$6:$C$603,'SALES Raw'!$E$6:$E$603,$A22,'SALES Raw'!$B$6:$B$603,2026)</f>
        <v>0</v>
      </c>
      <c r="K22" s="22" t="n">
        <f aca="false">SUMIFS('SALES Raw'!$D$6:$D$603,'SALES Raw'!$E$6:$E$603,$A22,'SALES Raw'!$B$6:$B$603,2026)</f>
        <v>0</v>
      </c>
      <c r="L22" s="21" t="n">
        <f aca="false">D22+H22</f>
        <v>42</v>
      </c>
      <c r="M22" s="22" t="n">
        <f aca="false">E22+I22</f>
        <v>1277.4</v>
      </c>
      <c r="N22" s="21" t="n">
        <f aca="false">F22+J22</f>
        <v>15</v>
      </c>
      <c r="O22" s="22" t="n">
        <f aca="false">G22+K22</f>
        <v>507.9</v>
      </c>
    </row>
    <row r="23" customFormat="false" ht="15" hidden="false" customHeight="false" outlineLevel="0" collapsed="false">
      <c r="A23" s="20" t="n">
        <v>4403002</v>
      </c>
      <c r="B23" s="20" t="str">
        <f aca="false">IFERROR(INDEX('Catalog'!$B:$B,MATCH($A23,'Catalog'!$A:$A,0)),"")</f>
        <v>390B 43-46.גרב.כסף לסכרתיים שח</v>
      </c>
      <c r="C23" s="20" t="str">
        <f aca="false">IFERROR(INDEX('TRANS'!$A:$A,MATCH($A23,'TRANS'!$B:$B,0)),"")</f>
        <v>390B-43-46</v>
      </c>
      <c r="D23" s="21" t="n">
        <f aca="false">SUMIFS('CEMI Raw'!$C$6:$C$1018,'CEMI Raw'!$E$6:$E$1018,$A23,'CEMI Raw'!$B$6:$B$1018,2025)</f>
        <v>73</v>
      </c>
      <c r="E23" s="22" t="n">
        <f aca="false">SUMIFS('CEMI Raw'!$D$6:$D$1018,'CEMI Raw'!$E$6:$E$1018,$A23,'CEMI Raw'!$B$6:$B$1018,2025)</f>
        <v>2296</v>
      </c>
      <c r="F23" s="21" t="n">
        <f aca="false">SUMIFS('CEMI Raw'!$C$6:$C$1018,'CEMI Raw'!$E$6:$E$1018,$A23,'CEMI Raw'!$B$6:$B$1018,2026)</f>
        <v>23</v>
      </c>
      <c r="G23" s="22" t="n">
        <f aca="false">SUMIFS('CEMI Raw'!$D$6:$D$1018,'CEMI Raw'!$E$6:$E$1018,$A23,'CEMI Raw'!$B$6:$B$1018,2026)</f>
        <v>763</v>
      </c>
      <c r="H23" s="21" t="n">
        <f aca="false">SUMIFS('SALES Raw'!$C$6:$C$603,'SALES Raw'!$E$6:$E$603,$A23,'SALES Raw'!$B$6:$B$603,2025)</f>
        <v>5</v>
      </c>
      <c r="I23" s="22" t="n">
        <f aca="false">SUMIFS('SALES Raw'!$D$6:$D$603,'SALES Raw'!$E$6:$E$603,$A23,'SALES Raw'!$B$6:$B$603,2025)</f>
        <v>135</v>
      </c>
      <c r="J23" s="21" t="n">
        <f aca="false">SUMIFS('SALES Raw'!$C$6:$C$603,'SALES Raw'!$E$6:$E$603,$A23,'SALES Raw'!$B$6:$B$603,2026)</f>
        <v>0</v>
      </c>
      <c r="K23" s="22" t="n">
        <f aca="false">SUMIFS('SALES Raw'!$D$6:$D$603,'SALES Raw'!$E$6:$E$603,$A23,'SALES Raw'!$B$6:$B$603,2026)</f>
        <v>0</v>
      </c>
      <c r="L23" s="21" t="n">
        <f aca="false">D23+H23</f>
        <v>78</v>
      </c>
      <c r="M23" s="22" t="n">
        <f aca="false">E23+I23</f>
        <v>2431</v>
      </c>
      <c r="N23" s="21" t="n">
        <f aca="false">F23+J23</f>
        <v>23</v>
      </c>
      <c r="O23" s="22" t="n">
        <f aca="false">G23+K23</f>
        <v>763</v>
      </c>
    </row>
    <row r="24" customFormat="false" ht="15" hidden="false" customHeight="false" outlineLevel="0" collapsed="false">
      <c r="A24" s="20" t="n">
        <v>4403003</v>
      </c>
      <c r="B24" s="20" t="str">
        <f aca="false">IFERROR(INDEX('Catalog'!$B:$B,MATCH($A24,'Catalog'!$A:$A,0)),"")</f>
        <v>390G ג.כסף לסכרתיים אפור35-38</v>
      </c>
      <c r="C24" s="20" t="str">
        <f aca="false">IFERROR(INDEX('TRANS'!$A:$A,MATCH($A24,'TRANS'!$B:$B,0)),"")</f>
        <v>390G-35-38</v>
      </c>
      <c r="D24" s="21" t="n">
        <f aca="false">SUMIFS('CEMI Raw'!$C$6:$C$1018,'CEMI Raw'!$E$6:$E$1018,$A24,'CEMI Raw'!$B$6:$B$1018,2025)</f>
        <v>2</v>
      </c>
      <c r="E24" s="22" t="n">
        <f aca="false">SUMIFS('CEMI Raw'!$D$6:$D$1018,'CEMI Raw'!$E$6:$E$1018,$A24,'CEMI Raw'!$B$6:$B$1018,2025)</f>
        <v>51</v>
      </c>
      <c r="F24" s="21" t="n">
        <f aca="false">SUMIFS('CEMI Raw'!$C$6:$C$1018,'CEMI Raw'!$E$6:$E$1018,$A24,'CEMI Raw'!$B$6:$B$1018,2026)</f>
        <v>11</v>
      </c>
      <c r="G24" s="22" t="n">
        <f aca="false">SUMIFS('CEMI Raw'!$D$6:$D$1018,'CEMI Raw'!$E$6:$E$1018,$A24,'CEMI Raw'!$B$6:$B$1018,2026)</f>
        <v>376.8</v>
      </c>
      <c r="H24" s="21" t="n">
        <f aca="false">SUMIFS('SALES Raw'!$C$6:$C$603,'SALES Raw'!$E$6:$E$603,$A24,'SALES Raw'!$B$6:$B$603,2025)</f>
        <v>0</v>
      </c>
      <c r="I24" s="22" t="n">
        <f aca="false">SUMIFS('SALES Raw'!$D$6:$D$603,'SALES Raw'!$E$6:$E$603,$A24,'SALES Raw'!$B$6:$B$603,2025)</f>
        <v>0</v>
      </c>
      <c r="J24" s="21" t="n">
        <f aca="false">SUMIFS('SALES Raw'!$C$6:$C$603,'SALES Raw'!$E$6:$E$603,$A24,'SALES Raw'!$B$6:$B$603,2026)</f>
        <v>0</v>
      </c>
      <c r="K24" s="22" t="n">
        <f aca="false">SUMIFS('SALES Raw'!$D$6:$D$603,'SALES Raw'!$E$6:$E$603,$A24,'SALES Raw'!$B$6:$B$603,2026)</f>
        <v>0</v>
      </c>
      <c r="L24" s="21" t="n">
        <f aca="false">D24+H24</f>
        <v>2</v>
      </c>
      <c r="M24" s="22" t="n">
        <f aca="false">E24+I24</f>
        <v>51</v>
      </c>
      <c r="N24" s="21" t="n">
        <f aca="false">F24+J24</f>
        <v>11</v>
      </c>
      <c r="O24" s="22" t="n">
        <f aca="false">G24+K24</f>
        <v>376.8</v>
      </c>
    </row>
    <row r="25" customFormat="false" ht="15" hidden="false" customHeight="false" outlineLevel="0" collapsed="false">
      <c r="A25" s="20" t="n">
        <v>4403004</v>
      </c>
      <c r="B25" s="20" t="str">
        <f aca="false">IFERROR(INDEX('Catalog'!$B:$B,MATCH($A25,'Catalog'!$A:$A,0)),"")</f>
        <v>390G 39-42.גרב.כסף לסכרתיים אפ</v>
      </c>
      <c r="C25" s="20" t="str">
        <f aca="false">IFERROR(INDEX('TRANS'!$A:$A,MATCH($A25,'TRANS'!$B:$B,0)),"")</f>
        <v/>
      </c>
      <c r="D25" s="21" t="n">
        <f aca="false">SUMIFS('CEMI Raw'!$C$6:$C$1018,'CEMI Raw'!$E$6:$E$1018,$A25,'CEMI Raw'!$B$6:$B$1018,2025)</f>
        <v>16</v>
      </c>
      <c r="E25" s="22" t="n">
        <f aca="false">SUMIFS('CEMI Raw'!$D$6:$D$1018,'CEMI Raw'!$E$6:$E$1018,$A25,'CEMI Raw'!$B$6:$B$1018,2025)</f>
        <v>549.5</v>
      </c>
      <c r="F25" s="21" t="n">
        <f aca="false">SUMIFS('CEMI Raw'!$C$6:$C$1018,'CEMI Raw'!$E$6:$E$1018,$A25,'CEMI Raw'!$B$6:$B$1018,2026)</f>
        <v>4</v>
      </c>
      <c r="G25" s="22" t="n">
        <f aca="false">SUMIFS('CEMI Raw'!$D$6:$D$1018,'CEMI Raw'!$E$6:$E$1018,$A25,'CEMI Raw'!$B$6:$B$1018,2026)</f>
        <v>140.4</v>
      </c>
      <c r="H25" s="21" t="n">
        <f aca="false">SUMIFS('SALES Raw'!$C$6:$C$603,'SALES Raw'!$E$6:$E$603,$A25,'SALES Raw'!$B$6:$B$603,2025)</f>
        <v>0</v>
      </c>
      <c r="I25" s="22" t="n">
        <f aca="false">SUMIFS('SALES Raw'!$D$6:$D$603,'SALES Raw'!$E$6:$E$603,$A25,'SALES Raw'!$B$6:$B$603,2025)</f>
        <v>0</v>
      </c>
      <c r="J25" s="21" t="n">
        <f aca="false">SUMIFS('SALES Raw'!$C$6:$C$603,'SALES Raw'!$E$6:$E$603,$A25,'SALES Raw'!$B$6:$B$603,2026)</f>
        <v>0</v>
      </c>
      <c r="K25" s="22" t="n">
        <f aca="false">SUMIFS('SALES Raw'!$D$6:$D$603,'SALES Raw'!$E$6:$E$603,$A25,'SALES Raw'!$B$6:$B$603,2026)</f>
        <v>0</v>
      </c>
      <c r="L25" s="21" t="n">
        <f aca="false">D25+H25</f>
        <v>16</v>
      </c>
      <c r="M25" s="22" t="n">
        <f aca="false">E25+I25</f>
        <v>549.5</v>
      </c>
      <c r="N25" s="21" t="n">
        <f aca="false">F25+J25</f>
        <v>4</v>
      </c>
      <c r="O25" s="22" t="n">
        <f aca="false">G25+K25</f>
        <v>140.4</v>
      </c>
    </row>
    <row r="26" customFormat="false" ht="15" hidden="false" customHeight="false" outlineLevel="0" collapsed="false">
      <c r="A26" s="20" t="n">
        <v>4403005</v>
      </c>
      <c r="B26" s="20" t="str">
        <f aca="false">IFERROR(INDEX('Catalog'!$B:$B,MATCH($A26,'Catalog'!$A:$A,0)),"")</f>
        <v>G390.43-46 גרבי כסף לסכרת מידה</v>
      </c>
      <c r="C26" s="20" t="str">
        <f aca="false">IFERROR(INDEX('TRANS'!$A:$A,MATCH($A26,'TRANS'!$B:$B,0)),"")</f>
        <v>390G-43-46</v>
      </c>
      <c r="D26" s="21" t="n">
        <f aca="false">SUMIFS('CEMI Raw'!$C$6:$C$1018,'CEMI Raw'!$E$6:$E$1018,$A26,'CEMI Raw'!$B$6:$B$1018,2025)</f>
        <v>12</v>
      </c>
      <c r="E26" s="22" t="n">
        <f aca="false">SUMIFS('CEMI Raw'!$D$6:$D$1018,'CEMI Raw'!$E$6:$E$1018,$A26,'CEMI Raw'!$B$6:$B$1018,2025)</f>
        <v>384.1</v>
      </c>
      <c r="F26" s="21" t="n">
        <f aca="false">SUMIFS('CEMI Raw'!$C$6:$C$1018,'CEMI Raw'!$E$6:$E$1018,$A26,'CEMI Raw'!$B$6:$B$1018,2026)</f>
        <v>0</v>
      </c>
      <c r="G26" s="22" t="n">
        <f aca="false">SUMIFS('CEMI Raw'!$D$6:$D$1018,'CEMI Raw'!$E$6:$E$1018,$A26,'CEMI Raw'!$B$6:$B$1018,2026)</f>
        <v>0</v>
      </c>
      <c r="H26" s="21" t="n">
        <f aca="false">SUMIFS('SALES Raw'!$C$6:$C$603,'SALES Raw'!$E$6:$E$603,$A26,'SALES Raw'!$B$6:$B$603,2025)</f>
        <v>38</v>
      </c>
      <c r="I26" s="22" t="n">
        <f aca="false">SUMIFS('SALES Raw'!$D$6:$D$603,'SALES Raw'!$E$6:$E$603,$A26,'SALES Raw'!$B$6:$B$603,2025)</f>
        <v>1202.72</v>
      </c>
      <c r="J26" s="21" t="n">
        <f aca="false">SUMIFS('SALES Raw'!$C$6:$C$603,'SALES Raw'!$E$6:$E$603,$A26,'SALES Raw'!$B$6:$B$603,2026)</f>
        <v>0</v>
      </c>
      <c r="K26" s="22" t="n">
        <f aca="false">SUMIFS('SALES Raw'!$D$6:$D$603,'SALES Raw'!$E$6:$E$603,$A26,'SALES Raw'!$B$6:$B$603,2026)</f>
        <v>0</v>
      </c>
      <c r="L26" s="21" t="n">
        <f aca="false">D26+H26</f>
        <v>50</v>
      </c>
      <c r="M26" s="22" t="n">
        <f aca="false">E26+I26</f>
        <v>1586.82</v>
      </c>
      <c r="N26" s="21" t="n">
        <f aca="false">F26+J26</f>
        <v>0</v>
      </c>
      <c r="O26" s="22" t="n">
        <f aca="false">G26+K26</f>
        <v>0</v>
      </c>
    </row>
    <row r="27" customFormat="false" ht="15" hidden="false" customHeight="false" outlineLevel="0" collapsed="false">
      <c r="A27" s="20" t="n">
        <v>4403006</v>
      </c>
      <c r="B27" s="20" t="str">
        <f aca="false">IFERROR(INDEX('Catalog'!$B:$B,MATCH($A27,'Catalog'!$A:$A,0)),"")</f>
        <v>390W גרב כסף לסכרתיים לבן35-38</v>
      </c>
      <c r="C27" s="20" t="str">
        <f aca="false">IFERROR(INDEX('TRANS'!$A:$A,MATCH($A27,'TRANS'!$B:$B,0)),"")</f>
        <v>390W-35-38</v>
      </c>
      <c r="D27" s="21" t="n">
        <f aca="false">SUMIFS('CEMI Raw'!$C$6:$C$1018,'CEMI Raw'!$E$6:$E$1018,$A27,'CEMI Raw'!$B$6:$B$1018,2025)</f>
        <v>12</v>
      </c>
      <c r="E27" s="22" t="n">
        <f aca="false">SUMIFS('CEMI Raw'!$D$6:$D$1018,'CEMI Raw'!$E$6:$E$1018,$A27,'CEMI Raw'!$B$6:$B$1018,2025)</f>
        <v>345</v>
      </c>
      <c r="F27" s="21" t="n">
        <f aca="false">SUMIFS('CEMI Raw'!$C$6:$C$1018,'CEMI Raw'!$E$6:$E$1018,$A27,'CEMI Raw'!$B$6:$B$1018,2026)</f>
        <v>12</v>
      </c>
      <c r="G27" s="22" t="n">
        <f aca="false">SUMIFS('CEMI Raw'!$D$6:$D$1018,'CEMI Raw'!$E$6:$E$1018,$A27,'CEMI Raw'!$B$6:$B$1018,2026)</f>
        <v>421.3</v>
      </c>
      <c r="H27" s="21" t="n">
        <f aca="false">SUMIFS('SALES Raw'!$C$6:$C$603,'SALES Raw'!$E$6:$E$603,$A27,'SALES Raw'!$B$6:$B$603,2025)</f>
        <v>0</v>
      </c>
      <c r="I27" s="22" t="n">
        <f aca="false">SUMIFS('SALES Raw'!$D$6:$D$603,'SALES Raw'!$E$6:$E$603,$A27,'SALES Raw'!$B$6:$B$603,2025)</f>
        <v>0</v>
      </c>
      <c r="J27" s="21" t="n">
        <f aca="false">SUMIFS('SALES Raw'!$C$6:$C$603,'SALES Raw'!$E$6:$E$603,$A27,'SALES Raw'!$B$6:$B$603,2026)</f>
        <v>0</v>
      </c>
      <c r="K27" s="22" t="n">
        <f aca="false">SUMIFS('SALES Raw'!$D$6:$D$603,'SALES Raw'!$E$6:$E$603,$A27,'SALES Raw'!$B$6:$B$603,2026)</f>
        <v>0</v>
      </c>
      <c r="L27" s="21" t="n">
        <f aca="false">D27+H27</f>
        <v>12</v>
      </c>
      <c r="M27" s="22" t="n">
        <f aca="false">E27+I27</f>
        <v>345</v>
      </c>
      <c r="N27" s="21" t="n">
        <f aca="false">F27+J27</f>
        <v>12</v>
      </c>
      <c r="O27" s="22" t="n">
        <f aca="false">G27+K27</f>
        <v>421.3</v>
      </c>
    </row>
    <row r="28" customFormat="false" ht="15" hidden="false" customHeight="false" outlineLevel="0" collapsed="false">
      <c r="A28" s="20" t="n">
        <v>4403007</v>
      </c>
      <c r="B28" s="20" t="str">
        <f aca="false">IFERROR(INDEX('Catalog'!$B:$B,MATCH($A28,'Catalog'!$A:$A,0)),"")</f>
        <v>390W גרב.כסף לסכרתיים לבן39-42</v>
      </c>
      <c r="C28" s="20" t="str">
        <f aca="false">IFERROR(INDEX('TRANS'!$A:$A,MATCH($A28,'TRANS'!$B:$B,0)),"")</f>
        <v>390W-39-42</v>
      </c>
      <c r="D28" s="21" t="n">
        <f aca="false">SUMIFS('CEMI Raw'!$C$6:$C$1018,'CEMI Raw'!$E$6:$E$1018,$A28,'CEMI Raw'!$B$6:$B$1018,2025)</f>
        <v>18</v>
      </c>
      <c r="E28" s="22" t="n">
        <f aca="false">SUMIFS('CEMI Raw'!$D$6:$D$1018,'CEMI Raw'!$E$6:$E$1018,$A28,'CEMI Raw'!$B$6:$B$1018,2025)</f>
        <v>559.9</v>
      </c>
      <c r="F28" s="21" t="n">
        <f aca="false">SUMIFS('CEMI Raw'!$C$6:$C$1018,'CEMI Raw'!$E$6:$E$1018,$A28,'CEMI Raw'!$B$6:$B$1018,2026)</f>
        <v>13</v>
      </c>
      <c r="G28" s="22" t="n">
        <f aca="false">SUMIFS('CEMI Raw'!$D$6:$D$1018,'CEMI Raw'!$E$6:$E$1018,$A28,'CEMI Raw'!$B$6:$B$1018,2026)</f>
        <v>433</v>
      </c>
      <c r="H28" s="21" t="n">
        <f aca="false">SUMIFS('SALES Raw'!$C$6:$C$603,'SALES Raw'!$E$6:$E$603,$A28,'SALES Raw'!$B$6:$B$603,2025)</f>
        <v>0</v>
      </c>
      <c r="I28" s="22" t="n">
        <f aca="false">SUMIFS('SALES Raw'!$D$6:$D$603,'SALES Raw'!$E$6:$E$603,$A28,'SALES Raw'!$B$6:$B$603,2025)</f>
        <v>0</v>
      </c>
      <c r="J28" s="21" t="n">
        <f aca="false">SUMIFS('SALES Raw'!$C$6:$C$603,'SALES Raw'!$E$6:$E$603,$A28,'SALES Raw'!$B$6:$B$603,2026)</f>
        <v>0</v>
      </c>
      <c r="K28" s="22" t="n">
        <f aca="false">SUMIFS('SALES Raw'!$D$6:$D$603,'SALES Raw'!$E$6:$E$603,$A28,'SALES Raw'!$B$6:$B$603,2026)</f>
        <v>0</v>
      </c>
      <c r="L28" s="21" t="n">
        <f aca="false">D28+H28</f>
        <v>18</v>
      </c>
      <c r="M28" s="22" t="n">
        <f aca="false">E28+I28</f>
        <v>559.9</v>
      </c>
      <c r="N28" s="21" t="n">
        <f aca="false">F28+J28</f>
        <v>13</v>
      </c>
      <c r="O28" s="22" t="n">
        <f aca="false">G28+K28</f>
        <v>433</v>
      </c>
    </row>
    <row r="29" customFormat="false" ht="15" hidden="false" customHeight="false" outlineLevel="0" collapsed="false">
      <c r="A29" s="20" t="n">
        <v>4403008</v>
      </c>
      <c r="B29" s="20" t="str">
        <f aca="false">IFERROR(INDEX('Catalog'!$B:$B,MATCH($A29,'Catalog'!$A:$A,0)),"")</f>
        <v>390W גרב.כסף לסכרתיים לבן43-46</v>
      </c>
      <c r="C29" s="20" t="str">
        <f aca="false">IFERROR(INDEX('TRANS'!$A:$A,MATCH($A29,'TRANS'!$B:$B,0)),"")</f>
        <v>390W-43-46</v>
      </c>
      <c r="D29" s="21" t="n">
        <f aca="false">SUMIFS('CEMI Raw'!$C$6:$C$1018,'CEMI Raw'!$E$6:$E$1018,$A29,'CEMI Raw'!$B$6:$B$1018,2025)</f>
        <v>20</v>
      </c>
      <c r="E29" s="22" t="n">
        <f aca="false">SUMIFS('CEMI Raw'!$D$6:$D$1018,'CEMI Raw'!$E$6:$E$1018,$A29,'CEMI Raw'!$B$6:$B$1018,2025)</f>
        <v>601.1</v>
      </c>
      <c r="F29" s="21" t="n">
        <f aca="false">SUMIFS('CEMI Raw'!$C$6:$C$1018,'CEMI Raw'!$E$6:$E$1018,$A29,'CEMI Raw'!$B$6:$B$1018,2026)</f>
        <v>13</v>
      </c>
      <c r="G29" s="22" t="n">
        <f aca="false">SUMIFS('CEMI Raw'!$D$6:$D$1018,'CEMI Raw'!$E$6:$E$1018,$A29,'CEMI Raw'!$B$6:$B$1018,2026)</f>
        <v>456.4</v>
      </c>
      <c r="H29" s="21" t="n">
        <f aca="false">SUMIFS('SALES Raw'!$C$6:$C$603,'SALES Raw'!$E$6:$E$603,$A29,'SALES Raw'!$B$6:$B$603,2025)</f>
        <v>0</v>
      </c>
      <c r="I29" s="22" t="n">
        <f aca="false">SUMIFS('SALES Raw'!$D$6:$D$603,'SALES Raw'!$E$6:$E$603,$A29,'SALES Raw'!$B$6:$B$603,2025)</f>
        <v>0</v>
      </c>
      <c r="J29" s="21" t="n">
        <f aca="false">SUMIFS('SALES Raw'!$C$6:$C$603,'SALES Raw'!$E$6:$E$603,$A29,'SALES Raw'!$B$6:$B$603,2026)</f>
        <v>0</v>
      </c>
      <c r="K29" s="22" t="n">
        <f aca="false">SUMIFS('SALES Raw'!$D$6:$D$603,'SALES Raw'!$E$6:$E$603,$A29,'SALES Raw'!$B$6:$B$603,2026)</f>
        <v>0</v>
      </c>
      <c r="L29" s="21" t="n">
        <f aca="false">D29+H29</f>
        <v>20</v>
      </c>
      <c r="M29" s="22" t="n">
        <f aca="false">E29+I29</f>
        <v>601.1</v>
      </c>
      <c r="N29" s="21" t="n">
        <f aca="false">F29+J29</f>
        <v>13</v>
      </c>
      <c r="O29" s="22" t="n">
        <f aca="false">G29+K29</f>
        <v>456.4</v>
      </c>
    </row>
    <row r="30" customFormat="false" ht="15" hidden="false" customHeight="false" outlineLevel="0" collapsed="false">
      <c r="A30" s="20" t="n">
        <v>4403017</v>
      </c>
      <c r="B30" s="20" t="str">
        <f aca="false">IFERROR(INDEX('Catalog'!$B:$B,MATCH($A30,'Catalog'!$A:$A,0)),"")</f>
        <v>394B גרב.כסף לסכרתים שחור35-38</v>
      </c>
      <c r="C30" s="20" t="str">
        <f aca="false">IFERROR(INDEX('TRANS'!$A:$A,MATCH($A30,'TRANS'!$B:$B,0)),"")</f>
        <v>394B-35-38</v>
      </c>
      <c r="D30" s="21" t="n">
        <f aca="false">SUMIFS('CEMI Raw'!$C$6:$C$1018,'CEMI Raw'!$E$6:$E$1018,$A30,'CEMI Raw'!$B$6:$B$1018,2025)</f>
        <v>62</v>
      </c>
      <c r="E30" s="22" t="n">
        <f aca="false">SUMIFS('CEMI Raw'!$D$6:$D$1018,'CEMI Raw'!$E$6:$E$1018,$A30,'CEMI Raw'!$B$6:$B$1018,2025)</f>
        <v>1588.5</v>
      </c>
      <c r="F30" s="21" t="n">
        <f aca="false">SUMIFS('CEMI Raw'!$C$6:$C$1018,'CEMI Raw'!$E$6:$E$1018,$A30,'CEMI Raw'!$B$6:$B$1018,2026)</f>
        <v>27</v>
      </c>
      <c r="G30" s="22" t="n">
        <f aca="false">SUMIFS('CEMI Raw'!$D$6:$D$1018,'CEMI Raw'!$E$6:$E$1018,$A30,'CEMI Raw'!$B$6:$B$1018,2026)</f>
        <v>741.3</v>
      </c>
      <c r="H30" s="21" t="n">
        <f aca="false">SUMIFS('SALES Raw'!$C$6:$C$603,'SALES Raw'!$E$6:$E$603,$A30,'SALES Raw'!$B$6:$B$603,2025)</f>
        <v>5</v>
      </c>
      <c r="I30" s="22" t="n">
        <f aca="false">SUMIFS('SALES Raw'!$D$6:$D$603,'SALES Raw'!$E$6:$E$603,$A30,'SALES Raw'!$B$6:$B$603,2025)</f>
        <v>124.99</v>
      </c>
      <c r="J30" s="21" t="n">
        <f aca="false">SUMIFS('SALES Raw'!$C$6:$C$603,'SALES Raw'!$E$6:$E$603,$A30,'SALES Raw'!$B$6:$B$603,2026)</f>
        <v>2</v>
      </c>
      <c r="K30" s="22" t="n">
        <f aca="false">SUMIFS('SALES Raw'!$D$6:$D$603,'SALES Raw'!$E$6:$E$603,$A30,'SALES Raw'!$B$6:$B$603,2026)</f>
        <v>56.16</v>
      </c>
      <c r="L30" s="21" t="n">
        <f aca="false">D30+H30</f>
        <v>67</v>
      </c>
      <c r="M30" s="22" t="n">
        <f aca="false">E30+I30</f>
        <v>1713.49</v>
      </c>
      <c r="N30" s="21" t="n">
        <f aca="false">F30+J30</f>
        <v>29</v>
      </c>
      <c r="O30" s="22" t="n">
        <f aca="false">G30+K30</f>
        <v>797.46</v>
      </c>
    </row>
    <row r="31" customFormat="false" ht="15" hidden="false" customHeight="false" outlineLevel="0" collapsed="false">
      <c r="A31" s="20" t="n">
        <v>4403018</v>
      </c>
      <c r="B31" s="20" t="str">
        <f aca="false">IFERROR(INDEX('Catalog'!$B:$B,MATCH($A31,'Catalog'!$A:$A,0)),"")</f>
        <v>394B גרב.כסף לסכרתים שחור39-42</v>
      </c>
      <c r="C31" s="20" t="str">
        <f aca="false">IFERROR(INDEX('TRANS'!$A:$A,MATCH($A31,'TRANS'!$B:$B,0)),"")</f>
        <v>394B-39-42</v>
      </c>
      <c r="D31" s="21" t="n">
        <f aca="false">SUMIFS('CEMI Raw'!$C$6:$C$1018,'CEMI Raw'!$E$6:$E$1018,$A31,'CEMI Raw'!$B$6:$B$1018,2025)</f>
        <v>123</v>
      </c>
      <c r="E31" s="22" t="n">
        <f aca="false">SUMIFS('CEMI Raw'!$D$6:$D$1018,'CEMI Raw'!$E$6:$E$1018,$A31,'CEMI Raw'!$B$6:$B$1018,2025)</f>
        <v>3121.1</v>
      </c>
      <c r="F31" s="21" t="n">
        <f aca="false">SUMIFS('CEMI Raw'!$C$6:$C$1018,'CEMI Raw'!$E$6:$E$1018,$A31,'CEMI Raw'!$B$6:$B$1018,2026)</f>
        <v>61</v>
      </c>
      <c r="G31" s="22" t="n">
        <f aca="false">SUMIFS('CEMI Raw'!$D$6:$D$1018,'CEMI Raw'!$E$6:$E$1018,$A31,'CEMI Raw'!$B$6:$B$1018,2026)</f>
        <v>1578.1</v>
      </c>
      <c r="H31" s="21" t="n">
        <f aca="false">SUMIFS('SALES Raw'!$C$6:$C$603,'SALES Raw'!$E$6:$E$603,$A31,'SALES Raw'!$B$6:$B$603,2025)</f>
        <v>19</v>
      </c>
      <c r="I31" s="22" t="n">
        <f aca="false">SUMIFS('SALES Raw'!$D$6:$D$603,'SALES Raw'!$E$6:$E$603,$A31,'SALES Raw'!$B$6:$B$603,2025)</f>
        <v>424.21</v>
      </c>
      <c r="J31" s="21" t="n">
        <f aca="false">SUMIFS('SALES Raw'!$C$6:$C$603,'SALES Raw'!$E$6:$E$603,$A31,'SALES Raw'!$B$6:$B$603,2026)</f>
        <v>1</v>
      </c>
      <c r="K31" s="22" t="n">
        <f aca="false">SUMIFS('SALES Raw'!$D$6:$D$603,'SALES Raw'!$E$6:$E$603,$A31,'SALES Raw'!$B$6:$B$603,2026)</f>
        <v>28.08</v>
      </c>
      <c r="L31" s="21" t="n">
        <f aca="false">D31+H31</f>
        <v>142</v>
      </c>
      <c r="M31" s="22" t="n">
        <f aca="false">E31+I31</f>
        <v>3545.31</v>
      </c>
      <c r="N31" s="21" t="n">
        <f aca="false">F31+J31</f>
        <v>62</v>
      </c>
      <c r="O31" s="22" t="n">
        <f aca="false">G31+K31</f>
        <v>1606.18</v>
      </c>
    </row>
    <row r="32" customFormat="false" ht="15" hidden="false" customHeight="false" outlineLevel="0" collapsed="false">
      <c r="A32" s="20" t="n">
        <v>4403019</v>
      </c>
      <c r="B32" s="20" t="str">
        <f aca="false">IFERROR(INDEX('Catalog'!$B:$B,MATCH($A32,'Catalog'!$A:$A,0)),"")</f>
        <v>394B גרב.כסף לסכרתים שחור43-46</v>
      </c>
      <c r="C32" s="20" t="str">
        <f aca="false">IFERROR(INDEX('TRANS'!$A:$A,MATCH($A32,'TRANS'!$B:$B,0)),"")</f>
        <v>394B-43-46</v>
      </c>
      <c r="D32" s="21" t="n">
        <f aca="false">SUMIFS('CEMI Raw'!$C$6:$C$1018,'CEMI Raw'!$E$6:$E$1018,$A32,'CEMI Raw'!$B$6:$B$1018,2025)</f>
        <v>180</v>
      </c>
      <c r="E32" s="22" t="n">
        <f aca="false">SUMIFS('CEMI Raw'!$D$6:$D$1018,'CEMI Raw'!$E$6:$E$1018,$A32,'CEMI Raw'!$B$6:$B$1018,2025)</f>
        <v>4578</v>
      </c>
      <c r="F32" s="21" t="n">
        <f aca="false">SUMIFS('CEMI Raw'!$C$6:$C$1018,'CEMI Raw'!$E$6:$E$1018,$A32,'CEMI Raw'!$B$6:$B$1018,2026)</f>
        <v>65</v>
      </c>
      <c r="G32" s="22" t="n">
        <f aca="false">SUMIFS('CEMI Raw'!$D$6:$D$1018,'CEMI Raw'!$E$6:$E$1018,$A32,'CEMI Raw'!$B$6:$B$1018,2026)</f>
        <v>1731.5</v>
      </c>
      <c r="H32" s="21" t="n">
        <f aca="false">SUMIFS('SALES Raw'!$C$6:$C$603,'SALES Raw'!$E$6:$E$603,$A32,'SALES Raw'!$B$6:$B$603,2025)</f>
        <v>56</v>
      </c>
      <c r="I32" s="22" t="n">
        <f aca="false">SUMIFS('SALES Raw'!$D$6:$D$603,'SALES Raw'!$E$6:$E$603,$A32,'SALES Raw'!$B$6:$B$603,2025)</f>
        <v>1266.04</v>
      </c>
      <c r="J32" s="21" t="n">
        <f aca="false">SUMIFS('SALES Raw'!$C$6:$C$603,'SALES Raw'!$E$6:$E$603,$A32,'SALES Raw'!$B$6:$B$603,2026)</f>
        <v>1</v>
      </c>
      <c r="K32" s="22" t="n">
        <f aca="false">SUMIFS('SALES Raw'!$D$6:$D$603,'SALES Raw'!$E$6:$E$603,$A32,'SALES Raw'!$B$6:$B$603,2026)</f>
        <v>28.08</v>
      </c>
      <c r="L32" s="21" t="n">
        <f aca="false">D32+H32</f>
        <v>236</v>
      </c>
      <c r="M32" s="22" t="n">
        <f aca="false">E32+I32</f>
        <v>5844.04</v>
      </c>
      <c r="N32" s="21" t="n">
        <f aca="false">F32+J32</f>
        <v>66</v>
      </c>
      <c r="O32" s="22" t="n">
        <f aca="false">G32+K32</f>
        <v>1759.58</v>
      </c>
    </row>
    <row r="33" customFormat="false" ht="15" hidden="false" customHeight="false" outlineLevel="0" collapsed="false">
      <c r="A33" s="20" t="n">
        <v>4403020</v>
      </c>
      <c r="B33" s="20" t="str">
        <f aca="false">IFERROR(INDEX('Catalog'!$B:$B,MATCH($A33,'Catalog'!$A:$A,0)),"")</f>
        <v>394G גרב.כסף לסכרתים אפור35-38</v>
      </c>
      <c r="C33" s="20" t="str">
        <f aca="false">IFERROR(INDEX('TRANS'!$A:$A,MATCH($A33,'TRANS'!$B:$B,0)),"")</f>
        <v/>
      </c>
      <c r="D33" s="21" t="n">
        <f aca="false">SUMIFS('CEMI Raw'!$C$6:$C$1018,'CEMI Raw'!$E$6:$E$1018,$A33,'CEMI Raw'!$B$6:$B$1018,2025)</f>
        <v>17</v>
      </c>
      <c r="E33" s="22" t="n">
        <f aca="false">SUMIFS('CEMI Raw'!$D$6:$D$1018,'CEMI Raw'!$E$6:$E$1018,$A33,'CEMI Raw'!$B$6:$B$1018,2025)</f>
        <v>426.2</v>
      </c>
      <c r="F33" s="21" t="n">
        <f aca="false">SUMIFS('CEMI Raw'!$C$6:$C$1018,'CEMI Raw'!$E$6:$E$1018,$A33,'CEMI Raw'!$B$6:$B$1018,2026)</f>
        <v>0</v>
      </c>
      <c r="G33" s="22" t="n">
        <f aca="false">SUMIFS('CEMI Raw'!$D$6:$D$1018,'CEMI Raw'!$E$6:$E$1018,$A33,'CEMI Raw'!$B$6:$B$1018,2026)</f>
        <v>0</v>
      </c>
      <c r="H33" s="21" t="n">
        <f aca="false">SUMIFS('SALES Raw'!$C$6:$C$603,'SALES Raw'!$E$6:$E$603,$A33,'SALES Raw'!$B$6:$B$603,2025)</f>
        <v>0</v>
      </c>
      <c r="I33" s="22" t="n">
        <f aca="false">SUMIFS('SALES Raw'!$D$6:$D$603,'SALES Raw'!$E$6:$E$603,$A33,'SALES Raw'!$B$6:$B$603,2025)</f>
        <v>0</v>
      </c>
      <c r="J33" s="21" t="n">
        <f aca="false">SUMIFS('SALES Raw'!$C$6:$C$603,'SALES Raw'!$E$6:$E$603,$A33,'SALES Raw'!$B$6:$B$603,2026)</f>
        <v>0</v>
      </c>
      <c r="K33" s="22" t="n">
        <f aca="false">SUMIFS('SALES Raw'!$D$6:$D$603,'SALES Raw'!$E$6:$E$603,$A33,'SALES Raw'!$B$6:$B$603,2026)</f>
        <v>0</v>
      </c>
      <c r="L33" s="21" t="n">
        <f aca="false">D33+H33</f>
        <v>17</v>
      </c>
      <c r="M33" s="22" t="n">
        <f aca="false">E33+I33</f>
        <v>426.2</v>
      </c>
      <c r="N33" s="21" t="n">
        <f aca="false">F33+J33</f>
        <v>0</v>
      </c>
      <c r="O33" s="22" t="n">
        <f aca="false">G33+K33</f>
        <v>0</v>
      </c>
    </row>
    <row r="34" customFormat="false" ht="15" hidden="false" customHeight="false" outlineLevel="0" collapsed="false">
      <c r="A34" s="20" t="n">
        <v>4403021</v>
      </c>
      <c r="B34" s="20" t="str">
        <f aca="false">IFERROR(INDEX('Catalog'!$B:$B,MATCH($A34,'Catalog'!$A:$A,0)),"")</f>
        <v>394G גרב.כסף לסכרתים אפור39-42</v>
      </c>
      <c r="C34" s="20" t="str">
        <f aca="false">IFERROR(INDEX('TRANS'!$A:$A,MATCH($A34,'TRANS'!$B:$B,0)),"")</f>
        <v/>
      </c>
      <c r="D34" s="21" t="n">
        <f aca="false">SUMIFS('CEMI Raw'!$C$6:$C$1018,'CEMI Raw'!$E$6:$E$1018,$A34,'CEMI Raw'!$B$6:$B$1018,2025)</f>
        <v>30</v>
      </c>
      <c r="E34" s="22" t="n">
        <f aca="false">SUMIFS('CEMI Raw'!$D$6:$D$1018,'CEMI Raw'!$E$6:$E$1018,$A34,'CEMI Raw'!$B$6:$B$1018,2025)</f>
        <v>780.5</v>
      </c>
      <c r="F34" s="21" t="n">
        <f aca="false">SUMIFS('CEMI Raw'!$C$6:$C$1018,'CEMI Raw'!$E$6:$E$1018,$A34,'CEMI Raw'!$B$6:$B$1018,2026)</f>
        <v>0</v>
      </c>
      <c r="G34" s="22" t="n">
        <f aca="false">SUMIFS('CEMI Raw'!$D$6:$D$1018,'CEMI Raw'!$E$6:$E$1018,$A34,'CEMI Raw'!$B$6:$B$1018,2026)</f>
        <v>0</v>
      </c>
      <c r="H34" s="21" t="n">
        <f aca="false">SUMIFS('SALES Raw'!$C$6:$C$603,'SALES Raw'!$E$6:$E$603,$A34,'SALES Raw'!$B$6:$B$603,2025)</f>
        <v>0</v>
      </c>
      <c r="I34" s="22" t="n">
        <f aca="false">SUMIFS('SALES Raw'!$D$6:$D$603,'SALES Raw'!$E$6:$E$603,$A34,'SALES Raw'!$B$6:$B$603,2025)</f>
        <v>0</v>
      </c>
      <c r="J34" s="21" t="n">
        <f aca="false">SUMIFS('SALES Raw'!$C$6:$C$603,'SALES Raw'!$E$6:$E$603,$A34,'SALES Raw'!$B$6:$B$603,2026)</f>
        <v>0</v>
      </c>
      <c r="K34" s="22" t="n">
        <f aca="false">SUMIFS('SALES Raw'!$D$6:$D$603,'SALES Raw'!$E$6:$E$603,$A34,'SALES Raw'!$B$6:$B$603,2026)</f>
        <v>0</v>
      </c>
      <c r="L34" s="21" t="n">
        <f aca="false">D34+H34</f>
        <v>30</v>
      </c>
      <c r="M34" s="22" t="n">
        <f aca="false">E34+I34</f>
        <v>780.5</v>
      </c>
      <c r="N34" s="21" t="n">
        <f aca="false">F34+J34</f>
        <v>0</v>
      </c>
      <c r="O34" s="22" t="n">
        <f aca="false">G34+K34</f>
        <v>0</v>
      </c>
    </row>
    <row r="35" customFormat="false" ht="15" hidden="false" customHeight="false" outlineLevel="0" collapsed="false">
      <c r="A35" s="20" t="n">
        <v>4403022</v>
      </c>
      <c r="B35" s="20" t="str">
        <f aca="false">IFERROR(INDEX('Catalog'!$B:$B,MATCH($A35,'Catalog'!$A:$A,0)),"")</f>
        <v>394G גרב.כסף לסכרתים אפור43-46</v>
      </c>
      <c r="C35" s="20" t="str">
        <f aca="false">IFERROR(INDEX('TRANS'!$A:$A,MATCH($A35,'TRANS'!$B:$B,0)),"")</f>
        <v/>
      </c>
      <c r="D35" s="21" t="n">
        <f aca="false">SUMIFS('CEMI Raw'!$C$6:$C$1018,'CEMI Raw'!$E$6:$E$1018,$A35,'CEMI Raw'!$B$6:$B$1018,2025)</f>
        <v>37</v>
      </c>
      <c r="E35" s="22" t="n">
        <f aca="false">SUMIFS('CEMI Raw'!$D$6:$D$1018,'CEMI Raw'!$E$6:$E$1018,$A35,'CEMI Raw'!$B$6:$B$1018,2025)</f>
        <v>940.8</v>
      </c>
      <c r="F35" s="21" t="n">
        <f aca="false">SUMIFS('CEMI Raw'!$C$6:$C$1018,'CEMI Raw'!$E$6:$E$1018,$A35,'CEMI Raw'!$B$6:$B$1018,2026)</f>
        <v>0</v>
      </c>
      <c r="G35" s="22" t="n">
        <f aca="false">SUMIFS('CEMI Raw'!$D$6:$D$1018,'CEMI Raw'!$E$6:$E$1018,$A35,'CEMI Raw'!$B$6:$B$1018,2026)</f>
        <v>0</v>
      </c>
      <c r="H35" s="21" t="n">
        <f aca="false">SUMIFS('SALES Raw'!$C$6:$C$603,'SALES Raw'!$E$6:$E$603,$A35,'SALES Raw'!$B$6:$B$603,2025)</f>
        <v>0</v>
      </c>
      <c r="I35" s="22" t="n">
        <f aca="false">SUMIFS('SALES Raw'!$D$6:$D$603,'SALES Raw'!$E$6:$E$603,$A35,'SALES Raw'!$B$6:$B$603,2025)</f>
        <v>0</v>
      </c>
      <c r="J35" s="21" t="n">
        <f aca="false">SUMIFS('SALES Raw'!$C$6:$C$603,'SALES Raw'!$E$6:$E$603,$A35,'SALES Raw'!$B$6:$B$603,2026)</f>
        <v>0</v>
      </c>
      <c r="K35" s="22" t="n">
        <f aca="false">SUMIFS('SALES Raw'!$D$6:$D$603,'SALES Raw'!$E$6:$E$603,$A35,'SALES Raw'!$B$6:$B$603,2026)</f>
        <v>0</v>
      </c>
      <c r="L35" s="21" t="n">
        <f aca="false">D35+H35</f>
        <v>37</v>
      </c>
      <c r="M35" s="22" t="n">
        <f aca="false">E35+I35</f>
        <v>940.8</v>
      </c>
      <c r="N35" s="21" t="n">
        <f aca="false">F35+J35</f>
        <v>0</v>
      </c>
      <c r="O35" s="22" t="n">
        <f aca="false">G35+K35</f>
        <v>0</v>
      </c>
    </row>
    <row r="36" customFormat="false" ht="15" hidden="false" customHeight="false" outlineLevel="0" collapsed="false">
      <c r="A36" s="20" t="n">
        <v>4403023</v>
      </c>
      <c r="B36" s="20" t="str">
        <f aca="false">IFERROR(INDEX('Catalog'!$B:$B,MATCH($A36,'Catalog'!$A:$A,0)),"")</f>
        <v>394W 35-38 גרב.כסף לסכרתים לבן</v>
      </c>
      <c r="C36" s="20" t="str">
        <f aca="false">IFERROR(INDEX('TRANS'!$A:$A,MATCH($A36,'TRANS'!$B:$B,0)),"")</f>
        <v>394W-35-38</v>
      </c>
      <c r="D36" s="21" t="n">
        <f aca="false">SUMIFS('CEMI Raw'!$C$6:$C$1018,'CEMI Raw'!$E$6:$E$1018,$A36,'CEMI Raw'!$B$6:$B$1018,2025)</f>
        <v>34</v>
      </c>
      <c r="E36" s="22" t="n">
        <f aca="false">SUMIFS('CEMI Raw'!$D$6:$D$1018,'CEMI Raw'!$E$6:$E$1018,$A36,'CEMI Raw'!$B$6:$B$1018,2025)</f>
        <v>843.2</v>
      </c>
      <c r="F36" s="21" t="n">
        <f aca="false">SUMIFS('CEMI Raw'!$C$6:$C$1018,'CEMI Raw'!$E$6:$E$1018,$A36,'CEMI Raw'!$B$6:$B$1018,2026)</f>
        <v>22</v>
      </c>
      <c r="G36" s="22" t="n">
        <f aca="false">SUMIFS('CEMI Raw'!$D$6:$D$1018,'CEMI Raw'!$E$6:$E$1018,$A36,'CEMI Raw'!$B$6:$B$1018,2026)</f>
        <v>585.9</v>
      </c>
      <c r="H36" s="21" t="n">
        <f aca="false">SUMIFS('SALES Raw'!$C$6:$C$603,'SALES Raw'!$E$6:$E$603,$A36,'SALES Raw'!$B$6:$B$603,2025)</f>
        <v>0</v>
      </c>
      <c r="I36" s="22" t="n">
        <f aca="false">SUMIFS('SALES Raw'!$D$6:$D$603,'SALES Raw'!$E$6:$E$603,$A36,'SALES Raw'!$B$6:$B$603,2025)</f>
        <v>0</v>
      </c>
      <c r="J36" s="21" t="n">
        <f aca="false">SUMIFS('SALES Raw'!$C$6:$C$603,'SALES Raw'!$E$6:$E$603,$A36,'SALES Raw'!$B$6:$B$603,2026)</f>
        <v>2</v>
      </c>
      <c r="K36" s="22" t="n">
        <f aca="false">SUMIFS('SALES Raw'!$D$6:$D$603,'SALES Raw'!$E$6:$E$603,$A36,'SALES Raw'!$B$6:$B$603,2026)</f>
        <v>56.16</v>
      </c>
      <c r="L36" s="21" t="n">
        <f aca="false">D36+H36</f>
        <v>34</v>
      </c>
      <c r="M36" s="22" t="n">
        <f aca="false">E36+I36</f>
        <v>843.2</v>
      </c>
      <c r="N36" s="21" t="n">
        <f aca="false">F36+J36</f>
        <v>24</v>
      </c>
      <c r="O36" s="22" t="n">
        <f aca="false">G36+K36</f>
        <v>642.06</v>
      </c>
    </row>
    <row r="37" customFormat="false" ht="15" hidden="false" customHeight="false" outlineLevel="0" collapsed="false">
      <c r="A37" s="20" t="n">
        <v>4403024</v>
      </c>
      <c r="B37" s="20" t="str">
        <f aca="false">IFERROR(INDEX('Catalog'!$B:$B,MATCH($A37,'Catalog'!$A:$A,0)),"")</f>
        <v>394W 39-42 גרב.כסף לסכרתים לבן</v>
      </c>
      <c r="C37" s="20" t="str">
        <f aca="false">IFERROR(INDEX('TRANS'!$A:$A,MATCH($A37,'TRANS'!$B:$B,0)),"")</f>
        <v>394W-39-42</v>
      </c>
      <c r="D37" s="21" t="n">
        <f aca="false">SUMIFS('CEMI Raw'!$C$6:$C$1018,'CEMI Raw'!$E$6:$E$1018,$A37,'CEMI Raw'!$B$6:$B$1018,2025)</f>
        <v>66</v>
      </c>
      <c r="E37" s="22" t="n">
        <f aca="false">SUMIFS('CEMI Raw'!$D$6:$D$1018,'CEMI Raw'!$E$6:$E$1018,$A37,'CEMI Raw'!$B$6:$B$1018,2025)</f>
        <v>1656.7</v>
      </c>
      <c r="F37" s="21" t="n">
        <f aca="false">SUMIFS('CEMI Raw'!$C$6:$C$1018,'CEMI Raw'!$E$6:$E$1018,$A37,'CEMI Raw'!$B$6:$B$1018,2026)</f>
        <v>44</v>
      </c>
      <c r="G37" s="22" t="n">
        <f aca="false">SUMIFS('CEMI Raw'!$D$6:$D$1018,'CEMI Raw'!$E$6:$E$1018,$A37,'CEMI Raw'!$B$6:$B$1018,2026)</f>
        <v>1170.1</v>
      </c>
      <c r="H37" s="21" t="n">
        <f aca="false">SUMIFS('SALES Raw'!$C$6:$C$603,'SALES Raw'!$E$6:$E$603,$A37,'SALES Raw'!$B$6:$B$603,2025)</f>
        <v>11</v>
      </c>
      <c r="I37" s="22" t="n">
        <f aca="false">SUMIFS('SALES Raw'!$D$6:$D$603,'SALES Raw'!$E$6:$E$603,$A37,'SALES Raw'!$B$6:$B$603,2025)</f>
        <v>274.97</v>
      </c>
      <c r="J37" s="21" t="n">
        <f aca="false">SUMIFS('SALES Raw'!$C$6:$C$603,'SALES Raw'!$E$6:$E$603,$A37,'SALES Raw'!$B$6:$B$603,2026)</f>
        <v>6</v>
      </c>
      <c r="K37" s="22" t="n">
        <f aca="false">SUMIFS('SALES Raw'!$D$6:$D$603,'SALES Raw'!$E$6:$E$603,$A37,'SALES Raw'!$B$6:$B$603,2026)</f>
        <v>168.48</v>
      </c>
      <c r="L37" s="21" t="n">
        <f aca="false">D37+H37</f>
        <v>77</v>
      </c>
      <c r="M37" s="22" t="n">
        <f aca="false">E37+I37</f>
        <v>1931.67</v>
      </c>
      <c r="N37" s="21" t="n">
        <f aca="false">F37+J37</f>
        <v>50</v>
      </c>
      <c r="O37" s="22" t="n">
        <f aca="false">G37+K37</f>
        <v>1338.58</v>
      </c>
    </row>
    <row r="38" customFormat="false" ht="15" hidden="false" customHeight="false" outlineLevel="0" collapsed="false">
      <c r="A38" s="20" t="n">
        <v>4403025</v>
      </c>
      <c r="B38" s="20" t="str">
        <f aca="false">IFERROR(INDEX('Catalog'!$B:$B,MATCH($A38,'Catalog'!$A:$A,0)),"")</f>
        <v>394W 43-46 גרב.כסף לסכרתים לבן</v>
      </c>
      <c r="C38" s="20" t="str">
        <f aca="false">IFERROR(INDEX('TRANS'!$A:$A,MATCH($A38,'TRANS'!$B:$B,0)),"")</f>
        <v>394W-43-46</v>
      </c>
      <c r="D38" s="21" t="n">
        <f aca="false">SUMIFS('CEMI Raw'!$C$6:$C$1018,'CEMI Raw'!$E$6:$E$1018,$A38,'CEMI Raw'!$B$6:$B$1018,2025)</f>
        <v>78</v>
      </c>
      <c r="E38" s="22" t="n">
        <f aca="false">SUMIFS('CEMI Raw'!$D$6:$D$1018,'CEMI Raw'!$E$6:$E$1018,$A38,'CEMI Raw'!$B$6:$B$1018,2025)</f>
        <v>1916.4</v>
      </c>
      <c r="F38" s="21" t="n">
        <f aca="false">SUMIFS('CEMI Raw'!$C$6:$C$1018,'CEMI Raw'!$E$6:$E$1018,$A38,'CEMI Raw'!$B$6:$B$1018,2026)</f>
        <v>45</v>
      </c>
      <c r="G38" s="22" t="n">
        <f aca="false">SUMIFS('CEMI Raw'!$D$6:$D$1018,'CEMI Raw'!$E$6:$E$1018,$A38,'CEMI Raw'!$B$6:$B$1018,2026)</f>
        <v>1205.6</v>
      </c>
      <c r="H38" s="21" t="n">
        <f aca="false">SUMIFS('SALES Raw'!$C$6:$C$603,'SALES Raw'!$E$6:$E$603,$A38,'SALES Raw'!$B$6:$B$603,2025)</f>
        <v>12</v>
      </c>
      <c r="I38" s="22" t="n">
        <f aca="false">SUMIFS('SALES Raw'!$D$6:$D$603,'SALES Raw'!$E$6:$E$603,$A38,'SALES Raw'!$B$6:$B$603,2025)</f>
        <v>305.99</v>
      </c>
      <c r="J38" s="21" t="n">
        <f aca="false">SUMIFS('SALES Raw'!$C$6:$C$603,'SALES Raw'!$E$6:$E$603,$A38,'SALES Raw'!$B$6:$B$603,2026)</f>
        <v>7</v>
      </c>
      <c r="K38" s="22" t="n">
        <f aca="false">SUMIFS('SALES Raw'!$D$6:$D$603,'SALES Raw'!$E$6:$E$603,$A38,'SALES Raw'!$B$6:$B$603,2026)</f>
        <v>196.56</v>
      </c>
      <c r="L38" s="21" t="n">
        <f aca="false">D38+H38</f>
        <v>90</v>
      </c>
      <c r="M38" s="22" t="n">
        <f aca="false">E38+I38</f>
        <v>2222.39</v>
      </c>
      <c r="N38" s="21" t="n">
        <f aca="false">F38+J38</f>
        <v>52</v>
      </c>
      <c r="O38" s="22" t="n">
        <f aca="false">G38+K38</f>
        <v>1402.16</v>
      </c>
    </row>
    <row r="39" customFormat="false" ht="15" hidden="false" customHeight="false" outlineLevel="0" collapsed="false">
      <c r="A39" s="20" t="n">
        <v>4403028</v>
      </c>
      <c r="B39" s="20" t="str">
        <f aca="false">IFERROR(INDEX('Catalog'!$B:$B,MATCH($A39,'Catalog'!$A:$A,0)),"")</f>
        <v>397 35-38 גרבי טיסה מידה</v>
      </c>
      <c r="C39" s="20" t="str">
        <f aca="false">IFERROR(INDEX('TRANS'!$A:$A,MATCH($A39,'TRANS'!$B:$B,0)),"")</f>
        <v/>
      </c>
      <c r="D39" s="21" t="n">
        <f aca="false">SUMIFS('CEMI Raw'!$C$6:$C$1018,'CEMI Raw'!$E$6:$E$1018,$A39,'CEMI Raw'!$B$6:$B$1018,2025)</f>
        <v>125</v>
      </c>
      <c r="E39" s="22" t="n">
        <f aca="false">SUMIFS('CEMI Raw'!$D$6:$D$1018,'CEMI Raw'!$E$6:$E$1018,$A39,'CEMI Raw'!$B$6:$B$1018,2025)</f>
        <v>7355.3</v>
      </c>
      <c r="F39" s="21" t="n">
        <f aca="false">SUMIFS('CEMI Raw'!$C$6:$C$1018,'CEMI Raw'!$E$6:$E$1018,$A39,'CEMI Raw'!$B$6:$B$1018,2026)</f>
        <v>-1</v>
      </c>
      <c r="G39" s="22" t="n">
        <f aca="false">SUMIFS('CEMI Raw'!$D$6:$D$1018,'CEMI Raw'!$E$6:$E$1018,$A39,'CEMI Raw'!$B$6:$B$1018,2026)</f>
        <v>-52.8</v>
      </c>
      <c r="H39" s="21" t="n">
        <f aca="false">SUMIFS('SALES Raw'!$C$6:$C$603,'SALES Raw'!$E$6:$E$603,$A39,'SALES Raw'!$B$6:$B$603,2025)</f>
        <v>0</v>
      </c>
      <c r="I39" s="22" t="n">
        <f aca="false">SUMIFS('SALES Raw'!$D$6:$D$603,'SALES Raw'!$E$6:$E$603,$A39,'SALES Raw'!$B$6:$B$603,2025)</f>
        <v>0</v>
      </c>
      <c r="J39" s="21" t="n">
        <f aca="false">SUMIFS('SALES Raw'!$C$6:$C$603,'SALES Raw'!$E$6:$E$603,$A39,'SALES Raw'!$B$6:$B$603,2026)</f>
        <v>0</v>
      </c>
      <c r="K39" s="22" t="n">
        <f aca="false">SUMIFS('SALES Raw'!$D$6:$D$603,'SALES Raw'!$E$6:$E$603,$A39,'SALES Raw'!$B$6:$B$603,2026)</f>
        <v>0</v>
      </c>
      <c r="L39" s="21" t="n">
        <f aca="false">D39+H39</f>
        <v>125</v>
      </c>
      <c r="M39" s="22" t="n">
        <f aca="false">E39+I39</f>
        <v>7355.3</v>
      </c>
      <c r="N39" s="21" t="n">
        <f aca="false">F39+J39</f>
        <v>-1</v>
      </c>
      <c r="O39" s="22" t="n">
        <f aca="false">G39+K39</f>
        <v>-52.8</v>
      </c>
    </row>
    <row r="40" customFormat="false" ht="15" hidden="false" customHeight="false" outlineLevel="0" collapsed="false">
      <c r="A40" s="20" t="n">
        <v>4403029</v>
      </c>
      <c r="B40" s="20" t="str">
        <f aca="false">IFERROR(INDEX('Catalog'!$B:$B,MATCH($A40,'Catalog'!$A:$A,0)),"")</f>
        <v>397 39-42 גרבי טיסה מידה</v>
      </c>
      <c r="C40" s="20" t="str">
        <f aca="false">IFERROR(INDEX('TRANS'!$A:$A,MATCH($A40,'TRANS'!$B:$B,0)),"")</f>
        <v>397-39-42</v>
      </c>
      <c r="D40" s="21" t="n">
        <f aca="false">SUMIFS('CEMI Raw'!$C$6:$C$1018,'CEMI Raw'!$E$6:$E$1018,$A40,'CEMI Raw'!$B$6:$B$1018,2025)</f>
        <v>201</v>
      </c>
      <c r="E40" s="22" t="n">
        <f aca="false">SUMIFS('CEMI Raw'!$D$6:$D$1018,'CEMI Raw'!$E$6:$E$1018,$A40,'CEMI Raw'!$B$6:$B$1018,2025)</f>
        <v>11825.2</v>
      </c>
      <c r="F40" s="21" t="n">
        <f aca="false">SUMIFS('CEMI Raw'!$C$6:$C$1018,'CEMI Raw'!$E$6:$E$1018,$A40,'CEMI Raw'!$B$6:$B$1018,2026)</f>
        <v>2</v>
      </c>
      <c r="G40" s="22" t="n">
        <f aca="false">SUMIFS('CEMI Raw'!$D$6:$D$1018,'CEMI Raw'!$E$6:$E$1018,$A40,'CEMI Raw'!$B$6:$B$1018,2026)</f>
        <v>134.9</v>
      </c>
      <c r="H40" s="21" t="n">
        <f aca="false">SUMIFS('SALES Raw'!$C$6:$C$603,'SALES Raw'!$E$6:$E$603,$A40,'SALES Raw'!$B$6:$B$603,2025)</f>
        <v>24</v>
      </c>
      <c r="I40" s="22" t="n">
        <f aca="false">SUMIFS('SALES Raw'!$D$6:$D$603,'SALES Raw'!$E$6:$E$603,$A40,'SALES Raw'!$B$6:$B$603,2025)</f>
        <v>1429.05</v>
      </c>
      <c r="J40" s="21" t="n">
        <f aca="false">SUMIFS('SALES Raw'!$C$6:$C$603,'SALES Raw'!$E$6:$E$603,$A40,'SALES Raw'!$B$6:$B$603,2026)</f>
        <v>2</v>
      </c>
      <c r="K40" s="22" t="n">
        <f aca="false">SUMIFS('SALES Raw'!$D$6:$D$603,'SALES Raw'!$E$6:$E$603,$A40,'SALES Raw'!$B$6:$B$603,2026)</f>
        <v>126.46</v>
      </c>
      <c r="L40" s="21" t="n">
        <f aca="false">D40+H40</f>
        <v>225</v>
      </c>
      <c r="M40" s="22" t="n">
        <f aca="false">E40+I40</f>
        <v>13254.25</v>
      </c>
      <c r="N40" s="21" t="n">
        <f aca="false">F40+J40</f>
        <v>4</v>
      </c>
      <c r="O40" s="22" t="n">
        <f aca="false">G40+K40</f>
        <v>261.36</v>
      </c>
    </row>
    <row r="41" customFormat="false" ht="15" hidden="false" customHeight="false" outlineLevel="0" collapsed="false">
      <c r="A41" s="20" t="n">
        <v>4403030</v>
      </c>
      <c r="B41" s="20" t="str">
        <f aca="false">IFERROR(INDEX('Catalog'!$B:$B,MATCH($A41,'Catalog'!$A:$A,0)),"")</f>
        <v>397 43-46 גרבי טיסה מידה</v>
      </c>
      <c r="C41" s="20" t="str">
        <f aca="false">IFERROR(INDEX('TRANS'!$A:$A,MATCH($A41,'TRANS'!$B:$B,0)),"")</f>
        <v/>
      </c>
      <c r="D41" s="21" t="n">
        <f aca="false">SUMIFS('CEMI Raw'!$C$6:$C$1018,'CEMI Raw'!$E$6:$E$1018,$A41,'CEMI Raw'!$B$6:$B$1018,2025)</f>
        <v>211</v>
      </c>
      <c r="E41" s="22" t="n">
        <f aca="false">SUMIFS('CEMI Raw'!$D$6:$D$1018,'CEMI Raw'!$E$6:$E$1018,$A41,'CEMI Raw'!$B$6:$B$1018,2025)</f>
        <v>12491.9</v>
      </c>
      <c r="F41" s="21" t="n">
        <f aca="false">SUMIFS('CEMI Raw'!$C$6:$C$1018,'CEMI Raw'!$E$6:$E$1018,$A41,'CEMI Raw'!$B$6:$B$1018,2026)</f>
        <v>-3</v>
      </c>
      <c r="G41" s="22" t="n">
        <f aca="false">SUMIFS('CEMI Raw'!$D$6:$D$1018,'CEMI Raw'!$E$6:$E$1018,$A41,'CEMI Raw'!$B$6:$B$1018,2026)</f>
        <v>-164.4</v>
      </c>
      <c r="H41" s="21" t="n">
        <f aca="false">SUMIFS('SALES Raw'!$C$6:$C$603,'SALES Raw'!$E$6:$E$603,$A41,'SALES Raw'!$B$6:$B$603,2025)</f>
        <v>0</v>
      </c>
      <c r="I41" s="22" t="n">
        <f aca="false">SUMIFS('SALES Raw'!$D$6:$D$603,'SALES Raw'!$E$6:$E$603,$A41,'SALES Raw'!$B$6:$B$603,2025)</f>
        <v>0</v>
      </c>
      <c r="J41" s="21" t="n">
        <f aca="false">SUMIFS('SALES Raw'!$C$6:$C$603,'SALES Raw'!$E$6:$E$603,$A41,'SALES Raw'!$B$6:$B$603,2026)</f>
        <v>0</v>
      </c>
      <c r="K41" s="22" t="n">
        <f aca="false">SUMIFS('SALES Raw'!$D$6:$D$603,'SALES Raw'!$E$6:$E$603,$A41,'SALES Raw'!$B$6:$B$603,2026)</f>
        <v>0</v>
      </c>
      <c r="L41" s="21" t="n">
        <f aca="false">D41+H41</f>
        <v>211</v>
      </c>
      <c r="M41" s="22" t="n">
        <f aca="false">E41+I41</f>
        <v>12491.9</v>
      </c>
      <c r="N41" s="21" t="n">
        <f aca="false">F41+J41</f>
        <v>-3</v>
      </c>
      <c r="O41" s="22" t="n">
        <f aca="false">G41+K41</f>
        <v>-164.4</v>
      </c>
    </row>
    <row r="42" customFormat="false" ht="15" hidden="false" customHeight="false" outlineLevel="0" collapsed="false">
      <c r="A42" s="20" t="n">
        <v>4403034</v>
      </c>
      <c r="B42" s="20" t="str">
        <f aca="false">IFERROR(INDEX('Catalog'!$B:$B,MATCH($A42,'Catalog'!$A:$A,0)),"")</f>
        <v>ST3555 S-Mגרב לילה לטיפ.בדורבן</v>
      </c>
      <c r="C42" s="20" t="str">
        <f aca="false">IFERROR(INDEX('TRANS'!$A:$A,MATCH($A42,'TRANS'!$B:$B,0)),"")</f>
        <v>ST3555-S-M</v>
      </c>
      <c r="D42" s="21" t="n">
        <f aca="false">SUMIFS('CEMI Raw'!$C$6:$C$1018,'CEMI Raw'!$E$6:$E$1018,$A42,'CEMI Raw'!$B$6:$B$1018,2025)</f>
        <v>1</v>
      </c>
      <c r="E42" s="22" t="n">
        <f aca="false">SUMIFS('CEMI Raw'!$D$6:$D$1018,'CEMI Raw'!$E$6:$E$1018,$A42,'CEMI Raw'!$B$6:$B$1018,2025)</f>
        <v>92.1</v>
      </c>
      <c r="F42" s="21" t="n">
        <f aca="false">SUMIFS('CEMI Raw'!$C$6:$C$1018,'CEMI Raw'!$E$6:$E$1018,$A42,'CEMI Raw'!$B$6:$B$1018,2026)</f>
        <v>2</v>
      </c>
      <c r="G42" s="22" t="n">
        <f aca="false">SUMIFS('CEMI Raw'!$D$6:$D$1018,'CEMI Raw'!$E$6:$E$1018,$A42,'CEMI Raw'!$B$6:$B$1018,2026)</f>
        <v>184.6</v>
      </c>
      <c r="H42" s="21" t="n">
        <f aca="false">SUMIFS('SALES Raw'!$C$6:$C$603,'SALES Raw'!$E$6:$E$603,$A42,'SALES Raw'!$B$6:$B$603,2025)</f>
        <v>5</v>
      </c>
      <c r="I42" s="22" t="n">
        <f aca="false">SUMIFS('SALES Raw'!$D$6:$D$603,'SALES Raw'!$E$6:$E$603,$A42,'SALES Raw'!$B$6:$B$603,2025)</f>
        <v>295</v>
      </c>
      <c r="J42" s="21" t="n">
        <f aca="false">SUMIFS('SALES Raw'!$C$6:$C$603,'SALES Raw'!$E$6:$E$603,$A42,'SALES Raw'!$B$6:$B$603,2026)</f>
        <v>0</v>
      </c>
      <c r="K42" s="22" t="n">
        <f aca="false">SUMIFS('SALES Raw'!$D$6:$D$603,'SALES Raw'!$E$6:$E$603,$A42,'SALES Raw'!$B$6:$B$603,2026)</f>
        <v>0</v>
      </c>
      <c r="L42" s="21" t="n">
        <f aca="false">D42+H42</f>
        <v>6</v>
      </c>
      <c r="M42" s="22" t="n">
        <f aca="false">E42+I42</f>
        <v>387.1</v>
      </c>
      <c r="N42" s="21" t="n">
        <f aca="false">F42+J42</f>
        <v>2</v>
      </c>
      <c r="O42" s="22" t="n">
        <f aca="false">G42+K42</f>
        <v>184.6</v>
      </c>
    </row>
    <row r="43" customFormat="false" ht="15" hidden="false" customHeight="false" outlineLevel="0" collapsed="false">
      <c r="A43" s="20" t="n">
        <v>4403035</v>
      </c>
      <c r="B43" s="20" t="str">
        <f aca="false">IFERROR(INDEX('Catalog'!$B:$B,MATCH($A43,'Catalog'!$A:$A,0)),"")</f>
        <v>ST3555L-XLגרב לילה לטיפ.בדורבן</v>
      </c>
      <c r="C43" s="20" t="str">
        <f aca="false">IFERROR(INDEX('TRANS'!$A:$A,MATCH($A43,'TRANS'!$B:$B,0)),"")</f>
        <v>ST3555-L-XL</v>
      </c>
      <c r="D43" s="21" t="n">
        <f aca="false">SUMIFS('CEMI Raw'!$C$6:$C$1018,'CEMI Raw'!$E$6:$E$1018,$A43,'CEMI Raw'!$B$6:$B$1018,2025)</f>
        <v>0</v>
      </c>
      <c r="E43" s="22" t="n">
        <f aca="false">SUMIFS('CEMI Raw'!$D$6:$D$1018,'CEMI Raw'!$E$6:$E$1018,$A43,'CEMI Raw'!$B$6:$B$1018,2025)</f>
        <v>0</v>
      </c>
      <c r="F43" s="21" t="n">
        <f aca="false">SUMIFS('CEMI Raw'!$C$6:$C$1018,'CEMI Raw'!$E$6:$E$1018,$A43,'CEMI Raw'!$B$6:$B$1018,2026)</f>
        <v>1</v>
      </c>
      <c r="G43" s="22" t="n">
        <f aca="false">SUMIFS('CEMI Raw'!$D$6:$D$1018,'CEMI Raw'!$E$6:$E$1018,$A43,'CEMI Raw'!$B$6:$B$1018,2026)</f>
        <v>92.3</v>
      </c>
      <c r="H43" s="21" t="n">
        <f aca="false">SUMIFS('SALES Raw'!$C$6:$C$603,'SALES Raw'!$E$6:$E$603,$A43,'SALES Raw'!$B$6:$B$603,2025)</f>
        <v>11</v>
      </c>
      <c r="I43" s="22" t="n">
        <f aca="false">SUMIFS('SALES Raw'!$D$6:$D$603,'SALES Raw'!$E$6:$E$603,$A43,'SALES Raw'!$B$6:$B$603,2025)</f>
        <v>702.32</v>
      </c>
      <c r="J43" s="21" t="n">
        <f aca="false">SUMIFS('SALES Raw'!$C$6:$C$603,'SALES Raw'!$E$6:$E$603,$A43,'SALES Raw'!$B$6:$B$603,2026)</f>
        <v>0</v>
      </c>
      <c r="K43" s="22" t="n">
        <f aca="false">SUMIFS('SALES Raw'!$D$6:$D$603,'SALES Raw'!$E$6:$E$603,$A43,'SALES Raw'!$B$6:$B$603,2026)</f>
        <v>0</v>
      </c>
      <c r="L43" s="21" t="n">
        <f aca="false">D43+H43</f>
        <v>11</v>
      </c>
      <c r="M43" s="22" t="n">
        <f aca="false">E43+I43</f>
        <v>702.32</v>
      </c>
      <c r="N43" s="21" t="n">
        <f aca="false">F43+J43</f>
        <v>1</v>
      </c>
      <c r="O43" s="22" t="n">
        <f aca="false">G43+K43</f>
        <v>92.3</v>
      </c>
    </row>
    <row r="44" customFormat="false" ht="15" hidden="false" customHeight="false" outlineLevel="0" collapsed="false">
      <c r="A44" s="20" t="n">
        <v>4403040</v>
      </c>
      <c r="B44" s="20" t="str">
        <f aca="false">IFERROR(INDEX('Catalog'!$B:$B,MATCH($A44,'Catalog'!$A:$A,0)),"")</f>
        <v>3444B גרבי ג'ל לריכוך עור העקב</v>
      </c>
      <c r="C44" s="20" t="str">
        <f aca="false">IFERROR(INDEX('TRANS'!$A:$A,MATCH($A44,'TRANS'!$B:$B,0)),"")</f>
        <v>3444B 0</v>
      </c>
      <c r="D44" s="21" t="n">
        <f aca="false">SUMIFS('CEMI Raw'!$C$6:$C$1018,'CEMI Raw'!$E$6:$E$1018,$A44,'CEMI Raw'!$B$6:$B$1018,2025)</f>
        <v>110</v>
      </c>
      <c r="E44" s="22" t="n">
        <f aca="false">SUMIFS('CEMI Raw'!$D$6:$D$1018,'CEMI Raw'!$E$6:$E$1018,$A44,'CEMI Raw'!$B$6:$B$1018,2025)</f>
        <v>4004.4</v>
      </c>
      <c r="F44" s="21" t="n">
        <f aca="false">SUMIFS('CEMI Raw'!$C$6:$C$1018,'CEMI Raw'!$E$6:$E$1018,$A44,'CEMI Raw'!$B$6:$B$1018,2026)</f>
        <v>20</v>
      </c>
      <c r="G44" s="22" t="n">
        <f aca="false">SUMIFS('CEMI Raw'!$D$6:$D$1018,'CEMI Raw'!$E$6:$E$1018,$A44,'CEMI Raw'!$B$6:$B$1018,2026)</f>
        <v>693.6</v>
      </c>
      <c r="H44" s="21" t="n">
        <f aca="false">SUMIFS('SALES Raw'!$C$6:$C$603,'SALES Raw'!$E$6:$E$603,$A44,'SALES Raw'!$B$6:$B$603,2025)</f>
        <v>0</v>
      </c>
      <c r="I44" s="22" t="n">
        <f aca="false">SUMIFS('SALES Raw'!$D$6:$D$603,'SALES Raw'!$E$6:$E$603,$A44,'SALES Raw'!$B$6:$B$603,2025)</f>
        <v>0</v>
      </c>
      <c r="J44" s="21" t="n">
        <f aca="false">SUMIFS('SALES Raw'!$C$6:$C$603,'SALES Raw'!$E$6:$E$603,$A44,'SALES Raw'!$B$6:$B$603,2026)</f>
        <v>0</v>
      </c>
      <c r="K44" s="22" t="n">
        <f aca="false">SUMIFS('SALES Raw'!$D$6:$D$603,'SALES Raw'!$E$6:$E$603,$A44,'SALES Raw'!$B$6:$B$603,2026)</f>
        <v>0</v>
      </c>
      <c r="L44" s="21" t="n">
        <f aca="false">D44+H44</f>
        <v>110</v>
      </c>
      <c r="M44" s="22" t="n">
        <f aca="false">E44+I44</f>
        <v>4004.4</v>
      </c>
      <c r="N44" s="21" t="n">
        <f aca="false">F44+J44</f>
        <v>20</v>
      </c>
      <c r="O44" s="22" t="n">
        <f aca="false">G44+K44</f>
        <v>693.6</v>
      </c>
    </row>
    <row r="45" customFormat="false" ht="15" hidden="false" customHeight="false" outlineLevel="0" collapsed="false">
      <c r="A45" s="20" t="n">
        <v>4403041</v>
      </c>
      <c r="B45" s="20" t="str">
        <f aca="false">IFERROR(INDEX('Catalog'!$B:$B,MATCH($A45,'Catalog'!$A:$A,0)),"")</f>
        <v>397A-גרבי טיסה אנטי בקטרי35-38</v>
      </c>
      <c r="C45" s="20" t="str">
        <f aca="false">IFERROR(INDEX('TRANS'!$A:$A,MATCH($A45,'TRANS'!$B:$B,0)),"")</f>
        <v>397A-35-38</v>
      </c>
      <c r="D45" s="21" t="n">
        <f aca="false">SUMIFS('CEMI Raw'!$C$6:$C$1018,'CEMI Raw'!$E$6:$E$1018,$A45,'CEMI Raw'!$B$6:$B$1018,2025)</f>
        <v>0</v>
      </c>
      <c r="E45" s="22" t="n">
        <f aca="false">SUMIFS('CEMI Raw'!$D$6:$D$1018,'CEMI Raw'!$E$6:$E$1018,$A45,'CEMI Raw'!$B$6:$B$1018,2025)</f>
        <v>0</v>
      </c>
      <c r="F45" s="21" t="n">
        <f aca="false">SUMIFS('CEMI Raw'!$C$6:$C$1018,'CEMI Raw'!$E$6:$E$1018,$A45,'CEMI Raw'!$B$6:$B$1018,2026)</f>
        <v>116</v>
      </c>
      <c r="G45" s="22" t="n">
        <f aca="false">SUMIFS('CEMI Raw'!$D$6:$D$1018,'CEMI Raw'!$E$6:$E$1018,$A45,'CEMI Raw'!$B$6:$B$1018,2026)</f>
        <v>6879.5</v>
      </c>
      <c r="H45" s="21" t="n">
        <f aca="false">SUMIFS('SALES Raw'!$C$6:$C$603,'SALES Raw'!$E$6:$E$603,$A45,'SALES Raw'!$B$6:$B$603,2025)</f>
        <v>1</v>
      </c>
      <c r="I45" s="22" t="n">
        <f aca="false">SUMIFS('SALES Raw'!$D$6:$D$603,'SALES Raw'!$E$6:$E$603,$A45,'SALES Raw'!$B$6:$B$603,2025)</f>
        <v>63.23</v>
      </c>
      <c r="J45" s="21" t="n">
        <f aca="false">SUMIFS('SALES Raw'!$C$6:$C$603,'SALES Raw'!$E$6:$E$603,$A45,'SALES Raw'!$B$6:$B$603,2026)</f>
        <v>19</v>
      </c>
      <c r="K45" s="22" t="n">
        <f aca="false">SUMIFS('SALES Raw'!$D$6:$D$603,'SALES Raw'!$E$6:$E$603,$A45,'SALES Raw'!$B$6:$B$603,2026)</f>
        <v>1201.43</v>
      </c>
      <c r="L45" s="21" t="n">
        <f aca="false">D45+H45</f>
        <v>1</v>
      </c>
      <c r="M45" s="22" t="n">
        <f aca="false">E45+I45</f>
        <v>63.23</v>
      </c>
      <c r="N45" s="21" t="n">
        <f aca="false">F45+J45</f>
        <v>135</v>
      </c>
      <c r="O45" s="22" t="n">
        <f aca="false">G45+K45</f>
        <v>8080.93</v>
      </c>
    </row>
    <row r="46" customFormat="false" ht="15" hidden="false" customHeight="false" outlineLevel="0" collapsed="false">
      <c r="A46" s="20" t="n">
        <v>4403042</v>
      </c>
      <c r="B46" s="20" t="str">
        <f aca="false">IFERROR(INDEX('Catalog'!$B:$B,MATCH($A46,'Catalog'!$A:$A,0)),"")</f>
        <v>397A-גרבי טיסה אנטי בקטרי39-42</v>
      </c>
      <c r="C46" s="20" t="str">
        <f aca="false">IFERROR(INDEX('TRANS'!$A:$A,MATCH($A46,'TRANS'!$B:$B,0)),"")</f>
        <v>397A-39-42</v>
      </c>
      <c r="D46" s="21" t="n">
        <f aca="false">SUMIFS('CEMI Raw'!$C$6:$C$1018,'CEMI Raw'!$E$6:$E$1018,$A46,'CEMI Raw'!$B$6:$B$1018,2025)</f>
        <v>0</v>
      </c>
      <c r="E46" s="22" t="n">
        <f aca="false">SUMIFS('CEMI Raw'!$D$6:$D$1018,'CEMI Raw'!$E$6:$E$1018,$A46,'CEMI Raw'!$B$6:$B$1018,2025)</f>
        <v>0</v>
      </c>
      <c r="F46" s="21" t="n">
        <f aca="false">SUMIFS('CEMI Raw'!$C$6:$C$1018,'CEMI Raw'!$E$6:$E$1018,$A46,'CEMI Raw'!$B$6:$B$1018,2026)</f>
        <v>190</v>
      </c>
      <c r="G46" s="22" t="n">
        <f aca="false">SUMIFS('CEMI Raw'!$D$6:$D$1018,'CEMI Raw'!$E$6:$E$1018,$A46,'CEMI Raw'!$B$6:$B$1018,2026)</f>
        <v>11246.6</v>
      </c>
      <c r="H46" s="21" t="n">
        <f aca="false">SUMIFS('SALES Raw'!$C$6:$C$603,'SALES Raw'!$E$6:$E$603,$A46,'SALES Raw'!$B$6:$B$603,2025)</f>
        <v>0</v>
      </c>
      <c r="I46" s="22" t="n">
        <f aca="false">SUMIFS('SALES Raw'!$D$6:$D$603,'SALES Raw'!$E$6:$E$603,$A46,'SALES Raw'!$B$6:$B$603,2025)</f>
        <v>0</v>
      </c>
      <c r="J46" s="21" t="n">
        <f aca="false">SUMIFS('SALES Raw'!$C$6:$C$603,'SALES Raw'!$E$6:$E$603,$A46,'SALES Raw'!$B$6:$B$603,2026)</f>
        <v>36</v>
      </c>
      <c r="K46" s="22" t="n">
        <f aca="false">SUMIFS('SALES Raw'!$D$6:$D$603,'SALES Raw'!$E$6:$E$603,$A46,'SALES Raw'!$B$6:$B$603,2026)</f>
        <v>2276.35</v>
      </c>
      <c r="L46" s="21" t="n">
        <f aca="false">D46+H46</f>
        <v>0</v>
      </c>
      <c r="M46" s="22" t="n">
        <f aca="false">E46+I46</f>
        <v>0</v>
      </c>
      <c r="N46" s="21" t="n">
        <f aca="false">F46+J46</f>
        <v>226</v>
      </c>
      <c r="O46" s="22" t="n">
        <f aca="false">G46+K46</f>
        <v>13522.95</v>
      </c>
    </row>
    <row r="47" customFormat="false" ht="15" hidden="false" customHeight="false" outlineLevel="0" collapsed="false">
      <c r="A47" s="20" t="n">
        <v>4403043</v>
      </c>
      <c r="B47" s="20" t="str">
        <f aca="false">IFERROR(INDEX('Catalog'!$B:$B,MATCH($A47,'Catalog'!$A:$A,0)),"")</f>
        <v>397A-גרבי טיסה אנטי בקטרי43-46</v>
      </c>
      <c r="C47" s="20" t="str">
        <f aca="false">IFERROR(INDEX('TRANS'!$A:$A,MATCH($A47,'TRANS'!$B:$B,0)),"")</f>
        <v>397A-43-46</v>
      </c>
      <c r="D47" s="21" t="n">
        <f aca="false">SUMIFS('CEMI Raw'!$C$6:$C$1018,'CEMI Raw'!$E$6:$E$1018,$A47,'CEMI Raw'!$B$6:$B$1018,2025)</f>
        <v>0</v>
      </c>
      <c r="E47" s="22" t="n">
        <f aca="false">SUMIFS('CEMI Raw'!$D$6:$D$1018,'CEMI Raw'!$E$6:$E$1018,$A47,'CEMI Raw'!$B$6:$B$1018,2025)</f>
        <v>0</v>
      </c>
      <c r="F47" s="21" t="n">
        <f aca="false">SUMIFS('CEMI Raw'!$C$6:$C$1018,'CEMI Raw'!$E$6:$E$1018,$A47,'CEMI Raw'!$B$6:$B$1018,2026)</f>
        <v>150</v>
      </c>
      <c r="G47" s="22" t="n">
        <f aca="false">SUMIFS('CEMI Raw'!$D$6:$D$1018,'CEMI Raw'!$E$6:$E$1018,$A47,'CEMI Raw'!$B$6:$B$1018,2026)</f>
        <v>8894.4</v>
      </c>
      <c r="H47" s="21" t="n">
        <f aca="false">SUMIFS('SALES Raw'!$C$6:$C$603,'SALES Raw'!$E$6:$E$603,$A47,'SALES Raw'!$B$6:$B$603,2025)</f>
        <v>0</v>
      </c>
      <c r="I47" s="22" t="n">
        <f aca="false">SUMIFS('SALES Raw'!$D$6:$D$603,'SALES Raw'!$E$6:$E$603,$A47,'SALES Raw'!$B$6:$B$603,2025)</f>
        <v>0</v>
      </c>
      <c r="J47" s="21" t="n">
        <f aca="false">SUMIFS('SALES Raw'!$C$6:$C$603,'SALES Raw'!$E$6:$E$603,$A47,'SALES Raw'!$B$6:$B$603,2026)</f>
        <v>33</v>
      </c>
      <c r="K47" s="22" t="n">
        <f aca="false">SUMIFS('SALES Raw'!$D$6:$D$603,'SALES Raw'!$E$6:$E$603,$A47,'SALES Raw'!$B$6:$B$603,2026)</f>
        <v>2086.68</v>
      </c>
      <c r="L47" s="21" t="n">
        <f aca="false">D47+H47</f>
        <v>0</v>
      </c>
      <c r="M47" s="22" t="n">
        <f aca="false">E47+I47</f>
        <v>0</v>
      </c>
      <c r="N47" s="21" t="n">
        <f aca="false">F47+J47</f>
        <v>183</v>
      </c>
      <c r="O47" s="22" t="n">
        <f aca="false">G47+K47</f>
        <v>10981.08</v>
      </c>
    </row>
    <row r="48" customFormat="false" ht="15" hidden="false" customHeight="false" outlineLevel="0" collapsed="false">
      <c r="A48" s="20" t="n">
        <v>4403044</v>
      </c>
      <c r="B48" s="20" t="str">
        <f aca="false">IFERROR(INDEX('Catalog'!$B:$B,MATCH($A48,'Catalog'!$A:$A,0)),"")</f>
        <v>395B גרבי קיץ אנטי בקטריא39-42</v>
      </c>
      <c r="C48" s="20" t="str">
        <f aca="false">IFERROR(INDEX('TRANS'!$A:$A,MATCH($A48,'TRANS'!$B:$B,0)),"")</f>
        <v>395B-39-42</v>
      </c>
      <c r="D48" s="21" t="n">
        <f aca="false">SUMIFS('CEMI Raw'!$C$6:$C$1018,'CEMI Raw'!$E$6:$E$1018,$A48,'CEMI Raw'!$B$6:$B$1018,2025)</f>
        <v>0</v>
      </c>
      <c r="E48" s="22" t="n">
        <f aca="false">SUMIFS('CEMI Raw'!$D$6:$D$1018,'CEMI Raw'!$E$6:$E$1018,$A48,'CEMI Raw'!$B$6:$B$1018,2025)</f>
        <v>0</v>
      </c>
      <c r="F48" s="21" t="n">
        <f aca="false">SUMIFS('CEMI Raw'!$C$6:$C$1018,'CEMI Raw'!$E$6:$E$1018,$A48,'CEMI Raw'!$B$6:$B$1018,2026)</f>
        <v>21</v>
      </c>
      <c r="G48" s="22" t="n">
        <f aca="false">SUMIFS('CEMI Raw'!$D$6:$D$1018,'CEMI Raw'!$E$6:$E$1018,$A48,'CEMI Raw'!$B$6:$B$1018,2026)</f>
        <v>606.4</v>
      </c>
      <c r="H48" s="21" t="n">
        <f aca="false">SUMIFS('SALES Raw'!$C$6:$C$603,'SALES Raw'!$E$6:$E$603,$A48,'SALES Raw'!$B$6:$B$603,2025)</f>
        <v>0</v>
      </c>
      <c r="I48" s="22" t="n">
        <f aca="false">SUMIFS('SALES Raw'!$D$6:$D$603,'SALES Raw'!$E$6:$E$603,$A48,'SALES Raw'!$B$6:$B$603,2025)</f>
        <v>0</v>
      </c>
      <c r="J48" s="21" t="n">
        <f aca="false">SUMIFS('SALES Raw'!$C$6:$C$603,'SALES Raw'!$E$6:$E$603,$A48,'SALES Raw'!$B$6:$B$603,2026)</f>
        <v>9</v>
      </c>
      <c r="K48" s="22" t="n">
        <f aca="false">SUMIFS('SALES Raw'!$D$6:$D$603,'SALES Raw'!$E$6:$E$603,$A48,'SALES Raw'!$B$6:$B$603,2026)</f>
        <v>273.78</v>
      </c>
      <c r="L48" s="21" t="n">
        <f aca="false">D48+H48</f>
        <v>0</v>
      </c>
      <c r="M48" s="22" t="n">
        <f aca="false">E48+I48</f>
        <v>0</v>
      </c>
      <c r="N48" s="21" t="n">
        <f aca="false">F48+J48</f>
        <v>30</v>
      </c>
      <c r="O48" s="22" t="n">
        <f aca="false">G48+K48</f>
        <v>880.18</v>
      </c>
    </row>
    <row r="49" customFormat="false" ht="15" hidden="false" customHeight="false" outlineLevel="0" collapsed="false">
      <c r="A49" s="20" t="n">
        <v>4403045</v>
      </c>
      <c r="B49" s="20" t="str">
        <f aca="false">IFERROR(INDEX('Catalog'!$B:$B,MATCH($A49,'Catalog'!$A:$A,0)),"")</f>
        <v>395B גרבי קיץ אנטי בקטריא43-46</v>
      </c>
      <c r="C49" s="20" t="str">
        <f aca="false">IFERROR(INDEX('TRANS'!$A:$A,MATCH($A49,'TRANS'!$B:$B,0)),"")</f>
        <v>395B-43-46</v>
      </c>
      <c r="D49" s="21" t="n">
        <f aca="false">SUMIFS('CEMI Raw'!$C$6:$C$1018,'CEMI Raw'!$E$6:$E$1018,$A49,'CEMI Raw'!$B$6:$B$1018,2025)</f>
        <v>0</v>
      </c>
      <c r="E49" s="22" t="n">
        <f aca="false">SUMIFS('CEMI Raw'!$D$6:$D$1018,'CEMI Raw'!$E$6:$E$1018,$A49,'CEMI Raw'!$B$6:$B$1018,2025)</f>
        <v>0</v>
      </c>
      <c r="F49" s="21" t="n">
        <f aca="false">SUMIFS('CEMI Raw'!$C$6:$C$1018,'CEMI Raw'!$E$6:$E$1018,$A49,'CEMI Raw'!$B$6:$B$1018,2026)</f>
        <v>16</v>
      </c>
      <c r="G49" s="22" t="n">
        <f aca="false">SUMIFS('CEMI Raw'!$D$6:$D$1018,'CEMI Raw'!$E$6:$E$1018,$A49,'CEMI Raw'!$B$6:$B$1018,2026)</f>
        <v>454.3</v>
      </c>
      <c r="H49" s="21" t="n">
        <f aca="false">SUMIFS('SALES Raw'!$C$6:$C$603,'SALES Raw'!$E$6:$E$603,$A49,'SALES Raw'!$B$6:$B$603,2025)</f>
        <v>0</v>
      </c>
      <c r="I49" s="22" t="n">
        <f aca="false">SUMIFS('SALES Raw'!$D$6:$D$603,'SALES Raw'!$E$6:$E$603,$A49,'SALES Raw'!$B$6:$B$603,2025)</f>
        <v>0</v>
      </c>
      <c r="J49" s="21" t="n">
        <f aca="false">SUMIFS('SALES Raw'!$C$6:$C$603,'SALES Raw'!$E$6:$E$603,$A49,'SALES Raw'!$B$6:$B$603,2026)</f>
        <v>22</v>
      </c>
      <c r="K49" s="22" t="n">
        <f aca="false">SUMIFS('SALES Raw'!$D$6:$D$603,'SALES Raw'!$E$6:$E$603,$A49,'SALES Raw'!$B$6:$B$603,2026)</f>
        <v>669.24</v>
      </c>
      <c r="L49" s="21" t="n">
        <f aca="false">D49+H49</f>
        <v>0</v>
      </c>
      <c r="M49" s="22" t="n">
        <f aca="false">E49+I49</f>
        <v>0</v>
      </c>
      <c r="N49" s="21" t="n">
        <f aca="false">F49+J49</f>
        <v>38</v>
      </c>
      <c r="O49" s="22" t="n">
        <f aca="false">G49+K49</f>
        <v>1123.54</v>
      </c>
    </row>
    <row r="50" customFormat="false" ht="15" hidden="false" customHeight="false" outlineLevel="0" collapsed="false">
      <c r="A50" s="20" t="n">
        <v>4404000</v>
      </c>
      <c r="B50" s="20" t="str">
        <f aca="false">IFERROR(INDEX('Catalog'!$B:$B,MATCH($A50,'Catalog'!$A:$A,0)),"")</f>
        <v>FC330Z-תתדאו'אנטי בקט.לנעל120</v>
      </c>
      <c r="C50" s="20" t="str">
        <f aca="false">IFERROR(INDEX('TRANS'!$A:$A,MATCH($A50,'TRANS'!$B:$B,0)),"")</f>
        <v/>
      </c>
      <c r="D50" s="21" t="n">
        <f aca="false">SUMIFS('CEMI Raw'!$C$6:$C$1018,'CEMI Raw'!$E$6:$E$1018,$A50,'CEMI Raw'!$B$6:$B$1018,2025)</f>
        <v>-6</v>
      </c>
      <c r="E50" s="22" t="n">
        <f aca="false">SUMIFS('CEMI Raw'!$D$6:$D$1018,'CEMI Raw'!$E$6:$E$1018,$A50,'CEMI Raw'!$B$6:$B$1018,2025)</f>
        <v>-173.3</v>
      </c>
      <c r="F50" s="21" t="n">
        <f aca="false">SUMIFS('CEMI Raw'!$C$6:$C$1018,'CEMI Raw'!$E$6:$E$1018,$A50,'CEMI Raw'!$B$6:$B$1018,2026)</f>
        <v>0</v>
      </c>
      <c r="G50" s="22" t="n">
        <f aca="false">SUMIFS('CEMI Raw'!$D$6:$D$1018,'CEMI Raw'!$E$6:$E$1018,$A50,'CEMI Raw'!$B$6:$B$1018,2026)</f>
        <v>0</v>
      </c>
      <c r="H50" s="21" t="n">
        <f aca="false">SUMIFS('SALES Raw'!$C$6:$C$603,'SALES Raw'!$E$6:$E$603,$A50,'SALES Raw'!$B$6:$B$603,2025)</f>
        <v>0</v>
      </c>
      <c r="I50" s="22" t="n">
        <f aca="false">SUMIFS('SALES Raw'!$D$6:$D$603,'SALES Raw'!$E$6:$E$603,$A50,'SALES Raw'!$B$6:$B$603,2025)</f>
        <v>0</v>
      </c>
      <c r="J50" s="21" t="n">
        <f aca="false">SUMIFS('SALES Raw'!$C$6:$C$603,'SALES Raw'!$E$6:$E$603,$A50,'SALES Raw'!$B$6:$B$603,2026)</f>
        <v>0</v>
      </c>
      <c r="K50" s="22" t="n">
        <f aca="false">SUMIFS('SALES Raw'!$D$6:$D$603,'SALES Raw'!$E$6:$E$603,$A50,'SALES Raw'!$B$6:$B$603,2026)</f>
        <v>0</v>
      </c>
      <c r="L50" s="21" t="n">
        <f aca="false">D50+H50</f>
        <v>-6</v>
      </c>
      <c r="M50" s="22" t="n">
        <f aca="false">E50+I50</f>
        <v>-173.3</v>
      </c>
      <c r="N50" s="21" t="n">
        <f aca="false">F50+J50</f>
        <v>0</v>
      </c>
      <c r="O50" s="22" t="n">
        <f aca="false">G50+K50</f>
        <v>0</v>
      </c>
    </row>
    <row r="51" customFormat="false" ht="15" hidden="false" customHeight="false" outlineLevel="0" collapsed="false">
      <c r="A51" s="20" t="n">
        <v>4408003</v>
      </c>
      <c r="B51" s="20" t="str">
        <f aca="false">IFERROR(INDEX('Catalog'!$B:$B,MATCH($A51,'Catalog'!$A:$A,0)),"")</f>
        <v>06 M  ""ח.גב קלה ""מיקדו</v>
      </c>
      <c r="C51" s="20" t="str">
        <f aca="false">IFERROR(INDEX('TRANS'!$A:$A,MATCH($A51,'TRANS'!$B:$B,0)),"")</f>
        <v/>
      </c>
      <c r="D51" s="21" t="n">
        <f aca="false">SUMIFS('CEMI Raw'!$C$6:$C$1018,'CEMI Raw'!$E$6:$E$1018,$A51,'CEMI Raw'!$B$6:$B$1018,2025)</f>
        <v>-1</v>
      </c>
      <c r="E51" s="22" t="n">
        <f aca="false">SUMIFS('CEMI Raw'!$D$6:$D$1018,'CEMI Raw'!$E$6:$E$1018,$A51,'CEMI Raw'!$B$6:$B$1018,2025)</f>
        <v>-170.1</v>
      </c>
      <c r="F51" s="21" t="n">
        <f aca="false">SUMIFS('CEMI Raw'!$C$6:$C$1018,'CEMI Raw'!$E$6:$E$1018,$A51,'CEMI Raw'!$B$6:$B$1018,2026)</f>
        <v>0</v>
      </c>
      <c r="G51" s="22" t="n">
        <f aca="false">SUMIFS('CEMI Raw'!$D$6:$D$1018,'CEMI Raw'!$E$6:$E$1018,$A51,'CEMI Raw'!$B$6:$B$1018,2026)</f>
        <v>0</v>
      </c>
      <c r="H51" s="21" t="n">
        <f aca="false">SUMIFS('SALES Raw'!$C$6:$C$603,'SALES Raw'!$E$6:$E$603,$A51,'SALES Raw'!$B$6:$B$603,2025)</f>
        <v>0</v>
      </c>
      <c r="I51" s="22" t="n">
        <f aca="false">SUMIFS('SALES Raw'!$D$6:$D$603,'SALES Raw'!$E$6:$E$603,$A51,'SALES Raw'!$B$6:$B$603,2025)</f>
        <v>0</v>
      </c>
      <c r="J51" s="21" t="n">
        <f aca="false">SUMIFS('SALES Raw'!$C$6:$C$603,'SALES Raw'!$E$6:$E$603,$A51,'SALES Raw'!$B$6:$B$603,2026)</f>
        <v>0</v>
      </c>
      <c r="K51" s="22" t="n">
        <f aca="false">SUMIFS('SALES Raw'!$D$6:$D$603,'SALES Raw'!$E$6:$E$603,$A51,'SALES Raw'!$B$6:$B$603,2026)</f>
        <v>0</v>
      </c>
      <c r="L51" s="21" t="n">
        <f aca="false">D51+H51</f>
        <v>-1</v>
      </c>
      <c r="M51" s="22" t="n">
        <f aca="false">E51+I51</f>
        <v>-170.1</v>
      </c>
      <c r="N51" s="21" t="n">
        <f aca="false">F51+J51</f>
        <v>0</v>
      </c>
      <c r="O51" s="22" t="n">
        <f aca="false">G51+K51</f>
        <v>0</v>
      </c>
    </row>
    <row r="52" customFormat="false" ht="15" hidden="false" customHeight="false" outlineLevel="0" collapsed="false">
      <c r="A52" s="20" t="n">
        <v>4408004</v>
      </c>
      <c r="B52" s="20" t="str">
        <f aca="false">IFERROR(INDEX('Catalog'!$B:$B,MATCH($A52,'Catalog'!$A:$A,0)),"")</f>
        <v>06 XL ""ח.גב קלה ""מיקדו</v>
      </c>
      <c r="C52" s="20" t="str">
        <f aca="false">IFERROR(INDEX('TRANS'!$A:$A,MATCH($A52,'TRANS'!$B:$B,0)),"")</f>
        <v/>
      </c>
      <c r="D52" s="21" t="n">
        <f aca="false">SUMIFS('CEMI Raw'!$C$6:$C$1018,'CEMI Raw'!$E$6:$E$1018,$A52,'CEMI Raw'!$B$6:$B$1018,2025)</f>
        <v>1</v>
      </c>
      <c r="E52" s="22" t="n">
        <f aca="false">SUMIFS('CEMI Raw'!$D$6:$D$1018,'CEMI Raw'!$E$6:$E$1018,$A52,'CEMI Raw'!$B$6:$B$1018,2025)</f>
        <v>170.1</v>
      </c>
      <c r="F52" s="21" t="n">
        <f aca="false">SUMIFS('CEMI Raw'!$C$6:$C$1018,'CEMI Raw'!$E$6:$E$1018,$A52,'CEMI Raw'!$B$6:$B$1018,2026)</f>
        <v>0</v>
      </c>
      <c r="G52" s="22" t="n">
        <f aca="false">SUMIFS('CEMI Raw'!$D$6:$D$1018,'CEMI Raw'!$E$6:$E$1018,$A52,'CEMI Raw'!$B$6:$B$1018,2026)</f>
        <v>0</v>
      </c>
      <c r="H52" s="21" t="n">
        <f aca="false">SUMIFS('SALES Raw'!$C$6:$C$603,'SALES Raw'!$E$6:$E$603,$A52,'SALES Raw'!$B$6:$B$603,2025)</f>
        <v>0</v>
      </c>
      <c r="I52" s="22" t="n">
        <f aca="false">SUMIFS('SALES Raw'!$D$6:$D$603,'SALES Raw'!$E$6:$E$603,$A52,'SALES Raw'!$B$6:$B$603,2025)</f>
        <v>0</v>
      </c>
      <c r="J52" s="21" t="n">
        <f aca="false">SUMIFS('SALES Raw'!$C$6:$C$603,'SALES Raw'!$E$6:$E$603,$A52,'SALES Raw'!$B$6:$B$603,2026)</f>
        <v>0</v>
      </c>
      <c r="K52" s="22" t="n">
        <f aca="false">SUMIFS('SALES Raw'!$D$6:$D$603,'SALES Raw'!$E$6:$E$603,$A52,'SALES Raw'!$B$6:$B$603,2026)</f>
        <v>0</v>
      </c>
      <c r="L52" s="21" t="n">
        <f aca="false">D52+H52</f>
        <v>1</v>
      </c>
      <c r="M52" s="22" t="n">
        <f aca="false">E52+I52</f>
        <v>170.1</v>
      </c>
      <c r="N52" s="21" t="n">
        <f aca="false">F52+J52</f>
        <v>0</v>
      </c>
      <c r="O52" s="22" t="n">
        <f aca="false">G52+K52</f>
        <v>0</v>
      </c>
    </row>
    <row r="53" customFormat="false" ht="15" hidden="false" customHeight="false" outlineLevel="0" collapsed="false">
      <c r="A53" s="20" t="n">
        <v>4408009</v>
      </c>
      <c r="B53" s="20" t="str">
        <f aca="false">IFERROR(INDEX('Catalog'!$B:$B,MATCH($A53,'Catalog'!$A:$A,0)),"")</f>
        <v>079 S ח.גב סג. כפולה שחור+אדום</v>
      </c>
      <c r="C53" s="20" t="str">
        <f aca="false">IFERROR(INDEX('TRANS'!$A:$A,MATCH($A53,'TRANS'!$B:$B,0)),"")</f>
        <v/>
      </c>
      <c r="D53" s="21" t="n">
        <f aca="false">SUMIFS('CEMI Raw'!$C$6:$C$1018,'CEMI Raw'!$E$6:$E$1018,$A53,'CEMI Raw'!$B$6:$B$1018,2025)</f>
        <v>3</v>
      </c>
      <c r="E53" s="22" t="n">
        <f aca="false">SUMIFS('CEMI Raw'!$D$6:$D$1018,'CEMI Raw'!$E$6:$E$1018,$A53,'CEMI Raw'!$B$6:$B$1018,2025)</f>
        <v>260.9</v>
      </c>
      <c r="F53" s="21" t="n">
        <f aca="false">SUMIFS('CEMI Raw'!$C$6:$C$1018,'CEMI Raw'!$E$6:$E$1018,$A53,'CEMI Raw'!$B$6:$B$1018,2026)</f>
        <v>0</v>
      </c>
      <c r="G53" s="22" t="n">
        <f aca="false">SUMIFS('CEMI Raw'!$D$6:$D$1018,'CEMI Raw'!$E$6:$E$1018,$A53,'CEMI Raw'!$B$6:$B$1018,2026)</f>
        <v>7.2</v>
      </c>
      <c r="H53" s="21" t="n">
        <f aca="false">SUMIFS('SALES Raw'!$C$6:$C$603,'SALES Raw'!$E$6:$E$603,$A53,'SALES Raw'!$B$6:$B$603,2025)</f>
        <v>0</v>
      </c>
      <c r="I53" s="22" t="n">
        <f aca="false">SUMIFS('SALES Raw'!$D$6:$D$603,'SALES Raw'!$E$6:$E$603,$A53,'SALES Raw'!$B$6:$B$603,2025)</f>
        <v>0</v>
      </c>
      <c r="J53" s="21" t="n">
        <f aca="false">SUMIFS('SALES Raw'!$C$6:$C$603,'SALES Raw'!$E$6:$E$603,$A53,'SALES Raw'!$B$6:$B$603,2026)</f>
        <v>0</v>
      </c>
      <c r="K53" s="22" t="n">
        <f aca="false">SUMIFS('SALES Raw'!$D$6:$D$603,'SALES Raw'!$E$6:$E$603,$A53,'SALES Raw'!$B$6:$B$603,2026)</f>
        <v>0</v>
      </c>
      <c r="L53" s="21" t="n">
        <f aca="false">D53+H53</f>
        <v>3</v>
      </c>
      <c r="M53" s="22" t="n">
        <f aca="false">E53+I53</f>
        <v>260.9</v>
      </c>
      <c r="N53" s="21" t="n">
        <f aca="false">F53+J53</f>
        <v>0</v>
      </c>
      <c r="O53" s="22" t="n">
        <f aca="false">G53+K53</f>
        <v>7.2</v>
      </c>
    </row>
    <row r="54" customFormat="false" ht="15" hidden="false" customHeight="false" outlineLevel="0" collapsed="false">
      <c r="A54" s="20" t="n">
        <v>4408010</v>
      </c>
      <c r="B54" s="20" t="str">
        <f aca="false">IFERROR(INDEX('Catalog'!$B:$B,MATCH($A54,'Catalog'!$A:$A,0)),"")</f>
        <v>079 L ח.גב סג.כפולה שחור+אדום</v>
      </c>
      <c r="C54" s="20" t="str">
        <f aca="false">IFERROR(INDEX('TRANS'!$A:$A,MATCH($A54,'TRANS'!$B:$B,0)),"")</f>
        <v/>
      </c>
      <c r="D54" s="21" t="n">
        <f aca="false">SUMIFS('CEMI Raw'!$C$6:$C$1018,'CEMI Raw'!$E$6:$E$1018,$A54,'CEMI Raw'!$B$6:$B$1018,2025)</f>
        <v>2</v>
      </c>
      <c r="E54" s="22" t="n">
        <f aca="false">SUMIFS('CEMI Raw'!$D$6:$D$1018,'CEMI Raw'!$E$6:$E$1018,$A54,'CEMI Raw'!$B$6:$B$1018,2025)</f>
        <v>195.7</v>
      </c>
      <c r="F54" s="21" t="n">
        <f aca="false">SUMIFS('CEMI Raw'!$C$6:$C$1018,'CEMI Raw'!$E$6:$E$1018,$A54,'CEMI Raw'!$B$6:$B$1018,2026)</f>
        <v>1</v>
      </c>
      <c r="G54" s="22" t="n">
        <f aca="false">SUMIFS('CEMI Raw'!$D$6:$D$1018,'CEMI Raw'!$E$6:$E$1018,$A54,'CEMI Raw'!$B$6:$B$1018,2026)</f>
        <v>101.5</v>
      </c>
      <c r="H54" s="21" t="n">
        <f aca="false">SUMIFS('SALES Raw'!$C$6:$C$603,'SALES Raw'!$E$6:$E$603,$A54,'SALES Raw'!$B$6:$B$603,2025)</f>
        <v>0</v>
      </c>
      <c r="I54" s="22" t="n">
        <f aca="false">SUMIFS('SALES Raw'!$D$6:$D$603,'SALES Raw'!$E$6:$E$603,$A54,'SALES Raw'!$B$6:$B$603,2025)</f>
        <v>0</v>
      </c>
      <c r="J54" s="21" t="n">
        <f aca="false">SUMIFS('SALES Raw'!$C$6:$C$603,'SALES Raw'!$E$6:$E$603,$A54,'SALES Raw'!$B$6:$B$603,2026)</f>
        <v>0</v>
      </c>
      <c r="K54" s="22" t="n">
        <f aca="false">SUMIFS('SALES Raw'!$D$6:$D$603,'SALES Raw'!$E$6:$E$603,$A54,'SALES Raw'!$B$6:$B$603,2026)</f>
        <v>0</v>
      </c>
      <c r="L54" s="21" t="n">
        <f aca="false">D54+H54</f>
        <v>2</v>
      </c>
      <c r="M54" s="22" t="n">
        <f aca="false">E54+I54</f>
        <v>195.7</v>
      </c>
      <c r="N54" s="21" t="n">
        <f aca="false">F54+J54</f>
        <v>1</v>
      </c>
      <c r="O54" s="22" t="n">
        <f aca="false">G54+K54</f>
        <v>101.5</v>
      </c>
    </row>
    <row r="55" customFormat="false" ht="15" hidden="false" customHeight="false" outlineLevel="0" collapsed="false">
      <c r="A55" s="20" t="n">
        <v>4408011</v>
      </c>
      <c r="B55" s="20" t="str">
        <f aca="false">IFERROR(INDEX('Catalog'!$B:$B,MATCH($A55,'Catalog'!$A:$A,0)),"")</f>
        <v>079  M ח.גב סג.כפולה שחור+אדום</v>
      </c>
      <c r="C55" s="20" t="str">
        <f aca="false">IFERROR(INDEX('TRANS'!$A:$A,MATCH($A55,'TRANS'!$B:$B,0)),"")</f>
        <v/>
      </c>
      <c r="D55" s="21" t="n">
        <f aca="false">SUMIFS('CEMI Raw'!$C$6:$C$1018,'CEMI Raw'!$E$6:$E$1018,$A55,'CEMI Raw'!$B$6:$B$1018,2025)</f>
        <v>3</v>
      </c>
      <c r="E55" s="22" t="n">
        <f aca="false">SUMIFS('CEMI Raw'!$D$6:$D$1018,'CEMI Raw'!$E$6:$E$1018,$A55,'CEMI Raw'!$B$6:$B$1018,2025)</f>
        <v>268.1</v>
      </c>
      <c r="F55" s="21" t="n">
        <f aca="false">SUMIFS('CEMI Raw'!$C$6:$C$1018,'CEMI Raw'!$E$6:$E$1018,$A55,'CEMI Raw'!$B$6:$B$1018,2026)</f>
        <v>0</v>
      </c>
      <c r="G55" s="22" t="n">
        <f aca="false">SUMIFS('CEMI Raw'!$D$6:$D$1018,'CEMI Raw'!$E$6:$E$1018,$A55,'CEMI Raw'!$B$6:$B$1018,2026)</f>
        <v>0</v>
      </c>
      <c r="H55" s="21" t="n">
        <f aca="false">SUMIFS('SALES Raw'!$C$6:$C$603,'SALES Raw'!$E$6:$E$603,$A55,'SALES Raw'!$B$6:$B$603,2025)</f>
        <v>0</v>
      </c>
      <c r="I55" s="22" t="n">
        <f aca="false">SUMIFS('SALES Raw'!$D$6:$D$603,'SALES Raw'!$E$6:$E$603,$A55,'SALES Raw'!$B$6:$B$603,2025)</f>
        <v>0</v>
      </c>
      <c r="J55" s="21" t="n">
        <f aca="false">SUMIFS('SALES Raw'!$C$6:$C$603,'SALES Raw'!$E$6:$E$603,$A55,'SALES Raw'!$B$6:$B$603,2026)</f>
        <v>0</v>
      </c>
      <c r="K55" s="22" t="n">
        <f aca="false">SUMIFS('SALES Raw'!$D$6:$D$603,'SALES Raw'!$E$6:$E$603,$A55,'SALES Raw'!$B$6:$B$603,2026)</f>
        <v>0</v>
      </c>
      <c r="L55" s="21" t="n">
        <f aca="false">D55+H55</f>
        <v>3</v>
      </c>
      <c r="M55" s="22" t="n">
        <f aca="false">E55+I55</f>
        <v>268.1</v>
      </c>
      <c r="N55" s="21" t="n">
        <f aca="false">F55+J55</f>
        <v>0</v>
      </c>
      <c r="O55" s="22" t="n">
        <f aca="false">G55+K55</f>
        <v>0</v>
      </c>
    </row>
    <row r="56" customFormat="false" ht="15" hidden="false" customHeight="false" outlineLevel="0" collapsed="false">
      <c r="A56" s="20" t="n">
        <v>4408012</v>
      </c>
      <c r="B56" s="20" t="str">
        <f aca="false">IFERROR(INDEX('Catalog'!$B:$B,MATCH($A56,'Catalog'!$A:$A,0)),"")</f>
        <v>079 XL ח.גב סג.כפולה שחור+אדום</v>
      </c>
      <c r="C56" s="20" t="str">
        <f aca="false">IFERROR(INDEX('TRANS'!$A:$A,MATCH($A56,'TRANS'!$B:$B,0)),"")</f>
        <v/>
      </c>
      <c r="D56" s="21" t="n">
        <f aca="false">SUMIFS('CEMI Raw'!$C$6:$C$1018,'CEMI Raw'!$E$6:$E$1018,$A56,'CEMI Raw'!$B$6:$B$1018,2025)</f>
        <v>7</v>
      </c>
      <c r="E56" s="22" t="n">
        <f aca="false">SUMIFS('CEMI Raw'!$D$6:$D$1018,'CEMI Raw'!$E$6:$E$1018,$A56,'CEMI Raw'!$B$6:$B$1018,2025)</f>
        <v>720.2</v>
      </c>
      <c r="F56" s="21" t="n">
        <f aca="false">SUMIFS('CEMI Raw'!$C$6:$C$1018,'CEMI Raw'!$E$6:$E$1018,$A56,'CEMI Raw'!$B$6:$B$1018,2026)</f>
        <v>1</v>
      </c>
      <c r="G56" s="22" t="n">
        <f aca="false">SUMIFS('CEMI Raw'!$D$6:$D$1018,'CEMI Raw'!$E$6:$E$1018,$A56,'CEMI Raw'!$B$6:$B$1018,2026)</f>
        <v>108.7</v>
      </c>
      <c r="H56" s="21" t="n">
        <f aca="false">SUMIFS('SALES Raw'!$C$6:$C$603,'SALES Raw'!$E$6:$E$603,$A56,'SALES Raw'!$B$6:$B$603,2025)</f>
        <v>0</v>
      </c>
      <c r="I56" s="22" t="n">
        <f aca="false">SUMIFS('SALES Raw'!$D$6:$D$603,'SALES Raw'!$E$6:$E$603,$A56,'SALES Raw'!$B$6:$B$603,2025)</f>
        <v>0</v>
      </c>
      <c r="J56" s="21" t="n">
        <f aca="false">SUMIFS('SALES Raw'!$C$6:$C$603,'SALES Raw'!$E$6:$E$603,$A56,'SALES Raw'!$B$6:$B$603,2026)</f>
        <v>0</v>
      </c>
      <c r="K56" s="22" t="n">
        <f aca="false">SUMIFS('SALES Raw'!$D$6:$D$603,'SALES Raw'!$E$6:$E$603,$A56,'SALES Raw'!$B$6:$B$603,2026)</f>
        <v>0</v>
      </c>
      <c r="L56" s="21" t="n">
        <f aca="false">D56+H56</f>
        <v>7</v>
      </c>
      <c r="M56" s="22" t="n">
        <f aca="false">E56+I56</f>
        <v>720.2</v>
      </c>
      <c r="N56" s="21" t="n">
        <f aca="false">F56+J56</f>
        <v>1</v>
      </c>
      <c r="O56" s="22" t="n">
        <f aca="false">G56+K56</f>
        <v>108.7</v>
      </c>
    </row>
    <row r="57" customFormat="false" ht="15" hidden="false" customHeight="false" outlineLevel="0" collapsed="false">
      <c r="A57" s="20" t="n">
        <v>4408013</v>
      </c>
      <c r="B57" s="20" t="str">
        <f aca="false">IFERROR(INDEX('Catalog'!$B:$B,MATCH($A57,'Catalog'!$A:$A,0)),"")</f>
        <v>079 XXLח.גב סג.כפולה שחור+אדום</v>
      </c>
      <c r="C57" s="20" t="str">
        <f aca="false">IFERROR(INDEX('TRANS'!$A:$A,MATCH($A57,'TRANS'!$B:$B,0)),"")</f>
        <v/>
      </c>
      <c r="D57" s="21" t="n">
        <f aca="false">SUMIFS('CEMI Raw'!$C$6:$C$1018,'CEMI Raw'!$E$6:$E$1018,$A57,'CEMI Raw'!$B$6:$B$1018,2025)</f>
        <v>5</v>
      </c>
      <c r="E57" s="22" t="n">
        <f aca="false">SUMIFS('CEMI Raw'!$D$6:$D$1018,'CEMI Raw'!$E$6:$E$1018,$A57,'CEMI Raw'!$B$6:$B$1018,2025)</f>
        <v>471</v>
      </c>
      <c r="F57" s="21" t="n">
        <f aca="false">SUMIFS('CEMI Raw'!$C$6:$C$1018,'CEMI Raw'!$E$6:$E$1018,$A57,'CEMI Raw'!$B$6:$B$1018,2026)</f>
        <v>0</v>
      </c>
      <c r="G57" s="22" t="n">
        <f aca="false">SUMIFS('CEMI Raw'!$D$6:$D$1018,'CEMI Raw'!$E$6:$E$1018,$A57,'CEMI Raw'!$B$6:$B$1018,2026)</f>
        <v>0</v>
      </c>
      <c r="H57" s="21" t="n">
        <f aca="false">SUMIFS('SALES Raw'!$C$6:$C$603,'SALES Raw'!$E$6:$E$603,$A57,'SALES Raw'!$B$6:$B$603,2025)</f>
        <v>0</v>
      </c>
      <c r="I57" s="22" t="n">
        <f aca="false">SUMIFS('SALES Raw'!$D$6:$D$603,'SALES Raw'!$E$6:$E$603,$A57,'SALES Raw'!$B$6:$B$603,2025)</f>
        <v>0</v>
      </c>
      <c r="J57" s="21" t="n">
        <f aca="false">SUMIFS('SALES Raw'!$C$6:$C$603,'SALES Raw'!$E$6:$E$603,$A57,'SALES Raw'!$B$6:$B$603,2026)</f>
        <v>0</v>
      </c>
      <c r="K57" s="22" t="n">
        <f aca="false">SUMIFS('SALES Raw'!$D$6:$D$603,'SALES Raw'!$E$6:$E$603,$A57,'SALES Raw'!$B$6:$B$603,2026)</f>
        <v>0</v>
      </c>
      <c r="L57" s="21" t="n">
        <f aca="false">D57+H57</f>
        <v>5</v>
      </c>
      <c r="M57" s="22" t="n">
        <f aca="false">E57+I57</f>
        <v>471</v>
      </c>
      <c r="N57" s="21" t="n">
        <f aca="false">F57+J57</f>
        <v>0</v>
      </c>
      <c r="O57" s="22" t="n">
        <f aca="false">G57+K57</f>
        <v>0</v>
      </c>
    </row>
    <row r="58" customFormat="false" ht="15" hidden="false" customHeight="false" outlineLevel="0" collapsed="false">
      <c r="A58" s="20" t="n">
        <v>4408014</v>
      </c>
      <c r="B58" s="20" t="str">
        <f aca="false">IFERROR(INDEX('Catalog'!$B:$B,MATCH($A58,'Catalog'!$A:$A,0)),"")</f>
        <v>07AU S ח.גב ""איטלקית"" אורירית</v>
      </c>
      <c r="C58" s="20" t="str">
        <f aca="false">IFERROR(INDEX('TRANS'!$A:$A,MATCH($A58,'TRANS'!$B:$B,0)),"")</f>
        <v>07AU S</v>
      </c>
      <c r="D58" s="21" t="n">
        <f aca="false">SUMIFS('CEMI Raw'!$C$6:$C$1018,'CEMI Raw'!$E$6:$E$1018,$A58,'CEMI Raw'!$B$6:$B$1018,2025)</f>
        <v>1</v>
      </c>
      <c r="E58" s="22" t="n">
        <f aca="false">SUMIFS('CEMI Raw'!$D$6:$D$1018,'CEMI Raw'!$E$6:$E$1018,$A58,'CEMI Raw'!$B$6:$B$1018,2025)</f>
        <v>262.4</v>
      </c>
      <c r="F58" s="21" t="n">
        <f aca="false">SUMIFS('CEMI Raw'!$C$6:$C$1018,'CEMI Raw'!$E$6:$E$1018,$A58,'CEMI Raw'!$B$6:$B$1018,2026)</f>
        <v>1</v>
      </c>
      <c r="G58" s="22" t="n">
        <f aca="false">SUMIFS('CEMI Raw'!$D$6:$D$1018,'CEMI Raw'!$E$6:$E$1018,$A58,'CEMI Raw'!$B$6:$B$1018,2026)</f>
        <v>262.4</v>
      </c>
      <c r="H58" s="21" t="n">
        <f aca="false">SUMIFS('SALES Raw'!$C$6:$C$603,'SALES Raw'!$E$6:$E$603,$A58,'SALES Raw'!$B$6:$B$603,2025)</f>
        <v>0</v>
      </c>
      <c r="I58" s="22" t="n">
        <f aca="false">SUMIFS('SALES Raw'!$D$6:$D$603,'SALES Raw'!$E$6:$E$603,$A58,'SALES Raw'!$B$6:$B$603,2025)</f>
        <v>0</v>
      </c>
      <c r="J58" s="21" t="n">
        <f aca="false">SUMIFS('SALES Raw'!$C$6:$C$603,'SALES Raw'!$E$6:$E$603,$A58,'SALES Raw'!$B$6:$B$603,2026)</f>
        <v>0</v>
      </c>
      <c r="K58" s="22" t="n">
        <f aca="false">SUMIFS('SALES Raw'!$D$6:$D$603,'SALES Raw'!$E$6:$E$603,$A58,'SALES Raw'!$B$6:$B$603,2026)</f>
        <v>0</v>
      </c>
      <c r="L58" s="21" t="n">
        <f aca="false">D58+H58</f>
        <v>1</v>
      </c>
      <c r="M58" s="22" t="n">
        <f aca="false">E58+I58</f>
        <v>262.4</v>
      </c>
      <c r="N58" s="21" t="n">
        <f aca="false">F58+J58</f>
        <v>1</v>
      </c>
      <c r="O58" s="22" t="n">
        <f aca="false">G58+K58</f>
        <v>262.4</v>
      </c>
    </row>
    <row r="59" customFormat="false" ht="15" hidden="false" customHeight="false" outlineLevel="0" collapsed="false">
      <c r="A59" s="20" t="n">
        <v>4408015</v>
      </c>
      <c r="B59" s="20" t="str">
        <f aca="false">IFERROR(INDEX('Catalog'!$B:$B,MATCH($A59,'Catalog'!$A:$A,0)),"")</f>
        <v>07AU L ח.גב ""איטלקית"" אורירית</v>
      </c>
      <c r="C59" s="20" t="str">
        <f aca="false">IFERROR(INDEX('TRANS'!$A:$A,MATCH($A59,'TRANS'!$B:$B,0)),"")</f>
        <v>07AU L</v>
      </c>
      <c r="D59" s="21" t="n">
        <f aca="false">SUMIFS('CEMI Raw'!$C$6:$C$1018,'CEMI Raw'!$E$6:$E$1018,$A59,'CEMI Raw'!$B$6:$B$1018,2025)</f>
        <v>4</v>
      </c>
      <c r="E59" s="22" t="n">
        <f aca="false">SUMIFS('CEMI Raw'!$D$6:$D$1018,'CEMI Raw'!$E$6:$E$1018,$A59,'CEMI Raw'!$B$6:$B$1018,2025)</f>
        <v>975.1</v>
      </c>
      <c r="F59" s="21" t="n">
        <f aca="false">SUMIFS('CEMI Raw'!$C$6:$C$1018,'CEMI Raw'!$E$6:$E$1018,$A59,'CEMI Raw'!$B$6:$B$1018,2026)</f>
        <v>-3</v>
      </c>
      <c r="G59" s="22" t="n">
        <f aca="false">SUMIFS('CEMI Raw'!$D$6:$D$1018,'CEMI Raw'!$E$6:$E$1018,$A59,'CEMI Raw'!$B$6:$B$1018,2026)</f>
        <v>-710.5</v>
      </c>
      <c r="H59" s="21" t="n">
        <f aca="false">SUMIFS('SALES Raw'!$C$6:$C$603,'SALES Raw'!$E$6:$E$603,$A59,'SALES Raw'!$B$6:$B$603,2025)</f>
        <v>0</v>
      </c>
      <c r="I59" s="22" t="n">
        <f aca="false">SUMIFS('SALES Raw'!$D$6:$D$603,'SALES Raw'!$E$6:$E$603,$A59,'SALES Raw'!$B$6:$B$603,2025)</f>
        <v>0</v>
      </c>
      <c r="J59" s="21" t="n">
        <f aca="false">SUMIFS('SALES Raw'!$C$6:$C$603,'SALES Raw'!$E$6:$E$603,$A59,'SALES Raw'!$B$6:$B$603,2026)</f>
        <v>0</v>
      </c>
      <c r="K59" s="22" t="n">
        <f aca="false">SUMIFS('SALES Raw'!$D$6:$D$603,'SALES Raw'!$E$6:$E$603,$A59,'SALES Raw'!$B$6:$B$603,2026)</f>
        <v>0</v>
      </c>
      <c r="L59" s="21" t="n">
        <f aca="false">D59+H59</f>
        <v>4</v>
      </c>
      <c r="M59" s="22" t="n">
        <f aca="false">E59+I59</f>
        <v>975.1</v>
      </c>
      <c r="N59" s="21" t="n">
        <f aca="false">F59+J59</f>
        <v>-3</v>
      </c>
      <c r="O59" s="22" t="n">
        <f aca="false">G59+K59</f>
        <v>-710.5</v>
      </c>
    </row>
    <row r="60" customFormat="false" ht="15" hidden="false" customHeight="false" outlineLevel="0" collapsed="false">
      <c r="A60" s="20" t="n">
        <v>4408016</v>
      </c>
      <c r="B60" s="20" t="str">
        <f aca="false">IFERROR(INDEX('Catalog'!$B:$B,MATCH($A60,'Catalog'!$A:$A,0)),"")</f>
        <v>07AU M ח.גב ""איטלקית"" אורירית</v>
      </c>
      <c r="C60" s="20" t="str">
        <f aca="false">IFERROR(INDEX('TRANS'!$A:$A,MATCH($A60,'TRANS'!$B:$B,0)),"")</f>
        <v>07AU M</v>
      </c>
      <c r="D60" s="21" t="n">
        <f aca="false">SUMIFS('CEMI Raw'!$C$6:$C$1018,'CEMI Raw'!$E$6:$E$1018,$A60,'CEMI Raw'!$B$6:$B$1018,2025)</f>
        <v>0</v>
      </c>
      <c r="E60" s="22" t="n">
        <f aca="false">SUMIFS('CEMI Raw'!$D$6:$D$1018,'CEMI Raw'!$E$6:$E$1018,$A60,'CEMI Raw'!$B$6:$B$1018,2025)</f>
        <v>2.5</v>
      </c>
      <c r="F60" s="21" t="n">
        <f aca="false">SUMIFS('CEMI Raw'!$C$6:$C$1018,'CEMI Raw'!$E$6:$E$1018,$A60,'CEMI Raw'!$B$6:$B$1018,2026)</f>
        <v>-2</v>
      </c>
      <c r="G60" s="22" t="n">
        <f aca="false">SUMIFS('CEMI Raw'!$D$6:$D$1018,'CEMI Raw'!$E$6:$E$1018,$A60,'CEMI Raw'!$B$6:$B$1018,2026)</f>
        <v>-485.2</v>
      </c>
      <c r="H60" s="21" t="n">
        <f aca="false">SUMIFS('SALES Raw'!$C$6:$C$603,'SALES Raw'!$E$6:$E$603,$A60,'SALES Raw'!$B$6:$B$603,2025)</f>
        <v>0</v>
      </c>
      <c r="I60" s="22" t="n">
        <f aca="false">SUMIFS('SALES Raw'!$D$6:$D$603,'SALES Raw'!$E$6:$E$603,$A60,'SALES Raw'!$B$6:$B$603,2025)</f>
        <v>0</v>
      </c>
      <c r="J60" s="21" t="n">
        <f aca="false">SUMIFS('SALES Raw'!$C$6:$C$603,'SALES Raw'!$E$6:$E$603,$A60,'SALES Raw'!$B$6:$B$603,2026)</f>
        <v>1</v>
      </c>
      <c r="K60" s="22" t="n">
        <f aca="false">SUMIFS('SALES Raw'!$D$6:$D$603,'SALES Raw'!$E$6:$E$603,$A60,'SALES Raw'!$B$6:$B$603,2026)</f>
        <v>262.45</v>
      </c>
      <c r="L60" s="21" t="n">
        <f aca="false">D60+H60</f>
        <v>0</v>
      </c>
      <c r="M60" s="22" t="n">
        <f aca="false">E60+I60</f>
        <v>2.5</v>
      </c>
      <c r="N60" s="21" t="n">
        <f aca="false">F60+J60</f>
        <v>-1</v>
      </c>
      <c r="O60" s="22" t="n">
        <f aca="false">G60+K60</f>
        <v>-222.75</v>
      </c>
    </row>
    <row r="61" customFormat="false" ht="15" hidden="false" customHeight="false" outlineLevel="0" collapsed="false">
      <c r="A61" s="20" t="n">
        <v>4408017</v>
      </c>
      <c r="B61" s="20" t="str">
        <f aca="false">IFERROR(INDEX('Catalog'!$B:$B,MATCH($A61,'Catalog'!$A:$A,0)),"")</f>
        <v>07AU XL ח.גב ""איטלקית"" אורירית</v>
      </c>
      <c r="C61" s="20" t="str">
        <f aca="false">IFERROR(INDEX('TRANS'!$A:$A,MATCH($A61,'TRANS'!$B:$B,0)),"")</f>
        <v>07AU XL</v>
      </c>
      <c r="D61" s="21" t="n">
        <f aca="false">SUMIFS('CEMI Raw'!$C$6:$C$1018,'CEMI Raw'!$E$6:$E$1018,$A61,'CEMI Raw'!$B$6:$B$1018,2025)</f>
        <v>4</v>
      </c>
      <c r="E61" s="22" t="n">
        <f aca="false">SUMIFS('CEMI Raw'!$D$6:$D$1018,'CEMI Raw'!$E$6:$E$1018,$A61,'CEMI Raw'!$B$6:$B$1018,2025)</f>
        <v>975.1</v>
      </c>
      <c r="F61" s="21" t="n">
        <f aca="false">SUMIFS('CEMI Raw'!$C$6:$C$1018,'CEMI Raw'!$E$6:$E$1018,$A61,'CEMI Raw'!$B$6:$B$1018,2026)</f>
        <v>2</v>
      </c>
      <c r="G61" s="22" t="n">
        <f aca="false">SUMIFS('CEMI Raw'!$D$6:$D$1018,'CEMI Raw'!$E$6:$E$1018,$A61,'CEMI Raw'!$B$6:$B$1018,2026)</f>
        <v>454.9</v>
      </c>
      <c r="H61" s="21" t="n">
        <f aca="false">SUMIFS('SALES Raw'!$C$6:$C$603,'SALES Raw'!$E$6:$E$603,$A61,'SALES Raw'!$B$6:$B$603,2025)</f>
        <v>0</v>
      </c>
      <c r="I61" s="22" t="n">
        <f aca="false">SUMIFS('SALES Raw'!$D$6:$D$603,'SALES Raw'!$E$6:$E$603,$A61,'SALES Raw'!$B$6:$B$603,2025)</f>
        <v>0</v>
      </c>
      <c r="J61" s="21" t="n">
        <f aca="false">SUMIFS('SALES Raw'!$C$6:$C$603,'SALES Raw'!$E$6:$E$603,$A61,'SALES Raw'!$B$6:$B$603,2026)</f>
        <v>1</v>
      </c>
      <c r="K61" s="22" t="n">
        <f aca="false">SUMIFS('SALES Raw'!$D$6:$D$603,'SALES Raw'!$E$6:$E$603,$A61,'SALES Raw'!$B$6:$B$603,2026)</f>
        <v>262.46</v>
      </c>
      <c r="L61" s="21" t="n">
        <f aca="false">D61+H61</f>
        <v>4</v>
      </c>
      <c r="M61" s="22" t="n">
        <f aca="false">E61+I61</f>
        <v>975.1</v>
      </c>
      <c r="N61" s="21" t="n">
        <f aca="false">F61+J61</f>
        <v>3</v>
      </c>
      <c r="O61" s="22" t="n">
        <f aca="false">G61+K61</f>
        <v>717.36</v>
      </c>
    </row>
    <row r="62" customFormat="false" ht="15" hidden="false" customHeight="false" outlineLevel="0" collapsed="false">
      <c r="A62" s="20" t="n">
        <v>4408018</v>
      </c>
      <c r="B62" s="20" t="str">
        <f aca="false">IFERROR(INDEX('Catalog'!$B:$B,MATCH($A62,'Catalog'!$A:$A,0)),"")</f>
        <v>07AU XXL.ח.גב ""איטלקית"" אוריר</v>
      </c>
      <c r="C62" s="20" t="str">
        <f aca="false">IFERROR(INDEX('TRANS'!$A:$A,MATCH($A62,'TRANS'!$B:$B,0)),"")</f>
        <v>07AU XXL</v>
      </c>
      <c r="D62" s="21" t="n">
        <f aca="false">SUMIFS('CEMI Raw'!$C$6:$C$1018,'CEMI Raw'!$E$6:$E$1018,$A62,'CEMI Raw'!$B$6:$B$1018,2025)</f>
        <v>0</v>
      </c>
      <c r="E62" s="22" t="n">
        <f aca="false">SUMIFS('CEMI Raw'!$D$6:$D$1018,'CEMI Raw'!$E$6:$E$1018,$A62,'CEMI Raw'!$B$6:$B$1018,2025)</f>
        <v>19.8</v>
      </c>
      <c r="F62" s="21" t="n">
        <f aca="false">SUMIFS('CEMI Raw'!$C$6:$C$1018,'CEMI Raw'!$E$6:$E$1018,$A62,'CEMI Raw'!$B$6:$B$1018,2026)</f>
        <v>0</v>
      </c>
      <c r="G62" s="22" t="n">
        <f aca="false">SUMIFS('CEMI Raw'!$D$6:$D$1018,'CEMI Raw'!$E$6:$E$1018,$A62,'CEMI Raw'!$B$6:$B$1018,2026)</f>
        <v>0</v>
      </c>
      <c r="H62" s="21" t="n">
        <f aca="false">SUMIFS('SALES Raw'!$C$6:$C$603,'SALES Raw'!$E$6:$E$603,$A62,'SALES Raw'!$B$6:$B$603,2025)</f>
        <v>1</v>
      </c>
      <c r="I62" s="22" t="n">
        <f aca="false">SUMIFS('SALES Raw'!$D$6:$D$603,'SALES Raw'!$E$6:$E$603,$A62,'SALES Raw'!$B$6:$B$603,2025)</f>
        <v>262.45</v>
      </c>
      <c r="J62" s="21" t="n">
        <f aca="false">SUMIFS('SALES Raw'!$C$6:$C$603,'SALES Raw'!$E$6:$E$603,$A62,'SALES Raw'!$B$6:$B$603,2026)</f>
        <v>0</v>
      </c>
      <c r="K62" s="22" t="n">
        <f aca="false">SUMIFS('SALES Raw'!$D$6:$D$603,'SALES Raw'!$E$6:$E$603,$A62,'SALES Raw'!$B$6:$B$603,2026)</f>
        <v>0</v>
      </c>
      <c r="L62" s="21" t="n">
        <f aca="false">D62+H62</f>
        <v>1</v>
      </c>
      <c r="M62" s="22" t="n">
        <f aca="false">E62+I62</f>
        <v>282.25</v>
      </c>
      <c r="N62" s="21" t="n">
        <f aca="false">F62+J62</f>
        <v>0</v>
      </c>
      <c r="O62" s="22" t="n">
        <f aca="false">G62+K62</f>
        <v>0</v>
      </c>
    </row>
    <row r="63" customFormat="false" ht="15" hidden="false" customHeight="false" outlineLevel="0" collapsed="false">
      <c r="A63" s="20" t="n">
        <v>4408024</v>
      </c>
      <c r="B63" s="20" t="str">
        <f aca="false">IFERROR(INDEX('Catalog'!$B:$B,MATCH($A63,'Catalog'!$A:$A,0)),"")</f>
        <v>07UC L-XLח.גב אמר+סגירה כפ.חום</v>
      </c>
      <c r="C63" s="20" t="str">
        <f aca="false">IFERROR(INDEX('TRANS'!$A:$A,MATCH($A63,'TRANS'!$B:$B,0)),"")</f>
        <v/>
      </c>
      <c r="D63" s="21" t="n">
        <f aca="false">SUMIFS('CEMI Raw'!$C$6:$C$1018,'CEMI Raw'!$E$6:$E$1018,$A63,'CEMI Raw'!$B$6:$B$1018,2025)</f>
        <v>1</v>
      </c>
      <c r="E63" s="22" t="n">
        <f aca="false">SUMIFS('CEMI Raw'!$D$6:$D$1018,'CEMI Raw'!$E$6:$E$1018,$A63,'CEMI Raw'!$B$6:$B$1018,2025)</f>
        <v>231.6</v>
      </c>
      <c r="F63" s="21" t="n">
        <f aca="false">SUMIFS('CEMI Raw'!$C$6:$C$1018,'CEMI Raw'!$E$6:$E$1018,$A63,'CEMI Raw'!$B$6:$B$1018,2026)</f>
        <v>0</v>
      </c>
      <c r="G63" s="22" t="n">
        <f aca="false">SUMIFS('CEMI Raw'!$D$6:$D$1018,'CEMI Raw'!$E$6:$E$1018,$A63,'CEMI Raw'!$B$6:$B$1018,2026)</f>
        <v>0</v>
      </c>
      <c r="H63" s="21" t="n">
        <f aca="false">SUMIFS('SALES Raw'!$C$6:$C$603,'SALES Raw'!$E$6:$E$603,$A63,'SALES Raw'!$B$6:$B$603,2025)</f>
        <v>0</v>
      </c>
      <c r="I63" s="22" t="n">
        <f aca="false">SUMIFS('SALES Raw'!$D$6:$D$603,'SALES Raw'!$E$6:$E$603,$A63,'SALES Raw'!$B$6:$B$603,2025)</f>
        <v>0</v>
      </c>
      <c r="J63" s="21" t="n">
        <f aca="false">SUMIFS('SALES Raw'!$C$6:$C$603,'SALES Raw'!$E$6:$E$603,$A63,'SALES Raw'!$B$6:$B$603,2026)</f>
        <v>0</v>
      </c>
      <c r="K63" s="22" t="n">
        <f aca="false">SUMIFS('SALES Raw'!$D$6:$D$603,'SALES Raw'!$E$6:$E$603,$A63,'SALES Raw'!$B$6:$B$603,2026)</f>
        <v>0</v>
      </c>
      <c r="L63" s="21" t="n">
        <f aca="false">D63+H63</f>
        <v>1</v>
      </c>
      <c r="M63" s="22" t="n">
        <f aca="false">E63+I63</f>
        <v>231.6</v>
      </c>
      <c r="N63" s="21" t="n">
        <f aca="false">F63+J63</f>
        <v>0</v>
      </c>
      <c r="O63" s="22" t="n">
        <f aca="false">G63+K63</f>
        <v>0</v>
      </c>
    </row>
    <row r="64" customFormat="false" ht="15" hidden="false" customHeight="false" outlineLevel="0" collapsed="false">
      <c r="A64" s="20" t="n">
        <v>4408026</v>
      </c>
      <c r="B64" s="20" t="str">
        <f aca="false">IFERROR(INDEX('Catalog'!$B:$B,MATCH($A64,'Catalog'!$A:$A,0)),"")</f>
        <v>10 S ""חגורת גב ""לומבו</v>
      </c>
      <c r="C64" s="20" t="str">
        <f aca="false">IFERROR(INDEX('TRANS'!$A:$A,MATCH($A64,'TRANS'!$B:$B,0)),"")</f>
        <v/>
      </c>
      <c r="D64" s="21" t="n">
        <f aca="false">SUMIFS('CEMI Raw'!$C$6:$C$1018,'CEMI Raw'!$E$6:$E$1018,$A64,'CEMI Raw'!$B$6:$B$1018,2025)</f>
        <v>0</v>
      </c>
      <c r="E64" s="22" t="n">
        <f aca="false">SUMIFS('CEMI Raw'!$D$6:$D$1018,'CEMI Raw'!$E$6:$E$1018,$A64,'CEMI Raw'!$B$6:$B$1018,2025)</f>
        <v>0</v>
      </c>
      <c r="F64" s="21" t="n">
        <f aca="false">SUMIFS('CEMI Raw'!$C$6:$C$1018,'CEMI Raw'!$E$6:$E$1018,$A64,'CEMI Raw'!$B$6:$B$1018,2026)</f>
        <v>0</v>
      </c>
      <c r="G64" s="22" t="n">
        <f aca="false">SUMIFS('CEMI Raw'!$D$6:$D$1018,'CEMI Raw'!$E$6:$E$1018,$A64,'CEMI Raw'!$B$6:$B$1018,2026)</f>
        <v>13.7</v>
      </c>
      <c r="H64" s="21" t="n">
        <f aca="false">SUMIFS('SALES Raw'!$C$6:$C$603,'SALES Raw'!$E$6:$E$603,$A64,'SALES Raw'!$B$6:$B$603,2025)</f>
        <v>0</v>
      </c>
      <c r="I64" s="22" t="n">
        <f aca="false">SUMIFS('SALES Raw'!$D$6:$D$603,'SALES Raw'!$E$6:$E$603,$A64,'SALES Raw'!$B$6:$B$603,2025)</f>
        <v>0</v>
      </c>
      <c r="J64" s="21" t="n">
        <f aca="false">SUMIFS('SALES Raw'!$C$6:$C$603,'SALES Raw'!$E$6:$E$603,$A64,'SALES Raw'!$B$6:$B$603,2026)</f>
        <v>0</v>
      </c>
      <c r="K64" s="22" t="n">
        <f aca="false">SUMIFS('SALES Raw'!$D$6:$D$603,'SALES Raw'!$E$6:$E$603,$A64,'SALES Raw'!$B$6:$B$603,2026)</f>
        <v>0</v>
      </c>
      <c r="L64" s="21" t="n">
        <f aca="false">D64+H64</f>
        <v>0</v>
      </c>
      <c r="M64" s="22" t="n">
        <f aca="false">E64+I64</f>
        <v>0</v>
      </c>
      <c r="N64" s="21" t="n">
        <f aca="false">F64+J64</f>
        <v>0</v>
      </c>
      <c r="O64" s="22" t="n">
        <f aca="false">G64+K64</f>
        <v>13.7</v>
      </c>
    </row>
    <row r="65" customFormat="false" ht="15" hidden="false" customHeight="false" outlineLevel="0" collapsed="false">
      <c r="A65" s="20" t="n">
        <v>4408027</v>
      </c>
      <c r="B65" s="20" t="str">
        <f aca="false">IFERROR(INDEX('Catalog'!$B:$B,MATCH($A65,'Catalog'!$A:$A,0)),"")</f>
        <v>10 L ""חגורת גב ""לומבו</v>
      </c>
      <c r="C65" s="20" t="str">
        <f aca="false">IFERROR(INDEX('TRANS'!$A:$A,MATCH($A65,'TRANS'!$B:$B,0)),"")</f>
        <v>10 L</v>
      </c>
      <c r="D65" s="21" t="n">
        <f aca="false">SUMIFS('CEMI Raw'!$C$6:$C$1018,'CEMI Raw'!$E$6:$E$1018,$A65,'CEMI Raw'!$B$6:$B$1018,2025)</f>
        <v>12</v>
      </c>
      <c r="E65" s="22" t="n">
        <f aca="false">SUMIFS('CEMI Raw'!$D$6:$D$1018,'CEMI Raw'!$E$6:$E$1018,$A65,'CEMI Raw'!$B$6:$B$1018,2025)</f>
        <v>1742.7</v>
      </c>
      <c r="F65" s="21" t="n">
        <f aca="false">SUMIFS('CEMI Raw'!$C$6:$C$1018,'CEMI Raw'!$E$6:$E$1018,$A65,'CEMI Raw'!$B$6:$B$1018,2026)</f>
        <v>17</v>
      </c>
      <c r="G65" s="22" t="n">
        <f aca="false">SUMIFS('CEMI Raw'!$D$6:$D$1018,'CEMI Raw'!$E$6:$E$1018,$A65,'CEMI Raw'!$B$6:$B$1018,2026)</f>
        <v>2529.7</v>
      </c>
      <c r="H65" s="21" t="n">
        <f aca="false">SUMIFS('SALES Raw'!$C$6:$C$603,'SALES Raw'!$E$6:$E$603,$A65,'SALES Raw'!$B$6:$B$603,2025)</f>
        <v>10</v>
      </c>
      <c r="I65" s="22" t="n">
        <f aca="false">SUMIFS('SALES Raw'!$D$6:$D$603,'SALES Raw'!$E$6:$E$603,$A65,'SALES Raw'!$B$6:$B$603,2025)</f>
        <v>1300</v>
      </c>
      <c r="J65" s="21" t="n">
        <f aca="false">SUMIFS('SALES Raw'!$C$6:$C$603,'SALES Raw'!$E$6:$E$603,$A65,'SALES Raw'!$B$6:$B$603,2026)</f>
        <v>0</v>
      </c>
      <c r="K65" s="22" t="n">
        <f aca="false">SUMIFS('SALES Raw'!$D$6:$D$603,'SALES Raw'!$E$6:$E$603,$A65,'SALES Raw'!$B$6:$B$603,2026)</f>
        <v>0</v>
      </c>
      <c r="L65" s="21" t="n">
        <f aca="false">D65+H65</f>
        <v>22</v>
      </c>
      <c r="M65" s="22" t="n">
        <f aca="false">E65+I65</f>
        <v>3042.7</v>
      </c>
      <c r="N65" s="21" t="n">
        <f aca="false">F65+J65</f>
        <v>17</v>
      </c>
      <c r="O65" s="22" t="n">
        <f aca="false">G65+K65</f>
        <v>2529.7</v>
      </c>
    </row>
    <row r="66" customFormat="false" ht="15" hidden="false" customHeight="false" outlineLevel="0" collapsed="false">
      <c r="A66" s="20" t="n">
        <v>4408028</v>
      </c>
      <c r="B66" s="20" t="str">
        <f aca="false">IFERROR(INDEX('Catalog'!$B:$B,MATCH($A66,'Catalog'!$A:$A,0)),"")</f>
        <v>10 M ""חגורת גב ""לומבו</v>
      </c>
      <c r="C66" s="20" t="str">
        <f aca="false">IFERROR(INDEX('TRANS'!$A:$A,MATCH($A66,'TRANS'!$B:$B,0)),"")</f>
        <v>10 M</v>
      </c>
      <c r="D66" s="21" t="n">
        <f aca="false">SUMIFS('CEMI Raw'!$C$6:$C$1018,'CEMI Raw'!$E$6:$E$1018,$A66,'CEMI Raw'!$B$6:$B$1018,2025)</f>
        <v>15</v>
      </c>
      <c r="E66" s="22" t="n">
        <f aca="false">SUMIFS('CEMI Raw'!$D$6:$D$1018,'CEMI Raw'!$E$6:$E$1018,$A66,'CEMI Raw'!$B$6:$B$1018,2025)</f>
        <v>2114.2</v>
      </c>
      <c r="F66" s="21" t="n">
        <f aca="false">SUMIFS('CEMI Raw'!$C$6:$C$1018,'CEMI Raw'!$E$6:$E$1018,$A66,'CEMI Raw'!$B$6:$B$1018,2026)</f>
        <v>8</v>
      </c>
      <c r="G66" s="22" t="n">
        <f aca="false">SUMIFS('CEMI Raw'!$D$6:$D$1018,'CEMI Raw'!$E$6:$E$1018,$A66,'CEMI Raw'!$B$6:$B$1018,2026)</f>
        <v>1158</v>
      </c>
      <c r="H66" s="21" t="n">
        <f aca="false">SUMIFS('SALES Raw'!$C$6:$C$603,'SALES Raw'!$E$6:$E$603,$A66,'SALES Raw'!$B$6:$B$603,2025)</f>
        <v>11</v>
      </c>
      <c r="I66" s="22" t="n">
        <f aca="false">SUMIFS('SALES Raw'!$D$6:$D$603,'SALES Raw'!$E$6:$E$603,$A66,'SALES Raw'!$B$6:$B$603,2025)</f>
        <v>1451.23</v>
      </c>
      <c r="J66" s="21" t="n">
        <f aca="false">SUMIFS('SALES Raw'!$C$6:$C$603,'SALES Raw'!$E$6:$E$603,$A66,'SALES Raw'!$B$6:$B$603,2026)</f>
        <v>0</v>
      </c>
      <c r="K66" s="22" t="n">
        <f aca="false">SUMIFS('SALES Raw'!$D$6:$D$603,'SALES Raw'!$E$6:$E$603,$A66,'SALES Raw'!$B$6:$B$603,2026)</f>
        <v>0</v>
      </c>
      <c r="L66" s="21" t="n">
        <f aca="false">D66+H66</f>
        <v>26</v>
      </c>
      <c r="M66" s="22" t="n">
        <f aca="false">E66+I66</f>
        <v>3565.43</v>
      </c>
      <c r="N66" s="21" t="n">
        <f aca="false">F66+J66</f>
        <v>8</v>
      </c>
      <c r="O66" s="22" t="n">
        <f aca="false">G66+K66</f>
        <v>1158</v>
      </c>
    </row>
    <row r="67" customFormat="false" ht="15" hidden="false" customHeight="false" outlineLevel="0" collapsed="false">
      <c r="A67" s="20" t="n">
        <v>4408029</v>
      </c>
      <c r="B67" s="20" t="str">
        <f aca="false">IFERROR(INDEX('Catalog'!$B:$B,MATCH($A67,'Catalog'!$A:$A,0)),"")</f>
        <v>10 XL ""חגורת גב ""לומבו</v>
      </c>
      <c r="C67" s="20" t="str">
        <f aca="false">IFERROR(INDEX('TRANS'!$A:$A,MATCH($A67,'TRANS'!$B:$B,0)),"")</f>
        <v>10 XL</v>
      </c>
      <c r="D67" s="21" t="n">
        <f aca="false">SUMIFS('CEMI Raw'!$C$6:$C$1018,'CEMI Raw'!$E$6:$E$1018,$A67,'CEMI Raw'!$B$6:$B$1018,2025)</f>
        <v>16</v>
      </c>
      <c r="E67" s="22" t="n">
        <f aca="false">SUMIFS('CEMI Raw'!$D$6:$D$1018,'CEMI Raw'!$E$6:$E$1018,$A67,'CEMI Raw'!$B$6:$B$1018,2025)</f>
        <v>2378.6</v>
      </c>
      <c r="F67" s="21" t="n">
        <f aca="false">SUMIFS('CEMI Raw'!$C$6:$C$1018,'CEMI Raw'!$E$6:$E$1018,$A67,'CEMI Raw'!$B$6:$B$1018,2026)</f>
        <v>13</v>
      </c>
      <c r="G67" s="22" t="n">
        <f aca="false">SUMIFS('CEMI Raw'!$D$6:$D$1018,'CEMI Raw'!$E$6:$E$1018,$A67,'CEMI Raw'!$B$6:$B$1018,2026)</f>
        <v>1896.8</v>
      </c>
      <c r="H67" s="21" t="n">
        <f aca="false">SUMIFS('SALES Raw'!$C$6:$C$603,'SALES Raw'!$E$6:$E$603,$A67,'SALES Raw'!$B$6:$B$603,2025)</f>
        <v>10</v>
      </c>
      <c r="I67" s="22" t="n">
        <f aca="false">SUMIFS('SALES Raw'!$D$6:$D$603,'SALES Raw'!$E$6:$E$603,$A67,'SALES Raw'!$B$6:$B$603,2025)</f>
        <v>1300</v>
      </c>
      <c r="J67" s="21" t="n">
        <f aca="false">SUMIFS('SALES Raw'!$C$6:$C$603,'SALES Raw'!$E$6:$E$603,$A67,'SALES Raw'!$B$6:$B$603,2026)</f>
        <v>0</v>
      </c>
      <c r="K67" s="22" t="n">
        <f aca="false">SUMIFS('SALES Raw'!$D$6:$D$603,'SALES Raw'!$E$6:$E$603,$A67,'SALES Raw'!$B$6:$B$603,2026)</f>
        <v>0</v>
      </c>
      <c r="L67" s="21" t="n">
        <f aca="false">D67+H67</f>
        <v>26</v>
      </c>
      <c r="M67" s="22" t="n">
        <f aca="false">E67+I67</f>
        <v>3678.6</v>
      </c>
      <c r="N67" s="21" t="n">
        <f aca="false">F67+J67</f>
        <v>13</v>
      </c>
      <c r="O67" s="22" t="n">
        <f aca="false">G67+K67</f>
        <v>1896.8</v>
      </c>
    </row>
    <row r="68" customFormat="false" ht="15" hidden="false" customHeight="false" outlineLevel="0" collapsed="false">
      <c r="A68" s="20" t="n">
        <v>4408030</v>
      </c>
      <c r="B68" s="20" t="str">
        <f aca="false">IFERROR(INDEX('Catalog'!$B:$B,MATCH($A68,'Catalog'!$A:$A,0)),"")</f>
        <v>10 XXL""חגורת גב ""לומבו</v>
      </c>
      <c r="C68" s="20" t="str">
        <f aca="false">IFERROR(INDEX('TRANS'!$A:$A,MATCH($A68,'TRANS'!$B:$B,0)),"")</f>
        <v/>
      </c>
      <c r="D68" s="21" t="n">
        <f aca="false">SUMIFS('CEMI Raw'!$C$6:$C$1018,'CEMI Raw'!$E$6:$E$1018,$A68,'CEMI Raw'!$B$6:$B$1018,2025)</f>
        <v>1</v>
      </c>
      <c r="E68" s="22" t="n">
        <f aca="false">SUMIFS('CEMI Raw'!$D$6:$D$1018,'CEMI Raw'!$E$6:$E$1018,$A68,'CEMI Raw'!$B$6:$B$1018,2025)</f>
        <v>145.2</v>
      </c>
      <c r="F68" s="21" t="n">
        <f aca="false">SUMIFS('CEMI Raw'!$C$6:$C$1018,'CEMI Raw'!$E$6:$E$1018,$A68,'CEMI Raw'!$B$6:$B$1018,2026)</f>
        <v>1</v>
      </c>
      <c r="G68" s="22" t="n">
        <f aca="false">SUMIFS('CEMI Raw'!$D$6:$D$1018,'CEMI Raw'!$E$6:$E$1018,$A68,'CEMI Raw'!$B$6:$B$1018,2026)</f>
        <v>148.4</v>
      </c>
      <c r="H68" s="21" t="n">
        <f aca="false">SUMIFS('SALES Raw'!$C$6:$C$603,'SALES Raw'!$E$6:$E$603,$A68,'SALES Raw'!$B$6:$B$603,2025)</f>
        <v>0</v>
      </c>
      <c r="I68" s="22" t="n">
        <f aca="false">SUMIFS('SALES Raw'!$D$6:$D$603,'SALES Raw'!$E$6:$E$603,$A68,'SALES Raw'!$B$6:$B$603,2025)</f>
        <v>0</v>
      </c>
      <c r="J68" s="21" t="n">
        <f aca="false">SUMIFS('SALES Raw'!$C$6:$C$603,'SALES Raw'!$E$6:$E$603,$A68,'SALES Raw'!$B$6:$B$603,2026)</f>
        <v>0</v>
      </c>
      <c r="K68" s="22" t="n">
        <f aca="false">SUMIFS('SALES Raw'!$D$6:$D$603,'SALES Raw'!$E$6:$E$603,$A68,'SALES Raw'!$B$6:$B$603,2026)</f>
        <v>0</v>
      </c>
      <c r="L68" s="21" t="n">
        <f aca="false">D68+H68</f>
        <v>1</v>
      </c>
      <c r="M68" s="22" t="n">
        <f aca="false">E68+I68</f>
        <v>145.2</v>
      </c>
      <c r="N68" s="21" t="n">
        <f aca="false">F68+J68</f>
        <v>1</v>
      </c>
      <c r="O68" s="22" t="n">
        <f aca="false">G68+K68</f>
        <v>148.4</v>
      </c>
    </row>
    <row r="69" customFormat="false" ht="15" hidden="false" customHeight="false" outlineLevel="0" collapsed="false">
      <c r="A69" s="20" t="n">
        <v>4408031</v>
      </c>
      <c r="B69" s="20" t="str">
        <f aca="false">IFERROR(INDEX('Catalog'!$B:$B,MATCH($A69,'Catalog'!$A:$A,0)),"")</f>
        <v>11 S""חגורת בטן""אורירית</v>
      </c>
      <c r="C69" s="20" t="str">
        <f aca="false">IFERROR(INDEX('TRANS'!$A:$A,MATCH($A69,'TRANS'!$B:$B,0)),"")</f>
        <v>11 S</v>
      </c>
      <c r="D69" s="21" t="n">
        <f aca="false">SUMIFS('CEMI Raw'!$C$6:$C$1018,'CEMI Raw'!$E$6:$E$1018,$A69,'CEMI Raw'!$B$6:$B$1018,2025)</f>
        <v>5</v>
      </c>
      <c r="E69" s="22" t="n">
        <f aca="false">SUMIFS('CEMI Raw'!$D$6:$D$1018,'CEMI Raw'!$E$6:$E$1018,$A69,'CEMI Raw'!$B$6:$B$1018,2025)</f>
        <v>495.9</v>
      </c>
      <c r="F69" s="21" t="n">
        <f aca="false">SUMIFS('CEMI Raw'!$C$6:$C$1018,'CEMI Raw'!$E$6:$E$1018,$A69,'CEMI Raw'!$B$6:$B$1018,2026)</f>
        <v>5</v>
      </c>
      <c r="G69" s="22" t="n">
        <f aca="false">SUMIFS('CEMI Raw'!$D$6:$D$1018,'CEMI Raw'!$E$6:$E$1018,$A69,'CEMI Raw'!$B$6:$B$1018,2026)</f>
        <v>534.5</v>
      </c>
      <c r="H69" s="21" t="n">
        <f aca="false">SUMIFS('SALES Raw'!$C$6:$C$603,'SALES Raw'!$E$6:$E$603,$A69,'SALES Raw'!$B$6:$B$603,2025)</f>
        <v>0</v>
      </c>
      <c r="I69" s="22" t="n">
        <f aca="false">SUMIFS('SALES Raw'!$D$6:$D$603,'SALES Raw'!$E$6:$E$603,$A69,'SALES Raw'!$B$6:$B$603,2025)</f>
        <v>0</v>
      </c>
      <c r="J69" s="21" t="n">
        <f aca="false">SUMIFS('SALES Raw'!$C$6:$C$603,'SALES Raw'!$E$6:$E$603,$A69,'SALES Raw'!$B$6:$B$603,2026)</f>
        <v>1</v>
      </c>
      <c r="K69" s="22" t="n">
        <f aca="false">SUMIFS('SALES Raw'!$D$6:$D$603,'SALES Raw'!$E$6:$E$603,$A69,'SALES Raw'!$B$6:$B$603,2026)</f>
        <v>85</v>
      </c>
      <c r="L69" s="21" t="n">
        <f aca="false">D69+H69</f>
        <v>5</v>
      </c>
      <c r="M69" s="22" t="n">
        <f aca="false">E69+I69</f>
        <v>495.9</v>
      </c>
      <c r="N69" s="21" t="n">
        <f aca="false">F69+J69</f>
        <v>6</v>
      </c>
      <c r="O69" s="22" t="n">
        <f aca="false">G69+K69</f>
        <v>619.5</v>
      </c>
    </row>
    <row r="70" customFormat="false" ht="15" hidden="false" customHeight="false" outlineLevel="0" collapsed="false">
      <c r="A70" s="20" t="n">
        <v>4408032</v>
      </c>
      <c r="B70" s="20" t="str">
        <f aca="false">IFERROR(INDEX('Catalog'!$B:$B,MATCH($A70,'Catalog'!$A:$A,0)),"")</f>
        <v>11 L""חגורת בטן""אורירית</v>
      </c>
      <c r="C70" s="20" t="str">
        <f aca="false">IFERROR(INDEX('TRANS'!$A:$A,MATCH($A70,'TRANS'!$B:$B,0)),"")</f>
        <v>11 L</v>
      </c>
      <c r="D70" s="21" t="n">
        <f aca="false">SUMIFS('CEMI Raw'!$C$6:$C$1018,'CEMI Raw'!$E$6:$E$1018,$A70,'CEMI Raw'!$B$6:$B$1018,2025)</f>
        <v>45</v>
      </c>
      <c r="E70" s="22" t="n">
        <f aca="false">SUMIFS('CEMI Raw'!$D$6:$D$1018,'CEMI Raw'!$E$6:$E$1018,$A70,'CEMI Raw'!$B$6:$B$1018,2025)</f>
        <v>4620.2</v>
      </c>
      <c r="F70" s="21" t="n">
        <f aca="false">SUMIFS('CEMI Raw'!$C$6:$C$1018,'CEMI Raw'!$E$6:$E$1018,$A70,'CEMI Raw'!$B$6:$B$1018,2026)</f>
        <v>25</v>
      </c>
      <c r="G70" s="22" t="n">
        <f aca="false">SUMIFS('CEMI Raw'!$D$6:$D$1018,'CEMI Raw'!$E$6:$E$1018,$A70,'CEMI Raw'!$B$6:$B$1018,2026)</f>
        <v>2629.3</v>
      </c>
      <c r="H70" s="21" t="n">
        <f aca="false">SUMIFS('SALES Raw'!$C$6:$C$603,'SALES Raw'!$E$6:$E$603,$A70,'SALES Raw'!$B$6:$B$603,2025)</f>
        <v>5</v>
      </c>
      <c r="I70" s="22" t="n">
        <f aca="false">SUMIFS('SALES Raw'!$D$6:$D$603,'SALES Raw'!$E$6:$E$603,$A70,'SALES Raw'!$B$6:$B$603,2025)</f>
        <v>443.94</v>
      </c>
      <c r="J70" s="21" t="n">
        <f aca="false">SUMIFS('SALES Raw'!$C$6:$C$603,'SALES Raw'!$E$6:$E$603,$A70,'SALES Raw'!$B$6:$B$603,2026)</f>
        <v>2</v>
      </c>
      <c r="K70" s="22" t="n">
        <f aca="false">SUMIFS('SALES Raw'!$D$6:$D$603,'SALES Raw'!$E$6:$E$603,$A70,'SALES Raw'!$B$6:$B$603,2026)</f>
        <v>170</v>
      </c>
      <c r="L70" s="21" t="n">
        <f aca="false">D70+H70</f>
        <v>50</v>
      </c>
      <c r="M70" s="22" t="n">
        <f aca="false">E70+I70</f>
        <v>5064.14</v>
      </c>
      <c r="N70" s="21" t="n">
        <f aca="false">F70+J70</f>
        <v>27</v>
      </c>
      <c r="O70" s="22" t="n">
        <f aca="false">G70+K70</f>
        <v>2799.3</v>
      </c>
    </row>
    <row r="71" customFormat="false" ht="15" hidden="false" customHeight="false" outlineLevel="0" collapsed="false">
      <c r="A71" s="20" t="n">
        <v>4408033</v>
      </c>
      <c r="B71" s="20" t="str">
        <f aca="false">IFERROR(INDEX('Catalog'!$B:$B,MATCH($A71,'Catalog'!$A:$A,0)),"")</f>
        <v>11 M""חגורת בטן""אורירית</v>
      </c>
      <c r="C71" s="20" t="str">
        <f aca="false">IFERROR(INDEX('TRANS'!$A:$A,MATCH($A71,'TRANS'!$B:$B,0)),"")</f>
        <v>11 M</v>
      </c>
      <c r="D71" s="21" t="n">
        <f aca="false">SUMIFS('CEMI Raw'!$C$6:$C$1018,'CEMI Raw'!$E$6:$E$1018,$A71,'CEMI Raw'!$B$6:$B$1018,2025)</f>
        <v>43</v>
      </c>
      <c r="E71" s="22" t="n">
        <f aca="false">SUMIFS('CEMI Raw'!$D$6:$D$1018,'CEMI Raw'!$E$6:$E$1018,$A71,'CEMI Raw'!$B$6:$B$1018,2025)</f>
        <v>4517.5</v>
      </c>
      <c r="F71" s="21" t="n">
        <f aca="false">SUMIFS('CEMI Raw'!$C$6:$C$1018,'CEMI Raw'!$E$6:$E$1018,$A71,'CEMI Raw'!$B$6:$B$1018,2026)</f>
        <v>24</v>
      </c>
      <c r="G71" s="22" t="n">
        <f aca="false">SUMIFS('CEMI Raw'!$D$6:$D$1018,'CEMI Raw'!$E$6:$E$1018,$A71,'CEMI Raw'!$B$6:$B$1018,2026)</f>
        <v>2466.9</v>
      </c>
      <c r="H71" s="21" t="n">
        <f aca="false">SUMIFS('SALES Raw'!$C$6:$C$603,'SALES Raw'!$E$6:$E$603,$A71,'SALES Raw'!$B$6:$B$603,2025)</f>
        <v>0</v>
      </c>
      <c r="I71" s="22" t="n">
        <f aca="false">SUMIFS('SALES Raw'!$D$6:$D$603,'SALES Raw'!$E$6:$E$603,$A71,'SALES Raw'!$B$6:$B$603,2025)</f>
        <v>0</v>
      </c>
      <c r="J71" s="21" t="n">
        <f aca="false">SUMIFS('SALES Raw'!$C$6:$C$603,'SALES Raw'!$E$6:$E$603,$A71,'SALES Raw'!$B$6:$B$603,2026)</f>
        <v>1</v>
      </c>
      <c r="K71" s="22" t="n">
        <f aca="false">SUMIFS('SALES Raw'!$D$6:$D$603,'SALES Raw'!$E$6:$E$603,$A71,'SALES Raw'!$B$6:$B$603,2026)</f>
        <v>85</v>
      </c>
      <c r="L71" s="21" t="n">
        <f aca="false">D71+H71</f>
        <v>43</v>
      </c>
      <c r="M71" s="22" t="n">
        <f aca="false">E71+I71</f>
        <v>4517.5</v>
      </c>
      <c r="N71" s="21" t="n">
        <f aca="false">F71+J71</f>
        <v>25</v>
      </c>
      <c r="O71" s="22" t="n">
        <f aca="false">G71+K71</f>
        <v>2551.9</v>
      </c>
    </row>
    <row r="72" customFormat="false" ht="15" hidden="false" customHeight="false" outlineLevel="0" collapsed="false">
      <c r="A72" s="20" t="n">
        <v>4408034</v>
      </c>
      <c r="B72" s="20" t="str">
        <f aca="false">IFERROR(INDEX('Catalog'!$B:$B,MATCH($A72,'Catalog'!$A:$A,0)),"")</f>
        <v>11 XL""חגורת בטן""אורירית</v>
      </c>
      <c r="C72" s="20" t="str">
        <f aca="false">IFERROR(INDEX('TRANS'!$A:$A,MATCH($A72,'TRANS'!$B:$B,0)),"")</f>
        <v>11 XL</v>
      </c>
      <c r="D72" s="21" t="n">
        <f aca="false">SUMIFS('CEMI Raw'!$C$6:$C$1018,'CEMI Raw'!$E$6:$E$1018,$A72,'CEMI Raw'!$B$6:$B$1018,2025)</f>
        <v>45</v>
      </c>
      <c r="E72" s="22" t="n">
        <f aca="false">SUMIFS('CEMI Raw'!$D$6:$D$1018,'CEMI Raw'!$E$6:$E$1018,$A72,'CEMI Raw'!$B$6:$B$1018,2025)</f>
        <v>4656.5</v>
      </c>
      <c r="F72" s="21" t="n">
        <f aca="false">SUMIFS('CEMI Raw'!$C$6:$C$1018,'CEMI Raw'!$E$6:$E$1018,$A72,'CEMI Raw'!$B$6:$B$1018,2026)</f>
        <v>24</v>
      </c>
      <c r="G72" s="22" t="n">
        <f aca="false">SUMIFS('CEMI Raw'!$D$6:$D$1018,'CEMI Raw'!$E$6:$E$1018,$A72,'CEMI Raw'!$B$6:$B$1018,2026)</f>
        <v>2502.9</v>
      </c>
      <c r="H72" s="21" t="n">
        <f aca="false">SUMIFS('SALES Raw'!$C$6:$C$603,'SALES Raw'!$E$6:$E$603,$A72,'SALES Raw'!$B$6:$B$603,2025)</f>
        <v>4</v>
      </c>
      <c r="I72" s="22" t="n">
        <f aca="false">SUMIFS('SALES Raw'!$D$6:$D$603,'SALES Raw'!$E$6:$E$603,$A72,'SALES Raw'!$B$6:$B$603,2025)</f>
        <v>340</v>
      </c>
      <c r="J72" s="21" t="n">
        <f aca="false">SUMIFS('SALES Raw'!$C$6:$C$603,'SALES Raw'!$E$6:$E$603,$A72,'SALES Raw'!$B$6:$B$603,2026)</f>
        <v>6</v>
      </c>
      <c r="K72" s="22" t="n">
        <f aca="false">SUMIFS('SALES Raw'!$D$6:$D$603,'SALES Raw'!$E$6:$E$603,$A72,'SALES Raw'!$B$6:$B$603,2026)</f>
        <v>510.01</v>
      </c>
      <c r="L72" s="21" t="n">
        <f aca="false">D72+H72</f>
        <v>49</v>
      </c>
      <c r="M72" s="22" t="n">
        <f aca="false">E72+I72</f>
        <v>4996.5</v>
      </c>
      <c r="N72" s="21" t="n">
        <f aca="false">F72+J72</f>
        <v>30</v>
      </c>
      <c r="O72" s="22" t="n">
        <f aca="false">G72+K72</f>
        <v>3012.91</v>
      </c>
    </row>
    <row r="73" customFormat="false" ht="15" hidden="false" customHeight="false" outlineLevel="0" collapsed="false">
      <c r="A73" s="20" t="n">
        <v>4408035</v>
      </c>
      <c r="B73" s="20" t="str">
        <f aca="false">IFERROR(INDEX('Catalog'!$B:$B,MATCH($A73,'Catalog'!$A:$A,0)),"")</f>
        <v>11 XXL""חגורת בטן""אורירית</v>
      </c>
      <c r="C73" s="20" t="str">
        <f aca="false">IFERROR(INDEX('TRANS'!$A:$A,MATCH($A73,'TRANS'!$B:$B,0)),"")</f>
        <v>11 XXL</v>
      </c>
      <c r="D73" s="21" t="n">
        <f aca="false">SUMIFS('CEMI Raw'!$C$6:$C$1018,'CEMI Raw'!$E$6:$E$1018,$A73,'CEMI Raw'!$B$6:$B$1018,2025)</f>
        <v>29</v>
      </c>
      <c r="E73" s="22" t="n">
        <f aca="false">SUMIFS('CEMI Raw'!$D$6:$D$1018,'CEMI Raw'!$E$6:$E$1018,$A73,'CEMI Raw'!$B$6:$B$1018,2025)</f>
        <v>3013.9</v>
      </c>
      <c r="F73" s="21" t="n">
        <f aca="false">SUMIFS('CEMI Raw'!$C$6:$C$1018,'CEMI Raw'!$E$6:$E$1018,$A73,'CEMI Raw'!$B$6:$B$1018,2026)</f>
        <v>10</v>
      </c>
      <c r="G73" s="22" t="n">
        <f aca="false">SUMIFS('CEMI Raw'!$D$6:$D$1018,'CEMI Raw'!$E$6:$E$1018,$A73,'CEMI Raw'!$B$6:$B$1018,2026)</f>
        <v>1077.6</v>
      </c>
      <c r="H73" s="21" t="n">
        <f aca="false">SUMIFS('SALES Raw'!$C$6:$C$603,'SALES Raw'!$E$6:$E$603,$A73,'SALES Raw'!$B$6:$B$603,2025)</f>
        <v>0</v>
      </c>
      <c r="I73" s="22" t="n">
        <f aca="false">SUMIFS('SALES Raw'!$D$6:$D$603,'SALES Raw'!$E$6:$E$603,$A73,'SALES Raw'!$B$6:$B$603,2025)</f>
        <v>0</v>
      </c>
      <c r="J73" s="21" t="n">
        <f aca="false">SUMIFS('SALES Raw'!$C$6:$C$603,'SALES Raw'!$E$6:$E$603,$A73,'SALES Raw'!$B$6:$B$603,2026)</f>
        <v>2</v>
      </c>
      <c r="K73" s="22" t="n">
        <f aca="false">SUMIFS('SALES Raw'!$D$6:$D$603,'SALES Raw'!$E$6:$E$603,$A73,'SALES Raw'!$B$6:$B$603,2026)</f>
        <v>170</v>
      </c>
      <c r="L73" s="21" t="n">
        <f aca="false">D73+H73</f>
        <v>29</v>
      </c>
      <c r="M73" s="22" t="n">
        <f aca="false">E73+I73</f>
        <v>3013.9</v>
      </c>
      <c r="N73" s="21" t="n">
        <f aca="false">F73+J73</f>
        <v>12</v>
      </c>
      <c r="O73" s="22" t="n">
        <f aca="false">G73+K73</f>
        <v>1247.6</v>
      </c>
    </row>
    <row r="74" customFormat="false" ht="15" hidden="false" customHeight="false" outlineLevel="0" collapsed="false">
      <c r="A74" s="20" t="n">
        <v>4408041</v>
      </c>
      <c r="B74" s="20" t="str">
        <f aca="false">IFERROR(INDEX('Catalog'!$B:$B,MATCH($A74,'Catalog'!$A:$A,0)),"")</f>
        <v>18 S ח.הריון מכנס למניעת כאבים</v>
      </c>
      <c r="C74" s="20" t="str">
        <f aca="false">IFERROR(INDEX('TRANS'!$A:$A,MATCH($A74,'TRANS'!$B:$B,0)),"")</f>
        <v/>
      </c>
      <c r="D74" s="21" t="n">
        <f aca="false">SUMIFS('CEMI Raw'!$C$6:$C$1018,'CEMI Raw'!$E$6:$E$1018,$A74,'CEMI Raw'!$B$6:$B$1018,2025)</f>
        <v>0</v>
      </c>
      <c r="E74" s="22" t="n">
        <f aca="false">SUMIFS('CEMI Raw'!$D$6:$D$1018,'CEMI Raw'!$E$6:$E$1018,$A74,'CEMI Raw'!$B$6:$B$1018,2025)</f>
        <v>0</v>
      </c>
      <c r="F74" s="21" t="n">
        <f aca="false">SUMIFS('CEMI Raw'!$C$6:$C$1018,'CEMI Raw'!$E$6:$E$1018,$A74,'CEMI Raw'!$B$6:$B$1018,2026)</f>
        <v>-1</v>
      </c>
      <c r="G74" s="22" t="n">
        <f aca="false">SUMIFS('CEMI Raw'!$D$6:$D$1018,'CEMI Raw'!$E$6:$E$1018,$A74,'CEMI Raw'!$B$6:$B$1018,2026)</f>
        <v>-247.5</v>
      </c>
      <c r="H74" s="21" t="n">
        <f aca="false">SUMIFS('SALES Raw'!$C$6:$C$603,'SALES Raw'!$E$6:$E$603,$A74,'SALES Raw'!$B$6:$B$603,2025)</f>
        <v>0</v>
      </c>
      <c r="I74" s="22" t="n">
        <f aca="false">SUMIFS('SALES Raw'!$D$6:$D$603,'SALES Raw'!$E$6:$E$603,$A74,'SALES Raw'!$B$6:$B$603,2025)</f>
        <v>0</v>
      </c>
      <c r="J74" s="21" t="n">
        <f aca="false">SUMIFS('SALES Raw'!$C$6:$C$603,'SALES Raw'!$E$6:$E$603,$A74,'SALES Raw'!$B$6:$B$603,2026)</f>
        <v>0</v>
      </c>
      <c r="K74" s="22" t="n">
        <f aca="false">SUMIFS('SALES Raw'!$D$6:$D$603,'SALES Raw'!$E$6:$E$603,$A74,'SALES Raw'!$B$6:$B$603,2026)</f>
        <v>0</v>
      </c>
      <c r="L74" s="21" t="n">
        <f aca="false">D74+H74</f>
        <v>0</v>
      </c>
      <c r="M74" s="22" t="n">
        <f aca="false">E74+I74</f>
        <v>0</v>
      </c>
      <c r="N74" s="21" t="n">
        <f aca="false">F74+J74</f>
        <v>-1</v>
      </c>
      <c r="O74" s="22" t="n">
        <f aca="false">G74+K74</f>
        <v>-247.5</v>
      </c>
    </row>
    <row r="75" customFormat="false" ht="15" hidden="false" customHeight="false" outlineLevel="0" collapsed="false">
      <c r="A75" s="20" t="n">
        <v>4408042</v>
      </c>
      <c r="B75" s="20" t="str">
        <f aca="false">IFERROR(INDEX('Catalog'!$B:$B,MATCH($A75,'Catalog'!$A:$A,0)),"")</f>
        <v>18 L ח.הריון מכנס למניעת כאבים</v>
      </c>
      <c r="C75" s="20" t="str">
        <f aca="false">IFERROR(INDEX('TRANS'!$A:$A,MATCH($A75,'TRANS'!$B:$B,0)),"")</f>
        <v/>
      </c>
      <c r="D75" s="21" t="n">
        <f aca="false">SUMIFS('CEMI Raw'!$C$6:$C$1018,'CEMI Raw'!$E$6:$E$1018,$A75,'CEMI Raw'!$B$6:$B$1018,2025)</f>
        <v>-1</v>
      </c>
      <c r="E75" s="22" t="n">
        <f aca="false">SUMIFS('CEMI Raw'!$D$6:$D$1018,'CEMI Raw'!$E$6:$E$1018,$A75,'CEMI Raw'!$B$6:$B$1018,2025)</f>
        <v>-307.2</v>
      </c>
      <c r="F75" s="21" t="n">
        <f aca="false">SUMIFS('CEMI Raw'!$C$6:$C$1018,'CEMI Raw'!$E$6:$E$1018,$A75,'CEMI Raw'!$B$6:$B$1018,2026)</f>
        <v>-1</v>
      </c>
      <c r="G75" s="22" t="n">
        <f aca="false">SUMIFS('CEMI Raw'!$D$6:$D$1018,'CEMI Raw'!$E$6:$E$1018,$A75,'CEMI Raw'!$B$6:$B$1018,2026)</f>
        <v>-247.5</v>
      </c>
      <c r="H75" s="21" t="n">
        <f aca="false">SUMIFS('SALES Raw'!$C$6:$C$603,'SALES Raw'!$E$6:$E$603,$A75,'SALES Raw'!$B$6:$B$603,2025)</f>
        <v>0</v>
      </c>
      <c r="I75" s="22" t="n">
        <f aca="false">SUMIFS('SALES Raw'!$D$6:$D$603,'SALES Raw'!$E$6:$E$603,$A75,'SALES Raw'!$B$6:$B$603,2025)</f>
        <v>0</v>
      </c>
      <c r="J75" s="21" t="n">
        <f aca="false">SUMIFS('SALES Raw'!$C$6:$C$603,'SALES Raw'!$E$6:$E$603,$A75,'SALES Raw'!$B$6:$B$603,2026)</f>
        <v>0</v>
      </c>
      <c r="K75" s="22" t="n">
        <f aca="false">SUMIFS('SALES Raw'!$D$6:$D$603,'SALES Raw'!$E$6:$E$603,$A75,'SALES Raw'!$B$6:$B$603,2026)</f>
        <v>0</v>
      </c>
      <c r="L75" s="21" t="n">
        <f aca="false">D75+H75</f>
        <v>-1</v>
      </c>
      <c r="M75" s="22" t="n">
        <f aca="false">E75+I75</f>
        <v>-307.2</v>
      </c>
      <c r="N75" s="21" t="n">
        <f aca="false">F75+J75</f>
        <v>-1</v>
      </c>
      <c r="O75" s="22" t="n">
        <f aca="false">G75+K75</f>
        <v>-247.5</v>
      </c>
    </row>
    <row r="76" customFormat="false" ht="15" hidden="false" customHeight="false" outlineLevel="0" collapsed="false">
      <c r="A76" s="20" t="n">
        <v>4408043</v>
      </c>
      <c r="B76" s="20" t="str">
        <f aca="false">IFERROR(INDEX('Catalog'!$B:$B,MATCH($A76,'Catalog'!$A:$A,0)),"")</f>
        <v>18 M ח.הריון מכנס למניעת כאבים</v>
      </c>
      <c r="C76" s="20" t="str">
        <f aca="false">IFERROR(INDEX('TRANS'!$A:$A,MATCH($A76,'TRANS'!$B:$B,0)),"")</f>
        <v/>
      </c>
      <c r="D76" s="21" t="n">
        <f aca="false">SUMIFS('CEMI Raw'!$C$6:$C$1018,'CEMI Raw'!$E$6:$E$1018,$A76,'CEMI Raw'!$B$6:$B$1018,2025)</f>
        <v>0</v>
      </c>
      <c r="E76" s="22" t="n">
        <f aca="false">SUMIFS('CEMI Raw'!$D$6:$D$1018,'CEMI Raw'!$E$6:$E$1018,$A76,'CEMI Raw'!$B$6:$B$1018,2025)</f>
        <v>0</v>
      </c>
      <c r="F76" s="21" t="n">
        <f aca="false">SUMIFS('CEMI Raw'!$C$6:$C$1018,'CEMI Raw'!$E$6:$E$1018,$A76,'CEMI Raw'!$B$6:$B$1018,2026)</f>
        <v>-1</v>
      </c>
      <c r="G76" s="22" t="n">
        <f aca="false">SUMIFS('CEMI Raw'!$D$6:$D$1018,'CEMI Raw'!$E$6:$E$1018,$A76,'CEMI Raw'!$B$6:$B$1018,2026)</f>
        <v>-247.5</v>
      </c>
      <c r="H76" s="21" t="n">
        <f aca="false">SUMIFS('SALES Raw'!$C$6:$C$603,'SALES Raw'!$E$6:$E$603,$A76,'SALES Raw'!$B$6:$B$603,2025)</f>
        <v>0</v>
      </c>
      <c r="I76" s="22" t="n">
        <f aca="false">SUMIFS('SALES Raw'!$D$6:$D$603,'SALES Raw'!$E$6:$E$603,$A76,'SALES Raw'!$B$6:$B$603,2025)</f>
        <v>0</v>
      </c>
      <c r="J76" s="21" t="n">
        <f aca="false">SUMIFS('SALES Raw'!$C$6:$C$603,'SALES Raw'!$E$6:$E$603,$A76,'SALES Raw'!$B$6:$B$603,2026)</f>
        <v>0</v>
      </c>
      <c r="K76" s="22" t="n">
        <f aca="false">SUMIFS('SALES Raw'!$D$6:$D$603,'SALES Raw'!$E$6:$E$603,$A76,'SALES Raw'!$B$6:$B$603,2026)</f>
        <v>0</v>
      </c>
      <c r="L76" s="21" t="n">
        <f aca="false">D76+H76</f>
        <v>0</v>
      </c>
      <c r="M76" s="22" t="n">
        <f aca="false">E76+I76</f>
        <v>0</v>
      </c>
      <c r="N76" s="21" t="n">
        <f aca="false">F76+J76</f>
        <v>-1</v>
      </c>
      <c r="O76" s="22" t="n">
        <f aca="false">G76+K76</f>
        <v>-247.5</v>
      </c>
    </row>
    <row r="77" customFormat="false" ht="15" hidden="false" customHeight="false" outlineLevel="0" collapsed="false">
      <c r="A77" s="20" t="n">
        <v>4408044</v>
      </c>
      <c r="B77" s="20" t="str">
        <f aca="false">IFERROR(INDEX('Catalog'!$B:$B,MATCH($A77,'Catalog'!$A:$A,0)),"")</f>
        <v>18  XL.ח.הריון מכנס למניעת כאב</v>
      </c>
      <c r="C77" s="20" t="str">
        <f aca="false">IFERROR(INDEX('TRANS'!$A:$A,MATCH($A77,'TRANS'!$B:$B,0)),"")</f>
        <v/>
      </c>
      <c r="D77" s="21" t="n">
        <f aca="false">SUMIFS('CEMI Raw'!$C$6:$C$1018,'CEMI Raw'!$E$6:$E$1018,$A77,'CEMI Raw'!$B$6:$B$1018,2025)</f>
        <v>0</v>
      </c>
      <c r="E77" s="22" t="n">
        <f aca="false">SUMIFS('CEMI Raw'!$D$6:$D$1018,'CEMI Raw'!$E$6:$E$1018,$A77,'CEMI Raw'!$B$6:$B$1018,2025)</f>
        <v>0</v>
      </c>
      <c r="F77" s="21" t="n">
        <f aca="false">SUMIFS('CEMI Raw'!$C$6:$C$1018,'CEMI Raw'!$E$6:$E$1018,$A77,'CEMI Raw'!$B$6:$B$1018,2026)</f>
        <v>-1</v>
      </c>
      <c r="G77" s="22" t="n">
        <f aca="false">SUMIFS('CEMI Raw'!$D$6:$D$1018,'CEMI Raw'!$E$6:$E$1018,$A77,'CEMI Raw'!$B$6:$B$1018,2026)</f>
        <v>-247.5</v>
      </c>
      <c r="H77" s="21" t="n">
        <f aca="false">SUMIFS('SALES Raw'!$C$6:$C$603,'SALES Raw'!$E$6:$E$603,$A77,'SALES Raw'!$B$6:$B$603,2025)</f>
        <v>0</v>
      </c>
      <c r="I77" s="22" t="n">
        <f aca="false">SUMIFS('SALES Raw'!$D$6:$D$603,'SALES Raw'!$E$6:$E$603,$A77,'SALES Raw'!$B$6:$B$603,2025)</f>
        <v>0</v>
      </c>
      <c r="J77" s="21" t="n">
        <f aca="false">SUMIFS('SALES Raw'!$C$6:$C$603,'SALES Raw'!$E$6:$E$603,$A77,'SALES Raw'!$B$6:$B$603,2026)</f>
        <v>0</v>
      </c>
      <c r="K77" s="22" t="n">
        <f aca="false">SUMIFS('SALES Raw'!$D$6:$D$603,'SALES Raw'!$E$6:$E$603,$A77,'SALES Raw'!$B$6:$B$603,2026)</f>
        <v>0</v>
      </c>
      <c r="L77" s="21" t="n">
        <f aca="false">D77+H77</f>
        <v>0</v>
      </c>
      <c r="M77" s="22" t="n">
        <f aca="false">E77+I77</f>
        <v>0</v>
      </c>
      <c r="N77" s="21" t="n">
        <f aca="false">F77+J77</f>
        <v>-1</v>
      </c>
      <c r="O77" s="22" t="n">
        <f aca="false">G77+K77</f>
        <v>-247.5</v>
      </c>
    </row>
    <row r="78" customFormat="false" ht="15" hidden="false" customHeight="false" outlineLevel="0" collapsed="false">
      <c r="A78" s="20" t="n">
        <v>4408046</v>
      </c>
      <c r="B78" s="20" t="str">
        <f aca="false">IFERROR(INDEX('Catalog'!$B:$B,MATCH($A78,'Catalog'!$A:$A,0)),"")</f>
        <v>20 L חבק יד מתכוון עם צמדן</v>
      </c>
      <c r="C78" s="20" t="str">
        <f aca="false">IFERROR(INDEX('TRANS'!$A:$A,MATCH($A78,'TRANS'!$B:$B,0)),"")</f>
        <v>20 L</v>
      </c>
      <c r="D78" s="21" t="n">
        <f aca="false">SUMIFS('CEMI Raw'!$C$6:$C$1018,'CEMI Raw'!$E$6:$E$1018,$A78,'CEMI Raw'!$B$6:$B$1018,2025)</f>
        <v>169</v>
      </c>
      <c r="E78" s="22" t="n">
        <f aca="false">SUMIFS('CEMI Raw'!$D$6:$D$1018,'CEMI Raw'!$E$6:$E$1018,$A78,'CEMI Raw'!$B$6:$B$1018,2025)</f>
        <v>5535</v>
      </c>
      <c r="F78" s="21" t="n">
        <f aca="false">SUMIFS('CEMI Raw'!$C$6:$C$1018,'CEMI Raw'!$E$6:$E$1018,$A78,'CEMI Raw'!$B$6:$B$1018,2026)</f>
        <v>95</v>
      </c>
      <c r="G78" s="22" t="n">
        <f aca="false">SUMIFS('CEMI Raw'!$D$6:$D$1018,'CEMI Raw'!$E$6:$E$1018,$A78,'CEMI Raw'!$B$6:$B$1018,2026)</f>
        <v>3068.3</v>
      </c>
      <c r="H78" s="21" t="n">
        <f aca="false">SUMIFS('SALES Raw'!$C$6:$C$603,'SALES Raw'!$E$6:$E$603,$A78,'SALES Raw'!$B$6:$B$603,2025)</f>
        <v>1</v>
      </c>
      <c r="I78" s="22" t="n">
        <f aca="false">SUMIFS('SALES Raw'!$D$6:$D$603,'SALES Raw'!$E$6:$E$603,$A78,'SALES Raw'!$B$6:$B$603,2025)</f>
        <v>33.23</v>
      </c>
      <c r="J78" s="21" t="n">
        <f aca="false">SUMIFS('SALES Raw'!$C$6:$C$603,'SALES Raw'!$E$6:$E$603,$A78,'SALES Raw'!$B$6:$B$603,2026)</f>
        <v>0</v>
      </c>
      <c r="K78" s="22" t="n">
        <f aca="false">SUMIFS('SALES Raw'!$D$6:$D$603,'SALES Raw'!$E$6:$E$603,$A78,'SALES Raw'!$B$6:$B$603,2026)</f>
        <v>0</v>
      </c>
      <c r="L78" s="21" t="n">
        <f aca="false">D78+H78</f>
        <v>170</v>
      </c>
      <c r="M78" s="22" t="n">
        <f aca="false">E78+I78</f>
        <v>5568.23</v>
      </c>
      <c r="N78" s="21" t="n">
        <f aca="false">F78+J78</f>
        <v>95</v>
      </c>
      <c r="O78" s="22" t="n">
        <f aca="false">G78+K78</f>
        <v>3068.3</v>
      </c>
    </row>
    <row r="79" customFormat="false" ht="15" hidden="false" customHeight="false" outlineLevel="0" collapsed="false">
      <c r="A79" s="20" t="n">
        <v>4408047</v>
      </c>
      <c r="B79" s="20" t="str">
        <f aca="false">IFERROR(INDEX('Catalog'!$B:$B,MATCH($A79,'Catalog'!$A:$A,0)),"")</f>
        <v>20 M חבק יד מתכוון עם צמדן</v>
      </c>
      <c r="C79" s="20" t="str">
        <f aca="false">IFERROR(INDEX('TRANS'!$A:$A,MATCH($A79,'TRANS'!$B:$B,0)),"")</f>
        <v>20 M</v>
      </c>
      <c r="D79" s="21" t="n">
        <f aca="false">SUMIFS('CEMI Raw'!$C$6:$C$1018,'CEMI Raw'!$E$6:$E$1018,$A79,'CEMI Raw'!$B$6:$B$1018,2025)</f>
        <v>194</v>
      </c>
      <c r="E79" s="22" t="n">
        <f aca="false">SUMIFS('CEMI Raw'!$D$6:$D$1018,'CEMI Raw'!$E$6:$E$1018,$A79,'CEMI Raw'!$B$6:$B$1018,2025)</f>
        <v>6304</v>
      </c>
      <c r="F79" s="21" t="n">
        <f aca="false">SUMIFS('CEMI Raw'!$C$6:$C$1018,'CEMI Raw'!$E$6:$E$1018,$A79,'CEMI Raw'!$B$6:$B$1018,2026)</f>
        <v>103</v>
      </c>
      <c r="G79" s="22" t="n">
        <f aca="false">SUMIFS('CEMI Raw'!$D$6:$D$1018,'CEMI Raw'!$E$6:$E$1018,$A79,'CEMI Raw'!$B$6:$B$1018,2026)</f>
        <v>3352.3</v>
      </c>
      <c r="H79" s="21" t="n">
        <f aca="false">SUMIFS('SALES Raw'!$C$6:$C$603,'SALES Raw'!$E$6:$E$603,$A79,'SALES Raw'!$B$6:$B$603,2025)</f>
        <v>4</v>
      </c>
      <c r="I79" s="22" t="n">
        <f aca="false">SUMIFS('SALES Raw'!$D$6:$D$603,'SALES Raw'!$E$6:$E$603,$A79,'SALES Raw'!$B$6:$B$603,2025)</f>
        <v>132.77</v>
      </c>
      <c r="J79" s="21" t="n">
        <f aca="false">SUMIFS('SALES Raw'!$C$6:$C$603,'SALES Raw'!$E$6:$E$603,$A79,'SALES Raw'!$B$6:$B$603,2026)</f>
        <v>2</v>
      </c>
      <c r="K79" s="22" t="n">
        <f aca="false">SUMIFS('SALES Raw'!$D$6:$D$603,'SALES Raw'!$E$6:$E$603,$A79,'SALES Raw'!$B$6:$B$603,2026)</f>
        <v>66.49</v>
      </c>
      <c r="L79" s="21" t="n">
        <f aca="false">D79+H79</f>
        <v>198</v>
      </c>
      <c r="M79" s="22" t="n">
        <f aca="false">E79+I79</f>
        <v>6436.77</v>
      </c>
      <c r="N79" s="21" t="n">
        <f aca="false">F79+J79</f>
        <v>105</v>
      </c>
      <c r="O79" s="22" t="n">
        <f aca="false">G79+K79</f>
        <v>3418.79</v>
      </c>
    </row>
    <row r="80" customFormat="false" ht="15" hidden="false" customHeight="false" outlineLevel="0" collapsed="false">
      <c r="A80" s="20" t="n">
        <v>4408048</v>
      </c>
      <c r="B80" s="20" t="str">
        <f aca="false">IFERROR(INDEX('Catalog'!$B:$B,MATCH($A80,'Catalog'!$A:$A,0)),"")</f>
        <v>20 S חבק יד מתכוון עם צמדן</v>
      </c>
      <c r="C80" s="20" t="str">
        <f aca="false">IFERROR(INDEX('TRANS'!$A:$A,MATCH($A80,'TRANS'!$B:$B,0)),"")</f>
        <v>20 S</v>
      </c>
      <c r="D80" s="21" t="n">
        <f aca="false">SUMIFS('CEMI Raw'!$C$6:$C$1018,'CEMI Raw'!$E$6:$E$1018,$A80,'CEMI Raw'!$B$6:$B$1018,2025)</f>
        <v>129</v>
      </c>
      <c r="E80" s="22" t="n">
        <f aca="false">SUMIFS('CEMI Raw'!$D$6:$D$1018,'CEMI Raw'!$E$6:$E$1018,$A80,'CEMI Raw'!$B$6:$B$1018,2025)</f>
        <v>4216.3</v>
      </c>
      <c r="F80" s="21" t="n">
        <f aca="false">SUMIFS('CEMI Raw'!$C$6:$C$1018,'CEMI Raw'!$E$6:$E$1018,$A80,'CEMI Raw'!$B$6:$B$1018,2026)</f>
        <v>57</v>
      </c>
      <c r="G80" s="22" t="n">
        <f aca="false">SUMIFS('CEMI Raw'!$D$6:$D$1018,'CEMI Raw'!$E$6:$E$1018,$A80,'CEMI Raw'!$B$6:$B$1018,2026)</f>
        <v>1860</v>
      </c>
      <c r="H80" s="21" t="n">
        <f aca="false">SUMIFS('SALES Raw'!$C$6:$C$603,'SALES Raw'!$E$6:$E$603,$A80,'SALES Raw'!$B$6:$B$603,2025)</f>
        <v>0</v>
      </c>
      <c r="I80" s="22" t="n">
        <f aca="false">SUMIFS('SALES Raw'!$D$6:$D$603,'SALES Raw'!$E$6:$E$603,$A80,'SALES Raw'!$B$6:$B$603,2025)</f>
        <v>0</v>
      </c>
      <c r="J80" s="21" t="n">
        <f aca="false">SUMIFS('SALES Raw'!$C$6:$C$603,'SALES Raw'!$E$6:$E$603,$A80,'SALES Raw'!$B$6:$B$603,2026)</f>
        <v>1</v>
      </c>
      <c r="K80" s="22" t="n">
        <f aca="false">SUMIFS('SALES Raw'!$D$6:$D$603,'SALES Raw'!$E$6:$E$603,$A80,'SALES Raw'!$B$6:$B$603,2026)</f>
        <v>33.23</v>
      </c>
      <c r="L80" s="21" t="n">
        <f aca="false">D80+H80</f>
        <v>129</v>
      </c>
      <c r="M80" s="22" t="n">
        <f aca="false">E80+I80</f>
        <v>4216.3</v>
      </c>
      <c r="N80" s="21" t="n">
        <f aca="false">F80+J80</f>
        <v>58</v>
      </c>
      <c r="O80" s="22" t="n">
        <f aca="false">G80+K80</f>
        <v>1893.23</v>
      </c>
    </row>
    <row r="81" customFormat="false" ht="15" hidden="false" customHeight="false" outlineLevel="0" collapsed="false">
      <c r="A81" s="20" t="n">
        <v>4408049</v>
      </c>
      <c r="B81" s="20" t="str">
        <f aca="false">IFERROR(INDEX('Catalog'!$B:$B,MATCH($A81,'Catalog'!$A:$A,0)),"")</f>
        <v>20 XL חבק יד מתכוון עם צמדן</v>
      </c>
      <c r="C81" s="20" t="str">
        <f aca="false">IFERROR(INDEX('TRANS'!$A:$A,MATCH($A81,'TRANS'!$B:$B,0)),"")</f>
        <v>20 XL</v>
      </c>
      <c r="D81" s="21" t="n">
        <f aca="false">SUMIFS('CEMI Raw'!$C$6:$C$1018,'CEMI Raw'!$E$6:$E$1018,$A81,'CEMI Raw'!$B$6:$B$1018,2025)</f>
        <v>80</v>
      </c>
      <c r="E81" s="22" t="n">
        <f aca="false">SUMIFS('CEMI Raw'!$D$6:$D$1018,'CEMI Raw'!$E$6:$E$1018,$A81,'CEMI Raw'!$B$6:$B$1018,2025)</f>
        <v>2603.8</v>
      </c>
      <c r="F81" s="21" t="n">
        <f aca="false">SUMIFS('CEMI Raw'!$C$6:$C$1018,'CEMI Raw'!$E$6:$E$1018,$A81,'CEMI Raw'!$B$6:$B$1018,2026)</f>
        <v>30</v>
      </c>
      <c r="G81" s="22" t="n">
        <f aca="false">SUMIFS('CEMI Raw'!$D$6:$D$1018,'CEMI Raw'!$E$6:$E$1018,$A81,'CEMI Raw'!$B$6:$B$1018,2026)</f>
        <v>971.3</v>
      </c>
      <c r="H81" s="21" t="n">
        <f aca="false">SUMIFS('SALES Raw'!$C$6:$C$603,'SALES Raw'!$E$6:$E$603,$A81,'SALES Raw'!$B$6:$B$603,2025)</f>
        <v>0</v>
      </c>
      <c r="I81" s="22" t="n">
        <f aca="false">SUMIFS('SALES Raw'!$D$6:$D$603,'SALES Raw'!$E$6:$E$603,$A81,'SALES Raw'!$B$6:$B$603,2025)</f>
        <v>0</v>
      </c>
      <c r="J81" s="21" t="n">
        <f aca="false">SUMIFS('SALES Raw'!$C$6:$C$603,'SALES Raw'!$E$6:$E$603,$A81,'SALES Raw'!$B$6:$B$603,2026)</f>
        <v>0</v>
      </c>
      <c r="K81" s="22" t="n">
        <f aca="false">SUMIFS('SALES Raw'!$D$6:$D$603,'SALES Raw'!$E$6:$E$603,$A81,'SALES Raw'!$B$6:$B$603,2026)</f>
        <v>0</v>
      </c>
      <c r="L81" s="21" t="n">
        <f aca="false">D81+H81</f>
        <v>80</v>
      </c>
      <c r="M81" s="22" t="n">
        <f aca="false">E81+I81</f>
        <v>2603.8</v>
      </c>
      <c r="N81" s="21" t="n">
        <f aca="false">F81+J81</f>
        <v>30</v>
      </c>
      <c r="O81" s="22" t="n">
        <f aca="false">G81+K81</f>
        <v>971.3</v>
      </c>
    </row>
    <row r="82" customFormat="false" ht="15" hidden="false" customHeight="false" outlineLevel="0" collapsed="false">
      <c r="A82" s="20" t="n">
        <v>4408050</v>
      </c>
      <c r="B82" s="20" t="str">
        <f aca="false">IFERROR(INDEX('Catalog'!$B:$B,MATCH($A82,'Catalog'!$A:$A,0)),"")</f>
        <v>20 XXL חבק יד מתכוון עם צמדן</v>
      </c>
      <c r="C82" s="20" t="str">
        <f aca="false">IFERROR(INDEX('TRANS'!$A:$A,MATCH($A82,'TRANS'!$B:$B,0)),"")</f>
        <v>20 XXL</v>
      </c>
      <c r="D82" s="21" t="n">
        <f aca="false">SUMIFS('CEMI Raw'!$C$6:$C$1018,'CEMI Raw'!$E$6:$E$1018,$A82,'CEMI Raw'!$B$6:$B$1018,2025)</f>
        <v>4</v>
      </c>
      <c r="E82" s="22" t="n">
        <f aca="false">SUMIFS('CEMI Raw'!$D$6:$D$1018,'CEMI Raw'!$E$6:$E$1018,$A82,'CEMI Raw'!$B$6:$B$1018,2025)</f>
        <v>130.7</v>
      </c>
      <c r="F82" s="21" t="n">
        <f aca="false">SUMIFS('CEMI Raw'!$C$6:$C$1018,'CEMI Raw'!$E$6:$E$1018,$A82,'CEMI Raw'!$B$6:$B$1018,2026)</f>
        <v>2</v>
      </c>
      <c r="G82" s="22" t="n">
        <f aca="false">SUMIFS('CEMI Raw'!$D$6:$D$1018,'CEMI Raw'!$E$6:$E$1018,$A82,'CEMI Raw'!$B$6:$B$1018,2026)</f>
        <v>66.5</v>
      </c>
      <c r="H82" s="21" t="n">
        <f aca="false">SUMIFS('SALES Raw'!$C$6:$C$603,'SALES Raw'!$E$6:$E$603,$A82,'SALES Raw'!$B$6:$B$603,2025)</f>
        <v>0</v>
      </c>
      <c r="I82" s="22" t="n">
        <f aca="false">SUMIFS('SALES Raw'!$D$6:$D$603,'SALES Raw'!$E$6:$E$603,$A82,'SALES Raw'!$B$6:$B$603,2025)</f>
        <v>0</v>
      </c>
      <c r="J82" s="21" t="n">
        <f aca="false">SUMIFS('SALES Raw'!$C$6:$C$603,'SALES Raw'!$E$6:$E$603,$A82,'SALES Raw'!$B$6:$B$603,2026)</f>
        <v>0</v>
      </c>
      <c r="K82" s="22" t="n">
        <f aca="false">SUMIFS('SALES Raw'!$D$6:$D$603,'SALES Raw'!$E$6:$E$603,$A82,'SALES Raw'!$B$6:$B$603,2026)</f>
        <v>0</v>
      </c>
      <c r="L82" s="21" t="n">
        <f aca="false">D82+H82</f>
        <v>4</v>
      </c>
      <c r="M82" s="22" t="n">
        <f aca="false">E82+I82</f>
        <v>130.7</v>
      </c>
      <c r="N82" s="21" t="n">
        <f aca="false">F82+J82</f>
        <v>2</v>
      </c>
      <c r="O82" s="22" t="n">
        <f aca="false">G82+K82</f>
        <v>66.5</v>
      </c>
    </row>
    <row r="83" customFormat="false" ht="15" hidden="false" customHeight="false" outlineLevel="0" collapsed="false">
      <c r="A83" s="20" t="n">
        <v>4408051</v>
      </c>
      <c r="B83" s="20" t="str">
        <f aca="false">IFERROR(INDEX('Catalog'!$B:$B,MATCH($A83,'Catalog'!$A:$A,0)),"")</f>
        <v>21 S  חבק יד ארוך</v>
      </c>
      <c r="C83" s="20" t="str">
        <f aca="false">IFERROR(INDEX('TRANS'!$A:$A,MATCH($A83,'TRANS'!$B:$B,0)),"")</f>
        <v>21 S</v>
      </c>
      <c r="D83" s="21" t="n">
        <f aca="false">SUMIFS('CEMI Raw'!$C$6:$C$1018,'CEMI Raw'!$E$6:$E$1018,$A83,'CEMI Raw'!$B$6:$B$1018,2025)</f>
        <v>346</v>
      </c>
      <c r="E83" s="22" t="n">
        <f aca="false">SUMIFS('CEMI Raw'!$D$6:$D$1018,'CEMI Raw'!$E$6:$E$1018,$A83,'CEMI Raw'!$B$6:$B$1018,2025)</f>
        <v>13452.1</v>
      </c>
      <c r="F83" s="21" t="n">
        <f aca="false">SUMIFS('CEMI Raw'!$C$6:$C$1018,'CEMI Raw'!$E$6:$E$1018,$A83,'CEMI Raw'!$B$6:$B$1018,2026)</f>
        <v>162</v>
      </c>
      <c r="G83" s="22" t="n">
        <f aca="false">SUMIFS('CEMI Raw'!$D$6:$D$1018,'CEMI Raw'!$E$6:$E$1018,$A83,'CEMI Raw'!$B$6:$B$1018,2026)</f>
        <v>6356.1</v>
      </c>
      <c r="H83" s="21" t="n">
        <f aca="false">SUMIFS('SALES Raw'!$C$6:$C$603,'SALES Raw'!$E$6:$E$603,$A83,'SALES Raw'!$B$6:$B$603,2025)</f>
        <v>3</v>
      </c>
      <c r="I83" s="22" t="n">
        <f aca="false">SUMIFS('SALES Raw'!$D$6:$D$603,'SALES Raw'!$E$6:$E$603,$A83,'SALES Raw'!$B$6:$B$603,2025)</f>
        <v>117.32</v>
      </c>
      <c r="J83" s="21" t="n">
        <f aca="false">SUMIFS('SALES Raw'!$C$6:$C$603,'SALES Raw'!$E$6:$E$603,$A83,'SALES Raw'!$B$6:$B$603,2026)</f>
        <v>5</v>
      </c>
      <c r="K83" s="22" t="n">
        <f aca="false">SUMIFS('SALES Raw'!$D$6:$D$603,'SALES Raw'!$E$6:$E$603,$A83,'SALES Raw'!$B$6:$B$603,2026)</f>
        <v>199.07</v>
      </c>
      <c r="L83" s="21" t="n">
        <f aca="false">D83+H83</f>
        <v>349</v>
      </c>
      <c r="M83" s="22" t="n">
        <f aca="false">E83+I83</f>
        <v>13569.42</v>
      </c>
      <c r="N83" s="21" t="n">
        <f aca="false">F83+J83</f>
        <v>167</v>
      </c>
      <c r="O83" s="22" t="n">
        <f aca="false">G83+K83</f>
        <v>6555.17</v>
      </c>
    </row>
    <row r="84" customFormat="false" ht="15" hidden="false" customHeight="false" outlineLevel="0" collapsed="false">
      <c r="A84" s="20" t="n">
        <v>4408052</v>
      </c>
      <c r="B84" s="20" t="str">
        <f aca="false">IFERROR(INDEX('Catalog'!$B:$B,MATCH($A84,'Catalog'!$A:$A,0)),"")</f>
        <v>21 L  חבק יד ארוך</v>
      </c>
      <c r="C84" s="20" t="str">
        <f aca="false">IFERROR(INDEX('TRANS'!$A:$A,MATCH($A84,'TRANS'!$B:$B,0)),"")</f>
        <v>21 L</v>
      </c>
      <c r="D84" s="21" t="n">
        <f aca="false">SUMIFS('CEMI Raw'!$C$6:$C$1018,'CEMI Raw'!$E$6:$E$1018,$A84,'CEMI Raw'!$B$6:$B$1018,2025)</f>
        <v>613</v>
      </c>
      <c r="E84" s="22" t="n">
        <f aca="false">SUMIFS('CEMI Raw'!$D$6:$D$1018,'CEMI Raw'!$E$6:$E$1018,$A84,'CEMI Raw'!$B$6:$B$1018,2025)</f>
        <v>23671.9</v>
      </c>
      <c r="F84" s="21" t="n">
        <f aca="false">SUMIFS('CEMI Raw'!$C$6:$C$1018,'CEMI Raw'!$E$6:$E$1018,$A84,'CEMI Raw'!$B$6:$B$1018,2026)</f>
        <v>290</v>
      </c>
      <c r="G84" s="22" t="n">
        <f aca="false">SUMIFS('CEMI Raw'!$D$6:$D$1018,'CEMI Raw'!$E$6:$E$1018,$A84,'CEMI Raw'!$B$6:$B$1018,2026)</f>
        <v>11311.7</v>
      </c>
      <c r="H84" s="21" t="n">
        <f aca="false">SUMIFS('SALES Raw'!$C$6:$C$603,'SALES Raw'!$E$6:$E$603,$A84,'SALES Raw'!$B$6:$B$603,2025)</f>
        <v>4</v>
      </c>
      <c r="I84" s="22" t="n">
        <f aca="false">SUMIFS('SALES Raw'!$D$6:$D$603,'SALES Raw'!$E$6:$E$603,$A84,'SALES Raw'!$B$6:$B$603,2025)</f>
        <v>157.18</v>
      </c>
      <c r="J84" s="21" t="n">
        <f aca="false">SUMIFS('SALES Raw'!$C$6:$C$603,'SALES Raw'!$E$6:$E$603,$A84,'SALES Raw'!$B$6:$B$603,2026)</f>
        <v>10</v>
      </c>
      <c r="K84" s="22" t="n">
        <f aca="false">SUMIFS('SALES Raw'!$D$6:$D$603,'SALES Raw'!$E$6:$E$603,$A84,'SALES Raw'!$B$6:$B$603,2026)</f>
        <v>397.96</v>
      </c>
      <c r="L84" s="21" t="n">
        <f aca="false">D84+H84</f>
        <v>617</v>
      </c>
      <c r="M84" s="22" t="n">
        <f aca="false">E84+I84</f>
        <v>23829.08</v>
      </c>
      <c r="N84" s="21" t="n">
        <f aca="false">F84+J84</f>
        <v>300</v>
      </c>
      <c r="O84" s="22" t="n">
        <f aca="false">G84+K84</f>
        <v>11709.66</v>
      </c>
    </row>
    <row r="85" customFormat="false" ht="15" hidden="false" customHeight="false" outlineLevel="0" collapsed="false">
      <c r="A85" s="20" t="n">
        <v>4408053</v>
      </c>
      <c r="B85" s="20" t="str">
        <f aca="false">IFERROR(INDEX('Catalog'!$B:$B,MATCH($A85,'Catalog'!$A:$A,0)),"")</f>
        <v>21 M  חבק יד ארוך</v>
      </c>
      <c r="C85" s="20" t="str">
        <f aca="false">IFERROR(INDEX('TRANS'!$A:$A,MATCH($A85,'TRANS'!$B:$B,0)),"")</f>
        <v>21 M</v>
      </c>
      <c r="D85" s="21" t="n">
        <f aca="false">SUMIFS('CEMI Raw'!$C$6:$C$1018,'CEMI Raw'!$E$6:$E$1018,$A85,'CEMI Raw'!$B$6:$B$1018,2025)</f>
        <v>665</v>
      </c>
      <c r="E85" s="22" t="n">
        <f aca="false">SUMIFS('CEMI Raw'!$D$6:$D$1018,'CEMI Raw'!$E$6:$E$1018,$A85,'CEMI Raw'!$B$6:$B$1018,2025)</f>
        <v>25850.9</v>
      </c>
      <c r="F85" s="21" t="n">
        <f aca="false">SUMIFS('CEMI Raw'!$C$6:$C$1018,'CEMI Raw'!$E$6:$E$1018,$A85,'CEMI Raw'!$B$6:$B$1018,2026)</f>
        <v>380</v>
      </c>
      <c r="G85" s="22" t="n">
        <f aca="false">SUMIFS('CEMI Raw'!$D$6:$D$1018,'CEMI Raw'!$E$6:$E$1018,$A85,'CEMI Raw'!$B$6:$B$1018,2026)</f>
        <v>14853.3</v>
      </c>
      <c r="H85" s="21" t="n">
        <f aca="false">SUMIFS('SALES Raw'!$C$6:$C$603,'SALES Raw'!$E$6:$E$603,$A85,'SALES Raw'!$B$6:$B$603,2025)</f>
        <v>6</v>
      </c>
      <c r="I85" s="22" t="n">
        <f aca="false">SUMIFS('SALES Raw'!$D$6:$D$603,'SALES Raw'!$E$6:$E$603,$A85,'SALES Raw'!$B$6:$B$603,2025)</f>
        <v>236.75</v>
      </c>
      <c r="J85" s="21" t="n">
        <f aca="false">SUMIFS('SALES Raw'!$C$6:$C$603,'SALES Raw'!$E$6:$E$603,$A85,'SALES Raw'!$B$6:$B$603,2026)</f>
        <v>4</v>
      </c>
      <c r="K85" s="22" t="n">
        <f aca="false">SUMIFS('SALES Raw'!$D$6:$D$603,'SALES Raw'!$E$6:$E$603,$A85,'SALES Raw'!$B$6:$B$603,2026)</f>
        <v>159.16</v>
      </c>
      <c r="L85" s="21" t="n">
        <f aca="false">D85+H85</f>
        <v>671</v>
      </c>
      <c r="M85" s="22" t="n">
        <f aca="false">E85+I85</f>
        <v>26087.65</v>
      </c>
      <c r="N85" s="21" t="n">
        <f aca="false">F85+J85</f>
        <v>384</v>
      </c>
      <c r="O85" s="22" t="n">
        <f aca="false">G85+K85</f>
        <v>15012.46</v>
      </c>
    </row>
    <row r="86" customFormat="false" ht="15" hidden="false" customHeight="false" outlineLevel="0" collapsed="false">
      <c r="A86" s="20" t="n">
        <v>4408054</v>
      </c>
      <c r="B86" s="20" t="str">
        <f aca="false">IFERROR(INDEX('Catalog'!$B:$B,MATCH($A86,'Catalog'!$A:$A,0)),"")</f>
        <v>21 XL חבק יד ארוך</v>
      </c>
      <c r="C86" s="20" t="str">
        <f aca="false">IFERROR(INDEX('TRANS'!$A:$A,MATCH($A86,'TRANS'!$B:$B,0)),"")</f>
        <v>21 XL</v>
      </c>
      <c r="D86" s="21" t="n">
        <f aca="false">SUMIFS('CEMI Raw'!$C$6:$C$1018,'CEMI Raw'!$E$6:$E$1018,$A86,'CEMI Raw'!$B$6:$B$1018,2025)</f>
        <v>245</v>
      </c>
      <c r="E86" s="22" t="n">
        <f aca="false">SUMIFS('CEMI Raw'!$D$6:$D$1018,'CEMI Raw'!$E$6:$E$1018,$A86,'CEMI Raw'!$B$6:$B$1018,2025)</f>
        <v>9483.1</v>
      </c>
      <c r="F86" s="21" t="n">
        <f aca="false">SUMIFS('CEMI Raw'!$C$6:$C$1018,'CEMI Raw'!$E$6:$E$1018,$A86,'CEMI Raw'!$B$6:$B$1018,2026)</f>
        <v>113</v>
      </c>
      <c r="G86" s="22" t="n">
        <f aca="false">SUMIFS('CEMI Raw'!$D$6:$D$1018,'CEMI Raw'!$E$6:$E$1018,$A86,'CEMI Raw'!$B$6:$B$1018,2026)</f>
        <v>4321.4</v>
      </c>
      <c r="H86" s="21" t="n">
        <f aca="false">SUMIFS('SALES Raw'!$C$6:$C$603,'SALES Raw'!$E$6:$E$603,$A86,'SALES Raw'!$B$6:$B$603,2025)</f>
        <v>5</v>
      </c>
      <c r="I86" s="22" t="n">
        <f aca="false">SUMIFS('SALES Raw'!$D$6:$D$603,'SALES Raw'!$E$6:$E$603,$A86,'SALES Raw'!$B$6:$B$603,2025)</f>
        <v>199.01</v>
      </c>
      <c r="J86" s="21" t="n">
        <f aca="false">SUMIFS('SALES Raw'!$C$6:$C$603,'SALES Raw'!$E$6:$E$603,$A86,'SALES Raw'!$B$6:$B$603,2026)</f>
        <v>1</v>
      </c>
      <c r="K86" s="22" t="n">
        <f aca="false">SUMIFS('SALES Raw'!$D$6:$D$603,'SALES Raw'!$E$6:$E$603,$A86,'SALES Raw'!$B$6:$B$603,2026)</f>
        <v>39.8</v>
      </c>
      <c r="L86" s="21" t="n">
        <f aca="false">D86+H86</f>
        <v>250</v>
      </c>
      <c r="M86" s="22" t="n">
        <f aca="false">E86+I86</f>
        <v>9682.11</v>
      </c>
      <c r="N86" s="21" t="n">
        <f aca="false">F86+J86</f>
        <v>114</v>
      </c>
      <c r="O86" s="22" t="n">
        <f aca="false">G86+K86</f>
        <v>4361.2</v>
      </c>
    </row>
    <row r="87" customFormat="false" ht="15" hidden="false" customHeight="false" outlineLevel="0" collapsed="false">
      <c r="A87" s="20" t="n">
        <v>4408059</v>
      </c>
      <c r="B87" s="20" t="str">
        <f aca="false">IFERROR(INDEX('Catalog'!$B:$B,MATCH($A87,'Catalog'!$A:$A,0)),"")</f>
        <v>25 L חבק יד אגודלי</v>
      </c>
      <c r="C87" s="20" t="str">
        <f aca="false">IFERROR(INDEX('TRANS'!$A:$A,MATCH($A87,'TRANS'!$B:$B,0)),"")</f>
        <v/>
      </c>
      <c r="D87" s="21" t="n">
        <f aca="false">SUMIFS('CEMI Raw'!$C$6:$C$1018,'CEMI Raw'!$E$6:$E$1018,$A87,'CEMI Raw'!$B$6:$B$1018,2025)</f>
        <v>2</v>
      </c>
      <c r="E87" s="22" t="n">
        <f aca="false">SUMIFS('CEMI Raw'!$D$6:$D$1018,'CEMI Raw'!$E$6:$E$1018,$A87,'CEMI Raw'!$B$6:$B$1018,2025)</f>
        <v>132.6</v>
      </c>
      <c r="F87" s="21" t="n">
        <f aca="false">SUMIFS('CEMI Raw'!$C$6:$C$1018,'CEMI Raw'!$E$6:$E$1018,$A87,'CEMI Raw'!$B$6:$B$1018,2026)</f>
        <v>0</v>
      </c>
      <c r="G87" s="22" t="n">
        <f aca="false">SUMIFS('CEMI Raw'!$D$6:$D$1018,'CEMI Raw'!$E$6:$E$1018,$A87,'CEMI Raw'!$B$6:$B$1018,2026)</f>
        <v>0</v>
      </c>
      <c r="H87" s="21" t="n">
        <f aca="false">SUMIFS('SALES Raw'!$C$6:$C$603,'SALES Raw'!$E$6:$E$603,$A87,'SALES Raw'!$B$6:$B$603,2025)</f>
        <v>0</v>
      </c>
      <c r="I87" s="22" t="n">
        <f aca="false">SUMIFS('SALES Raw'!$D$6:$D$603,'SALES Raw'!$E$6:$E$603,$A87,'SALES Raw'!$B$6:$B$603,2025)</f>
        <v>0</v>
      </c>
      <c r="J87" s="21" t="n">
        <f aca="false">SUMIFS('SALES Raw'!$C$6:$C$603,'SALES Raw'!$E$6:$E$603,$A87,'SALES Raw'!$B$6:$B$603,2026)</f>
        <v>0</v>
      </c>
      <c r="K87" s="22" t="n">
        <f aca="false">SUMIFS('SALES Raw'!$D$6:$D$603,'SALES Raw'!$E$6:$E$603,$A87,'SALES Raw'!$B$6:$B$603,2026)</f>
        <v>0</v>
      </c>
      <c r="L87" s="21" t="n">
        <f aca="false">D87+H87</f>
        <v>2</v>
      </c>
      <c r="M87" s="22" t="n">
        <f aca="false">E87+I87</f>
        <v>132.6</v>
      </c>
      <c r="N87" s="21" t="n">
        <f aca="false">F87+J87</f>
        <v>0</v>
      </c>
      <c r="O87" s="22" t="n">
        <f aca="false">G87+K87</f>
        <v>0</v>
      </c>
    </row>
    <row r="88" customFormat="false" ht="15" hidden="false" customHeight="false" outlineLevel="0" collapsed="false">
      <c r="A88" s="20" t="n">
        <v>4408060</v>
      </c>
      <c r="B88" s="20" t="str">
        <f aca="false">IFERROR(INDEX('Catalog'!$B:$B,MATCH($A88,'Catalog'!$A:$A,0)),"")</f>
        <v>25 M חבק יד אגודלי</v>
      </c>
      <c r="C88" s="20" t="str">
        <f aca="false">IFERROR(INDEX('TRANS'!$A:$A,MATCH($A88,'TRANS'!$B:$B,0)),"")</f>
        <v/>
      </c>
      <c r="D88" s="21" t="n">
        <f aca="false">SUMIFS('CEMI Raw'!$C$6:$C$1018,'CEMI Raw'!$E$6:$E$1018,$A88,'CEMI Raw'!$B$6:$B$1018,2025)</f>
        <v>-1</v>
      </c>
      <c r="E88" s="22" t="n">
        <f aca="false">SUMIFS('CEMI Raw'!$D$6:$D$1018,'CEMI Raw'!$E$6:$E$1018,$A88,'CEMI Raw'!$B$6:$B$1018,2025)</f>
        <v>-50.9</v>
      </c>
      <c r="F88" s="21" t="n">
        <f aca="false">SUMIFS('CEMI Raw'!$C$6:$C$1018,'CEMI Raw'!$E$6:$E$1018,$A88,'CEMI Raw'!$B$6:$B$1018,2026)</f>
        <v>0</v>
      </c>
      <c r="G88" s="22" t="n">
        <f aca="false">SUMIFS('CEMI Raw'!$D$6:$D$1018,'CEMI Raw'!$E$6:$E$1018,$A88,'CEMI Raw'!$B$6:$B$1018,2026)</f>
        <v>0</v>
      </c>
      <c r="H88" s="21" t="n">
        <f aca="false">SUMIFS('SALES Raw'!$C$6:$C$603,'SALES Raw'!$E$6:$E$603,$A88,'SALES Raw'!$B$6:$B$603,2025)</f>
        <v>0</v>
      </c>
      <c r="I88" s="22" t="n">
        <f aca="false">SUMIFS('SALES Raw'!$D$6:$D$603,'SALES Raw'!$E$6:$E$603,$A88,'SALES Raw'!$B$6:$B$603,2025)</f>
        <v>0</v>
      </c>
      <c r="J88" s="21" t="n">
        <f aca="false">SUMIFS('SALES Raw'!$C$6:$C$603,'SALES Raw'!$E$6:$E$603,$A88,'SALES Raw'!$B$6:$B$603,2026)</f>
        <v>0</v>
      </c>
      <c r="K88" s="22" t="n">
        <f aca="false">SUMIFS('SALES Raw'!$D$6:$D$603,'SALES Raw'!$E$6:$E$603,$A88,'SALES Raw'!$B$6:$B$603,2026)</f>
        <v>0</v>
      </c>
      <c r="L88" s="21" t="n">
        <f aca="false">D88+H88</f>
        <v>-1</v>
      </c>
      <c r="M88" s="22" t="n">
        <f aca="false">E88+I88</f>
        <v>-50.9</v>
      </c>
      <c r="N88" s="21" t="n">
        <f aca="false">F88+J88</f>
        <v>0</v>
      </c>
      <c r="O88" s="22" t="n">
        <f aca="false">G88+K88</f>
        <v>0</v>
      </c>
    </row>
    <row r="89" customFormat="false" ht="15" hidden="false" customHeight="false" outlineLevel="0" collapsed="false">
      <c r="A89" s="20" t="n">
        <v>4408061</v>
      </c>
      <c r="B89" s="20" t="str">
        <f aca="false">IFERROR(INDEX('Catalog'!$B:$B,MATCH($A89,'Catalog'!$A:$A,0)),"")</f>
        <v>25 S חבק יד אגודלי</v>
      </c>
      <c r="C89" s="20" t="str">
        <f aca="false">IFERROR(INDEX('TRANS'!$A:$A,MATCH($A89,'TRANS'!$B:$B,0)),"")</f>
        <v/>
      </c>
      <c r="D89" s="21" t="n">
        <f aca="false">SUMIFS('CEMI Raw'!$C$6:$C$1018,'CEMI Raw'!$E$6:$E$1018,$A89,'CEMI Raw'!$B$6:$B$1018,2025)</f>
        <v>0</v>
      </c>
      <c r="E89" s="22" t="n">
        <f aca="false">SUMIFS('CEMI Raw'!$D$6:$D$1018,'CEMI Raw'!$E$6:$E$1018,$A89,'CEMI Raw'!$B$6:$B$1018,2025)</f>
        <v>7.8</v>
      </c>
      <c r="F89" s="21" t="n">
        <f aca="false">SUMIFS('CEMI Raw'!$C$6:$C$1018,'CEMI Raw'!$E$6:$E$1018,$A89,'CEMI Raw'!$B$6:$B$1018,2026)</f>
        <v>0</v>
      </c>
      <c r="G89" s="22" t="n">
        <f aca="false">SUMIFS('CEMI Raw'!$D$6:$D$1018,'CEMI Raw'!$E$6:$E$1018,$A89,'CEMI Raw'!$B$6:$B$1018,2026)</f>
        <v>0</v>
      </c>
      <c r="H89" s="21" t="n">
        <f aca="false">SUMIFS('SALES Raw'!$C$6:$C$603,'SALES Raw'!$E$6:$E$603,$A89,'SALES Raw'!$B$6:$B$603,2025)</f>
        <v>0</v>
      </c>
      <c r="I89" s="22" t="n">
        <f aca="false">SUMIFS('SALES Raw'!$D$6:$D$603,'SALES Raw'!$E$6:$E$603,$A89,'SALES Raw'!$B$6:$B$603,2025)</f>
        <v>0</v>
      </c>
      <c r="J89" s="21" t="n">
        <f aca="false">SUMIFS('SALES Raw'!$C$6:$C$603,'SALES Raw'!$E$6:$E$603,$A89,'SALES Raw'!$B$6:$B$603,2026)</f>
        <v>0</v>
      </c>
      <c r="K89" s="22" t="n">
        <f aca="false">SUMIFS('SALES Raw'!$D$6:$D$603,'SALES Raw'!$E$6:$E$603,$A89,'SALES Raw'!$B$6:$B$603,2026)</f>
        <v>0</v>
      </c>
      <c r="L89" s="21" t="n">
        <f aca="false">D89+H89</f>
        <v>0</v>
      </c>
      <c r="M89" s="22" t="n">
        <f aca="false">E89+I89</f>
        <v>7.8</v>
      </c>
      <c r="N89" s="21" t="n">
        <f aca="false">F89+J89</f>
        <v>0</v>
      </c>
      <c r="O89" s="22" t="n">
        <f aca="false">G89+K89</f>
        <v>0</v>
      </c>
    </row>
    <row r="90" customFormat="false" ht="15" hidden="false" customHeight="false" outlineLevel="0" collapsed="false">
      <c r="A90" s="20" t="n">
        <v>4408062</v>
      </c>
      <c r="B90" s="20" t="str">
        <f aca="false">IFERROR(INDEX('Catalog'!$B:$B,MATCH($A90,'Catalog'!$A:$A,0)),"")</f>
        <v>25 XL חבק יד אגודלי</v>
      </c>
      <c r="C90" s="20" t="str">
        <f aca="false">IFERROR(INDEX('TRANS'!$A:$A,MATCH($A90,'TRANS'!$B:$B,0)),"")</f>
        <v/>
      </c>
      <c r="D90" s="21" t="n">
        <f aca="false">SUMIFS('CEMI Raw'!$C$6:$C$1018,'CEMI Raw'!$E$6:$E$1018,$A90,'CEMI Raw'!$B$6:$B$1018,2025)</f>
        <v>2</v>
      </c>
      <c r="E90" s="22" t="n">
        <f aca="false">SUMIFS('CEMI Raw'!$D$6:$D$1018,'CEMI Raw'!$E$6:$E$1018,$A90,'CEMI Raw'!$B$6:$B$1018,2025)</f>
        <v>132.3</v>
      </c>
      <c r="F90" s="21" t="n">
        <f aca="false">SUMIFS('CEMI Raw'!$C$6:$C$1018,'CEMI Raw'!$E$6:$E$1018,$A90,'CEMI Raw'!$B$6:$B$1018,2026)</f>
        <v>-1</v>
      </c>
      <c r="G90" s="22" t="n">
        <f aca="false">SUMIFS('CEMI Raw'!$D$6:$D$1018,'CEMI Raw'!$E$6:$E$1018,$A90,'CEMI Raw'!$B$6:$B$1018,2026)</f>
        <v>-53.2</v>
      </c>
      <c r="H90" s="21" t="n">
        <f aca="false">SUMIFS('SALES Raw'!$C$6:$C$603,'SALES Raw'!$E$6:$E$603,$A90,'SALES Raw'!$B$6:$B$603,2025)</f>
        <v>0</v>
      </c>
      <c r="I90" s="22" t="n">
        <f aca="false">SUMIFS('SALES Raw'!$D$6:$D$603,'SALES Raw'!$E$6:$E$603,$A90,'SALES Raw'!$B$6:$B$603,2025)</f>
        <v>0</v>
      </c>
      <c r="J90" s="21" t="n">
        <f aca="false">SUMIFS('SALES Raw'!$C$6:$C$603,'SALES Raw'!$E$6:$E$603,$A90,'SALES Raw'!$B$6:$B$603,2026)</f>
        <v>0</v>
      </c>
      <c r="K90" s="22" t="n">
        <f aca="false">SUMIFS('SALES Raw'!$D$6:$D$603,'SALES Raw'!$E$6:$E$603,$A90,'SALES Raw'!$B$6:$B$603,2026)</f>
        <v>0</v>
      </c>
      <c r="L90" s="21" t="n">
        <f aca="false">D90+H90</f>
        <v>2</v>
      </c>
      <c r="M90" s="22" t="n">
        <f aca="false">E90+I90</f>
        <v>132.3</v>
      </c>
      <c r="N90" s="21" t="n">
        <f aca="false">F90+J90</f>
        <v>-1</v>
      </c>
      <c r="O90" s="22" t="n">
        <f aca="false">G90+K90</f>
        <v>-53.2</v>
      </c>
    </row>
    <row r="91" customFormat="false" ht="15" hidden="false" customHeight="false" outlineLevel="0" collapsed="false">
      <c r="A91" s="20" t="n">
        <v>4408069</v>
      </c>
      <c r="B91" s="20" t="str">
        <f aca="false">IFERROR(INDEX('Catalog'!$B:$B,MATCH($A91,'Catalog'!$A:$A,0)),"")</f>
        <v>38 .חבישת""הלוקס ולגוס""לאחר נית</v>
      </c>
      <c r="C91" s="20" t="str">
        <f aca="false">IFERROR(INDEX('TRANS'!$A:$A,MATCH($A91,'TRANS'!$B:$B,0)),"")</f>
        <v>38 0</v>
      </c>
      <c r="D91" s="21" t="n">
        <f aca="false">SUMIFS('CEMI Raw'!$C$6:$C$1018,'CEMI Raw'!$E$6:$E$1018,$A91,'CEMI Raw'!$B$6:$B$1018,2025)</f>
        <v>0</v>
      </c>
      <c r="E91" s="22" t="n">
        <f aca="false">SUMIFS('CEMI Raw'!$D$6:$D$1018,'CEMI Raw'!$E$6:$E$1018,$A91,'CEMI Raw'!$B$6:$B$1018,2025)</f>
        <v>0</v>
      </c>
      <c r="F91" s="21" t="n">
        <f aca="false">SUMIFS('CEMI Raw'!$C$6:$C$1018,'CEMI Raw'!$E$6:$E$1018,$A91,'CEMI Raw'!$B$6:$B$1018,2026)</f>
        <v>2</v>
      </c>
      <c r="G91" s="22" t="n">
        <f aca="false">SUMIFS('CEMI Raw'!$D$6:$D$1018,'CEMI Raw'!$E$6:$E$1018,$A91,'CEMI Raw'!$B$6:$B$1018,2026)</f>
        <v>178</v>
      </c>
      <c r="H91" s="21" t="n">
        <f aca="false">SUMIFS('SALES Raw'!$C$6:$C$603,'SALES Raw'!$E$6:$E$603,$A91,'SALES Raw'!$B$6:$B$603,2025)</f>
        <v>0</v>
      </c>
      <c r="I91" s="22" t="n">
        <f aca="false">SUMIFS('SALES Raw'!$D$6:$D$603,'SALES Raw'!$E$6:$E$603,$A91,'SALES Raw'!$B$6:$B$603,2025)</f>
        <v>0</v>
      </c>
      <c r="J91" s="21" t="n">
        <f aca="false">SUMIFS('SALES Raw'!$C$6:$C$603,'SALES Raw'!$E$6:$E$603,$A91,'SALES Raw'!$B$6:$B$603,2026)</f>
        <v>0</v>
      </c>
      <c r="K91" s="22" t="n">
        <f aca="false">SUMIFS('SALES Raw'!$D$6:$D$603,'SALES Raw'!$E$6:$E$603,$A91,'SALES Raw'!$B$6:$B$603,2026)</f>
        <v>0</v>
      </c>
      <c r="L91" s="21" t="n">
        <f aca="false">D91+H91</f>
        <v>0</v>
      </c>
      <c r="M91" s="22" t="n">
        <f aca="false">E91+I91</f>
        <v>0</v>
      </c>
      <c r="N91" s="21" t="n">
        <f aca="false">F91+J91</f>
        <v>2</v>
      </c>
      <c r="O91" s="22" t="n">
        <f aca="false">G91+K91</f>
        <v>178</v>
      </c>
    </row>
    <row r="92" customFormat="false" ht="15" hidden="false" customHeight="false" outlineLevel="0" collapsed="false">
      <c r="A92" s="20" t="n">
        <v>4408070</v>
      </c>
      <c r="B92" s="20" t="str">
        <f aca="false">IFERROR(INDEX('Catalog'!$B:$B,MATCH($A92,'Catalog'!$A:$A,0)),"")</f>
        <v>59D S חגורת שבר דו צדדי</v>
      </c>
      <c r="C92" s="20" t="str">
        <f aca="false">IFERROR(INDEX('TRANS'!$A:$A,MATCH($A92,'TRANS'!$B:$B,0)),"")</f>
        <v>59D S</v>
      </c>
      <c r="D92" s="21" t="n">
        <f aca="false">SUMIFS('CEMI Raw'!$C$6:$C$1018,'CEMI Raw'!$E$6:$E$1018,$A92,'CEMI Raw'!$B$6:$B$1018,2025)</f>
        <v>0</v>
      </c>
      <c r="E92" s="22" t="n">
        <f aca="false">SUMIFS('CEMI Raw'!$D$6:$D$1018,'CEMI Raw'!$E$6:$E$1018,$A92,'CEMI Raw'!$B$6:$B$1018,2025)</f>
        <v>0</v>
      </c>
      <c r="F92" s="21" t="n">
        <f aca="false">SUMIFS('CEMI Raw'!$C$6:$C$1018,'CEMI Raw'!$E$6:$E$1018,$A92,'CEMI Raw'!$B$6:$B$1018,2026)</f>
        <v>0</v>
      </c>
      <c r="G92" s="22" t="n">
        <f aca="false">SUMIFS('CEMI Raw'!$D$6:$D$1018,'CEMI Raw'!$E$6:$E$1018,$A92,'CEMI Raw'!$B$6:$B$1018,2026)</f>
        <v>0</v>
      </c>
      <c r="H92" s="21" t="n">
        <f aca="false">SUMIFS('SALES Raw'!$C$6:$C$603,'SALES Raw'!$E$6:$E$603,$A92,'SALES Raw'!$B$6:$B$603,2025)</f>
        <v>1</v>
      </c>
      <c r="I92" s="22" t="n">
        <f aca="false">SUMIFS('SALES Raw'!$D$6:$D$603,'SALES Raw'!$E$6:$E$603,$A92,'SALES Raw'!$B$6:$B$603,2025)</f>
        <v>180</v>
      </c>
      <c r="J92" s="21" t="n">
        <f aca="false">SUMIFS('SALES Raw'!$C$6:$C$603,'SALES Raw'!$E$6:$E$603,$A92,'SALES Raw'!$B$6:$B$603,2026)</f>
        <v>0</v>
      </c>
      <c r="K92" s="22" t="n">
        <f aca="false">SUMIFS('SALES Raw'!$D$6:$D$603,'SALES Raw'!$E$6:$E$603,$A92,'SALES Raw'!$B$6:$B$603,2026)</f>
        <v>0</v>
      </c>
      <c r="L92" s="21" t="n">
        <f aca="false">D92+H92</f>
        <v>1</v>
      </c>
      <c r="M92" s="22" t="n">
        <f aca="false">E92+I92</f>
        <v>180</v>
      </c>
      <c r="N92" s="21" t="n">
        <f aca="false">F92+J92</f>
        <v>0</v>
      </c>
      <c r="O92" s="22" t="n">
        <f aca="false">G92+K92</f>
        <v>0</v>
      </c>
    </row>
    <row r="93" customFormat="false" ht="15" hidden="false" customHeight="false" outlineLevel="0" collapsed="false">
      <c r="A93" s="20" t="n">
        <v>4408071</v>
      </c>
      <c r="B93" s="20" t="str">
        <f aca="false">IFERROR(INDEX('Catalog'!$B:$B,MATCH($A93,'Catalog'!$A:$A,0)),"")</f>
        <v>59D L חגורת שבר דו צדדי</v>
      </c>
      <c r="C93" s="20" t="str">
        <f aca="false">IFERROR(INDEX('TRANS'!$A:$A,MATCH($A93,'TRANS'!$B:$B,0)),"")</f>
        <v>59D L</v>
      </c>
      <c r="D93" s="21" t="n">
        <f aca="false">SUMIFS('CEMI Raw'!$C$6:$C$1018,'CEMI Raw'!$E$6:$E$1018,$A93,'CEMI Raw'!$B$6:$B$1018,2025)</f>
        <v>2</v>
      </c>
      <c r="E93" s="22" t="n">
        <f aca="false">SUMIFS('CEMI Raw'!$D$6:$D$1018,'CEMI Raw'!$E$6:$E$1018,$A93,'CEMI Raw'!$B$6:$B$1018,2025)</f>
        <v>628</v>
      </c>
      <c r="F93" s="21" t="n">
        <f aca="false">SUMIFS('CEMI Raw'!$C$6:$C$1018,'CEMI Raw'!$E$6:$E$1018,$A93,'CEMI Raw'!$B$6:$B$1018,2026)</f>
        <v>3</v>
      </c>
      <c r="G93" s="22" t="n">
        <f aca="false">SUMIFS('CEMI Raw'!$D$6:$D$1018,'CEMI Raw'!$E$6:$E$1018,$A93,'CEMI Raw'!$B$6:$B$1018,2026)</f>
        <v>879.2</v>
      </c>
      <c r="H93" s="21" t="n">
        <f aca="false">SUMIFS('SALES Raw'!$C$6:$C$603,'SALES Raw'!$E$6:$E$603,$A93,'SALES Raw'!$B$6:$B$603,2025)</f>
        <v>2</v>
      </c>
      <c r="I93" s="22" t="n">
        <f aca="false">SUMIFS('SALES Raw'!$D$6:$D$603,'SALES Raw'!$E$6:$E$603,$A93,'SALES Raw'!$B$6:$B$603,2025)</f>
        <v>494</v>
      </c>
      <c r="J93" s="21" t="n">
        <f aca="false">SUMIFS('SALES Raw'!$C$6:$C$603,'SALES Raw'!$E$6:$E$603,$A93,'SALES Raw'!$B$6:$B$603,2026)</f>
        <v>2</v>
      </c>
      <c r="K93" s="22" t="n">
        <f aca="false">SUMIFS('SALES Raw'!$D$6:$D$603,'SALES Raw'!$E$6:$E$603,$A93,'SALES Raw'!$B$6:$B$603,2026)</f>
        <v>360</v>
      </c>
      <c r="L93" s="21" t="n">
        <f aca="false">D93+H93</f>
        <v>4</v>
      </c>
      <c r="M93" s="22" t="n">
        <f aca="false">E93+I93</f>
        <v>1122</v>
      </c>
      <c r="N93" s="21" t="n">
        <f aca="false">F93+J93</f>
        <v>5</v>
      </c>
      <c r="O93" s="22" t="n">
        <f aca="false">G93+K93</f>
        <v>1239.2</v>
      </c>
    </row>
    <row r="94" customFormat="false" ht="15" hidden="false" customHeight="false" outlineLevel="0" collapsed="false">
      <c r="A94" s="20" t="n">
        <v>4408072</v>
      </c>
      <c r="B94" s="20" t="str">
        <f aca="false">IFERROR(INDEX('Catalog'!$B:$B,MATCH($A94,'Catalog'!$A:$A,0)),"")</f>
        <v>59D M חגורת שבר דו צדדי</v>
      </c>
      <c r="C94" s="20" t="str">
        <f aca="false">IFERROR(INDEX('TRANS'!$A:$A,MATCH($A94,'TRANS'!$B:$B,0)),"")</f>
        <v>59D M</v>
      </c>
      <c r="D94" s="21" t="n">
        <f aca="false">SUMIFS('CEMI Raw'!$C$6:$C$1018,'CEMI Raw'!$E$6:$E$1018,$A94,'CEMI Raw'!$B$6:$B$1018,2025)</f>
        <v>2</v>
      </c>
      <c r="E94" s="22" t="n">
        <f aca="false">SUMIFS('CEMI Raw'!$D$6:$D$1018,'CEMI Raw'!$E$6:$E$1018,$A94,'CEMI Raw'!$B$6:$B$1018,2025)</f>
        <v>628</v>
      </c>
      <c r="F94" s="21" t="n">
        <f aca="false">SUMIFS('CEMI Raw'!$C$6:$C$1018,'CEMI Raw'!$E$6:$E$1018,$A94,'CEMI Raw'!$B$6:$B$1018,2026)</f>
        <v>1</v>
      </c>
      <c r="G94" s="22" t="n">
        <f aca="false">SUMIFS('CEMI Raw'!$D$6:$D$1018,'CEMI Raw'!$E$6:$E$1018,$A94,'CEMI Raw'!$B$6:$B$1018,2026)</f>
        <v>314</v>
      </c>
      <c r="H94" s="21" t="n">
        <f aca="false">SUMIFS('SALES Raw'!$C$6:$C$603,'SALES Raw'!$E$6:$E$603,$A94,'SALES Raw'!$B$6:$B$603,2025)</f>
        <v>3</v>
      </c>
      <c r="I94" s="22" t="n">
        <f aca="false">SUMIFS('SALES Raw'!$D$6:$D$603,'SALES Raw'!$E$6:$E$603,$A94,'SALES Raw'!$B$6:$B$603,2025)</f>
        <v>674</v>
      </c>
      <c r="J94" s="21" t="n">
        <f aca="false">SUMIFS('SALES Raw'!$C$6:$C$603,'SALES Raw'!$E$6:$E$603,$A94,'SALES Raw'!$B$6:$B$603,2026)</f>
        <v>2</v>
      </c>
      <c r="K94" s="22" t="n">
        <f aca="false">SUMIFS('SALES Raw'!$D$6:$D$603,'SALES Raw'!$E$6:$E$603,$A94,'SALES Raw'!$B$6:$B$603,2026)</f>
        <v>360</v>
      </c>
      <c r="L94" s="21" t="n">
        <f aca="false">D94+H94</f>
        <v>5</v>
      </c>
      <c r="M94" s="22" t="n">
        <f aca="false">E94+I94</f>
        <v>1302</v>
      </c>
      <c r="N94" s="21" t="n">
        <f aca="false">F94+J94</f>
        <v>3</v>
      </c>
      <c r="O94" s="22" t="n">
        <f aca="false">G94+K94</f>
        <v>674</v>
      </c>
    </row>
    <row r="95" customFormat="false" ht="15" hidden="false" customHeight="false" outlineLevel="0" collapsed="false">
      <c r="A95" s="20" t="n">
        <v>4408073</v>
      </c>
      <c r="B95" s="20" t="str">
        <f aca="false">IFERROR(INDEX('Catalog'!$B:$B,MATCH($A95,'Catalog'!$A:$A,0)),"")</f>
        <v>59D XL חגורת שבר דו צדדי</v>
      </c>
      <c r="C95" s="20" t="str">
        <f aca="false">IFERROR(INDEX('TRANS'!$A:$A,MATCH($A95,'TRANS'!$B:$B,0)),"")</f>
        <v>59D XL</v>
      </c>
      <c r="D95" s="21" t="n">
        <f aca="false">SUMIFS('CEMI Raw'!$C$6:$C$1018,'CEMI Raw'!$E$6:$E$1018,$A95,'CEMI Raw'!$B$6:$B$1018,2025)</f>
        <v>2</v>
      </c>
      <c r="E95" s="22" t="n">
        <f aca="false">SUMIFS('CEMI Raw'!$D$6:$D$1018,'CEMI Raw'!$E$6:$E$1018,$A95,'CEMI Raw'!$B$6:$B$1018,2025)</f>
        <v>628</v>
      </c>
      <c r="F95" s="21" t="n">
        <f aca="false">SUMIFS('CEMI Raw'!$C$6:$C$1018,'CEMI Raw'!$E$6:$E$1018,$A95,'CEMI Raw'!$B$6:$B$1018,2026)</f>
        <v>1</v>
      </c>
      <c r="G95" s="22" t="n">
        <f aca="false">SUMIFS('CEMI Raw'!$D$6:$D$1018,'CEMI Raw'!$E$6:$E$1018,$A95,'CEMI Raw'!$B$6:$B$1018,2026)</f>
        <v>316.1</v>
      </c>
      <c r="H95" s="21" t="n">
        <f aca="false">SUMIFS('SALES Raw'!$C$6:$C$603,'SALES Raw'!$E$6:$E$603,$A95,'SALES Raw'!$B$6:$B$603,2025)</f>
        <v>2</v>
      </c>
      <c r="I95" s="22" t="n">
        <f aca="false">SUMIFS('SALES Raw'!$D$6:$D$603,'SALES Raw'!$E$6:$E$603,$A95,'SALES Raw'!$B$6:$B$603,2025)</f>
        <v>358</v>
      </c>
      <c r="J95" s="21" t="n">
        <f aca="false">SUMIFS('SALES Raw'!$C$6:$C$603,'SALES Raw'!$E$6:$E$603,$A95,'SALES Raw'!$B$6:$B$603,2026)</f>
        <v>1</v>
      </c>
      <c r="K95" s="22" t="n">
        <f aca="false">SUMIFS('SALES Raw'!$D$6:$D$603,'SALES Raw'!$E$6:$E$603,$A95,'SALES Raw'!$B$6:$B$603,2026)</f>
        <v>180</v>
      </c>
      <c r="L95" s="21" t="n">
        <f aca="false">D95+H95</f>
        <v>4</v>
      </c>
      <c r="M95" s="22" t="n">
        <f aca="false">E95+I95</f>
        <v>986</v>
      </c>
      <c r="N95" s="21" t="n">
        <f aca="false">F95+J95</f>
        <v>2</v>
      </c>
      <c r="O95" s="22" t="n">
        <f aca="false">G95+K95</f>
        <v>496.1</v>
      </c>
    </row>
    <row r="96" customFormat="false" ht="15" hidden="false" customHeight="false" outlineLevel="0" collapsed="false">
      <c r="A96" s="20" t="n">
        <v>4408075</v>
      </c>
      <c r="B96" s="20" t="str">
        <f aca="false">IFERROR(INDEX('Catalog'!$B:$B,MATCH($A96,'Catalog'!$A:$A,0)),"")</f>
        <v>59L S חגורת שבר לצד שמאל</v>
      </c>
      <c r="C96" s="20" t="str">
        <f aca="false">IFERROR(INDEX('TRANS'!$A:$A,MATCH($A96,'TRANS'!$B:$B,0)),"")</f>
        <v>59L S</v>
      </c>
      <c r="D96" s="21" t="n">
        <f aca="false">SUMIFS('CEMI Raw'!$C$6:$C$1018,'CEMI Raw'!$E$6:$E$1018,$A96,'CEMI Raw'!$B$6:$B$1018,2025)</f>
        <v>0</v>
      </c>
      <c r="E96" s="22" t="n">
        <f aca="false">SUMIFS('CEMI Raw'!$D$6:$D$1018,'CEMI Raw'!$E$6:$E$1018,$A96,'CEMI Raw'!$B$6:$B$1018,2025)</f>
        <v>0</v>
      </c>
      <c r="F96" s="21" t="n">
        <f aca="false">SUMIFS('CEMI Raw'!$C$6:$C$1018,'CEMI Raw'!$E$6:$E$1018,$A96,'CEMI Raw'!$B$6:$B$1018,2026)</f>
        <v>1</v>
      </c>
      <c r="G96" s="22" t="n">
        <f aca="false">SUMIFS('CEMI Raw'!$D$6:$D$1018,'CEMI Raw'!$E$6:$E$1018,$A96,'CEMI Raw'!$B$6:$B$1018,2026)</f>
        <v>187.4</v>
      </c>
      <c r="H96" s="21" t="n">
        <f aca="false">SUMIFS('SALES Raw'!$C$6:$C$603,'SALES Raw'!$E$6:$E$603,$A96,'SALES Raw'!$B$6:$B$603,2025)</f>
        <v>1</v>
      </c>
      <c r="I96" s="22" t="n">
        <f aca="false">SUMIFS('SALES Raw'!$D$6:$D$603,'SALES Raw'!$E$6:$E$603,$A96,'SALES Raw'!$B$6:$B$603,2025)</f>
        <v>187.45</v>
      </c>
      <c r="J96" s="21" t="n">
        <f aca="false">SUMIFS('SALES Raw'!$C$6:$C$603,'SALES Raw'!$E$6:$E$603,$A96,'SALES Raw'!$B$6:$B$603,2026)</f>
        <v>0</v>
      </c>
      <c r="K96" s="22" t="n">
        <f aca="false">SUMIFS('SALES Raw'!$D$6:$D$603,'SALES Raw'!$E$6:$E$603,$A96,'SALES Raw'!$B$6:$B$603,2026)</f>
        <v>0</v>
      </c>
      <c r="L96" s="21" t="n">
        <f aca="false">D96+H96</f>
        <v>1</v>
      </c>
      <c r="M96" s="22" t="n">
        <f aca="false">E96+I96</f>
        <v>187.45</v>
      </c>
      <c r="N96" s="21" t="n">
        <f aca="false">F96+J96</f>
        <v>1</v>
      </c>
      <c r="O96" s="22" t="n">
        <f aca="false">G96+K96</f>
        <v>187.4</v>
      </c>
    </row>
    <row r="97" customFormat="false" ht="15" hidden="false" customHeight="false" outlineLevel="0" collapsed="false">
      <c r="A97" s="20" t="n">
        <v>4408076</v>
      </c>
      <c r="B97" s="20" t="str">
        <f aca="false">IFERROR(INDEX('Catalog'!$B:$B,MATCH($A97,'Catalog'!$A:$A,0)),"")</f>
        <v>59L L חגורת שבר לצד שמאל</v>
      </c>
      <c r="C97" s="20" t="str">
        <f aca="false">IFERROR(INDEX('TRANS'!$A:$A,MATCH($A97,'TRANS'!$B:$B,0)),"")</f>
        <v>59L L</v>
      </c>
      <c r="D97" s="21" t="n">
        <f aca="false">SUMIFS('CEMI Raw'!$C$6:$C$1018,'CEMI Raw'!$E$6:$E$1018,$A97,'CEMI Raw'!$B$6:$B$1018,2025)</f>
        <v>4</v>
      </c>
      <c r="E97" s="22" t="n">
        <f aca="false">SUMIFS('CEMI Raw'!$D$6:$D$1018,'CEMI Raw'!$E$6:$E$1018,$A97,'CEMI Raw'!$B$6:$B$1018,2025)</f>
        <v>743.5</v>
      </c>
      <c r="F97" s="21" t="n">
        <f aca="false">SUMIFS('CEMI Raw'!$C$6:$C$1018,'CEMI Raw'!$E$6:$E$1018,$A97,'CEMI Raw'!$B$6:$B$1018,2026)</f>
        <v>3</v>
      </c>
      <c r="G97" s="22" t="n">
        <f aca="false">SUMIFS('CEMI Raw'!$D$6:$D$1018,'CEMI Raw'!$E$6:$E$1018,$A97,'CEMI Raw'!$B$6:$B$1018,2026)</f>
        <v>537.3</v>
      </c>
      <c r="H97" s="21" t="n">
        <f aca="false">SUMIFS('SALES Raw'!$C$6:$C$603,'SALES Raw'!$E$6:$E$603,$A97,'SALES Raw'!$B$6:$B$603,2025)</f>
        <v>4</v>
      </c>
      <c r="I97" s="22" t="n">
        <f aca="false">SUMIFS('SALES Raw'!$D$6:$D$603,'SALES Raw'!$E$6:$E$603,$A97,'SALES Raw'!$B$6:$B$603,2025)</f>
        <v>746.67</v>
      </c>
      <c r="J97" s="21" t="n">
        <f aca="false">SUMIFS('SALES Raw'!$C$6:$C$603,'SALES Raw'!$E$6:$E$603,$A97,'SALES Raw'!$B$6:$B$603,2026)</f>
        <v>6</v>
      </c>
      <c r="K97" s="22" t="n">
        <f aca="false">SUMIFS('SALES Raw'!$D$6:$D$603,'SALES Raw'!$E$6:$E$603,$A97,'SALES Raw'!$B$6:$B$603,2026)</f>
        <v>1029.79</v>
      </c>
      <c r="L97" s="21" t="n">
        <f aca="false">D97+H97</f>
        <v>8</v>
      </c>
      <c r="M97" s="22" t="n">
        <f aca="false">E97+I97</f>
        <v>1490.17</v>
      </c>
      <c r="N97" s="21" t="n">
        <f aca="false">F97+J97</f>
        <v>9</v>
      </c>
      <c r="O97" s="22" t="n">
        <f aca="false">G97+K97</f>
        <v>1567.09</v>
      </c>
    </row>
    <row r="98" customFormat="false" ht="15" hidden="false" customHeight="false" outlineLevel="0" collapsed="false">
      <c r="A98" s="20" t="n">
        <v>4408077</v>
      </c>
      <c r="B98" s="20" t="str">
        <f aca="false">IFERROR(INDEX('Catalog'!$B:$B,MATCH($A98,'Catalog'!$A:$A,0)),"")</f>
        <v>59L M חגורת שבר לצד שמאל</v>
      </c>
      <c r="C98" s="20" t="str">
        <f aca="false">IFERROR(INDEX('TRANS'!$A:$A,MATCH($A98,'TRANS'!$B:$B,0)),"")</f>
        <v>59L M</v>
      </c>
      <c r="D98" s="21" t="n">
        <f aca="false">SUMIFS('CEMI Raw'!$C$6:$C$1018,'CEMI Raw'!$E$6:$E$1018,$A98,'CEMI Raw'!$B$6:$B$1018,2025)</f>
        <v>2</v>
      </c>
      <c r="E98" s="22" t="n">
        <f aca="false">SUMIFS('CEMI Raw'!$D$6:$D$1018,'CEMI Raw'!$E$6:$E$1018,$A98,'CEMI Raw'!$B$6:$B$1018,2025)</f>
        <v>346.8</v>
      </c>
      <c r="F98" s="21" t="n">
        <f aca="false">SUMIFS('CEMI Raw'!$C$6:$C$1018,'CEMI Raw'!$E$6:$E$1018,$A98,'CEMI Raw'!$B$6:$B$1018,2026)</f>
        <v>2</v>
      </c>
      <c r="G98" s="22" t="n">
        <f aca="false">SUMIFS('CEMI Raw'!$D$6:$D$1018,'CEMI Raw'!$E$6:$E$1018,$A98,'CEMI Raw'!$B$6:$B$1018,2026)</f>
        <v>374.9</v>
      </c>
      <c r="H98" s="21" t="n">
        <f aca="false">SUMIFS('SALES Raw'!$C$6:$C$603,'SALES Raw'!$E$6:$E$603,$A98,'SALES Raw'!$B$6:$B$603,2025)</f>
        <v>3</v>
      </c>
      <c r="I98" s="22" t="n">
        <f aca="false">SUMIFS('SALES Raw'!$D$6:$D$603,'SALES Raw'!$E$6:$E$603,$A98,'SALES Raw'!$B$6:$B$603,2025)</f>
        <v>467.45</v>
      </c>
      <c r="J98" s="21" t="n">
        <f aca="false">SUMIFS('SALES Raw'!$C$6:$C$603,'SALES Raw'!$E$6:$E$603,$A98,'SALES Raw'!$B$6:$B$603,2026)</f>
        <v>8</v>
      </c>
      <c r="K98" s="22" t="n">
        <f aca="false">SUMIFS('SALES Raw'!$D$6:$D$603,'SALES Raw'!$E$6:$E$603,$A98,'SALES Raw'!$B$6:$B$603,2026)</f>
        <v>1309.79</v>
      </c>
      <c r="L98" s="21" t="n">
        <f aca="false">D98+H98</f>
        <v>5</v>
      </c>
      <c r="M98" s="22" t="n">
        <f aca="false">E98+I98</f>
        <v>814.25</v>
      </c>
      <c r="N98" s="21" t="n">
        <f aca="false">F98+J98</f>
        <v>10</v>
      </c>
      <c r="O98" s="22" t="n">
        <f aca="false">G98+K98</f>
        <v>1684.69</v>
      </c>
    </row>
    <row r="99" customFormat="false" ht="15" hidden="false" customHeight="false" outlineLevel="0" collapsed="false">
      <c r="A99" s="20" t="n">
        <v>4408078</v>
      </c>
      <c r="B99" s="20" t="str">
        <f aca="false">IFERROR(INDEX('Catalog'!$B:$B,MATCH($A99,'Catalog'!$A:$A,0)),"")</f>
        <v>59L XLחגורת שבר לצד שמאל</v>
      </c>
      <c r="C99" s="20" t="str">
        <f aca="false">IFERROR(INDEX('TRANS'!$A:$A,MATCH($A99,'TRANS'!$B:$B,0)),"")</f>
        <v>59L XL</v>
      </c>
      <c r="D99" s="21" t="n">
        <f aca="false">SUMIFS('CEMI Raw'!$C$6:$C$1018,'CEMI Raw'!$E$6:$E$1018,$A99,'CEMI Raw'!$B$6:$B$1018,2025)</f>
        <v>0</v>
      </c>
      <c r="E99" s="22" t="n">
        <f aca="false">SUMIFS('CEMI Raw'!$D$6:$D$1018,'CEMI Raw'!$E$6:$E$1018,$A99,'CEMI Raw'!$B$6:$B$1018,2025)</f>
        <v>0</v>
      </c>
      <c r="F99" s="21" t="n">
        <f aca="false">SUMIFS('CEMI Raw'!$C$6:$C$1018,'CEMI Raw'!$E$6:$E$1018,$A99,'CEMI Raw'!$B$6:$B$1018,2026)</f>
        <v>1</v>
      </c>
      <c r="G99" s="22" t="n">
        <f aca="false">SUMIFS('CEMI Raw'!$D$6:$D$1018,'CEMI Raw'!$E$6:$E$1018,$A99,'CEMI Raw'!$B$6:$B$1018,2026)</f>
        <v>187.4</v>
      </c>
      <c r="H99" s="21" t="n">
        <f aca="false">SUMIFS('SALES Raw'!$C$6:$C$603,'SALES Raw'!$E$6:$E$603,$A99,'SALES Raw'!$B$6:$B$603,2025)</f>
        <v>2</v>
      </c>
      <c r="I99" s="22" t="n">
        <f aca="false">SUMIFS('SALES Raw'!$D$6:$D$603,'SALES Raw'!$E$6:$E$603,$A99,'SALES Raw'!$B$6:$B$603,2025)</f>
        <v>371.77</v>
      </c>
      <c r="J99" s="21" t="n">
        <f aca="false">SUMIFS('SALES Raw'!$C$6:$C$603,'SALES Raw'!$E$6:$E$603,$A99,'SALES Raw'!$B$6:$B$603,2026)</f>
        <v>0</v>
      </c>
      <c r="K99" s="22" t="n">
        <f aca="false">SUMIFS('SALES Raw'!$D$6:$D$603,'SALES Raw'!$E$6:$E$603,$A99,'SALES Raw'!$B$6:$B$603,2026)</f>
        <v>0</v>
      </c>
      <c r="L99" s="21" t="n">
        <f aca="false">D99+H99</f>
        <v>2</v>
      </c>
      <c r="M99" s="22" t="n">
        <f aca="false">E99+I99</f>
        <v>371.77</v>
      </c>
      <c r="N99" s="21" t="n">
        <f aca="false">F99+J99</f>
        <v>1</v>
      </c>
      <c r="O99" s="22" t="n">
        <f aca="false">G99+K99</f>
        <v>187.4</v>
      </c>
    </row>
    <row r="100" customFormat="false" ht="15" hidden="false" customHeight="false" outlineLevel="0" collapsed="false">
      <c r="A100" s="20" t="n">
        <v>4408079</v>
      </c>
      <c r="B100" s="20" t="str">
        <f aca="false">IFERROR(INDEX('Catalog'!$B:$B,MATCH($A100,'Catalog'!$A:$A,0)),"")</f>
        <v>59R S חגורת שבר לצד ימין</v>
      </c>
      <c r="C100" s="20" t="str">
        <f aca="false">IFERROR(INDEX('TRANS'!$A:$A,MATCH($A100,'TRANS'!$B:$B,0)),"")</f>
        <v>59R S</v>
      </c>
      <c r="D100" s="21" t="n">
        <f aca="false">SUMIFS('CEMI Raw'!$C$6:$C$1018,'CEMI Raw'!$E$6:$E$1018,$A100,'CEMI Raw'!$B$6:$B$1018,2025)</f>
        <v>3</v>
      </c>
      <c r="E100" s="22" t="n">
        <f aca="false">SUMIFS('CEMI Raw'!$D$6:$D$1018,'CEMI Raw'!$E$6:$E$1018,$A100,'CEMI Raw'!$B$6:$B$1018,2025)</f>
        <v>549.8</v>
      </c>
      <c r="F100" s="21" t="n">
        <f aca="false">SUMIFS('CEMI Raw'!$C$6:$C$1018,'CEMI Raw'!$E$6:$E$1018,$A100,'CEMI Raw'!$B$6:$B$1018,2026)</f>
        <v>0</v>
      </c>
      <c r="G100" s="22" t="n">
        <f aca="false">SUMIFS('CEMI Raw'!$D$6:$D$1018,'CEMI Raw'!$E$6:$E$1018,$A100,'CEMI Raw'!$B$6:$B$1018,2026)</f>
        <v>-22.4</v>
      </c>
      <c r="H100" s="21" t="n">
        <f aca="false">SUMIFS('SALES Raw'!$C$6:$C$603,'SALES Raw'!$E$6:$E$603,$A100,'SALES Raw'!$B$6:$B$603,2025)</f>
        <v>4</v>
      </c>
      <c r="I100" s="22" t="n">
        <f aca="false">SUMIFS('SALES Raw'!$D$6:$D$603,'SALES Raw'!$E$6:$E$603,$A100,'SALES Raw'!$B$6:$B$603,2025)</f>
        <v>702.35</v>
      </c>
      <c r="J100" s="21" t="n">
        <f aca="false">SUMIFS('SALES Raw'!$C$6:$C$603,'SALES Raw'!$E$6:$E$603,$A100,'SALES Raw'!$B$6:$B$603,2026)</f>
        <v>0</v>
      </c>
      <c r="K100" s="22" t="n">
        <f aca="false">SUMIFS('SALES Raw'!$D$6:$D$603,'SALES Raw'!$E$6:$E$603,$A100,'SALES Raw'!$B$6:$B$603,2026)</f>
        <v>0</v>
      </c>
      <c r="L100" s="21" t="n">
        <f aca="false">D100+H100</f>
        <v>7</v>
      </c>
      <c r="M100" s="22" t="n">
        <f aca="false">E100+I100</f>
        <v>1252.15</v>
      </c>
      <c r="N100" s="21" t="n">
        <f aca="false">F100+J100</f>
        <v>0</v>
      </c>
      <c r="O100" s="22" t="n">
        <f aca="false">G100+K100</f>
        <v>-22.4</v>
      </c>
    </row>
    <row r="101" customFormat="false" ht="15" hidden="false" customHeight="false" outlineLevel="0" collapsed="false">
      <c r="A101" s="20" t="n">
        <v>4408080</v>
      </c>
      <c r="B101" s="20" t="str">
        <f aca="false">IFERROR(INDEX('Catalog'!$B:$B,MATCH($A101,'Catalog'!$A:$A,0)),"")</f>
        <v>59R L חגורת שבר לצד ימין</v>
      </c>
      <c r="C101" s="20" t="str">
        <f aca="false">IFERROR(INDEX('TRANS'!$A:$A,MATCH($A101,'TRANS'!$B:$B,0)),"")</f>
        <v>59R L</v>
      </c>
      <c r="D101" s="21" t="n">
        <f aca="false">SUMIFS('CEMI Raw'!$C$6:$C$1018,'CEMI Raw'!$E$6:$E$1018,$A101,'CEMI Raw'!$B$6:$B$1018,2025)</f>
        <v>6</v>
      </c>
      <c r="E101" s="22" t="n">
        <f aca="false">SUMIFS('CEMI Raw'!$D$6:$D$1018,'CEMI Raw'!$E$6:$E$1018,$A101,'CEMI Raw'!$B$6:$B$1018,2025)</f>
        <v>1087.2</v>
      </c>
      <c r="F101" s="21" t="n">
        <f aca="false">SUMIFS('CEMI Raw'!$C$6:$C$1018,'CEMI Raw'!$E$6:$E$1018,$A101,'CEMI Raw'!$B$6:$B$1018,2026)</f>
        <v>4</v>
      </c>
      <c r="G101" s="22" t="n">
        <f aca="false">SUMIFS('CEMI Raw'!$D$6:$D$1018,'CEMI Raw'!$E$6:$E$1018,$A101,'CEMI Raw'!$B$6:$B$1018,2026)</f>
        <v>762.3</v>
      </c>
      <c r="H101" s="21" t="n">
        <f aca="false">SUMIFS('SALES Raw'!$C$6:$C$603,'SALES Raw'!$E$6:$E$603,$A101,'SALES Raw'!$B$6:$B$603,2025)</f>
        <v>5</v>
      </c>
      <c r="I101" s="22" t="n">
        <f aca="false">SUMIFS('SALES Raw'!$D$6:$D$603,'SALES Raw'!$E$6:$E$603,$A101,'SALES Raw'!$B$6:$B$603,2025)</f>
        <v>842.35</v>
      </c>
      <c r="J101" s="21" t="n">
        <f aca="false">SUMIFS('SALES Raw'!$C$6:$C$603,'SALES Raw'!$E$6:$E$603,$A101,'SALES Raw'!$B$6:$B$603,2026)</f>
        <v>10</v>
      </c>
      <c r="K101" s="22" t="n">
        <f aca="false">SUMIFS('SALES Raw'!$D$6:$D$603,'SALES Raw'!$E$6:$E$603,$A101,'SALES Raw'!$B$6:$B$603,2026)</f>
        <v>1684.68</v>
      </c>
      <c r="L101" s="21" t="n">
        <f aca="false">D101+H101</f>
        <v>11</v>
      </c>
      <c r="M101" s="22" t="n">
        <f aca="false">E101+I101</f>
        <v>1929.55</v>
      </c>
      <c r="N101" s="21" t="n">
        <f aca="false">F101+J101</f>
        <v>14</v>
      </c>
      <c r="O101" s="22" t="n">
        <f aca="false">G101+K101</f>
        <v>2446.98</v>
      </c>
    </row>
    <row r="102" customFormat="false" ht="15" hidden="false" customHeight="false" outlineLevel="0" collapsed="false">
      <c r="A102" s="20" t="n">
        <v>4408081</v>
      </c>
      <c r="B102" s="20" t="str">
        <f aca="false">IFERROR(INDEX('Catalog'!$B:$B,MATCH($A102,'Catalog'!$A:$A,0)),"")</f>
        <v>59R M חגורת שבר לצד ימין</v>
      </c>
      <c r="C102" s="20" t="str">
        <f aca="false">IFERROR(INDEX('TRANS'!$A:$A,MATCH($A102,'TRANS'!$B:$B,0)),"")</f>
        <v>59R M</v>
      </c>
      <c r="D102" s="21" t="n">
        <f aca="false">SUMIFS('CEMI Raw'!$C$6:$C$1018,'CEMI Raw'!$E$6:$E$1018,$A102,'CEMI Raw'!$B$6:$B$1018,2025)</f>
        <v>7</v>
      </c>
      <c r="E102" s="22" t="n">
        <f aca="false">SUMIFS('CEMI Raw'!$D$6:$D$1018,'CEMI Raw'!$E$6:$E$1018,$A102,'CEMI Raw'!$B$6:$B$1018,2025)</f>
        <v>1274.6</v>
      </c>
      <c r="F102" s="21" t="n">
        <f aca="false">SUMIFS('CEMI Raw'!$C$6:$C$1018,'CEMI Raw'!$E$6:$E$1018,$A102,'CEMI Raw'!$B$6:$B$1018,2026)</f>
        <v>6</v>
      </c>
      <c r="G102" s="22" t="n">
        <f aca="false">SUMIFS('CEMI Raw'!$D$6:$D$1018,'CEMI Raw'!$E$6:$E$1018,$A102,'CEMI Raw'!$B$6:$B$1018,2026)</f>
        <v>1087.2</v>
      </c>
      <c r="H102" s="21" t="n">
        <f aca="false">SUMIFS('SALES Raw'!$C$6:$C$603,'SALES Raw'!$E$6:$E$603,$A102,'SALES Raw'!$B$6:$B$603,2025)</f>
        <v>7</v>
      </c>
      <c r="I102" s="22" t="n">
        <f aca="false">SUMIFS('SALES Raw'!$D$6:$D$603,'SALES Raw'!$E$6:$E$603,$A102,'SALES Raw'!$B$6:$B$603,2025)</f>
        <v>1217.25</v>
      </c>
      <c r="J102" s="21" t="n">
        <f aca="false">SUMIFS('SALES Raw'!$C$6:$C$603,'SALES Raw'!$E$6:$E$603,$A102,'SALES Raw'!$B$6:$B$603,2026)</f>
        <v>6</v>
      </c>
      <c r="K102" s="22" t="n">
        <f aca="false">SUMIFS('SALES Raw'!$D$6:$D$603,'SALES Raw'!$E$6:$E$603,$A102,'SALES Raw'!$B$6:$B$603,2026)</f>
        <v>982.35</v>
      </c>
      <c r="L102" s="21" t="n">
        <f aca="false">D102+H102</f>
        <v>14</v>
      </c>
      <c r="M102" s="22" t="n">
        <f aca="false">E102+I102</f>
        <v>2491.85</v>
      </c>
      <c r="N102" s="21" t="n">
        <f aca="false">F102+J102</f>
        <v>12</v>
      </c>
      <c r="O102" s="22" t="n">
        <f aca="false">G102+K102</f>
        <v>2069.55</v>
      </c>
    </row>
    <row r="103" customFormat="false" ht="15" hidden="false" customHeight="false" outlineLevel="0" collapsed="false">
      <c r="A103" s="20" t="n">
        <v>4408082</v>
      </c>
      <c r="B103" s="20" t="str">
        <f aca="false">IFERROR(INDEX('Catalog'!$B:$B,MATCH($A103,'Catalog'!$A:$A,0)),"")</f>
        <v>59R XL חגורת שבר לצד ימין</v>
      </c>
      <c r="C103" s="20" t="str">
        <f aca="false">IFERROR(INDEX('TRANS'!$A:$A,MATCH($A103,'TRANS'!$B:$B,0)),"")</f>
        <v>59R XL</v>
      </c>
      <c r="D103" s="21" t="n">
        <f aca="false">SUMIFS('CEMI Raw'!$C$6:$C$1018,'CEMI Raw'!$E$6:$E$1018,$A103,'CEMI Raw'!$B$6:$B$1018,2025)</f>
        <v>4</v>
      </c>
      <c r="E103" s="22" t="n">
        <f aca="false">SUMIFS('CEMI Raw'!$D$6:$D$1018,'CEMI Raw'!$E$6:$E$1018,$A103,'CEMI Raw'!$B$6:$B$1018,2025)</f>
        <v>718.9</v>
      </c>
      <c r="F103" s="21" t="n">
        <f aca="false">SUMIFS('CEMI Raw'!$C$6:$C$1018,'CEMI Raw'!$E$6:$E$1018,$A103,'CEMI Raw'!$B$6:$B$1018,2026)</f>
        <v>2</v>
      </c>
      <c r="G103" s="22" t="n">
        <f aca="false">SUMIFS('CEMI Raw'!$D$6:$D$1018,'CEMI Raw'!$E$6:$E$1018,$A103,'CEMI Raw'!$B$6:$B$1018,2026)</f>
        <v>374.9</v>
      </c>
      <c r="H103" s="21" t="n">
        <f aca="false">SUMIFS('SALES Raw'!$C$6:$C$603,'SALES Raw'!$E$6:$E$603,$A103,'SALES Raw'!$B$6:$B$603,2025)</f>
        <v>1</v>
      </c>
      <c r="I103" s="22" t="n">
        <f aca="false">SUMIFS('SALES Raw'!$D$6:$D$603,'SALES Raw'!$E$6:$E$603,$A103,'SALES Raw'!$B$6:$B$603,2025)</f>
        <v>187.45</v>
      </c>
      <c r="J103" s="21" t="n">
        <f aca="false">SUMIFS('SALES Raw'!$C$6:$C$603,'SALES Raw'!$E$6:$E$603,$A103,'SALES Raw'!$B$6:$B$603,2026)</f>
        <v>4</v>
      </c>
      <c r="K103" s="22" t="n">
        <f aca="false">SUMIFS('SALES Raw'!$D$6:$D$603,'SALES Raw'!$E$6:$E$603,$A103,'SALES Raw'!$B$6:$B$603,2026)</f>
        <v>702.35</v>
      </c>
      <c r="L103" s="21" t="n">
        <f aca="false">D103+H103</f>
        <v>5</v>
      </c>
      <c r="M103" s="22" t="n">
        <f aca="false">E103+I103</f>
        <v>906.35</v>
      </c>
      <c r="N103" s="21" t="n">
        <f aca="false">F103+J103</f>
        <v>6</v>
      </c>
      <c r="O103" s="22" t="n">
        <f aca="false">G103+K103</f>
        <v>1077.25</v>
      </c>
    </row>
    <row r="104" customFormat="false" ht="15" hidden="false" customHeight="false" outlineLevel="0" collapsed="false">
      <c r="A104" s="20" t="n">
        <v>4408084</v>
      </c>
      <c r="B104" s="20" t="str">
        <f aca="false">IFERROR(INDEX('Catalog'!$B:$B,MATCH($A104,'Catalog'!$A:$A,0)),"")</f>
        <v>922L.חבק יד לטניס כרית סיליק</v>
      </c>
      <c r="C104" s="20" t="str">
        <f aca="false">IFERROR(INDEX('TRANS'!$A:$A,MATCH($A104,'TRANS'!$B:$B,0)),"")</f>
        <v>922 L</v>
      </c>
      <c r="D104" s="21" t="n">
        <f aca="false">SUMIFS('CEMI Raw'!$C$6:$C$1018,'CEMI Raw'!$E$6:$E$1018,$A104,'CEMI Raw'!$B$6:$B$1018,2025)</f>
        <v>1</v>
      </c>
      <c r="E104" s="22" t="n">
        <f aca="false">SUMIFS('CEMI Raw'!$D$6:$D$1018,'CEMI Raw'!$E$6:$E$1018,$A104,'CEMI Raw'!$B$6:$B$1018,2025)</f>
        <v>141.8</v>
      </c>
      <c r="F104" s="21" t="n">
        <f aca="false">SUMIFS('CEMI Raw'!$C$6:$C$1018,'CEMI Raw'!$E$6:$E$1018,$A104,'CEMI Raw'!$B$6:$B$1018,2026)</f>
        <v>2</v>
      </c>
      <c r="G104" s="22" t="n">
        <f aca="false">SUMIFS('CEMI Raw'!$D$6:$D$1018,'CEMI Raw'!$E$6:$E$1018,$A104,'CEMI Raw'!$B$6:$B$1018,2026)</f>
        <v>283.9</v>
      </c>
      <c r="H104" s="21" t="n">
        <f aca="false">SUMIFS('SALES Raw'!$C$6:$C$603,'SALES Raw'!$E$6:$E$603,$A104,'SALES Raw'!$B$6:$B$603,2025)</f>
        <v>0</v>
      </c>
      <c r="I104" s="22" t="n">
        <f aca="false">SUMIFS('SALES Raw'!$D$6:$D$603,'SALES Raw'!$E$6:$E$603,$A104,'SALES Raw'!$B$6:$B$603,2025)</f>
        <v>0</v>
      </c>
      <c r="J104" s="21" t="n">
        <f aca="false">SUMIFS('SALES Raw'!$C$6:$C$603,'SALES Raw'!$E$6:$E$603,$A104,'SALES Raw'!$B$6:$B$603,2026)</f>
        <v>1</v>
      </c>
      <c r="K104" s="22" t="n">
        <f aca="false">SUMIFS('SALES Raw'!$D$6:$D$603,'SALES Raw'!$E$6:$E$603,$A104,'SALES Raw'!$B$6:$B$603,2026)</f>
        <v>141.97</v>
      </c>
      <c r="L104" s="21" t="n">
        <f aca="false">D104+H104</f>
        <v>1</v>
      </c>
      <c r="M104" s="22" t="n">
        <f aca="false">E104+I104</f>
        <v>141.8</v>
      </c>
      <c r="N104" s="21" t="n">
        <f aca="false">F104+J104</f>
        <v>3</v>
      </c>
      <c r="O104" s="22" t="n">
        <f aca="false">G104+K104</f>
        <v>425.87</v>
      </c>
    </row>
    <row r="105" customFormat="false" ht="15" hidden="false" customHeight="false" outlineLevel="0" collapsed="false">
      <c r="A105" s="20" t="n">
        <v>4408085</v>
      </c>
      <c r="B105" s="20" t="str">
        <f aca="false">IFERROR(INDEX('Catalog'!$B:$B,MATCH($A105,'Catalog'!$A:$A,0)),"")</f>
        <v>922M.מחבק יד לטניס כרית סילי</v>
      </c>
      <c r="C105" s="20" t="str">
        <f aca="false">IFERROR(INDEX('TRANS'!$A:$A,MATCH($A105,'TRANS'!$B:$B,0)),"")</f>
        <v/>
      </c>
      <c r="D105" s="21" t="n">
        <f aca="false">SUMIFS('CEMI Raw'!$C$6:$C$1018,'CEMI Raw'!$E$6:$E$1018,$A105,'CEMI Raw'!$B$6:$B$1018,2025)</f>
        <v>1</v>
      </c>
      <c r="E105" s="22" t="n">
        <f aca="false">SUMIFS('CEMI Raw'!$D$6:$D$1018,'CEMI Raw'!$E$6:$E$1018,$A105,'CEMI Raw'!$B$6:$B$1018,2025)</f>
        <v>142</v>
      </c>
      <c r="F105" s="21" t="n">
        <f aca="false">SUMIFS('CEMI Raw'!$C$6:$C$1018,'CEMI Raw'!$E$6:$E$1018,$A105,'CEMI Raw'!$B$6:$B$1018,2026)</f>
        <v>0</v>
      </c>
      <c r="G105" s="22" t="n">
        <f aca="false">SUMIFS('CEMI Raw'!$D$6:$D$1018,'CEMI Raw'!$E$6:$E$1018,$A105,'CEMI Raw'!$B$6:$B$1018,2026)</f>
        <v>0</v>
      </c>
      <c r="H105" s="21" t="n">
        <f aca="false">SUMIFS('SALES Raw'!$C$6:$C$603,'SALES Raw'!$E$6:$E$603,$A105,'SALES Raw'!$B$6:$B$603,2025)</f>
        <v>0</v>
      </c>
      <c r="I105" s="22" t="n">
        <f aca="false">SUMIFS('SALES Raw'!$D$6:$D$603,'SALES Raw'!$E$6:$E$603,$A105,'SALES Raw'!$B$6:$B$603,2025)</f>
        <v>0</v>
      </c>
      <c r="J105" s="21" t="n">
        <f aca="false">SUMIFS('SALES Raw'!$C$6:$C$603,'SALES Raw'!$E$6:$E$603,$A105,'SALES Raw'!$B$6:$B$603,2026)</f>
        <v>0</v>
      </c>
      <c r="K105" s="22" t="n">
        <f aca="false">SUMIFS('SALES Raw'!$D$6:$D$603,'SALES Raw'!$E$6:$E$603,$A105,'SALES Raw'!$B$6:$B$603,2026)</f>
        <v>0</v>
      </c>
      <c r="L105" s="21" t="n">
        <f aca="false">D105+H105</f>
        <v>1</v>
      </c>
      <c r="M105" s="22" t="n">
        <f aca="false">E105+I105</f>
        <v>142</v>
      </c>
      <c r="N105" s="21" t="n">
        <f aca="false">F105+J105</f>
        <v>0</v>
      </c>
      <c r="O105" s="22" t="n">
        <f aca="false">G105+K105</f>
        <v>0</v>
      </c>
    </row>
    <row r="106" customFormat="false" ht="15" hidden="false" customHeight="false" outlineLevel="0" collapsed="false">
      <c r="A106" s="20" t="n">
        <v>4408087</v>
      </c>
      <c r="B106" s="20" t="str">
        <f aca="false">IFERROR(INDEX('Catalog'!$B:$B,MATCH($A106,'Catalog'!$A:$A,0)),"")</f>
        <v>922XLחבק יד לטניס כרית סיליק</v>
      </c>
      <c r="C106" s="20" t="str">
        <f aca="false">IFERROR(INDEX('TRANS'!$A:$A,MATCH($A106,'TRANS'!$B:$B,0)),"")</f>
        <v>922 XL</v>
      </c>
      <c r="D106" s="21" t="n">
        <f aca="false">SUMIFS('CEMI Raw'!$C$6:$C$1018,'CEMI Raw'!$E$6:$E$1018,$A106,'CEMI Raw'!$B$6:$B$1018,2025)</f>
        <v>0</v>
      </c>
      <c r="E106" s="22" t="n">
        <f aca="false">SUMIFS('CEMI Raw'!$D$6:$D$1018,'CEMI Raw'!$E$6:$E$1018,$A106,'CEMI Raw'!$B$6:$B$1018,2025)</f>
        <v>0</v>
      </c>
      <c r="F106" s="21" t="n">
        <f aca="false">SUMIFS('CEMI Raw'!$C$6:$C$1018,'CEMI Raw'!$E$6:$E$1018,$A106,'CEMI Raw'!$B$6:$B$1018,2026)</f>
        <v>1</v>
      </c>
      <c r="G106" s="22" t="n">
        <f aca="false">SUMIFS('CEMI Raw'!$D$6:$D$1018,'CEMI Raw'!$E$6:$E$1018,$A106,'CEMI Raw'!$B$6:$B$1018,2026)</f>
        <v>142</v>
      </c>
      <c r="H106" s="21" t="n">
        <f aca="false">SUMIFS('SALES Raw'!$C$6:$C$603,'SALES Raw'!$E$6:$E$603,$A106,'SALES Raw'!$B$6:$B$603,2025)</f>
        <v>1</v>
      </c>
      <c r="I106" s="22" t="n">
        <f aca="false">SUMIFS('SALES Raw'!$D$6:$D$603,'SALES Raw'!$E$6:$E$603,$A106,'SALES Raw'!$B$6:$B$603,2025)</f>
        <v>89</v>
      </c>
      <c r="J106" s="21" t="n">
        <f aca="false">SUMIFS('SALES Raw'!$C$6:$C$603,'SALES Raw'!$E$6:$E$603,$A106,'SALES Raw'!$B$6:$B$603,2026)</f>
        <v>0</v>
      </c>
      <c r="K106" s="22" t="n">
        <f aca="false">SUMIFS('SALES Raw'!$D$6:$D$603,'SALES Raw'!$E$6:$E$603,$A106,'SALES Raw'!$B$6:$B$603,2026)</f>
        <v>0</v>
      </c>
      <c r="L106" s="21" t="n">
        <f aca="false">D106+H106</f>
        <v>1</v>
      </c>
      <c r="M106" s="22" t="n">
        <f aca="false">E106+I106</f>
        <v>89</v>
      </c>
      <c r="N106" s="21" t="n">
        <f aca="false">F106+J106</f>
        <v>1</v>
      </c>
      <c r="O106" s="22" t="n">
        <f aca="false">G106+K106</f>
        <v>142</v>
      </c>
    </row>
    <row r="107" customFormat="false" ht="15" hidden="false" customHeight="false" outlineLevel="0" collapsed="false">
      <c r="A107" s="20" t="n">
        <v>4408088</v>
      </c>
      <c r="B107" s="20" t="str">
        <f aca="false">IFERROR(INDEX('Catalog'!$B:$B,MATCH($A107,'Catalog'!$A:$A,0)),"")</f>
        <v>91  חבק ""טניס אלבו רצועה</v>
      </c>
      <c r="C107" s="20" t="str">
        <f aca="false">IFERROR(INDEX('TRANS'!$A:$A,MATCH($A107,'TRANS'!$B:$B,0)),"")</f>
        <v/>
      </c>
      <c r="D107" s="21" t="n">
        <f aca="false">SUMIFS('CEMI Raw'!$C$6:$C$1018,'CEMI Raw'!$E$6:$E$1018,$A107,'CEMI Raw'!$B$6:$B$1018,2025)</f>
        <v>25</v>
      </c>
      <c r="E107" s="22" t="n">
        <f aca="false">SUMIFS('CEMI Raw'!$D$6:$D$1018,'CEMI Raw'!$E$6:$E$1018,$A107,'CEMI Raw'!$B$6:$B$1018,2025)</f>
        <v>1952.8</v>
      </c>
      <c r="F107" s="21" t="n">
        <f aca="false">SUMIFS('CEMI Raw'!$C$6:$C$1018,'CEMI Raw'!$E$6:$E$1018,$A107,'CEMI Raw'!$B$6:$B$1018,2026)</f>
        <v>11</v>
      </c>
      <c r="G107" s="22" t="n">
        <f aca="false">SUMIFS('CEMI Raw'!$D$6:$D$1018,'CEMI Raw'!$E$6:$E$1018,$A107,'CEMI Raw'!$B$6:$B$1018,2026)</f>
        <v>859.4</v>
      </c>
      <c r="H107" s="21" t="n">
        <f aca="false">SUMIFS('SALES Raw'!$C$6:$C$603,'SALES Raw'!$E$6:$E$603,$A107,'SALES Raw'!$B$6:$B$603,2025)</f>
        <v>0</v>
      </c>
      <c r="I107" s="22" t="n">
        <f aca="false">SUMIFS('SALES Raw'!$D$6:$D$603,'SALES Raw'!$E$6:$E$603,$A107,'SALES Raw'!$B$6:$B$603,2025)</f>
        <v>0</v>
      </c>
      <c r="J107" s="21" t="n">
        <f aca="false">SUMIFS('SALES Raw'!$C$6:$C$603,'SALES Raw'!$E$6:$E$603,$A107,'SALES Raw'!$B$6:$B$603,2026)</f>
        <v>0</v>
      </c>
      <c r="K107" s="22" t="n">
        <f aca="false">SUMIFS('SALES Raw'!$D$6:$D$603,'SALES Raw'!$E$6:$E$603,$A107,'SALES Raw'!$B$6:$B$603,2026)</f>
        <v>0</v>
      </c>
      <c r="L107" s="21" t="n">
        <f aca="false">D107+H107</f>
        <v>25</v>
      </c>
      <c r="M107" s="22" t="n">
        <f aca="false">E107+I107</f>
        <v>1952.8</v>
      </c>
      <c r="N107" s="21" t="n">
        <f aca="false">F107+J107</f>
        <v>11</v>
      </c>
      <c r="O107" s="22" t="n">
        <f aca="false">G107+K107</f>
        <v>859.4</v>
      </c>
    </row>
    <row r="108" customFormat="false" ht="15" hidden="false" customHeight="false" outlineLevel="0" collapsed="false">
      <c r="A108" s="20" t="n">
        <v>4408089</v>
      </c>
      <c r="B108" s="20" t="str">
        <f aca="false">IFERROR(INDEX('Catalog'!$B:$B,MATCH($A108,'Catalog'!$A:$A,0)),"")</f>
        <v>T11C S  חגורת גב פוג'יאמה</v>
      </c>
      <c r="C108" s="20" t="str">
        <f aca="false">IFERROR(INDEX('TRANS'!$A:$A,MATCH($A108,'TRANS'!$B:$B,0)),"")</f>
        <v>T11C S</v>
      </c>
      <c r="D108" s="21" t="n">
        <f aca="false">SUMIFS('CEMI Raw'!$C$6:$C$1018,'CEMI Raw'!$E$6:$E$1018,$A108,'CEMI Raw'!$B$6:$B$1018,2025)</f>
        <v>0</v>
      </c>
      <c r="E108" s="22" t="n">
        <f aca="false">SUMIFS('CEMI Raw'!$D$6:$D$1018,'CEMI Raw'!$E$6:$E$1018,$A108,'CEMI Raw'!$B$6:$B$1018,2025)</f>
        <v>0</v>
      </c>
      <c r="F108" s="21" t="n">
        <f aca="false">SUMIFS('CEMI Raw'!$C$6:$C$1018,'CEMI Raw'!$E$6:$E$1018,$A108,'CEMI Raw'!$B$6:$B$1018,2026)</f>
        <v>1</v>
      </c>
      <c r="G108" s="22" t="n">
        <f aca="false">SUMIFS('CEMI Raw'!$D$6:$D$1018,'CEMI Raw'!$E$6:$E$1018,$A108,'CEMI Raw'!$B$6:$B$1018,2026)</f>
        <v>107.4</v>
      </c>
      <c r="H108" s="21" t="n">
        <f aca="false">SUMIFS('SALES Raw'!$C$6:$C$603,'SALES Raw'!$E$6:$E$603,$A108,'SALES Raw'!$B$6:$B$603,2025)</f>
        <v>0</v>
      </c>
      <c r="I108" s="22" t="n">
        <f aca="false">SUMIFS('SALES Raw'!$D$6:$D$603,'SALES Raw'!$E$6:$E$603,$A108,'SALES Raw'!$B$6:$B$603,2025)</f>
        <v>0</v>
      </c>
      <c r="J108" s="21" t="n">
        <f aca="false">SUMIFS('SALES Raw'!$C$6:$C$603,'SALES Raw'!$E$6:$E$603,$A108,'SALES Raw'!$B$6:$B$603,2026)</f>
        <v>0</v>
      </c>
      <c r="K108" s="22" t="n">
        <f aca="false">SUMIFS('SALES Raw'!$D$6:$D$603,'SALES Raw'!$E$6:$E$603,$A108,'SALES Raw'!$B$6:$B$603,2026)</f>
        <v>0</v>
      </c>
      <c r="L108" s="21" t="n">
        <f aca="false">D108+H108</f>
        <v>0</v>
      </c>
      <c r="M108" s="22" t="n">
        <f aca="false">E108+I108</f>
        <v>0</v>
      </c>
      <c r="N108" s="21" t="n">
        <f aca="false">F108+J108</f>
        <v>1</v>
      </c>
      <c r="O108" s="22" t="n">
        <f aca="false">G108+K108</f>
        <v>107.4</v>
      </c>
    </row>
    <row r="109" customFormat="false" ht="15" hidden="false" customHeight="false" outlineLevel="0" collapsed="false">
      <c r="A109" s="20" t="n">
        <v>4408090</v>
      </c>
      <c r="B109" s="20" t="str">
        <f aca="false">IFERROR(INDEX('Catalog'!$B:$B,MATCH($A109,'Catalog'!$A:$A,0)),"")</f>
        <v>T11C L  חגורת גב פוג'יאמה</v>
      </c>
      <c r="C109" s="20" t="str">
        <f aca="false">IFERROR(INDEX('TRANS'!$A:$A,MATCH($A109,'TRANS'!$B:$B,0)),"")</f>
        <v>T11C L</v>
      </c>
      <c r="D109" s="21" t="n">
        <f aca="false">SUMIFS('CEMI Raw'!$C$6:$C$1018,'CEMI Raw'!$E$6:$E$1018,$A109,'CEMI Raw'!$B$6:$B$1018,2025)</f>
        <v>8</v>
      </c>
      <c r="E109" s="22" t="n">
        <f aca="false">SUMIFS('CEMI Raw'!$D$6:$D$1018,'CEMI Raw'!$E$6:$E$1018,$A109,'CEMI Raw'!$B$6:$B$1018,2025)</f>
        <v>740.1</v>
      </c>
      <c r="F109" s="21" t="n">
        <f aca="false">SUMIFS('CEMI Raw'!$C$6:$C$1018,'CEMI Raw'!$E$6:$E$1018,$A109,'CEMI Raw'!$B$6:$B$1018,2026)</f>
        <v>4</v>
      </c>
      <c r="G109" s="22" t="n">
        <f aca="false">SUMIFS('CEMI Raw'!$D$6:$D$1018,'CEMI Raw'!$E$6:$E$1018,$A109,'CEMI Raw'!$B$6:$B$1018,2026)</f>
        <v>365.9</v>
      </c>
      <c r="H109" s="21" t="n">
        <f aca="false">SUMIFS('SALES Raw'!$C$6:$C$603,'SALES Raw'!$E$6:$E$603,$A109,'SALES Raw'!$B$6:$B$603,2025)</f>
        <v>0</v>
      </c>
      <c r="I109" s="22" t="n">
        <f aca="false">SUMIFS('SALES Raw'!$D$6:$D$603,'SALES Raw'!$E$6:$E$603,$A109,'SALES Raw'!$B$6:$B$603,2025)</f>
        <v>0</v>
      </c>
      <c r="J109" s="21" t="n">
        <f aca="false">SUMIFS('SALES Raw'!$C$6:$C$603,'SALES Raw'!$E$6:$E$603,$A109,'SALES Raw'!$B$6:$B$603,2026)</f>
        <v>156</v>
      </c>
      <c r="K109" s="22" t="n">
        <f aca="false">SUMIFS('SALES Raw'!$D$6:$D$603,'SALES Raw'!$E$6:$E$603,$A109,'SALES Raw'!$B$6:$B$603,2026)</f>
        <v>13503.3</v>
      </c>
      <c r="L109" s="21" t="n">
        <f aca="false">D109+H109</f>
        <v>8</v>
      </c>
      <c r="M109" s="22" t="n">
        <f aca="false">E109+I109</f>
        <v>740.1</v>
      </c>
      <c r="N109" s="21" t="n">
        <f aca="false">F109+J109</f>
        <v>160</v>
      </c>
      <c r="O109" s="22" t="n">
        <f aca="false">G109+K109</f>
        <v>13869.2</v>
      </c>
    </row>
    <row r="110" customFormat="false" ht="15" hidden="false" customHeight="false" outlineLevel="0" collapsed="false">
      <c r="A110" s="20" t="n">
        <v>4408091</v>
      </c>
      <c r="B110" s="20" t="str">
        <f aca="false">IFERROR(INDEX('Catalog'!$B:$B,MATCH($A110,'Catalog'!$A:$A,0)),"")</f>
        <v>T11C M  חגורת גב פוג'יאמה</v>
      </c>
      <c r="C110" s="20" t="str">
        <f aca="false">IFERROR(INDEX('TRANS'!$A:$A,MATCH($A110,'TRANS'!$B:$B,0)),"")</f>
        <v>T11C M</v>
      </c>
      <c r="D110" s="21" t="n">
        <f aca="false">SUMIFS('CEMI Raw'!$C$6:$C$1018,'CEMI Raw'!$E$6:$E$1018,$A110,'CEMI Raw'!$B$6:$B$1018,2025)</f>
        <v>0</v>
      </c>
      <c r="E110" s="22" t="n">
        <f aca="false">SUMIFS('CEMI Raw'!$D$6:$D$1018,'CEMI Raw'!$E$6:$E$1018,$A110,'CEMI Raw'!$B$6:$B$1018,2025)</f>
        <v>0.1</v>
      </c>
      <c r="F110" s="21" t="n">
        <f aca="false">SUMIFS('CEMI Raw'!$C$6:$C$1018,'CEMI Raw'!$E$6:$E$1018,$A110,'CEMI Raw'!$B$6:$B$1018,2026)</f>
        <v>2</v>
      </c>
      <c r="G110" s="22" t="n">
        <f aca="false">SUMIFS('CEMI Raw'!$D$6:$D$1018,'CEMI Raw'!$E$6:$E$1018,$A110,'CEMI Raw'!$B$6:$B$1018,2026)</f>
        <v>189.3</v>
      </c>
      <c r="H110" s="21" t="n">
        <f aca="false">SUMIFS('SALES Raw'!$C$6:$C$603,'SALES Raw'!$E$6:$E$603,$A110,'SALES Raw'!$B$6:$B$603,2025)</f>
        <v>1</v>
      </c>
      <c r="I110" s="22" t="n">
        <f aca="false">SUMIFS('SALES Raw'!$D$6:$D$603,'SALES Raw'!$E$6:$E$603,$A110,'SALES Raw'!$B$6:$B$603,2025)</f>
        <v>94.5</v>
      </c>
      <c r="J110" s="21" t="n">
        <f aca="false">SUMIFS('SALES Raw'!$C$6:$C$603,'SALES Raw'!$E$6:$E$603,$A110,'SALES Raw'!$B$6:$B$603,2026)</f>
        <v>0</v>
      </c>
      <c r="K110" s="22" t="n">
        <f aca="false">SUMIFS('SALES Raw'!$D$6:$D$603,'SALES Raw'!$E$6:$E$603,$A110,'SALES Raw'!$B$6:$B$603,2026)</f>
        <v>0</v>
      </c>
      <c r="L110" s="21" t="n">
        <f aca="false">D110+H110</f>
        <v>1</v>
      </c>
      <c r="M110" s="22" t="n">
        <f aca="false">E110+I110</f>
        <v>94.6</v>
      </c>
      <c r="N110" s="21" t="n">
        <f aca="false">F110+J110</f>
        <v>2</v>
      </c>
      <c r="O110" s="22" t="n">
        <f aca="false">G110+K110</f>
        <v>189.3</v>
      </c>
    </row>
    <row r="111" customFormat="false" ht="15" hidden="false" customHeight="false" outlineLevel="0" collapsed="false">
      <c r="A111" s="20" t="n">
        <v>4408092</v>
      </c>
      <c r="B111" s="20" t="str">
        <f aca="false">IFERROR(INDEX('Catalog'!$B:$B,MATCH($A111,'Catalog'!$A:$A,0)),"")</f>
        <v>T11C XL חגורת גב פוג'יאמה</v>
      </c>
      <c r="C111" s="20" t="str">
        <f aca="false">IFERROR(INDEX('TRANS'!$A:$A,MATCH($A111,'TRANS'!$B:$B,0)),"")</f>
        <v>T11C XL</v>
      </c>
      <c r="D111" s="21" t="n">
        <f aca="false">SUMIFS('CEMI Raw'!$C$6:$C$1018,'CEMI Raw'!$E$6:$E$1018,$A111,'CEMI Raw'!$B$6:$B$1018,2025)</f>
        <v>10</v>
      </c>
      <c r="E111" s="22" t="n">
        <f aca="false">SUMIFS('CEMI Raw'!$D$6:$D$1018,'CEMI Raw'!$E$6:$E$1018,$A111,'CEMI Raw'!$B$6:$B$1018,2025)</f>
        <v>925.7</v>
      </c>
      <c r="F111" s="21" t="n">
        <f aca="false">SUMIFS('CEMI Raw'!$C$6:$C$1018,'CEMI Raw'!$E$6:$E$1018,$A111,'CEMI Raw'!$B$6:$B$1018,2026)</f>
        <v>7</v>
      </c>
      <c r="G111" s="22" t="n">
        <f aca="false">SUMIFS('CEMI Raw'!$D$6:$D$1018,'CEMI Raw'!$E$6:$E$1018,$A111,'CEMI Raw'!$B$6:$B$1018,2026)</f>
        <v>637.3</v>
      </c>
      <c r="H111" s="21" t="n">
        <f aca="false">SUMIFS('SALES Raw'!$C$6:$C$603,'SALES Raw'!$E$6:$E$603,$A111,'SALES Raw'!$B$6:$B$603,2025)</f>
        <v>4</v>
      </c>
      <c r="I111" s="22" t="n">
        <f aca="false">SUMIFS('SALES Raw'!$D$6:$D$603,'SALES Raw'!$E$6:$E$603,$A111,'SALES Raw'!$B$6:$B$603,2025)</f>
        <v>378.4</v>
      </c>
      <c r="J111" s="21" t="n">
        <f aca="false">SUMIFS('SALES Raw'!$C$6:$C$603,'SALES Raw'!$E$6:$E$603,$A111,'SALES Raw'!$B$6:$B$603,2026)</f>
        <v>3</v>
      </c>
      <c r="K111" s="22" t="n">
        <f aca="false">SUMIFS('SALES Raw'!$D$6:$D$603,'SALES Raw'!$E$6:$E$603,$A111,'SALES Raw'!$B$6:$B$603,2026)</f>
        <v>283.91</v>
      </c>
      <c r="L111" s="21" t="n">
        <f aca="false">D111+H111</f>
        <v>14</v>
      </c>
      <c r="M111" s="22" t="n">
        <f aca="false">E111+I111</f>
        <v>1304.1</v>
      </c>
      <c r="N111" s="21" t="n">
        <f aca="false">F111+J111</f>
        <v>10</v>
      </c>
      <c r="O111" s="22" t="n">
        <f aca="false">G111+K111</f>
        <v>921.21</v>
      </c>
    </row>
    <row r="112" customFormat="false" ht="15" hidden="false" customHeight="false" outlineLevel="0" collapsed="false">
      <c r="A112" s="20" t="n">
        <v>4408093</v>
      </c>
      <c r="B112" s="20" t="str">
        <f aca="false">IFERROR(INDEX('Catalog'!$B:$B,MATCH($A112,'Catalog'!$A:$A,0)),"")</f>
        <v>T11C XXL חגורת גב פוג'יאמה</v>
      </c>
      <c r="C112" s="20" t="str">
        <f aca="false">IFERROR(INDEX('TRANS'!$A:$A,MATCH($A112,'TRANS'!$B:$B,0)),"")</f>
        <v>T11C XXL</v>
      </c>
      <c r="D112" s="21" t="n">
        <f aca="false">SUMIFS('CEMI Raw'!$C$6:$C$1018,'CEMI Raw'!$E$6:$E$1018,$A112,'CEMI Raw'!$B$6:$B$1018,2025)</f>
        <v>8</v>
      </c>
      <c r="E112" s="22" t="n">
        <f aca="false">SUMIFS('CEMI Raw'!$D$6:$D$1018,'CEMI Raw'!$E$6:$E$1018,$A112,'CEMI Raw'!$B$6:$B$1018,2025)</f>
        <v>752.9</v>
      </c>
      <c r="F112" s="21" t="n">
        <f aca="false">SUMIFS('CEMI Raw'!$C$6:$C$1018,'CEMI Raw'!$E$6:$E$1018,$A112,'CEMI Raw'!$B$6:$B$1018,2026)</f>
        <v>5</v>
      </c>
      <c r="G112" s="22" t="n">
        <f aca="false">SUMIFS('CEMI Raw'!$D$6:$D$1018,'CEMI Raw'!$E$6:$E$1018,$A112,'CEMI Raw'!$B$6:$B$1018,2026)</f>
        <v>460.5</v>
      </c>
      <c r="H112" s="21" t="n">
        <f aca="false">SUMIFS('SALES Raw'!$C$6:$C$603,'SALES Raw'!$E$6:$E$603,$A112,'SALES Raw'!$B$6:$B$603,2025)</f>
        <v>0</v>
      </c>
      <c r="I112" s="22" t="n">
        <f aca="false">SUMIFS('SALES Raw'!$D$6:$D$603,'SALES Raw'!$E$6:$E$603,$A112,'SALES Raw'!$B$6:$B$603,2025)</f>
        <v>0</v>
      </c>
      <c r="J112" s="21" t="n">
        <f aca="false">SUMIFS('SALES Raw'!$C$6:$C$603,'SALES Raw'!$E$6:$E$603,$A112,'SALES Raw'!$B$6:$B$603,2026)</f>
        <v>2</v>
      </c>
      <c r="K112" s="22" t="n">
        <f aca="false">SUMIFS('SALES Raw'!$D$6:$D$603,'SALES Raw'!$E$6:$E$603,$A112,'SALES Raw'!$B$6:$B$603,2026)</f>
        <v>189.27</v>
      </c>
      <c r="L112" s="21" t="n">
        <f aca="false">D112+H112</f>
        <v>8</v>
      </c>
      <c r="M112" s="22" t="n">
        <f aca="false">E112+I112</f>
        <v>752.9</v>
      </c>
      <c r="N112" s="21" t="n">
        <f aca="false">F112+J112</f>
        <v>7</v>
      </c>
      <c r="O112" s="22" t="n">
        <f aca="false">G112+K112</f>
        <v>649.77</v>
      </c>
    </row>
    <row r="113" customFormat="false" ht="15" hidden="false" customHeight="false" outlineLevel="0" collapsed="false">
      <c r="A113" s="20" t="n">
        <v>4408094</v>
      </c>
      <c r="B113" s="20" t="str">
        <f aca="false">IFERROR(INDEX('Catalog'!$B:$B,MATCH($A113,'Catalog'!$A:$A,0)),"")</f>
        <v>T20 S-M חבק יד עם צמדן</v>
      </c>
      <c r="C113" s="20" t="str">
        <f aca="false">IFERROR(INDEX('TRANS'!$A:$A,MATCH($A113,'TRANS'!$B:$B,0)),"")</f>
        <v>T20-S-M</v>
      </c>
      <c r="D113" s="21" t="n">
        <f aca="false">SUMIFS('CEMI Raw'!$C$6:$C$1018,'CEMI Raw'!$E$6:$E$1018,$A113,'CEMI Raw'!$B$6:$B$1018,2025)</f>
        <v>104</v>
      </c>
      <c r="E113" s="22" t="n">
        <f aca="false">SUMIFS('CEMI Raw'!$D$6:$D$1018,'CEMI Raw'!$E$6:$E$1018,$A113,'CEMI Raw'!$B$6:$B$1018,2025)</f>
        <v>3639.3</v>
      </c>
      <c r="F113" s="21" t="n">
        <f aca="false">SUMIFS('CEMI Raw'!$C$6:$C$1018,'CEMI Raw'!$E$6:$E$1018,$A113,'CEMI Raw'!$B$6:$B$1018,2026)</f>
        <v>61</v>
      </c>
      <c r="G113" s="22" t="n">
        <f aca="false">SUMIFS('CEMI Raw'!$D$6:$D$1018,'CEMI Raw'!$E$6:$E$1018,$A113,'CEMI Raw'!$B$6:$B$1018,2026)</f>
        <v>2134.4</v>
      </c>
      <c r="H113" s="21" t="n">
        <f aca="false">SUMIFS('SALES Raw'!$C$6:$C$603,'SALES Raw'!$E$6:$E$603,$A113,'SALES Raw'!$B$6:$B$603,2025)</f>
        <v>2</v>
      </c>
      <c r="I113" s="22" t="n">
        <f aca="false">SUMIFS('SALES Raw'!$D$6:$D$603,'SALES Raw'!$E$6:$E$603,$A113,'SALES Raw'!$B$6:$B$603,2025)</f>
        <v>70.98</v>
      </c>
      <c r="J113" s="21" t="n">
        <f aca="false">SUMIFS('SALES Raw'!$C$6:$C$603,'SALES Raw'!$E$6:$E$603,$A113,'SALES Raw'!$B$6:$B$603,2026)</f>
        <v>0</v>
      </c>
      <c r="K113" s="22" t="n">
        <f aca="false">SUMIFS('SALES Raw'!$D$6:$D$603,'SALES Raw'!$E$6:$E$603,$A113,'SALES Raw'!$B$6:$B$603,2026)</f>
        <v>0</v>
      </c>
      <c r="L113" s="21" t="n">
        <f aca="false">D113+H113</f>
        <v>106</v>
      </c>
      <c r="M113" s="22" t="n">
        <f aca="false">E113+I113</f>
        <v>3710.28</v>
      </c>
      <c r="N113" s="21" t="n">
        <f aca="false">F113+J113</f>
        <v>61</v>
      </c>
      <c r="O113" s="22" t="n">
        <f aca="false">G113+K113</f>
        <v>2134.4</v>
      </c>
    </row>
    <row r="114" customFormat="false" ht="15" hidden="false" customHeight="false" outlineLevel="0" collapsed="false">
      <c r="A114" s="20" t="n">
        <v>4408095</v>
      </c>
      <c r="B114" s="20" t="str">
        <f aca="false">IFERROR(INDEX('Catalog'!$B:$B,MATCH($A114,'Catalog'!$A:$A,0)),"")</f>
        <v>T20 L-XL  חבק יד עם צמדן</v>
      </c>
      <c r="C114" s="20" t="str">
        <f aca="false">IFERROR(INDEX('TRANS'!$A:$A,MATCH($A114,'TRANS'!$B:$B,0)),"")</f>
        <v>T20-L-XL</v>
      </c>
      <c r="D114" s="21" t="n">
        <f aca="false">SUMIFS('CEMI Raw'!$C$6:$C$1018,'CEMI Raw'!$E$6:$E$1018,$A114,'CEMI Raw'!$B$6:$B$1018,2025)</f>
        <v>47</v>
      </c>
      <c r="E114" s="22" t="n">
        <f aca="false">SUMIFS('CEMI Raw'!$D$6:$D$1018,'CEMI Raw'!$E$6:$E$1018,$A114,'CEMI Raw'!$B$6:$B$1018,2025)</f>
        <v>1639.6</v>
      </c>
      <c r="F114" s="21" t="n">
        <f aca="false">SUMIFS('CEMI Raw'!$C$6:$C$1018,'CEMI Raw'!$E$6:$E$1018,$A114,'CEMI Raw'!$B$6:$B$1018,2026)</f>
        <v>61</v>
      </c>
      <c r="G114" s="22" t="n">
        <f aca="false">SUMIFS('CEMI Raw'!$D$6:$D$1018,'CEMI Raw'!$E$6:$E$1018,$A114,'CEMI Raw'!$B$6:$B$1018,2026)</f>
        <v>2136.4</v>
      </c>
      <c r="H114" s="21" t="n">
        <f aca="false">SUMIFS('SALES Raw'!$C$6:$C$603,'SALES Raw'!$E$6:$E$603,$A114,'SALES Raw'!$B$6:$B$603,2025)</f>
        <v>2</v>
      </c>
      <c r="I114" s="22" t="n">
        <f aca="false">SUMIFS('SALES Raw'!$D$6:$D$603,'SALES Raw'!$E$6:$E$603,$A114,'SALES Raw'!$B$6:$B$603,2025)</f>
        <v>70.98</v>
      </c>
      <c r="J114" s="21" t="n">
        <f aca="false">SUMIFS('SALES Raw'!$C$6:$C$603,'SALES Raw'!$E$6:$E$603,$A114,'SALES Raw'!$B$6:$B$603,2026)</f>
        <v>0</v>
      </c>
      <c r="K114" s="22" t="n">
        <f aca="false">SUMIFS('SALES Raw'!$D$6:$D$603,'SALES Raw'!$E$6:$E$603,$A114,'SALES Raw'!$B$6:$B$603,2026)</f>
        <v>0</v>
      </c>
      <c r="L114" s="21" t="n">
        <f aca="false">D114+H114</f>
        <v>49</v>
      </c>
      <c r="M114" s="22" t="n">
        <f aca="false">E114+I114</f>
        <v>1710.58</v>
      </c>
      <c r="N114" s="21" t="n">
        <f aca="false">F114+J114</f>
        <v>61</v>
      </c>
      <c r="O114" s="22" t="n">
        <f aca="false">G114+K114</f>
        <v>2136.4</v>
      </c>
    </row>
    <row r="115" customFormat="false" ht="15" hidden="false" customHeight="false" outlineLevel="0" collapsed="false">
      <c r="A115" s="20" t="n">
        <v>4408096</v>
      </c>
      <c r="B115" s="20" t="str">
        <f aca="false">IFERROR(INDEX('Catalog'!$B:$B,MATCH($A115,'Catalog'!$A:$A,0)),"")</f>
        <v>T20C S-M חבק יד עם צמדןחום</v>
      </c>
      <c r="C115" s="20" t="str">
        <f aca="false">IFERROR(INDEX('TRANS'!$A:$A,MATCH($A115,'TRANS'!$B:$B,0)),"")</f>
        <v>T20C-S-M</v>
      </c>
      <c r="D115" s="21" t="n">
        <f aca="false">SUMIFS('CEMI Raw'!$C$6:$C$1018,'CEMI Raw'!$E$6:$E$1018,$A115,'CEMI Raw'!$B$6:$B$1018,2025)</f>
        <v>108</v>
      </c>
      <c r="E115" s="22" t="n">
        <f aca="false">SUMIFS('CEMI Raw'!$D$6:$D$1018,'CEMI Raw'!$E$6:$E$1018,$A115,'CEMI Raw'!$B$6:$B$1018,2025)</f>
        <v>3773.9</v>
      </c>
      <c r="F115" s="21" t="n">
        <f aca="false">SUMIFS('CEMI Raw'!$C$6:$C$1018,'CEMI Raw'!$E$6:$E$1018,$A115,'CEMI Raw'!$B$6:$B$1018,2026)</f>
        <v>32</v>
      </c>
      <c r="G115" s="22" t="n">
        <f aca="false">SUMIFS('CEMI Raw'!$D$6:$D$1018,'CEMI Raw'!$E$6:$E$1018,$A115,'CEMI Raw'!$B$6:$B$1018,2026)</f>
        <v>854.1</v>
      </c>
      <c r="H115" s="21" t="n">
        <f aca="false">SUMIFS('SALES Raw'!$C$6:$C$603,'SALES Raw'!$E$6:$E$603,$A115,'SALES Raw'!$B$6:$B$603,2025)</f>
        <v>1</v>
      </c>
      <c r="I115" s="22" t="n">
        <f aca="false">SUMIFS('SALES Raw'!$D$6:$D$603,'SALES Raw'!$E$6:$E$603,$A115,'SALES Raw'!$B$6:$B$603,2025)</f>
        <v>35.57</v>
      </c>
      <c r="J115" s="21" t="n">
        <f aca="false">SUMIFS('SALES Raw'!$C$6:$C$603,'SALES Raw'!$E$6:$E$603,$A115,'SALES Raw'!$B$6:$B$603,2026)</f>
        <v>0</v>
      </c>
      <c r="K115" s="22" t="n">
        <f aca="false">SUMIFS('SALES Raw'!$D$6:$D$603,'SALES Raw'!$E$6:$E$603,$A115,'SALES Raw'!$B$6:$B$603,2026)</f>
        <v>0</v>
      </c>
      <c r="L115" s="21" t="n">
        <f aca="false">D115+H115</f>
        <v>109</v>
      </c>
      <c r="M115" s="22" t="n">
        <f aca="false">E115+I115</f>
        <v>3809.47</v>
      </c>
      <c r="N115" s="21" t="n">
        <f aca="false">F115+J115</f>
        <v>32</v>
      </c>
      <c r="O115" s="22" t="n">
        <f aca="false">G115+K115</f>
        <v>854.1</v>
      </c>
    </row>
    <row r="116" customFormat="false" ht="15" hidden="false" customHeight="false" outlineLevel="0" collapsed="false">
      <c r="A116" s="20" t="n">
        <v>4408097</v>
      </c>
      <c r="B116" s="20" t="str">
        <f aca="false">IFERROR(INDEX('Catalog'!$B:$B,MATCH($A116,'Catalog'!$A:$A,0)),"")</f>
        <v>T20C L-XL חבק יד עם צמדן חום</v>
      </c>
      <c r="C116" s="20" t="str">
        <f aca="false">IFERROR(INDEX('TRANS'!$A:$A,MATCH($A116,'TRANS'!$B:$B,0)),"")</f>
        <v>T20C-L-XL</v>
      </c>
      <c r="D116" s="21" t="n">
        <f aca="false">SUMIFS('CEMI Raw'!$C$6:$C$1018,'CEMI Raw'!$E$6:$E$1018,$A116,'CEMI Raw'!$B$6:$B$1018,2025)</f>
        <v>77</v>
      </c>
      <c r="E116" s="22" t="n">
        <f aca="false">SUMIFS('CEMI Raw'!$D$6:$D$1018,'CEMI Raw'!$E$6:$E$1018,$A116,'CEMI Raw'!$B$6:$B$1018,2025)</f>
        <v>2689.7</v>
      </c>
      <c r="F116" s="21" t="n">
        <f aca="false">SUMIFS('CEMI Raw'!$C$6:$C$1018,'CEMI Raw'!$E$6:$E$1018,$A116,'CEMI Raw'!$B$6:$B$1018,2026)</f>
        <v>37</v>
      </c>
      <c r="G116" s="22" t="n">
        <f aca="false">SUMIFS('CEMI Raw'!$D$6:$D$1018,'CEMI Raw'!$E$6:$E$1018,$A116,'CEMI Raw'!$B$6:$B$1018,2026)</f>
        <v>1290.3</v>
      </c>
      <c r="H116" s="21" t="n">
        <f aca="false">SUMIFS('SALES Raw'!$C$6:$C$603,'SALES Raw'!$E$6:$E$603,$A116,'SALES Raw'!$B$6:$B$603,2025)</f>
        <v>1</v>
      </c>
      <c r="I116" s="22" t="n">
        <f aca="false">SUMIFS('SALES Raw'!$D$6:$D$603,'SALES Raw'!$E$6:$E$603,$A116,'SALES Raw'!$B$6:$B$603,2025)</f>
        <v>35.57</v>
      </c>
      <c r="J116" s="21" t="n">
        <f aca="false">SUMIFS('SALES Raw'!$C$6:$C$603,'SALES Raw'!$E$6:$E$603,$A116,'SALES Raw'!$B$6:$B$603,2026)</f>
        <v>0</v>
      </c>
      <c r="K116" s="22" t="n">
        <f aca="false">SUMIFS('SALES Raw'!$D$6:$D$603,'SALES Raw'!$E$6:$E$603,$A116,'SALES Raw'!$B$6:$B$603,2026)</f>
        <v>0</v>
      </c>
      <c r="L116" s="21" t="n">
        <f aca="false">D116+H116</f>
        <v>78</v>
      </c>
      <c r="M116" s="22" t="n">
        <f aca="false">E116+I116</f>
        <v>2725.27</v>
      </c>
      <c r="N116" s="21" t="n">
        <f aca="false">F116+J116</f>
        <v>37</v>
      </c>
      <c r="O116" s="22" t="n">
        <f aca="false">G116+K116</f>
        <v>1290.3</v>
      </c>
    </row>
    <row r="117" customFormat="false" ht="15" hidden="false" customHeight="false" outlineLevel="0" collapsed="false">
      <c r="A117" s="20" t="n">
        <v>4408098</v>
      </c>
      <c r="B117" s="20" t="str">
        <f aca="false">IFERROR(INDEX('Catalog'!$B:$B,MATCH($A117,'Catalog'!$A:$A,0)),"")</f>
        <v>T25-חבק יד אגודלי</v>
      </c>
      <c r="C117" s="20" t="str">
        <f aca="false">IFERROR(INDEX('TRANS'!$A:$A,MATCH($A117,'TRANS'!$B:$B,0)),"")</f>
        <v>T25 0</v>
      </c>
      <c r="D117" s="21" t="n">
        <f aca="false">SUMIFS('CEMI Raw'!$C$6:$C$1018,'CEMI Raw'!$E$6:$E$1018,$A117,'CEMI Raw'!$B$6:$B$1018,2025)</f>
        <v>554</v>
      </c>
      <c r="E117" s="22" t="n">
        <f aca="false">SUMIFS('CEMI Raw'!$D$6:$D$1018,'CEMI Raw'!$E$6:$E$1018,$A117,'CEMI Raw'!$B$6:$B$1018,2025)</f>
        <v>24683.5</v>
      </c>
      <c r="F117" s="21" t="n">
        <f aca="false">SUMIFS('CEMI Raw'!$C$6:$C$1018,'CEMI Raw'!$E$6:$E$1018,$A117,'CEMI Raw'!$B$6:$B$1018,2026)</f>
        <v>299</v>
      </c>
      <c r="G117" s="22" t="n">
        <f aca="false">SUMIFS('CEMI Raw'!$D$6:$D$1018,'CEMI Raw'!$E$6:$E$1018,$A117,'CEMI Raw'!$B$6:$B$1018,2026)</f>
        <v>13677.8</v>
      </c>
      <c r="H117" s="21" t="n">
        <f aca="false">SUMIFS('SALES Raw'!$C$6:$C$603,'SALES Raw'!$E$6:$E$603,$A117,'SALES Raw'!$B$6:$B$603,2025)</f>
        <v>26</v>
      </c>
      <c r="I117" s="22" t="n">
        <f aca="false">SUMIFS('SALES Raw'!$D$6:$D$603,'SALES Raw'!$E$6:$E$603,$A117,'SALES Raw'!$B$6:$B$603,2025)</f>
        <v>1213.06</v>
      </c>
      <c r="J117" s="21" t="n">
        <f aca="false">SUMIFS('SALES Raw'!$C$6:$C$603,'SALES Raw'!$E$6:$E$603,$A117,'SALES Raw'!$B$6:$B$603,2026)</f>
        <v>7</v>
      </c>
      <c r="K117" s="22" t="n">
        <f aca="false">SUMIFS('SALES Raw'!$D$6:$D$603,'SALES Raw'!$E$6:$E$603,$A117,'SALES Raw'!$B$6:$B$603,2026)</f>
        <v>327.75</v>
      </c>
      <c r="L117" s="21" t="n">
        <f aca="false">D117+H117</f>
        <v>580</v>
      </c>
      <c r="M117" s="22" t="n">
        <f aca="false">E117+I117</f>
        <v>25896.56</v>
      </c>
      <c r="N117" s="21" t="n">
        <f aca="false">F117+J117</f>
        <v>306</v>
      </c>
      <c r="O117" s="22" t="n">
        <f aca="false">G117+K117</f>
        <v>14005.55</v>
      </c>
    </row>
    <row r="118" customFormat="false" ht="15" hidden="false" customHeight="false" outlineLevel="0" collapsed="false">
      <c r="A118" s="20" t="n">
        <v>4408099</v>
      </c>
      <c r="B118" s="20" t="str">
        <f aca="false">IFERROR(INDEX('Catalog'!$B:$B,MATCH($A118,'Catalog'!$A:$A,0)),"")</f>
        <v>T25C-חבק יד אגודלי</v>
      </c>
      <c r="C118" s="20" t="str">
        <f aca="false">IFERROR(INDEX('TRANS'!$A:$A,MATCH($A118,'TRANS'!$B:$B,0)),"")</f>
        <v>T25C 0</v>
      </c>
      <c r="D118" s="21" t="n">
        <f aca="false">SUMIFS('CEMI Raw'!$C$6:$C$1018,'CEMI Raw'!$E$6:$E$1018,$A118,'CEMI Raw'!$B$6:$B$1018,2025)</f>
        <v>478</v>
      </c>
      <c r="E118" s="22" t="n">
        <f aca="false">SUMIFS('CEMI Raw'!$D$6:$D$1018,'CEMI Raw'!$E$6:$E$1018,$A118,'CEMI Raw'!$B$6:$B$1018,2025)</f>
        <v>21311.1</v>
      </c>
      <c r="F118" s="21" t="n">
        <f aca="false">SUMIFS('CEMI Raw'!$C$6:$C$1018,'CEMI Raw'!$E$6:$E$1018,$A118,'CEMI Raw'!$B$6:$B$1018,2026)</f>
        <v>347</v>
      </c>
      <c r="G118" s="22" t="n">
        <f aca="false">SUMIFS('CEMI Raw'!$D$6:$D$1018,'CEMI Raw'!$E$6:$E$1018,$A118,'CEMI Raw'!$B$6:$B$1018,2026)</f>
        <v>15612.2</v>
      </c>
      <c r="H118" s="21" t="n">
        <f aca="false">SUMIFS('SALES Raw'!$C$6:$C$603,'SALES Raw'!$E$6:$E$603,$A118,'SALES Raw'!$B$6:$B$603,2025)</f>
        <v>10</v>
      </c>
      <c r="I118" s="22" t="n">
        <f aca="false">SUMIFS('SALES Raw'!$D$6:$D$603,'SALES Raw'!$E$6:$E$603,$A118,'SALES Raw'!$B$6:$B$603,2025)</f>
        <v>459.57</v>
      </c>
      <c r="J118" s="21" t="n">
        <f aca="false">SUMIFS('SALES Raw'!$C$6:$C$603,'SALES Raw'!$E$6:$E$603,$A118,'SALES Raw'!$B$6:$B$603,2026)</f>
        <v>4</v>
      </c>
      <c r="K118" s="22" t="n">
        <f aca="false">SUMIFS('SALES Raw'!$D$6:$D$603,'SALES Raw'!$E$6:$E$603,$A118,'SALES Raw'!$B$6:$B$603,2026)</f>
        <v>187.3</v>
      </c>
      <c r="L118" s="21" t="n">
        <f aca="false">D118+H118</f>
        <v>488</v>
      </c>
      <c r="M118" s="22" t="n">
        <f aca="false">E118+I118</f>
        <v>21770.67</v>
      </c>
      <c r="N118" s="21" t="n">
        <f aca="false">F118+J118</f>
        <v>351</v>
      </c>
      <c r="O118" s="22" t="n">
        <f aca="false">G118+K118</f>
        <v>15799.5</v>
      </c>
    </row>
    <row r="119" customFormat="false" ht="15" hidden="false" customHeight="false" outlineLevel="0" collapsed="false">
      <c r="A119" s="20" t="n">
        <v>4408100</v>
      </c>
      <c r="B119" s="20" t="str">
        <f aca="false">IFERROR(INDEX('Catalog'!$B:$B,MATCH($A119,'Catalog'!$A:$A,0)),"")</f>
        <v>11U Lחגורת בטן וחזה אחרי ניתוח</v>
      </c>
      <c r="C119" s="20" t="str">
        <f aca="false">IFERROR(INDEX('TRANS'!$A:$A,MATCH($A119,'TRANS'!$B:$B,0)),"")</f>
        <v/>
      </c>
      <c r="D119" s="21" t="n">
        <f aca="false">SUMIFS('CEMI Raw'!$C$6:$C$1018,'CEMI Raw'!$E$6:$E$1018,$A119,'CEMI Raw'!$B$6:$B$1018,2025)</f>
        <v>1</v>
      </c>
      <c r="E119" s="22" t="n">
        <f aca="false">SUMIFS('CEMI Raw'!$D$6:$D$1018,'CEMI Raw'!$E$6:$E$1018,$A119,'CEMI Raw'!$B$6:$B$1018,2025)</f>
        <v>94.5</v>
      </c>
      <c r="F119" s="21" t="n">
        <f aca="false">SUMIFS('CEMI Raw'!$C$6:$C$1018,'CEMI Raw'!$E$6:$E$1018,$A119,'CEMI Raw'!$B$6:$B$1018,2026)</f>
        <v>0</v>
      </c>
      <c r="G119" s="22" t="n">
        <f aca="false">SUMIFS('CEMI Raw'!$D$6:$D$1018,'CEMI Raw'!$E$6:$E$1018,$A119,'CEMI Raw'!$B$6:$B$1018,2026)</f>
        <v>0</v>
      </c>
      <c r="H119" s="21" t="n">
        <f aca="false">SUMIFS('SALES Raw'!$C$6:$C$603,'SALES Raw'!$E$6:$E$603,$A119,'SALES Raw'!$B$6:$B$603,2025)</f>
        <v>0</v>
      </c>
      <c r="I119" s="22" t="n">
        <f aca="false">SUMIFS('SALES Raw'!$D$6:$D$603,'SALES Raw'!$E$6:$E$603,$A119,'SALES Raw'!$B$6:$B$603,2025)</f>
        <v>0</v>
      </c>
      <c r="J119" s="21" t="n">
        <f aca="false">SUMIFS('SALES Raw'!$C$6:$C$603,'SALES Raw'!$E$6:$E$603,$A119,'SALES Raw'!$B$6:$B$603,2026)</f>
        <v>0</v>
      </c>
      <c r="K119" s="22" t="n">
        <f aca="false">SUMIFS('SALES Raw'!$D$6:$D$603,'SALES Raw'!$E$6:$E$603,$A119,'SALES Raw'!$B$6:$B$603,2026)</f>
        <v>0</v>
      </c>
      <c r="L119" s="21" t="n">
        <f aca="false">D119+H119</f>
        <v>1</v>
      </c>
      <c r="M119" s="22" t="n">
        <f aca="false">E119+I119</f>
        <v>94.5</v>
      </c>
      <c r="N119" s="21" t="n">
        <f aca="false">F119+J119</f>
        <v>0</v>
      </c>
      <c r="O119" s="22" t="n">
        <f aca="false">G119+K119</f>
        <v>0</v>
      </c>
    </row>
    <row r="120" customFormat="false" ht="15" hidden="false" customHeight="false" outlineLevel="0" collapsed="false">
      <c r="A120" s="20" t="n">
        <v>4408105</v>
      </c>
      <c r="B120" s="20" t="str">
        <f aca="false">IFERROR(INDEX('Catalog'!$B:$B,MATCH($A120,'Catalog'!$A:$A,0)),"")</f>
        <v>19 S-M חגורת הריון בכאב חזק</v>
      </c>
      <c r="C120" s="20" t="str">
        <f aca="false">IFERROR(INDEX('TRANS'!$A:$A,MATCH($A120,'TRANS'!$B:$B,0)),"")</f>
        <v/>
      </c>
      <c r="D120" s="21" t="n">
        <f aca="false">SUMIFS('CEMI Raw'!$C$6:$C$1018,'CEMI Raw'!$E$6:$E$1018,$A120,'CEMI Raw'!$B$6:$B$1018,2025)</f>
        <v>1</v>
      </c>
      <c r="E120" s="22" t="n">
        <f aca="false">SUMIFS('CEMI Raw'!$D$6:$D$1018,'CEMI Raw'!$E$6:$E$1018,$A120,'CEMI Raw'!$B$6:$B$1018,2025)</f>
        <v>213</v>
      </c>
      <c r="F120" s="21" t="n">
        <f aca="false">SUMIFS('CEMI Raw'!$C$6:$C$1018,'CEMI Raw'!$E$6:$E$1018,$A120,'CEMI Raw'!$B$6:$B$1018,2026)</f>
        <v>0</v>
      </c>
      <c r="G120" s="22" t="n">
        <f aca="false">SUMIFS('CEMI Raw'!$D$6:$D$1018,'CEMI Raw'!$E$6:$E$1018,$A120,'CEMI Raw'!$B$6:$B$1018,2026)</f>
        <v>0</v>
      </c>
      <c r="H120" s="21" t="n">
        <f aca="false">SUMIFS('SALES Raw'!$C$6:$C$603,'SALES Raw'!$E$6:$E$603,$A120,'SALES Raw'!$B$6:$B$603,2025)</f>
        <v>0</v>
      </c>
      <c r="I120" s="22" t="n">
        <f aca="false">SUMIFS('SALES Raw'!$D$6:$D$603,'SALES Raw'!$E$6:$E$603,$A120,'SALES Raw'!$B$6:$B$603,2025)</f>
        <v>0</v>
      </c>
      <c r="J120" s="21" t="n">
        <f aca="false">SUMIFS('SALES Raw'!$C$6:$C$603,'SALES Raw'!$E$6:$E$603,$A120,'SALES Raw'!$B$6:$B$603,2026)</f>
        <v>0</v>
      </c>
      <c r="K120" s="22" t="n">
        <f aca="false">SUMIFS('SALES Raw'!$D$6:$D$603,'SALES Raw'!$E$6:$E$603,$A120,'SALES Raw'!$B$6:$B$603,2026)</f>
        <v>0</v>
      </c>
      <c r="L120" s="21" t="n">
        <f aca="false">D120+H120</f>
        <v>1</v>
      </c>
      <c r="M120" s="22" t="n">
        <f aca="false">E120+I120</f>
        <v>213</v>
      </c>
      <c r="N120" s="21" t="n">
        <f aca="false">F120+J120</f>
        <v>0</v>
      </c>
      <c r="O120" s="22" t="n">
        <f aca="false">G120+K120</f>
        <v>0</v>
      </c>
    </row>
    <row r="121" customFormat="false" ht="15" hidden="false" customHeight="false" outlineLevel="0" collapsed="false">
      <c r="A121" s="20" t="n">
        <v>4408113</v>
      </c>
      <c r="B121" s="20" t="str">
        <f aca="false">IFERROR(INDEX('Catalog'!$B:$B,MATCH($A121,'Catalog'!$A:$A,0)),"")</f>
        <v>11EU S ח.בטן לאחר ניתוח</v>
      </c>
      <c r="C121" s="20" t="str">
        <f aca="false">IFERROR(INDEX('TRANS'!$A:$A,MATCH($A121,'TRANS'!$B:$B,0)),"")</f>
        <v/>
      </c>
      <c r="D121" s="21" t="n">
        <f aca="false">SUMIFS('CEMI Raw'!$C$6:$C$1018,'CEMI Raw'!$E$6:$E$1018,$A121,'CEMI Raw'!$B$6:$B$1018,2025)</f>
        <v>3</v>
      </c>
      <c r="E121" s="22" t="n">
        <f aca="false">SUMIFS('CEMI Raw'!$D$6:$D$1018,'CEMI Raw'!$E$6:$E$1018,$A121,'CEMI Raw'!$B$6:$B$1018,2025)</f>
        <v>324.2</v>
      </c>
      <c r="F121" s="21" t="n">
        <f aca="false">SUMIFS('CEMI Raw'!$C$6:$C$1018,'CEMI Raw'!$E$6:$E$1018,$A121,'CEMI Raw'!$B$6:$B$1018,2026)</f>
        <v>1</v>
      </c>
      <c r="G121" s="22" t="n">
        <f aca="false">SUMIFS('CEMI Raw'!$D$6:$D$1018,'CEMI Raw'!$E$6:$E$1018,$A121,'CEMI Raw'!$B$6:$B$1018,2026)</f>
        <v>102.8</v>
      </c>
      <c r="H121" s="21" t="n">
        <f aca="false">SUMIFS('SALES Raw'!$C$6:$C$603,'SALES Raw'!$E$6:$E$603,$A121,'SALES Raw'!$B$6:$B$603,2025)</f>
        <v>0</v>
      </c>
      <c r="I121" s="22" t="n">
        <f aca="false">SUMIFS('SALES Raw'!$D$6:$D$603,'SALES Raw'!$E$6:$E$603,$A121,'SALES Raw'!$B$6:$B$603,2025)</f>
        <v>0</v>
      </c>
      <c r="J121" s="21" t="n">
        <f aca="false">SUMIFS('SALES Raw'!$C$6:$C$603,'SALES Raw'!$E$6:$E$603,$A121,'SALES Raw'!$B$6:$B$603,2026)</f>
        <v>0</v>
      </c>
      <c r="K121" s="22" t="n">
        <f aca="false">SUMIFS('SALES Raw'!$D$6:$D$603,'SALES Raw'!$E$6:$E$603,$A121,'SALES Raw'!$B$6:$B$603,2026)</f>
        <v>0</v>
      </c>
      <c r="L121" s="21" t="n">
        <f aca="false">D121+H121</f>
        <v>3</v>
      </c>
      <c r="M121" s="22" t="n">
        <f aca="false">E121+I121</f>
        <v>324.2</v>
      </c>
      <c r="N121" s="21" t="n">
        <f aca="false">F121+J121</f>
        <v>1</v>
      </c>
      <c r="O121" s="22" t="n">
        <f aca="false">G121+K121</f>
        <v>102.8</v>
      </c>
    </row>
    <row r="122" customFormat="false" ht="15" hidden="false" customHeight="false" outlineLevel="0" collapsed="false">
      <c r="A122" s="20" t="n">
        <v>4408114</v>
      </c>
      <c r="B122" s="20" t="str">
        <f aca="false">IFERROR(INDEX('Catalog'!$B:$B,MATCH($A122,'Catalog'!$A:$A,0)),"")</f>
        <v>11EU M ח.בטן לאחר ניתוח</v>
      </c>
      <c r="C122" s="20" t="str">
        <f aca="false">IFERROR(INDEX('TRANS'!$A:$A,MATCH($A122,'TRANS'!$B:$B,0)),"")</f>
        <v>11EU M</v>
      </c>
      <c r="D122" s="21" t="n">
        <f aca="false">SUMIFS('CEMI Raw'!$C$6:$C$1018,'CEMI Raw'!$E$6:$E$1018,$A122,'CEMI Raw'!$B$6:$B$1018,2025)</f>
        <v>10</v>
      </c>
      <c r="E122" s="22" t="n">
        <f aca="false">SUMIFS('CEMI Raw'!$D$6:$D$1018,'CEMI Raw'!$E$6:$E$1018,$A122,'CEMI Raw'!$B$6:$B$1018,2025)</f>
        <v>1052.8</v>
      </c>
      <c r="F122" s="21" t="n">
        <f aca="false">SUMIFS('CEMI Raw'!$C$6:$C$1018,'CEMI Raw'!$E$6:$E$1018,$A122,'CEMI Raw'!$B$6:$B$1018,2026)</f>
        <v>6</v>
      </c>
      <c r="G122" s="22" t="n">
        <f aca="false">SUMIFS('CEMI Raw'!$D$6:$D$1018,'CEMI Raw'!$E$6:$E$1018,$A122,'CEMI Raw'!$B$6:$B$1018,2026)</f>
        <v>660.6</v>
      </c>
      <c r="H122" s="21" t="n">
        <f aca="false">SUMIFS('SALES Raw'!$C$6:$C$603,'SALES Raw'!$E$6:$E$603,$A122,'SALES Raw'!$B$6:$B$603,2025)</f>
        <v>2</v>
      </c>
      <c r="I122" s="22" t="n">
        <f aca="false">SUMIFS('SALES Raw'!$D$6:$D$603,'SALES Raw'!$E$6:$E$603,$A122,'SALES Raw'!$B$6:$B$603,2025)</f>
        <v>170</v>
      </c>
      <c r="J122" s="21" t="n">
        <f aca="false">SUMIFS('SALES Raw'!$C$6:$C$603,'SALES Raw'!$E$6:$E$603,$A122,'SALES Raw'!$B$6:$B$603,2026)</f>
        <v>0</v>
      </c>
      <c r="K122" s="22" t="n">
        <f aca="false">SUMIFS('SALES Raw'!$D$6:$D$603,'SALES Raw'!$E$6:$E$603,$A122,'SALES Raw'!$B$6:$B$603,2026)</f>
        <v>0</v>
      </c>
      <c r="L122" s="21" t="n">
        <f aca="false">D122+H122</f>
        <v>12</v>
      </c>
      <c r="M122" s="22" t="n">
        <f aca="false">E122+I122</f>
        <v>1222.8</v>
      </c>
      <c r="N122" s="21" t="n">
        <f aca="false">F122+J122</f>
        <v>6</v>
      </c>
      <c r="O122" s="22" t="n">
        <f aca="false">G122+K122</f>
        <v>660.6</v>
      </c>
    </row>
    <row r="123" customFormat="false" ht="15" hidden="false" customHeight="false" outlineLevel="0" collapsed="false">
      <c r="A123" s="20" t="n">
        <v>4408115</v>
      </c>
      <c r="B123" s="20" t="str">
        <f aca="false">IFERROR(INDEX('Catalog'!$B:$B,MATCH($A123,'Catalog'!$A:$A,0)),"")</f>
        <v>11EU L ח.בטן לאחר ניתוח</v>
      </c>
      <c r="C123" s="20" t="str">
        <f aca="false">IFERROR(INDEX('TRANS'!$A:$A,MATCH($A123,'TRANS'!$B:$B,0)),"")</f>
        <v>11EU L</v>
      </c>
      <c r="D123" s="21" t="n">
        <f aca="false">SUMIFS('CEMI Raw'!$C$6:$C$1018,'CEMI Raw'!$E$6:$E$1018,$A123,'CEMI Raw'!$B$6:$B$1018,2025)</f>
        <v>19</v>
      </c>
      <c r="E123" s="22" t="n">
        <f aca="false">SUMIFS('CEMI Raw'!$D$6:$D$1018,'CEMI Raw'!$E$6:$E$1018,$A123,'CEMI Raw'!$B$6:$B$1018,2025)</f>
        <v>1981.6</v>
      </c>
      <c r="F123" s="21" t="n">
        <f aca="false">SUMIFS('CEMI Raw'!$C$6:$C$1018,'CEMI Raw'!$E$6:$E$1018,$A123,'CEMI Raw'!$B$6:$B$1018,2026)</f>
        <v>10</v>
      </c>
      <c r="G123" s="22" t="n">
        <f aca="false">SUMIFS('CEMI Raw'!$D$6:$D$1018,'CEMI Raw'!$E$6:$E$1018,$A123,'CEMI Raw'!$B$6:$B$1018,2026)</f>
        <v>1108.4</v>
      </c>
      <c r="H123" s="21" t="n">
        <f aca="false">SUMIFS('SALES Raw'!$C$6:$C$603,'SALES Raw'!$E$6:$E$603,$A123,'SALES Raw'!$B$6:$B$603,2025)</f>
        <v>3</v>
      </c>
      <c r="I123" s="22" t="n">
        <f aca="false">SUMIFS('SALES Raw'!$D$6:$D$603,'SALES Raw'!$E$6:$E$603,$A123,'SALES Raw'!$B$6:$B$603,2025)</f>
        <v>239</v>
      </c>
      <c r="J123" s="21" t="n">
        <f aca="false">SUMIFS('SALES Raw'!$C$6:$C$603,'SALES Raw'!$E$6:$E$603,$A123,'SALES Raw'!$B$6:$B$603,2026)</f>
        <v>6</v>
      </c>
      <c r="K123" s="22" t="n">
        <f aca="false">SUMIFS('SALES Raw'!$D$6:$D$603,'SALES Raw'!$E$6:$E$603,$A123,'SALES Raw'!$B$6:$B$603,2026)</f>
        <v>509.97</v>
      </c>
      <c r="L123" s="21" t="n">
        <f aca="false">D123+H123</f>
        <v>22</v>
      </c>
      <c r="M123" s="22" t="n">
        <f aca="false">E123+I123</f>
        <v>2220.6</v>
      </c>
      <c r="N123" s="21" t="n">
        <f aca="false">F123+J123</f>
        <v>16</v>
      </c>
      <c r="O123" s="22" t="n">
        <f aca="false">G123+K123</f>
        <v>1618.37</v>
      </c>
    </row>
    <row r="124" customFormat="false" ht="15" hidden="false" customHeight="false" outlineLevel="0" collapsed="false">
      <c r="A124" s="20" t="n">
        <v>4408116</v>
      </c>
      <c r="B124" s="20" t="str">
        <f aca="false">IFERROR(INDEX('Catalog'!$B:$B,MATCH($A124,'Catalog'!$A:$A,0)),"")</f>
        <v>11EU XLח.בטן לאחר ניתוח</v>
      </c>
      <c r="C124" s="20" t="str">
        <f aca="false">IFERROR(INDEX('TRANS'!$A:$A,MATCH($A124,'TRANS'!$B:$B,0)),"")</f>
        <v>11EU XL</v>
      </c>
      <c r="D124" s="21" t="n">
        <f aca="false">SUMIFS('CEMI Raw'!$C$6:$C$1018,'CEMI Raw'!$E$6:$E$1018,$A124,'CEMI Raw'!$B$6:$B$1018,2025)</f>
        <v>34</v>
      </c>
      <c r="E124" s="22" t="n">
        <f aca="false">SUMIFS('CEMI Raw'!$D$6:$D$1018,'CEMI Raw'!$E$6:$E$1018,$A124,'CEMI Raw'!$B$6:$B$1018,2025)</f>
        <v>3540</v>
      </c>
      <c r="F124" s="21" t="n">
        <f aca="false">SUMIFS('CEMI Raw'!$C$6:$C$1018,'CEMI Raw'!$E$6:$E$1018,$A124,'CEMI Raw'!$B$6:$B$1018,2026)</f>
        <v>9</v>
      </c>
      <c r="G124" s="22" t="n">
        <f aca="false">SUMIFS('CEMI Raw'!$D$6:$D$1018,'CEMI Raw'!$E$6:$E$1018,$A124,'CEMI Raw'!$B$6:$B$1018,2026)</f>
        <v>990.9</v>
      </c>
      <c r="H124" s="21" t="n">
        <f aca="false">SUMIFS('SALES Raw'!$C$6:$C$603,'SALES Raw'!$E$6:$E$603,$A124,'SALES Raw'!$B$6:$B$603,2025)</f>
        <v>1</v>
      </c>
      <c r="I124" s="22" t="n">
        <f aca="false">SUMIFS('SALES Raw'!$D$6:$D$603,'SALES Raw'!$E$6:$E$603,$A124,'SALES Raw'!$B$6:$B$603,2025)</f>
        <v>85</v>
      </c>
      <c r="J124" s="21" t="n">
        <f aca="false">SUMIFS('SALES Raw'!$C$6:$C$603,'SALES Raw'!$E$6:$E$603,$A124,'SALES Raw'!$B$6:$B$603,2026)</f>
        <v>0</v>
      </c>
      <c r="K124" s="22" t="n">
        <f aca="false">SUMIFS('SALES Raw'!$D$6:$D$603,'SALES Raw'!$E$6:$E$603,$A124,'SALES Raw'!$B$6:$B$603,2026)</f>
        <v>0</v>
      </c>
      <c r="L124" s="21" t="n">
        <f aca="false">D124+H124</f>
        <v>35</v>
      </c>
      <c r="M124" s="22" t="n">
        <f aca="false">E124+I124</f>
        <v>3625</v>
      </c>
      <c r="N124" s="21" t="n">
        <f aca="false">F124+J124</f>
        <v>9</v>
      </c>
      <c r="O124" s="22" t="n">
        <f aca="false">G124+K124</f>
        <v>990.9</v>
      </c>
    </row>
    <row r="125" customFormat="false" ht="15" hidden="false" customHeight="false" outlineLevel="0" collapsed="false">
      <c r="A125" s="20" t="n">
        <v>4408119</v>
      </c>
      <c r="B125" s="20" t="str">
        <f aca="false">IFERROR(INDEX('Catalog'!$B:$B,MATCH($A125,'Catalog'!$A:$A,0)),"")</f>
        <v>06U L ח.בטן מותנית צר</v>
      </c>
      <c r="C125" s="20" t="str">
        <f aca="false">IFERROR(INDEX('TRANS'!$A:$A,MATCH($A125,'TRANS'!$B:$B,0)),"")</f>
        <v>06U L</v>
      </c>
      <c r="D125" s="21" t="n">
        <f aca="false">SUMIFS('CEMI Raw'!$C$6:$C$1018,'CEMI Raw'!$E$6:$E$1018,$A125,'CEMI Raw'!$B$6:$B$1018,2025)</f>
        <v>2</v>
      </c>
      <c r="E125" s="22" t="n">
        <f aca="false">SUMIFS('CEMI Raw'!$D$6:$D$1018,'CEMI Raw'!$E$6:$E$1018,$A125,'CEMI Raw'!$B$6:$B$1018,2025)</f>
        <v>281.1</v>
      </c>
      <c r="F125" s="21" t="n">
        <f aca="false">SUMIFS('CEMI Raw'!$C$6:$C$1018,'CEMI Raw'!$E$6:$E$1018,$A125,'CEMI Raw'!$B$6:$B$1018,2026)</f>
        <v>1</v>
      </c>
      <c r="G125" s="22" t="n">
        <f aca="false">SUMIFS('CEMI Raw'!$D$6:$D$1018,'CEMI Raw'!$E$6:$E$1018,$A125,'CEMI Raw'!$B$6:$B$1018,2026)</f>
        <v>140.6</v>
      </c>
      <c r="H125" s="21" t="n">
        <f aca="false">SUMIFS('SALES Raw'!$C$6:$C$603,'SALES Raw'!$E$6:$E$603,$A125,'SALES Raw'!$B$6:$B$603,2025)</f>
        <v>1</v>
      </c>
      <c r="I125" s="22" t="n">
        <f aca="false">SUMIFS('SALES Raw'!$D$6:$D$603,'SALES Raw'!$E$6:$E$603,$A125,'SALES Raw'!$B$6:$B$603,2025)</f>
        <v>99</v>
      </c>
      <c r="J125" s="21" t="n">
        <f aca="false">SUMIFS('SALES Raw'!$C$6:$C$603,'SALES Raw'!$E$6:$E$603,$A125,'SALES Raw'!$B$6:$B$603,2026)</f>
        <v>0</v>
      </c>
      <c r="K125" s="22" t="n">
        <f aca="false">SUMIFS('SALES Raw'!$D$6:$D$603,'SALES Raw'!$E$6:$E$603,$A125,'SALES Raw'!$B$6:$B$603,2026)</f>
        <v>0</v>
      </c>
      <c r="L125" s="21" t="n">
        <f aca="false">D125+H125</f>
        <v>3</v>
      </c>
      <c r="M125" s="22" t="n">
        <f aca="false">E125+I125</f>
        <v>380.1</v>
      </c>
      <c r="N125" s="21" t="n">
        <f aca="false">F125+J125</f>
        <v>1</v>
      </c>
      <c r="O125" s="22" t="n">
        <f aca="false">G125+K125</f>
        <v>140.6</v>
      </c>
    </row>
    <row r="126" customFormat="false" ht="15" hidden="false" customHeight="false" outlineLevel="0" collapsed="false">
      <c r="A126" s="20" t="n">
        <v>4408120</v>
      </c>
      <c r="B126" s="20" t="str">
        <f aca="false">IFERROR(INDEX('Catalog'!$B:$B,MATCH($A126,'Catalog'!$A:$A,0)),"")</f>
        <v>06U XL ח.בטן מותנית צר</v>
      </c>
      <c r="C126" s="20" t="str">
        <f aca="false">IFERROR(INDEX('TRANS'!$A:$A,MATCH($A126,'TRANS'!$B:$B,0)),"")</f>
        <v>06U XL</v>
      </c>
      <c r="D126" s="21" t="n">
        <f aca="false">SUMIFS('CEMI Raw'!$C$6:$C$1018,'CEMI Raw'!$E$6:$E$1018,$A126,'CEMI Raw'!$B$6:$B$1018,2025)</f>
        <v>2</v>
      </c>
      <c r="E126" s="22" t="n">
        <f aca="false">SUMIFS('CEMI Raw'!$D$6:$D$1018,'CEMI Raw'!$E$6:$E$1018,$A126,'CEMI Raw'!$B$6:$B$1018,2025)</f>
        <v>281.1</v>
      </c>
      <c r="F126" s="21" t="n">
        <f aca="false">SUMIFS('CEMI Raw'!$C$6:$C$1018,'CEMI Raw'!$E$6:$E$1018,$A126,'CEMI Raw'!$B$6:$B$1018,2026)</f>
        <v>1</v>
      </c>
      <c r="G126" s="22" t="n">
        <f aca="false">SUMIFS('CEMI Raw'!$D$6:$D$1018,'CEMI Raw'!$E$6:$E$1018,$A126,'CEMI Raw'!$B$6:$B$1018,2026)</f>
        <v>112.5</v>
      </c>
      <c r="H126" s="21" t="n">
        <f aca="false">SUMIFS('SALES Raw'!$C$6:$C$603,'SALES Raw'!$E$6:$E$603,$A126,'SALES Raw'!$B$6:$B$603,2025)</f>
        <v>1</v>
      </c>
      <c r="I126" s="22" t="n">
        <f aca="false">SUMIFS('SALES Raw'!$D$6:$D$603,'SALES Raw'!$E$6:$E$603,$A126,'SALES Raw'!$B$6:$B$603,2025)</f>
        <v>98.99</v>
      </c>
      <c r="J126" s="21" t="n">
        <f aca="false">SUMIFS('SALES Raw'!$C$6:$C$603,'SALES Raw'!$E$6:$E$603,$A126,'SALES Raw'!$B$6:$B$603,2026)</f>
        <v>0</v>
      </c>
      <c r="K126" s="22" t="n">
        <f aca="false">SUMIFS('SALES Raw'!$D$6:$D$603,'SALES Raw'!$E$6:$E$603,$A126,'SALES Raw'!$B$6:$B$603,2026)</f>
        <v>0</v>
      </c>
      <c r="L126" s="21" t="n">
        <f aca="false">D126+H126</f>
        <v>3</v>
      </c>
      <c r="M126" s="22" t="n">
        <f aca="false">E126+I126</f>
        <v>380.09</v>
      </c>
      <c r="N126" s="21" t="n">
        <f aca="false">F126+J126</f>
        <v>1</v>
      </c>
      <c r="O126" s="22" t="n">
        <f aca="false">G126+K126</f>
        <v>112.5</v>
      </c>
    </row>
    <row r="127" customFormat="false" ht="15" hidden="false" customHeight="false" outlineLevel="0" collapsed="false">
      <c r="A127" s="20" t="n">
        <v>4408122</v>
      </c>
      <c r="B127" s="20" t="str">
        <f aca="false">IFERROR(INDEX('Catalog'!$B:$B,MATCH($A127,'Catalog'!$A:$A,0)),"")</f>
        <v>15M L חגורת צלעות לגבר</v>
      </c>
      <c r="C127" s="20" t="str">
        <f aca="false">IFERROR(INDEX('TRANS'!$A:$A,MATCH($A127,'TRANS'!$B:$B,0)),"")</f>
        <v/>
      </c>
      <c r="D127" s="21" t="n">
        <f aca="false">SUMIFS('CEMI Raw'!$C$6:$C$1018,'CEMI Raw'!$E$6:$E$1018,$A127,'CEMI Raw'!$B$6:$B$1018,2025)</f>
        <v>2</v>
      </c>
      <c r="E127" s="22" t="n">
        <f aca="false">SUMIFS('CEMI Raw'!$D$6:$D$1018,'CEMI Raw'!$E$6:$E$1018,$A127,'CEMI Raw'!$B$6:$B$1018,2025)</f>
        <v>272.9</v>
      </c>
      <c r="F127" s="21" t="n">
        <f aca="false">SUMIFS('CEMI Raw'!$C$6:$C$1018,'CEMI Raw'!$E$6:$E$1018,$A127,'CEMI Raw'!$B$6:$B$1018,2026)</f>
        <v>0</v>
      </c>
      <c r="G127" s="22" t="n">
        <f aca="false">SUMIFS('CEMI Raw'!$D$6:$D$1018,'CEMI Raw'!$E$6:$E$1018,$A127,'CEMI Raw'!$B$6:$B$1018,2026)</f>
        <v>0</v>
      </c>
      <c r="H127" s="21" t="n">
        <f aca="false">SUMIFS('SALES Raw'!$C$6:$C$603,'SALES Raw'!$E$6:$E$603,$A127,'SALES Raw'!$B$6:$B$603,2025)</f>
        <v>0</v>
      </c>
      <c r="I127" s="22" t="n">
        <f aca="false">SUMIFS('SALES Raw'!$D$6:$D$603,'SALES Raw'!$E$6:$E$603,$A127,'SALES Raw'!$B$6:$B$603,2025)</f>
        <v>0</v>
      </c>
      <c r="J127" s="21" t="n">
        <f aca="false">SUMIFS('SALES Raw'!$C$6:$C$603,'SALES Raw'!$E$6:$E$603,$A127,'SALES Raw'!$B$6:$B$603,2026)</f>
        <v>0</v>
      </c>
      <c r="K127" s="22" t="n">
        <f aca="false">SUMIFS('SALES Raw'!$D$6:$D$603,'SALES Raw'!$E$6:$E$603,$A127,'SALES Raw'!$B$6:$B$603,2026)</f>
        <v>0</v>
      </c>
      <c r="L127" s="21" t="n">
        <f aca="false">D127+H127</f>
        <v>2</v>
      </c>
      <c r="M127" s="22" t="n">
        <f aca="false">E127+I127</f>
        <v>272.9</v>
      </c>
      <c r="N127" s="21" t="n">
        <f aca="false">F127+J127</f>
        <v>0</v>
      </c>
      <c r="O127" s="22" t="n">
        <f aca="false">G127+K127</f>
        <v>0</v>
      </c>
    </row>
    <row r="128" customFormat="false" ht="15" hidden="false" customHeight="false" outlineLevel="0" collapsed="false">
      <c r="A128" s="20" t="n">
        <v>4408126</v>
      </c>
      <c r="B128" s="20" t="str">
        <f aca="false">IFERROR(INDEX('Catalog'!$B:$B,MATCH($A128,'Catalog'!$A:$A,0)),"")</f>
        <v>15W XL חגורת צלעות לאשה</v>
      </c>
      <c r="C128" s="20" t="str">
        <f aca="false">IFERROR(INDEX('TRANS'!$A:$A,MATCH($A128,'TRANS'!$B:$B,0)),"")</f>
        <v/>
      </c>
      <c r="D128" s="21" t="n">
        <f aca="false">SUMIFS('CEMI Raw'!$C$6:$C$1018,'CEMI Raw'!$E$6:$E$1018,$A128,'CEMI Raw'!$B$6:$B$1018,2025)</f>
        <v>1</v>
      </c>
      <c r="E128" s="22" t="n">
        <f aca="false">SUMIFS('CEMI Raw'!$D$6:$D$1018,'CEMI Raw'!$E$6:$E$1018,$A128,'CEMI Raw'!$B$6:$B$1018,2025)</f>
        <v>140.6</v>
      </c>
      <c r="F128" s="21" t="n">
        <f aca="false">SUMIFS('CEMI Raw'!$C$6:$C$1018,'CEMI Raw'!$E$6:$E$1018,$A128,'CEMI Raw'!$B$6:$B$1018,2026)</f>
        <v>0</v>
      </c>
      <c r="G128" s="22" t="n">
        <f aca="false">SUMIFS('CEMI Raw'!$D$6:$D$1018,'CEMI Raw'!$E$6:$E$1018,$A128,'CEMI Raw'!$B$6:$B$1018,2026)</f>
        <v>0</v>
      </c>
      <c r="H128" s="21" t="n">
        <f aca="false">SUMIFS('SALES Raw'!$C$6:$C$603,'SALES Raw'!$E$6:$E$603,$A128,'SALES Raw'!$B$6:$B$603,2025)</f>
        <v>0</v>
      </c>
      <c r="I128" s="22" t="n">
        <f aca="false">SUMIFS('SALES Raw'!$D$6:$D$603,'SALES Raw'!$E$6:$E$603,$A128,'SALES Raw'!$B$6:$B$603,2025)</f>
        <v>0</v>
      </c>
      <c r="J128" s="21" t="n">
        <f aca="false">SUMIFS('SALES Raw'!$C$6:$C$603,'SALES Raw'!$E$6:$E$603,$A128,'SALES Raw'!$B$6:$B$603,2026)</f>
        <v>0</v>
      </c>
      <c r="K128" s="22" t="n">
        <f aca="false">SUMIFS('SALES Raw'!$D$6:$D$603,'SALES Raw'!$E$6:$E$603,$A128,'SALES Raw'!$B$6:$B$603,2026)</f>
        <v>0</v>
      </c>
      <c r="L128" s="21" t="n">
        <f aca="false">D128+H128</f>
        <v>1</v>
      </c>
      <c r="M128" s="22" t="n">
        <f aca="false">E128+I128</f>
        <v>140.6</v>
      </c>
      <c r="N128" s="21" t="n">
        <f aca="false">F128+J128</f>
        <v>0</v>
      </c>
      <c r="O128" s="22" t="n">
        <f aca="false">G128+K128</f>
        <v>0</v>
      </c>
    </row>
    <row r="129" customFormat="false" ht="15" hidden="false" customHeight="false" outlineLevel="0" collapsed="false">
      <c r="A129" s="20" t="n">
        <v>4408129</v>
      </c>
      <c r="B129" s="20" t="str">
        <f aca="false">IFERROR(INDEX('Catalog'!$B:$B,MATCH($A129,'Catalog'!$A:$A,0)),"")</f>
        <v>15M M חגורת צלעות לגבר</v>
      </c>
      <c r="C129" s="20" t="str">
        <f aca="false">IFERROR(INDEX('TRANS'!$A:$A,MATCH($A129,'TRANS'!$B:$B,0)),"")</f>
        <v/>
      </c>
      <c r="D129" s="21" t="n">
        <f aca="false">SUMIFS('CEMI Raw'!$C$6:$C$1018,'CEMI Raw'!$E$6:$E$1018,$A129,'CEMI Raw'!$B$6:$B$1018,2025)</f>
        <v>1</v>
      </c>
      <c r="E129" s="22" t="n">
        <f aca="false">SUMIFS('CEMI Raw'!$D$6:$D$1018,'CEMI Raw'!$E$6:$E$1018,$A129,'CEMI Raw'!$B$6:$B$1018,2025)</f>
        <v>140.6</v>
      </c>
      <c r="F129" s="21" t="n">
        <f aca="false">SUMIFS('CEMI Raw'!$C$6:$C$1018,'CEMI Raw'!$E$6:$E$1018,$A129,'CEMI Raw'!$B$6:$B$1018,2026)</f>
        <v>0</v>
      </c>
      <c r="G129" s="22" t="n">
        <f aca="false">SUMIFS('CEMI Raw'!$D$6:$D$1018,'CEMI Raw'!$E$6:$E$1018,$A129,'CEMI Raw'!$B$6:$B$1018,2026)</f>
        <v>0</v>
      </c>
      <c r="H129" s="21" t="n">
        <f aca="false">SUMIFS('SALES Raw'!$C$6:$C$603,'SALES Raw'!$E$6:$E$603,$A129,'SALES Raw'!$B$6:$B$603,2025)</f>
        <v>0</v>
      </c>
      <c r="I129" s="22" t="n">
        <f aca="false">SUMIFS('SALES Raw'!$D$6:$D$603,'SALES Raw'!$E$6:$E$603,$A129,'SALES Raw'!$B$6:$B$603,2025)</f>
        <v>0</v>
      </c>
      <c r="J129" s="21" t="n">
        <f aca="false">SUMIFS('SALES Raw'!$C$6:$C$603,'SALES Raw'!$E$6:$E$603,$A129,'SALES Raw'!$B$6:$B$603,2026)</f>
        <v>0</v>
      </c>
      <c r="K129" s="22" t="n">
        <f aca="false">SUMIFS('SALES Raw'!$D$6:$D$603,'SALES Raw'!$E$6:$E$603,$A129,'SALES Raw'!$B$6:$B$603,2026)</f>
        <v>0</v>
      </c>
      <c r="L129" s="21" t="n">
        <f aca="false">D129+H129</f>
        <v>1</v>
      </c>
      <c r="M129" s="22" t="n">
        <f aca="false">E129+I129</f>
        <v>140.6</v>
      </c>
      <c r="N129" s="21" t="n">
        <f aca="false">F129+J129</f>
        <v>0</v>
      </c>
      <c r="O129" s="22" t="n">
        <f aca="false">G129+K129</f>
        <v>0</v>
      </c>
    </row>
    <row r="130" customFormat="false" ht="15" hidden="false" customHeight="false" outlineLevel="0" collapsed="false">
      <c r="A130" s="20" t="n">
        <v>4408130</v>
      </c>
      <c r="B130" s="20" t="str">
        <f aca="false">IFERROR(INDEX('Catalog'!$B:$B,MATCH($A130,'Catalog'!$A:$A,0)),"")</f>
        <v>15W M חגורת צלעות לאשה</v>
      </c>
      <c r="C130" s="20" t="str">
        <f aca="false">IFERROR(INDEX('TRANS'!$A:$A,MATCH($A130,'TRANS'!$B:$B,0)),"")</f>
        <v/>
      </c>
      <c r="D130" s="21" t="n">
        <f aca="false">SUMIFS('CEMI Raw'!$C$6:$C$1018,'CEMI Raw'!$E$6:$E$1018,$A130,'CEMI Raw'!$B$6:$B$1018,2025)</f>
        <v>0</v>
      </c>
      <c r="E130" s="22" t="n">
        <f aca="false">SUMIFS('CEMI Raw'!$D$6:$D$1018,'CEMI Raw'!$E$6:$E$1018,$A130,'CEMI Raw'!$B$6:$B$1018,2025)</f>
        <v>0</v>
      </c>
      <c r="F130" s="21" t="n">
        <f aca="false">SUMIFS('CEMI Raw'!$C$6:$C$1018,'CEMI Raw'!$E$6:$E$1018,$A130,'CEMI Raw'!$B$6:$B$1018,2026)</f>
        <v>-1</v>
      </c>
      <c r="G130" s="22" t="n">
        <f aca="false">SUMIFS('CEMI Raw'!$D$6:$D$1018,'CEMI Raw'!$E$6:$E$1018,$A130,'CEMI Raw'!$B$6:$B$1018,2026)</f>
        <v>-140.6</v>
      </c>
      <c r="H130" s="21" t="n">
        <f aca="false">SUMIFS('SALES Raw'!$C$6:$C$603,'SALES Raw'!$E$6:$E$603,$A130,'SALES Raw'!$B$6:$B$603,2025)</f>
        <v>0</v>
      </c>
      <c r="I130" s="22" t="n">
        <f aca="false">SUMIFS('SALES Raw'!$D$6:$D$603,'SALES Raw'!$E$6:$E$603,$A130,'SALES Raw'!$B$6:$B$603,2025)</f>
        <v>0</v>
      </c>
      <c r="J130" s="21" t="n">
        <f aca="false">SUMIFS('SALES Raw'!$C$6:$C$603,'SALES Raw'!$E$6:$E$603,$A130,'SALES Raw'!$B$6:$B$603,2026)</f>
        <v>0</v>
      </c>
      <c r="K130" s="22" t="n">
        <f aca="false">SUMIFS('SALES Raw'!$D$6:$D$603,'SALES Raw'!$E$6:$E$603,$A130,'SALES Raw'!$B$6:$B$603,2026)</f>
        <v>0</v>
      </c>
      <c r="L130" s="21" t="n">
        <f aca="false">D130+H130</f>
        <v>0</v>
      </c>
      <c r="M130" s="22" t="n">
        <f aca="false">E130+I130</f>
        <v>0</v>
      </c>
      <c r="N130" s="21" t="n">
        <f aca="false">F130+J130</f>
        <v>-1</v>
      </c>
      <c r="O130" s="22" t="n">
        <f aca="false">G130+K130</f>
        <v>-140.6</v>
      </c>
    </row>
    <row r="131" customFormat="false" ht="15" hidden="false" customHeight="false" outlineLevel="0" collapsed="false">
      <c r="A131" s="20" t="n">
        <v>4408131</v>
      </c>
      <c r="B131" s="20" t="str">
        <f aca="false">IFERROR(INDEX('Catalog'!$B:$B,MATCH($A131,'Catalog'!$A:$A,0)),"")</f>
        <v>15W L חגורת צלעות לאשה</v>
      </c>
      <c r="C131" s="20" t="str">
        <f aca="false">IFERROR(INDEX('TRANS'!$A:$A,MATCH($A131,'TRANS'!$B:$B,0)),"")</f>
        <v>15W L</v>
      </c>
      <c r="D131" s="21" t="n">
        <f aca="false">SUMIFS('CEMI Raw'!$C$6:$C$1018,'CEMI Raw'!$E$6:$E$1018,$A131,'CEMI Raw'!$B$6:$B$1018,2025)</f>
        <v>0</v>
      </c>
      <c r="E131" s="22" t="n">
        <f aca="false">SUMIFS('CEMI Raw'!$D$6:$D$1018,'CEMI Raw'!$E$6:$E$1018,$A131,'CEMI Raw'!$B$6:$B$1018,2025)</f>
        <v>0</v>
      </c>
      <c r="F131" s="21" t="n">
        <f aca="false">SUMIFS('CEMI Raw'!$C$6:$C$1018,'CEMI Raw'!$E$6:$E$1018,$A131,'CEMI Raw'!$B$6:$B$1018,2026)</f>
        <v>1</v>
      </c>
      <c r="G131" s="22" t="n">
        <f aca="false">SUMIFS('CEMI Raw'!$D$6:$D$1018,'CEMI Raw'!$E$6:$E$1018,$A131,'CEMI Raw'!$B$6:$B$1018,2026)</f>
        <v>140.6</v>
      </c>
      <c r="H131" s="21" t="n">
        <f aca="false">SUMIFS('SALES Raw'!$C$6:$C$603,'SALES Raw'!$E$6:$E$603,$A131,'SALES Raw'!$B$6:$B$603,2025)</f>
        <v>1</v>
      </c>
      <c r="I131" s="22" t="n">
        <f aca="false">SUMIFS('SALES Raw'!$D$6:$D$603,'SALES Raw'!$E$6:$E$603,$A131,'SALES Raw'!$B$6:$B$603,2025)</f>
        <v>132.32</v>
      </c>
      <c r="J131" s="21" t="n">
        <f aca="false">SUMIFS('SALES Raw'!$C$6:$C$603,'SALES Raw'!$E$6:$E$603,$A131,'SALES Raw'!$B$6:$B$603,2026)</f>
        <v>0</v>
      </c>
      <c r="K131" s="22" t="n">
        <f aca="false">SUMIFS('SALES Raw'!$D$6:$D$603,'SALES Raw'!$E$6:$E$603,$A131,'SALES Raw'!$B$6:$B$603,2026)</f>
        <v>0</v>
      </c>
      <c r="L131" s="21" t="n">
        <f aca="false">D131+H131</f>
        <v>1</v>
      </c>
      <c r="M131" s="22" t="n">
        <f aca="false">E131+I131</f>
        <v>132.32</v>
      </c>
      <c r="N131" s="21" t="n">
        <f aca="false">F131+J131</f>
        <v>1</v>
      </c>
      <c r="O131" s="22" t="n">
        <f aca="false">G131+K131</f>
        <v>140.6</v>
      </c>
    </row>
    <row r="132" customFormat="false" ht="15" hidden="false" customHeight="false" outlineLevel="0" collapsed="false">
      <c r="A132" s="20" t="n">
        <v>4408132</v>
      </c>
      <c r="B132" s="20" t="str">
        <f aca="false">IFERROR(INDEX('Catalog'!$B:$B,MATCH($A132,'Catalog'!$A:$A,0)),"")</f>
        <v>11EU XXL חגורת בטןלאחר ניתוח</v>
      </c>
      <c r="C132" s="20" t="str">
        <f aca="false">IFERROR(INDEX('TRANS'!$A:$A,MATCH($A132,'TRANS'!$B:$B,0)),"")</f>
        <v>11EU XXL</v>
      </c>
      <c r="D132" s="21" t="n">
        <f aca="false">SUMIFS('CEMI Raw'!$C$6:$C$1018,'CEMI Raw'!$E$6:$E$1018,$A132,'CEMI Raw'!$B$6:$B$1018,2025)</f>
        <v>22</v>
      </c>
      <c r="E132" s="22" t="n">
        <f aca="false">SUMIFS('CEMI Raw'!$D$6:$D$1018,'CEMI Raw'!$E$6:$E$1018,$A132,'CEMI Raw'!$B$6:$B$1018,2025)</f>
        <v>2284.5</v>
      </c>
      <c r="F132" s="21" t="n">
        <f aca="false">SUMIFS('CEMI Raw'!$C$6:$C$1018,'CEMI Raw'!$E$6:$E$1018,$A132,'CEMI Raw'!$B$6:$B$1018,2026)</f>
        <v>18</v>
      </c>
      <c r="G132" s="22" t="n">
        <f aca="false">SUMIFS('CEMI Raw'!$D$6:$D$1018,'CEMI Raw'!$E$6:$E$1018,$A132,'CEMI Raw'!$B$6:$B$1018,2026)</f>
        <v>1981.8</v>
      </c>
      <c r="H132" s="21" t="n">
        <f aca="false">SUMIFS('SALES Raw'!$C$6:$C$603,'SALES Raw'!$E$6:$E$603,$A132,'SALES Raw'!$B$6:$B$603,2025)</f>
        <v>2</v>
      </c>
      <c r="I132" s="22" t="n">
        <f aca="false">SUMIFS('SALES Raw'!$D$6:$D$603,'SALES Raw'!$E$6:$E$603,$A132,'SALES Raw'!$B$6:$B$603,2025)</f>
        <v>220.22</v>
      </c>
      <c r="J132" s="21" t="n">
        <f aca="false">SUMIFS('SALES Raw'!$C$6:$C$603,'SALES Raw'!$E$6:$E$603,$A132,'SALES Raw'!$B$6:$B$603,2026)</f>
        <v>3</v>
      </c>
      <c r="K132" s="22" t="n">
        <f aca="false">SUMIFS('SALES Raw'!$D$6:$D$603,'SALES Raw'!$E$6:$E$603,$A132,'SALES Raw'!$B$6:$B$603,2026)</f>
        <v>255</v>
      </c>
      <c r="L132" s="21" t="n">
        <f aca="false">D132+H132</f>
        <v>24</v>
      </c>
      <c r="M132" s="22" t="n">
        <f aca="false">E132+I132</f>
        <v>2504.72</v>
      </c>
      <c r="N132" s="21" t="n">
        <f aca="false">F132+J132</f>
        <v>21</v>
      </c>
      <c r="O132" s="22" t="n">
        <f aca="false">G132+K132</f>
        <v>2236.8</v>
      </c>
    </row>
    <row r="133" customFormat="false" ht="15" hidden="false" customHeight="false" outlineLevel="0" collapsed="false">
      <c r="A133" s="20" t="n">
        <v>4408134</v>
      </c>
      <c r="B133" s="20" t="str">
        <f aca="false">IFERROR(INDEX('Catalog'!$B:$B,MATCH($A133,'Catalog'!$A:$A,0)),"")</f>
        <v>077A S-M חגורת גב</v>
      </c>
      <c r="C133" s="20" t="str">
        <f aca="false">IFERROR(INDEX('TRANS'!$A:$A,MATCH($A133,'TRANS'!$B:$B,0)),"")</f>
        <v>077A-S-M</v>
      </c>
      <c r="D133" s="21" t="n">
        <f aca="false">SUMIFS('CEMI Raw'!$C$6:$C$1018,'CEMI Raw'!$E$6:$E$1018,$A133,'CEMI Raw'!$B$6:$B$1018,2025)</f>
        <v>7</v>
      </c>
      <c r="E133" s="22" t="n">
        <f aca="false">SUMIFS('CEMI Raw'!$D$6:$D$1018,'CEMI Raw'!$E$6:$E$1018,$A133,'CEMI Raw'!$B$6:$B$1018,2025)</f>
        <v>1044.4</v>
      </c>
      <c r="F133" s="21" t="n">
        <f aca="false">SUMIFS('CEMI Raw'!$C$6:$C$1018,'CEMI Raw'!$E$6:$E$1018,$A133,'CEMI Raw'!$B$6:$B$1018,2026)</f>
        <v>8</v>
      </c>
      <c r="G133" s="22" t="n">
        <f aca="false">SUMIFS('CEMI Raw'!$D$6:$D$1018,'CEMI Raw'!$E$6:$E$1018,$A133,'CEMI Raw'!$B$6:$B$1018,2026)</f>
        <v>1093</v>
      </c>
      <c r="H133" s="21" t="n">
        <f aca="false">SUMIFS('SALES Raw'!$C$6:$C$603,'SALES Raw'!$E$6:$E$603,$A133,'SALES Raw'!$B$6:$B$603,2025)</f>
        <v>53</v>
      </c>
      <c r="I133" s="22" t="n">
        <f aca="false">SUMIFS('SALES Raw'!$D$6:$D$603,'SALES Raw'!$E$6:$E$603,$A133,'SALES Raw'!$B$6:$B$603,2025)</f>
        <v>4333.04</v>
      </c>
      <c r="J133" s="21" t="n">
        <f aca="false">SUMIFS('SALES Raw'!$C$6:$C$603,'SALES Raw'!$E$6:$E$603,$A133,'SALES Raw'!$B$6:$B$603,2026)</f>
        <v>0</v>
      </c>
      <c r="K133" s="22" t="n">
        <f aca="false">SUMIFS('SALES Raw'!$D$6:$D$603,'SALES Raw'!$E$6:$E$603,$A133,'SALES Raw'!$B$6:$B$603,2026)</f>
        <v>0</v>
      </c>
      <c r="L133" s="21" t="n">
        <f aca="false">D133+H133</f>
        <v>60</v>
      </c>
      <c r="M133" s="22" t="n">
        <f aca="false">E133+I133</f>
        <v>5377.44</v>
      </c>
      <c r="N133" s="21" t="n">
        <f aca="false">F133+J133</f>
        <v>8</v>
      </c>
      <c r="O133" s="22" t="n">
        <f aca="false">G133+K133</f>
        <v>1093</v>
      </c>
    </row>
    <row r="134" customFormat="false" ht="15" hidden="false" customHeight="false" outlineLevel="0" collapsed="false">
      <c r="A134" s="20" t="n">
        <v>4408135</v>
      </c>
      <c r="B134" s="20" t="str">
        <f aca="false">IFERROR(INDEX('Catalog'!$B:$B,MATCH($A134,'Catalog'!$A:$A,0)),"")</f>
        <v>077A L-XLחגורת גב</v>
      </c>
      <c r="C134" s="20" t="str">
        <f aca="false">IFERROR(INDEX('TRANS'!$A:$A,MATCH($A134,'TRANS'!$B:$B,0)),"")</f>
        <v>077A-L-XL</v>
      </c>
      <c r="D134" s="21" t="n">
        <f aca="false">SUMIFS('CEMI Raw'!$C$6:$C$1018,'CEMI Raw'!$E$6:$E$1018,$A134,'CEMI Raw'!$B$6:$B$1018,2025)</f>
        <v>20</v>
      </c>
      <c r="E134" s="22" t="n">
        <f aca="false">SUMIFS('CEMI Raw'!$D$6:$D$1018,'CEMI Raw'!$E$6:$E$1018,$A134,'CEMI Raw'!$B$6:$B$1018,2025)</f>
        <v>2803.8</v>
      </c>
      <c r="F134" s="21" t="n">
        <f aca="false">SUMIFS('CEMI Raw'!$C$6:$C$1018,'CEMI Raw'!$E$6:$E$1018,$A134,'CEMI Raw'!$B$6:$B$1018,2026)</f>
        <v>8</v>
      </c>
      <c r="G134" s="22" t="n">
        <f aca="false">SUMIFS('CEMI Raw'!$D$6:$D$1018,'CEMI Raw'!$E$6:$E$1018,$A134,'CEMI Raw'!$B$6:$B$1018,2026)</f>
        <v>1113.6</v>
      </c>
      <c r="H134" s="21" t="n">
        <f aca="false">SUMIFS('SALES Raw'!$C$6:$C$603,'SALES Raw'!$E$6:$E$603,$A134,'SALES Raw'!$B$6:$B$603,2025)</f>
        <v>27</v>
      </c>
      <c r="I134" s="22" t="n">
        <f aca="false">SUMIFS('SALES Raw'!$D$6:$D$603,'SALES Raw'!$E$6:$E$603,$A134,'SALES Raw'!$B$6:$B$603,2025)</f>
        <v>2452</v>
      </c>
      <c r="J134" s="21" t="n">
        <f aca="false">SUMIFS('SALES Raw'!$C$6:$C$603,'SALES Raw'!$E$6:$E$603,$A134,'SALES Raw'!$B$6:$B$603,2026)</f>
        <v>2</v>
      </c>
      <c r="K134" s="22" t="n">
        <f aca="false">SUMIFS('SALES Raw'!$D$6:$D$603,'SALES Raw'!$E$6:$E$603,$A134,'SALES Raw'!$B$6:$B$603,2026)</f>
        <v>170</v>
      </c>
      <c r="L134" s="21" t="n">
        <f aca="false">D134+H134</f>
        <v>47</v>
      </c>
      <c r="M134" s="22" t="n">
        <f aca="false">E134+I134</f>
        <v>5255.8</v>
      </c>
      <c r="N134" s="21" t="n">
        <f aca="false">F134+J134</f>
        <v>10</v>
      </c>
      <c r="O134" s="22" t="n">
        <f aca="false">G134+K134</f>
        <v>1283.6</v>
      </c>
    </row>
    <row r="135" customFormat="false" ht="15" hidden="false" customHeight="false" outlineLevel="0" collapsed="false">
      <c r="A135" s="20" t="n">
        <v>4408140</v>
      </c>
      <c r="B135" s="20" t="str">
        <f aca="false">IFERROR(INDEX('Catalog'!$B:$B,MATCH($A135,'Catalog'!$A:$A,0)),"")</f>
        <v>06W S חגורת גב לנשים</v>
      </c>
      <c r="C135" s="20" t="str">
        <f aca="false">IFERROR(INDEX('TRANS'!$A:$A,MATCH($A135,'TRANS'!$B:$B,0)),"")</f>
        <v/>
      </c>
      <c r="D135" s="21" t="n">
        <f aca="false">SUMIFS('CEMI Raw'!$C$6:$C$1018,'CEMI Raw'!$E$6:$E$1018,$A135,'CEMI Raw'!$B$6:$B$1018,2025)</f>
        <v>1</v>
      </c>
      <c r="E135" s="22" t="n">
        <f aca="false">SUMIFS('CEMI Raw'!$D$6:$D$1018,'CEMI Raw'!$E$6:$E$1018,$A135,'CEMI Raw'!$B$6:$B$1018,2025)</f>
        <v>154.4</v>
      </c>
      <c r="F135" s="21" t="n">
        <f aca="false">SUMIFS('CEMI Raw'!$C$6:$C$1018,'CEMI Raw'!$E$6:$E$1018,$A135,'CEMI Raw'!$B$6:$B$1018,2026)</f>
        <v>0</v>
      </c>
      <c r="G135" s="22" t="n">
        <f aca="false">SUMIFS('CEMI Raw'!$D$6:$D$1018,'CEMI Raw'!$E$6:$E$1018,$A135,'CEMI Raw'!$B$6:$B$1018,2026)</f>
        <v>0</v>
      </c>
      <c r="H135" s="21" t="n">
        <f aca="false">SUMIFS('SALES Raw'!$C$6:$C$603,'SALES Raw'!$E$6:$E$603,$A135,'SALES Raw'!$B$6:$B$603,2025)</f>
        <v>0</v>
      </c>
      <c r="I135" s="22" t="n">
        <f aca="false">SUMIFS('SALES Raw'!$D$6:$D$603,'SALES Raw'!$E$6:$E$603,$A135,'SALES Raw'!$B$6:$B$603,2025)</f>
        <v>0</v>
      </c>
      <c r="J135" s="21" t="n">
        <f aca="false">SUMIFS('SALES Raw'!$C$6:$C$603,'SALES Raw'!$E$6:$E$603,$A135,'SALES Raw'!$B$6:$B$603,2026)</f>
        <v>0</v>
      </c>
      <c r="K135" s="22" t="n">
        <f aca="false">SUMIFS('SALES Raw'!$D$6:$D$603,'SALES Raw'!$E$6:$E$603,$A135,'SALES Raw'!$B$6:$B$603,2026)</f>
        <v>0</v>
      </c>
      <c r="L135" s="21" t="n">
        <f aca="false">D135+H135</f>
        <v>1</v>
      </c>
      <c r="M135" s="22" t="n">
        <f aca="false">E135+I135</f>
        <v>154.4</v>
      </c>
      <c r="N135" s="21" t="n">
        <f aca="false">F135+J135</f>
        <v>0</v>
      </c>
      <c r="O135" s="22" t="n">
        <f aca="false">G135+K135</f>
        <v>0</v>
      </c>
    </row>
    <row r="136" customFormat="false" ht="15" hidden="false" customHeight="false" outlineLevel="0" collapsed="false">
      <c r="A136" s="20" t="n">
        <v>4408141</v>
      </c>
      <c r="B136" s="20" t="str">
        <f aca="false">IFERROR(INDEX('Catalog'!$B:$B,MATCH($A136,'Catalog'!$A:$A,0)),"")</f>
        <v>776 S  ח.גב גבוהה</v>
      </c>
      <c r="C136" s="20" t="str">
        <f aca="false">IFERROR(INDEX('TRANS'!$A:$A,MATCH($A136,'TRANS'!$B:$B,0)),"")</f>
        <v/>
      </c>
      <c r="D136" s="21" t="n">
        <f aca="false">SUMIFS('CEMI Raw'!$C$6:$C$1018,'CEMI Raw'!$E$6:$E$1018,$A136,'CEMI Raw'!$B$6:$B$1018,2025)</f>
        <v>1</v>
      </c>
      <c r="E136" s="22" t="n">
        <f aca="false">SUMIFS('CEMI Raw'!$D$6:$D$1018,'CEMI Raw'!$E$6:$E$1018,$A136,'CEMI Raw'!$B$6:$B$1018,2025)</f>
        <v>472.7</v>
      </c>
      <c r="F136" s="21" t="n">
        <f aca="false">SUMIFS('CEMI Raw'!$C$6:$C$1018,'CEMI Raw'!$E$6:$E$1018,$A136,'CEMI Raw'!$B$6:$B$1018,2026)</f>
        <v>0</v>
      </c>
      <c r="G136" s="22" t="n">
        <f aca="false">SUMIFS('CEMI Raw'!$D$6:$D$1018,'CEMI Raw'!$E$6:$E$1018,$A136,'CEMI Raw'!$B$6:$B$1018,2026)</f>
        <v>0</v>
      </c>
      <c r="H136" s="21" t="n">
        <f aca="false">SUMIFS('SALES Raw'!$C$6:$C$603,'SALES Raw'!$E$6:$E$603,$A136,'SALES Raw'!$B$6:$B$603,2025)</f>
        <v>0</v>
      </c>
      <c r="I136" s="22" t="n">
        <f aca="false">SUMIFS('SALES Raw'!$D$6:$D$603,'SALES Raw'!$E$6:$E$603,$A136,'SALES Raw'!$B$6:$B$603,2025)</f>
        <v>0</v>
      </c>
      <c r="J136" s="21" t="n">
        <f aca="false">SUMIFS('SALES Raw'!$C$6:$C$603,'SALES Raw'!$E$6:$E$603,$A136,'SALES Raw'!$B$6:$B$603,2026)</f>
        <v>0</v>
      </c>
      <c r="K136" s="22" t="n">
        <f aca="false">SUMIFS('SALES Raw'!$D$6:$D$603,'SALES Raw'!$E$6:$E$603,$A136,'SALES Raw'!$B$6:$B$603,2026)</f>
        <v>0</v>
      </c>
      <c r="L136" s="21" t="n">
        <f aca="false">D136+H136</f>
        <v>1</v>
      </c>
      <c r="M136" s="22" t="n">
        <f aca="false">E136+I136</f>
        <v>472.7</v>
      </c>
      <c r="N136" s="21" t="n">
        <f aca="false">F136+J136</f>
        <v>0</v>
      </c>
      <c r="O136" s="22" t="n">
        <f aca="false">G136+K136</f>
        <v>0</v>
      </c>
    </row>
    <row r="137" customFormat="false" ht="15" hidden="false" customHeight="false" outlineLevel="0" collapsed="false">
      <c r="A137" s="20" t="n">
        <v>4408142</v>
      </c>
      <c r="B137" s="20" t="str">
        <f aca="false">IFERROR(INDEX('Catalog'!$B:$B,MATCH($A137,'Catalog'!$A:$A,0)),"")</f>
        <v>776 M  ח.גב גבוהה</v>
      </c>
      <c r="C137" s="20" t="str">
        <f aca="false">IFERROR(INDEX('TRANS'!$A:$A,MATCH($A137,'TRANS'!$B:$B,0)),"")</f>
        <v/>
      </c>
      <c r="D137" s="21" t="n">
        <f aca="false">SUMIFS('CEMI Raw'!$C$6:$C$1018,'CEMI Raw'!$E$6:$E$1018,$A137,'CEMI Raw'!$B$6:$B$1018,2025)</f>
        <v>1</v>
      </c>
      <c r="E137" s="22" t="n">
        <f aca="false">SUMIFS('CEMI Raw'!$D$6:$D$1018,'CEMI Raw'!$E$6:$E$1018,$A137,'CEMI Raw'!$B$6:$B$1018,2025)</f>
        <v>472.7</v>
      </c>
      <c r="F137" s="21" t="n">
        <f aca="false">SUMIFS('CEMI Raw'!$C$6:$C$1018,'CEMI Raw'!$E$6:$E$1018,$A137,'CEMI Raw'!$B$6:$B$1018,2026)</f>
        <v>0</v>
      </c>
      <c r="G137" s="22" t="n">
        <f aca="false">SUMIFS('CEMI Raw'!$D$6:$D$1018,'CEMI Raw'!$E$6:$E$1018,$A137,'CEMI Raw'!$B$6:$B$1018,2026)</f>
        <v>0</v>
      </c>
      <c r="H137" s="21" t="n">
        <f aca="false">SUMIFS('SALES Raw'!$C$6:$C$603,'SALES Raw'!$E$6:$E$603,$A137,'SALES Raw'!$B$6:$B$603,2025)</f>
        <v>0</v>
      </c>
      <c r="I137" s="22" t="n">
        <f aca="false">SUMIFS('SALES Raw'!$D$6:$D$603,'SALES Raw'!$E$6:$E$603,$A137,'SALES Raw'!$B$6:$B$603,2025)</f>
        <v>0</v>
      </c>
      <c r="J137" s="21" t="n">
        <f aca="false">SUMIFS('SALES Raw'!$C$6:$C$603,'SALES Raw'!$E$6:$E$603,$A137,'SALES Raw'!$B$6:$B$603,2026)</f>
        <v>0</v>
      </c>
      <c r="K137" s="22" t="n">
        <f aca="false">SUMIFS('SALES Raw'!$D$6:$D$603,'SALES Raw'!$E$6:$E$603,$A137,'SALES Raw'!$B$6:$B$603,2026)</f>
        <v>0</v>
      </c>
      <c r="L137" s="21" t="n">
        <f aca="false">D137+H137</f>
        <v>1</v>
      </c>
      <c r="M137" s="22" t="n">
        <f aca="false">E137+I137</f>
        <v>472.7</v>
      </c>
      <c r="N137" s="21" t="n">
        <f aca="false">F137+J137</f>
        <v>0</v>
      </c>
      <c r="O137" s="22" t="n">
        <f aca="false">G137+K137</f>
        <v>0</v>
      </c>
    </row>
    <row r="138" customFormat="false" ht="15" hidden="false" customHeight="false" outlineLevel="0" collapsed="false">
      <c r="A138" s="20" t="n">
        <v>4408145</v>
      </c>
      <c r="B138" s="20" t="str">
        <f aca="false">IFERROR(INDEX('Catalog'!$B:$B,MATCH($A138,'Catalog'!$A:$A,0)),"")</f>
        <v>11PS Sחגורה למנותחי בטן</v>
      </c>
      <c r="C138" s="20" t="str">
        <f aca="false">IFERROR(INDEX('TRANS'!$A:$A,MATCH($A138,'TRANS'!$B:$B,0)),"")</f>
        <v>11PS S</v>
      </c>
      <c r="D138" s="21" t="n">
        <f aca="false">SUMIFS('CEMI Raw'!$C$6:$C$1018,'CEMI Raw'!$E$6:$E$1018,$A138,'CEMI Raw'!$B$6:$B$1018,2025)</f>
        <v>0</v>
      </c>
      <c r="E138" s="22" t="n">
        <f aca="false">SUMIFS('CEMI Raw'!$D$6:$D$1018,'CEMI Raw'!$E$6:$E$1018,$A138,'CEMI Raw'!$B$6:$B$1018,2025)</f>
        <v>0</v>
      </c>
      <c r="F138" s="21" t="n">
        <f aca="false">SUMIFS('CEMI Raw'!$C$6:$C$1018,'CEMI Raw'!$E$6:$E$1018,$A138,'CEMI Raw'!$B$6:$B$1018,2026)</f>
        <v>0</v>
      </c>
      <c r="G138" s="22" t="n">
        <f aca="false">SUMIFS('CEMI Raw'!$D$6:$D$1018,'CEMI Raw'!$E$6:$E$1018,$A138,'CEMI Raw'!$B$6:$B$1018,2026)</f>
        <v>0</v>
      </c>
      <c r="H138" s="21" t="n">
        <f aca="false">SUMIFS('SALES Raw'!$C$6:$C$603,'SALES Raw'!$E$6:$E$603,$A138,'SALES Raw'!$B$6:$B$603,2025)</f>
        <v>2</v>
      </c>
      <c r="I138" s="22" t="n">
        <f aca="false">SUMIFS('SALES Raw'!$D$6:$D$603,'SALES Raw'!$E$6:$E$603,$A138,'SALES Raw'!$B$6:$B$603,2025)</f>
        <v>263.48</v>
      </c>
      <c r="J138" s="21" t="n">
        <f aca="false">SUMIFS('SALES Raw'!$C$6:$C$603,'SALES Raw'!$E$6:$E$603,$A138,'SALES Raw'!$B$6:$B$603,2026)</f>
        <v>0</v>
      </c>
      <c r="K138" s="22" t="n">
        <f aca="false">SUMIFS('SALES Raw'!$D$6:$D$603,'SALES Raw'!$E$6:$E$603,$A138,'SALES Raw'!$B$6:$B$603,2026)</f>
        <v>0</v>
      </c>
      <c r="L138" s="21" t="n">
        <f aca="false">D138+H138</f>
        <v>2</v>
      </c>
      <c r="M138" s="22" t="n">
        <f aca="false">E138+I138</f>
        <v>263.48</v>
      </c>
      <c r="N138" s="21" t="n">
        <f aca="false">F138+J138</f>
        <v>0</v>
      </c>
      <c r="O138" s="22" t="n">
        <f aca="false">G138+K138</f>
        <v>0</v>
      </c>
    </row>
    <row r="139" customFormat="false" ht="15" hidden="false" customHeight="false" outlineLevel="0" collapsed="false">
      <c r="A139" s="20" t="n">
        <v>4408147</v>
      </c>
      <c r="B139" s="20" t="str">
        <f aca="false">IFERROR(INDEX('Catalog'!$B:$B,MATCH($A139,'Catalog'!$A:$A,0)),"")</f>
        <v>11PS Lחגורה למנותחי בטן</v>
      </c>
      <c r="C139" s="20" t="str">
        <f aca="false">IFERROR(INDEX('TRANS'!$A:$A,MATCH($A139,'TRANS'!$B:$B,0)),"")</f>
        <v>11PS L</v>
      </c>
      <c r="D139" s="21" t="n">
        <f aca="false">SUMIFS('CEMI Raw'!$C$6:$C$1018,'CEMI Raw'!$E$6:$E$1018,$A139,'CEMI Raw'!$B$6:$B$1018,2025)</f>
        <v>1</v>
      </c>
      <c r="E139" s="22" t="n">
        <f aca="false">SUMIFS('CEMI Raw'!$D$6:$D$1018,'CEMI Raw'!$E$6:$E$1018,$A139,'CEMI Raw'!$B$6:$B$1018,2025)</f>
        <v>110.6</v>
      </c>
      <c r="F139" s="21" t="n">
        <f aca="false">SUMIFS('CEMI Raw'!$C$6:$C$1018,'CEMI Raw'!$E$6:$E$1018,$A139,'CEMI Raw'!$B$6:$B$1018,2026)</f>
        <v>1</v>
      </c>
      <c r="G139" s="22" t="n">
        <f aca="false">SUMIFS('CEMI Raw'!$D$6:$D$1018,'CEMI Raw'!$E$6:$E$1018,$A139,'CEMI Raw'!$B$6:$B$1018,2026)</f>
        <v>135.9</v>
      </c>
      <c r="H139" s="21" t="n">
        <f aca="false">SUMIFS('SALES Raw'!$C$6:$C$603,'SALES Raw'!$E$6:$E$603,$A139,'SALES Raw'!$B$6:$B$603,2025)</f>
        <v>3</v>
      </c>
      <c r="I139" s="22" t="n">
        <f aca="false">SUMIFS('SALES Raw'!$D$6:$D$603,'SALES Raw'!$E$6:$E$603,$A139,'SALES Raw'!$B$6:$B$603,2025)</f>
        <v>391.07</v>
      </c>
      <c r="J139" s="21" t="n">
        <f aca="false">SUMIFS('SALES Raw'!$C$6:$C$603,'SALES Raw'!$E$6:$E$603,$A139,'SALES Raw'!$B$6:$B$603,2026)</f>
        <v>1</v>
      </c>
      <c r="K139" s="22" t="n">
        <f aca="false">SUMIFS('SALES Raw'!$D$6:$D$603,'SALES Raw'!$E$6:$E$603,$A139,'SALES Raw'!$B$6:$B$603,2026)</f>
        <v>135.88</v>
      </c>
      <c r="L139" s="21" t="n">
        <f aca="false">D139+H139</f>
        <v>4</v>
      </c>
      <c r="M139" s="22" t="n">
        <f aca="false">E139+I139</f>
        <v>501.67</v>
      </c>
      <c r="N139" s="21" t="n">
        <f aca="false">F139+J139</f>
        <v>2</v>
      </c>
      <c r="O139" s="22" t="n">
        <f aca="false">G139+K139</f>
        <v>271.78</v>
      </c>
    </row>
    <row r="140" customFormat="false" ht="15" hidden="false" customHeight="false" outlineLevel="0" collapsed="false">
      <c r="A140" s="20" t="n">
        <v>4408148</v>
      </c>
      <c r="B140" s="20" t="str">
        <f aca="false">IFERROR(INDEX('Catalog'!$B:$B,MATCH($A140,'Catalog'!$A:$A,0)),"")</f>
        <v>11PS XLחגורה למנותחי בטן</v>
      </c>
      <c r="C140" s="20" t="str">
        <f aca="false">IFERROR(INDEX('TRANS'!$A:$A,MATCH($A140,'TRANS'!$B:$B,0)),"")</f>
        <v>11PS XL</v>
      </c>
      <c r="D140" s="21" t="n">
        <f aca="false">SUMIFS('CEMI Raw'!$C$6:$C$1018,'CEMI Raw'!$E$6:$E$1018,$A140,'CEMI Raw'!$B$6:$B$1018,2025)</f>
        <v>2</v>
      </c>
      <c r="E140" s="22" t="n">
        <f aca="false">SUMIFS('CEMI Raw'!$D$6:$D$1018,'CEMI Raw'!$E$6:$E$1018,$A140,'CEMI Raw'!$B$6:$B$1018,2025)</f>
        <v>263.3</v>
      </c>
      <c r="F140" s="21" t="n">
        <f aca="false">SUMIFS('CEMI Raw'!$C$6:$C$1018,'CEMI Raw'!$E$6:$E$1018,$A140,'CEMI Raw'!$B$6:$B$1018,2026)</f>
        <v>0</v>
      </c>
      <c r="G140" s="22" t="n">
        <f aca="false">SUMIFS('CEMI Raw'!$D$6:$D$1018,'CEMI Raw'!$E$6:$E$1018,$A140,'CEMI Raw'!$B$6:$B$1018,2026)</f>
        <v>0</v>
      </c>
      <c r="H140" s="21" t="n">
        <f aca="false">SUMIFS('SALES Raw'!$C$6:$C$603,'SALES Raw'!$E$6:$E$603,$A140,'SALES Raw'!$B$6:$B$603,2025)</f>
        <v>4</v>
      </c>
      <c r="I140" s="22" t="n">
        <f aca="false">SUMIFS('SALES Raw'!$D$6:$D$603,'SALES Raw'!$E$6:$E$603,$A140,'SALES Raw'!$B$6:$B$603,2025)</f>
        <v>518.65</v>
      </c>
      <c r="J140" s="21" t="n">
        <f aca="false">SUMIFS('SALES Raw'!$C$6:$C$603,'SALES Raw'!$E$6:$E$603,$A140,'SALES Raw'!$B$6:$B$603,2026)</f>
        <v>0</v>
      </c>
      <c r="K140" s="22" t="n">
        <f aca="false">SUMIFS('SALES Raw'!$D$6:$D$603,'SALES Raw'!$E$6:$E$603,$A140,'SALES Raw'!$B$6:$B$603,2026)</f>
        <v>0</v>
      </c>
      <c r="L140" s="21" t="n">
        <f aca="false">D140+H140</f>
        <v>6</v>
      </c>
      <c r="M140" s="22" t="n">
        <f aca="false">E140+I140</f>
        <v>781.95</v>
      </c>
      <c r="N140" s="21" t="n">
        <f aca="false">F140+J140</f>
        <v>0</v>
      </c>
      <c r="O140" s="22" t="n">
        <f aca="false">G140+K140</f>
        <v>0</v>
      </c>
    </row>
    <row r="141" customFormat="false" ht="15" hidden="false" customHeight="false" outlineLevel="0" collapsed="false">
      <c r="A141" s="20" t="n">
        <v>4408149</v>
      </c>
      <c r="B141" s="20" t="str">
        <f aca="false">IFERROR(INDEX('Catalog'!$B:$B,MATCH($A141,'Catalog'!$A:$A,0)),"")</f>
        <v>11PS XXLחגורה למנותחי בטן</v>
      </c>
      <c r="C141" s="20" t="str">
        <f aca="false">IFERROR(INDEX('TRANS'!$A:$A,MATCH($A141,'TRANS'!$B:$B,0)),"")</f>
        <v>11PS XXL</v>
      </c>
      <c r="D141" s="21" t="n">
        <f aca="false">SUMIFS('CEMI Raw'!$C$6:$C$1018,'CEMI Raw'!$E$6:$E$1018,$A141,'CEMI Raw'!$B$6:$B$1018,2025)</f>
        <v>2</v>
      </c>
      <c r="E141" s="22" t="n">
        <f aca="false">SUMIFS('CEMI Raw'!$D$6:$D$1018,'CEMI Raw'!$E$6:$E$1018,$A141,'CEMI Raw'!$B$6:$B$1018,2025)</f>
        <v>271.8</v>
      </c>
      <c r="F141" s="21" t="n">
        <f aca="false">SUMIFS('CEMI Raw'!$C$6:$C$1018,'CEMI Raw'!$E$6:$E$1018,$A141,'CEMI Raw'!$B$6:$B$1018,2026)</f>
        <v>1</v>
      </c>
      <c r="G141" s="22" t="n">
        <f aca="false">SUMIFS('CEMI Raw'!$D$6:$D$1018,'CEMI Raw'!$E$6:$E$1018,$A141,'CEMI Raw'!$B$6:$B$1018,2026)</f>
        <v>135.9</v>
      </c>
      <c r="H141" s="21" t="n">
        <f aca="false">SUMIFS('SALES Raw'!$C$6:$C$603,'SALES Raw'!$E$6:$E$603,$A141,'SALES Raw'!$B$6:$B$603,2025)</f>
        <v>1</v>
      </c>
      <c r="I141" s="22" t="n">
        <f aca="false">SUMIFS('SALES Raw'!$D$6:$D$603,'SALES Raw'!$E$6:$E$603,$A141,'SALES Raw'!$B$6:$B$603,2025)</f>
        <v>135.88</v>
      </c>
      <c r="J141" s="21" t="n">
        <f aca="false">SUMIFS('SALES Raw'!$C$6:$C$603,'SALES Raw'!$E$6:$E$603,$A141,'SALES Raw'!$B$6:$B$603,2026)</f>
        <v>0</v>
      </c>
      <c r="K141" s="22" t="n">
        <f aca="false">SUMIFS('SALES Raw'!$D$6:$D$603,'SALES Raw'!$E$6:$E$603,$A141,'SALES Raw'!$B$6:$B$603,2026)</f>
        <v>0</v>
      </c>
      <c r="L141" s="21" t="n">
        <f aca="false">D141+H141</f>
        <v>3</v>
      </c>
      <c r="M141" s="22" t="n">
        <f aca="false">E141+I141</f>
        <v>407.68</v>
      </c>
      <c r="N141" s="21" t="n">
        <f aca="false">F141+J141</f>
        <v>1</v>
      </c>
      <c r="O141" s="22" t="n">
        <f aca="false">G141+K141</f>
        <v>135.9</v>
      </c>
    </row>
    <row r="142" customFormat="false" ht="15" hidden="false" customHeight="false" outlineLevel="0" collapsed="false">
      <c r="A142" s="20" t="n">
        <v>4408150</v>
      </c>
      <c r="B142" s="20" t="str">
        <f aca="false">IFERROR(INDEX('Catalog'!$B:$B,MATCH($A142,'Catalog'!$A:$A,0)),"")</f>
        <v>11TO S חגורה למנותחי בית החזה</v>
      </c>
      <c r="C142" s="20" t="str">
        <f aca="false">IFERROR(INDEX('TRANS'!$A:$A,MATCH($A142,'TRANS'!$B:$B,0)),"")</f>
        <v>11TO S</v>
      </c>
      <c r="D142" s="21" t="n">
        <f aca="false">SUMIFS('CEMI Raw'!$C$6:$C$1018,'CEMI Raw'!$E$6:$E$1018,$A142,'CEMI Raw'!$B$6:$B$1018,2025)</f>
        <v>-1</v>
      </c>
      <c r="E142" s="22" t="n">
        <f aca="false">SUMIFS('CEMI Raw'!$D$6:$D$1018,'CEMI Raw'!$E$6:$E$1018,$A142,'CEMI Raw'!$B$6:$B$1018,2025)</f>
        <v>-209.3</v>
      </c>
      <c r="F142" s="21" t="n">
        <f aca="false">SUMIFS('CEMI Raw'!$C$6:$C$1018,'CEMI Raw'!$E$6:$E$1018,$A142,'CEMI Raw'!$B$6:$B$1018,2026)</f>
        <v>0</v>
      </c>
      <c r="G142" s="22" t="n">
        <f aca="false">SUMIFS('CEMI Raw'!$D$6:$D$1018,'CEMI Raw'!$E$6:$E$1018,$A142,'CEMI Raw'!$B$6:$B$1018,2026)</f>
        <v>0</v>
      </c>
      <c r="H142" s="21" t="n">
        <f aca="false">SUMIFS('SALES Raw'!$C$6:$C$603,'SALES Raw'!$E$6:$E$603,$A142,'SALES Raw'!$B$6:$B$603,2025)</f>
        <v>0</v>
      </c>
      <c r="I142" s="22" t="n">
        <f aca="false">SUMIFS('SALES Raw'!$D$6:$D$603,'SALES Raw'!$E$6:$E$603,$A142,'SALES Raw'!$B$6:$B$603,2025)</f>
        <v>0</v>
      </c>
      <c r="J142" s="21" t="n">
        <f aca="false">SUMIFS('SALES Raw'!$C$6:$C$603,'SALES Raw'!$E$6:$E$603,$A142,'SALES Raw'!$B$6:$B$603,2026)</f>
        <v>0</v>
      </c>
      <c r="K142" s="22" t="n">
        <f aca="false">SUMIFS('SALES Raw'!$D$6:$D$603,'SALES Raw'!$E$6:$E$603,$A142,'SALES Raw'!$B$6:$B$603,2026)</f>
        <v>0</v>
      </c>
      <c r="L142" s="21" t="n">
        <f aca="false">D142+H142</f>
        <v>-1</v>
      </c>
      <c r="M142" s="22" t="n">
        <f aca="false">E142+I142</f>
        <v>-209.3</v>
      </c>
      <c r="N142" s="21" t="n">
        <f aca="false">F142+J142</f>
        <v>0</v>
      </c>
      <c r="O142" s="22" t="n">
        <f aca="false">G142+K142</f>
        <v>0</v>
      </c>
    </row>
    <row r="143" customFormat="false" ht="15" hidden="false" customHeight="false" outlineLevel="0" collapsed="false">
      <c r="A143" s="20" t="n">
        <v>4408151</v>
      </c>
      <c r="B143" s="20" t="str">
        <f aca="false">IFERROR(INDEX('Catalog'!$B:$B,MATCH($A143,'Catalog'!$A:$A,0)),"")</f>
        <v>11TO M חגורה למנותחי בית החזה</v>
      </c>
      <c r="C143" s="20" t="str">
        <f aca="false">IFERROR(INDEX('TRANS'!$A:$A,MATCH($A143,'TRANS'!$B:$B,0)),"")</f>
        <v>11TO M</v>
      </c>
      <c r="D143" s="21" t="n">
        <f aca="false">SUMIFS('CEMI Raw'!$C$6:$C$1018,'CEMI Raw'!$E$6:$E$1018,$A143,'CEMI Raw'!$B$6:$B$1018,2025)</f>
        <v>2</v>
      </c>
      <c r="E143" s="22" t="n">
        <f aca="false">SUMIFS('CEMI Raw'!$D$6:$D$1018,'CEMI Raw'!$E$6:$E$1018,$A143,'CEMI Raw'!$B$6:$B$1018,2025)</f>
        <v>282.6</v>
      </c>
      <c r="F143" s="21" t="n">
        <f aca="false">SUMIFS('CEMI Raw'!$C$6:$C$1018,'CEMI Raw'!$E$6:$E$1018,$A143,'CEMI Raw'!$B$6:$B$1018,2026)</f>
        <v>0</v>
      </c>
      <c r="G143" s="22" t="n">
        <f aca="false">SUMIFS('CEMI Raw'!$D$6:$D$1018,'CEMI Raw'!$E$6:$E$1018,$A143,'CEMI Raw'!$B$6:$B$1018,2026)</f>
        <v>31.4</v>
      </c>
      <c r="H143" s="21" t="n">
        <f aca="false">SUMIFS('SALES Raw'!$C$6:$C$603,'SALES Raw'!$E$6:$E$603,$A143,'SALES Raw'!$B$6:$B$603,2025)</f>
        <v>0</v>
      </c>
      <c r="I143" s="22" t="n">
        <f aca="false">SUMIFS('SALES Raw'!$D$6:$D$603,'SALES Raw'!$E$6:$E$603,$A143,'SALES Raw'!$B$6:$B$603,2025)</f>
        <v>0</v>
      </c>
      <c r="J143" s="21" t="n">
        <f aca="false">SUMIFS('SALES Raw'!$C$6:$C$603,'SALES Raw'!$E$6:$E$603,$A143,'SALES Raw'!$B$6:$B$603,2026)</f>
        <v>0</v>
      </c>
      <c r="K143" s="22" t="n">
        <f aca="false">SUMIFS('SALES Raw'!$D$6:$D$603,'SALES Raw'!$E$6:$E$603,$A143,'SALES Raw'!$B$6:$B$603,2026)</f>
        <v>0</v>
      </c>
      <c r="L143" s="21" t="n">
        <f aca="false">D143+H143</f>
        <v>2</v>
      </c>
      <c r="M143" s="22" t="n">
        <f aca="false">E143+I143</f>
        <v>282.6</v>
      </c>
      <c r="N143" s="21" t="n">
        <f aca="false">F143+J143</f>
        <v>0</v>
      </c>
      <c r="O143" s="22" t="n">
        <f aca="false">G143+K143</f>
        <v>31.4</v>
      </c>
    </row>
    <row r="144" customFormat="false" ht="15" hidden="false" customHeight="false" outlineLevel="0" collapsed="false">
      <c r="A144" s="20" t="n">
        <v>4408152</v>
      </c>
      <c r="B144" s="20" t="str">
        <f aca="false">IFERROR(INDEX('Catalog'!$B:$B,MATCH($A144,'Catalog'!$A:$A,0)),"")</f>
        <v>11TO L חגורה למנותחי בית החזה</v>
      </c>
      <c r="C144" s="20" t="str">
        <f aca="false">IFERROR(INDEX('TRANS'!$A:$A,MATCH($A144,'TRANS'!$B:$B,0)),"")</f>
        <v>11TO L</v>
      </c>
      <c r="D144" s="21" t="n">
        <f aca="false">SUMIFS('CEMI Raw'!$C$6:$C$1018,'CEMI Raw'!$E$6:$E$1018,$A144,'CEMI Raw'!$B$6:$B$1018,2025)</f>
        <v>8</v>
      </c>
      <c r="E144" s="22" t="n">
        <f aca="false">SUMIFS('CEMI Raw'!$D$6:$D$1018,'CEMI Raw'!$E$6:$E$1018,$A144,'CEMI Raw'!$B$6:$B$1018,2025)</f>
        <v>1118.9</v>
      </c>
      <c r="F144" s="21" t="n">
        <f aca="false">SUMIFS('CEMI Raw'!$C$6:$C$1018,'CEMI Raw'!$E$6:$E$1018,$A144,'CEMI Raw'!$B$6:$B$1018,2026)</f>
        <v>6</v>
      </c>
      <c r="G144" s="22" t="n">
        <f aca="false">SUMIFS('CEMI Raw'!$D$6:$D$1018,'CEMI Raw'!$E$6:$E$1018,$A144,'CEMI Raw'!$B$6:$B$1018,2026)</f>
        <v>920.9</v>
      </c>
      <c r="H144" s="21" t="n">
        <f aca="false">SUMIFS('SALES Raw'!$C$6:$C$603,'SALES Raw'!$E$6:$E$603,$A144,'SALES Raw'!$B$6:$B$603,2025)</f>
        <v>0</v>
      </c>
      <c r="I144" s="22" t="n">
        <f aca="false">SUMIFS('SALES Raw'!$D$6:$D$603,'SALES Raw'!$E$6:$E$603,$A144,'SALES Raw'!$B$6:$B$603,2025)</f>
        <v>0</v>
      </c>
      <c r="J144" s="21" t="n">
        <f aca="false">SUMIFS('SALES Raw'!$C$6:$C$603,'SALES Raw'!$E$6:$E$603,$A144,'SALES Raw'!$B$6:$B$603,2026)</f>
        <v>0</v>
      </c>
      <c r="K144" s="22" t="n">
        <f aca="false">SUMIFS('SALES Raw'!$D$6:$D$603,'SALES Raw'!$E$6:$E$603,$A144,'SALES Raw'!$B$6:$B$603,2026)</f>
        <v>0</v>
      </c>
      <c r="L144" s="21" t="n">
        <f aca="false">D144+H144</f>
        <v>8</v>
      </c>
      <c r="M144" s="22" t="n">
        <f aca="false">E144+I144</f>
        <v>1118.9</v>
      </c>
      <c r="N144" s="21" t="n">
        <f aca="false">F144+J144</f>
        <v>6</v>
      </c>
      <c r="O144" s="22" t="n">
        <f aca="false">G144+K144</f>
        <v>920.9</v>
      </c>
    </row>
    <row r="145" customFormat="false" ht="15" hidden="false" customHeight="false" outlineLevel="0" collapsed="false">
      <c r="A145" s="20" t="n">
        <v>4408153</v>
      </c>
      <c r="B145" s="20" t="str">
        <f aca="false">IFERROR(INDEX('Catalog'!$B:$B,MATCH($A145,'Catalog'!$A:$A,0)),"")</f>
        <v>11TO XLחגורה למנותחי בית החזה</v>
      </c>
      <c r="C145" s="20" t="str">
        <f aca="false">IFERROR(INDEX('TRANS'!$A:$A,MATCH($A145,'TRANS'!$B:$B,0)),"")</f>
        <v>11TO XL</v>
      </c>
      <c r="D145" s="21" t="n">
        <f aca="false">SUMIFS('CEMI Raw'!$C$6:$C$1018,'CEMI Raw'!$E$6:$E$1018,$A145,'CEMI Raw'!$B$6:$B$1018,2025)</f>
        <v>14</v>
      </c>
      <c r="E145" s="22" t="n">
        <f aca="false">SUMIFS('CEMI Raw'!$D$6:$D$1018,'CEMI Raw'!$E$6:$E$1018,$A145,'CEMI Raw'!$B$6:$B$1018,2025)</f>
        <v>2112</v>
      </c>
      <c r="F145" s="21" t="n">
        <f aca="false">SUMIFS('CEMI Raw'!$C$6:$C$1018,'CEMI Raw'!$E$6:$E$1018,$A145,'CEMI Raw'!$B$6:$B$1018,2026)</f>
        <v>11</v>
      </c>
      <c r="G145" s="22" t="n">
        <f aca="false">SUMIFS('CEMI Raw'!$D$6:$D$1018,'CEMI Raw'!$E$6:$E$1018,$A145,'CEMI Raw'!$B$6:$B$1018,2026)</f>
        <v>1726.7</v>
      </c>
      <c r="H145" s="21" t="n">
        <f aca="false">SUMIFS('SALES Raw'!$C$6:$C$603,'SALES Raw'!$E$6:$E$603,$A145,'SALES Raw'!$B$6:$B$603,2025)</f>
        <v>0</v>
      </c>
      <c r="I145" s="22" t="n">
        <f aca="false">SUMIFS('SALES Raw'!$D$6:$D$603,'SALES Raw'!$E$6:$E$603,$A145,'SALES Raw'!$B$6:$B$603,2025)</f>
        <v>0</v>
      </c>
      <c r="J145" s="21" t="n">
        <f aca="false">SUMIFS('SALES Raw'!$C$6:$C$603,'SALES Raw'!$E$6:$E$603,$A145,'SALES Raw'!$B$6:$B$603,2026)</f>
        <v>0</v>
      </c>
      <c r="K145" s="22" t="n">
        <f aca="false">SUMIFS('SALES Raw'!$D$6:$D$603,'SALES Raw'!$E$6:$E$603,$A145,'SALES Raw'!$B$6:$B$603,2026)</f>
        <v>0</v>
      </c>
      <c r="L145" s="21" t="n">
        <f aca="false">D145+H145</f>
        <v>14</v>
      </c>
      <c r="M145" s="22" t="n">
        <f aca="false">E145+I145</f>
        <v>2112</v>
      </c>
      <c r="N145" s="21" t="n">
        <f aca="false">F145+J145</f>
        <v>11</v>
      </c>
      <c r="O145" s="22" t="n">
        <f aca="false">G145+K145</f>
        <v>1726.7</v>
      </c>
    </row>
    <row r="146" customFormat="false" ht="15" hidden="false" customHeight="false" outlineLevel="0" collapsed="false">
      <c r="A146" s="20" t="n">
        <v>4408154</v>
      </c>
      <c r="B146" s="20" t="str">
        <f aca="false">IFERROR(INDEX('Catalog'!$B:$B,MATCH($A146,'Catalog'!$A:$A,0)),"")</f>
        <v>11TO XXLחגורה למנותחי בית החזה</v>
      </c>
      <c r="C146" s="20" t="str">
        <f aca="false">IFERROR(INDEX('TRANS'!$A:$A,MATCH($A146,'TRANS'!$B:$B,0)),"")</f>
        <v>11TO XXL</v>
      </c>
      <c r="D146" s="21" t="n">
        <f aca="false">SUMIFS('CEMI Raw'!$C$6:$C$1018,'CEMI Raw'!$E$6:$E$1018,$A146,'CEMI Raw'!$B$6:$B$1018,2025)</f>
        <v>6</v>
      </c>
      <c r="E146" s="22" t="n">
        <f aca="false">SUMIFS('CEMI Raw'!$D$6:$D$1018,'CEMI Raw'!$E$6:$E$1018,$A146,'CEMI Raw'!$B$6:$B$1018,2025)</f>
        <v>867.7</v>
      </c>
      <c r="F146" s="21" t="n">
        <f aca="false">SUMIFS('CEMI Raw'!$C$6:$C$1018,'CEMI Raw'!$E$6:$E$1018,$A146,'CEMI Raw'!$B$6:$B$1018,2026)</f>
        <v>5</v>
      </c>
      <c r="G146" s="22" t="n">
        <f aca="false">SUMIFS('CEMI Raw'!$D$6:$D$1018,'CEMI Raw'!$E$6:$E$1018,$A146,'CEMI Raw'!$B$6:$B$1018,2026)</f>
        <v>763.9</v>
      </c>
      <c r="H146" s="21" t="n">
        <f aca="false">SUMIFS('SALES Raw'!$C$6:$C$603,'SALES Raw'!$E$6:$E$603,$A146,'SALES Raw'!$B$6:$B$603,2025)</f>
        <v>1</v>
      </c>
      <c r="I146" s="22" t="n">
        <f aca="false">SUMIFS('SALES Raw'!$D$6:$D$603,'SALES Raw'!$E$6:$E$603,$A146,'SALES Raw'!$B$6:$B$603,2025)</f>
        <v>156.98</v>
      </c>
      <c r="J146" s="21" t="n">
        <f aca="false">SUMIFS('SALES Raw'!$C$6:$C$603,'SALES Raw'!$E$6:$E$603,$A146,'SALES Raw'!$B$6:$B$603,2026)</f>
        <v>0</v>
      </c>
      <c r="K146" s="22" t="n">
        <f aca="false">SUMIFS('SALES Raw'!$D$6:$D$603,'SALES Raw'!$E$6:$E$603,$A146,'SALES Raw'!$B$6:$B$603,2026)</f>
        <v>0</v>
      </c>
      <c r="L146" s="21" t="n">
        <f aca="false">D146+H146</f>
        <v>7</v>
      </c>
      <c r="M146" s="22" t="n">
        <f aca="false">E146+I146</f>
        <v>1024.68</v>
      </c>
      <c r="N146" s="21" t="n">
        <f aca="false">F146+J146</f>
        <v>5</v>
      </c>
      <c r="O146" s="22" t="n">
        <f aca="false">G146+K146</f>
        <v>763.9</v>
      </c>
    </row>
    <row r="147" customFormat="false" ht="15" hidden="false" customHeight="false" outlineLevel="0" collapsed="false">
      <c r="A147" s="20" t="n">
        <v>4408175</v>
      </c>
      <c r="B147" s="20" t="str">
        <f aca="false">IFERROR(INDEX('Catalog'!$B:$B,MATCH($A147,'Catalog'!$A:$A,0)),"")</f>
        <v>11 XS  חגורת בטן</v>
      </c>
      <c r="C147" s="20" t="str">
        <f aca="false">IFERROR(INDEX('TRANS'!$A:$A,MATCH($A147,'TRANS'!$B:$B,0)),"")</f>
        <v/>
      </c>
      <c r="D147" s="21" t="n">
        <f aca="false">SUMIFS('CEMI Raw'!$C$6:$C$1018,'CEMI Raw'!$E$6:$E$1018,$A147,'CEMI Raw'!$B$6:$B$1018,2025)</f>
        <v>2</v>
      </c>
      <c r="E147" s="22" t="n">
        <f aca="false">SUMIFS('CEMI Raw'!$D$6:$D$1018,'CEMI Raw'!$E$6:$E$1018,$A147,'CEMI Raw'!$B$6:$B$1018,2025)</f>
        <v>211.7</v>
      </c>
      <c r="F147" s="21" t="n">
        <f aca="false">SUMIFS('CEMI Raw'!$C$6:$C$1018,'CEMI Raw'!$E$6:$E$1018,$A147,'CEMI Raw'!$B$6:$B$1018,2026)</f>
        <v>0</v>
      </c>
      <c r="G147" s="22" t="n">
        <f aca="false">SUMIFS('CEMI Raw'!$D$6:$D$1018,'CEMI Raw'!$E$6:$E$1018,$A147,'CEMI Raw'!$B$6:$B$1018,2026)</f>
        <v>0</v>
      </c>
      <c r="H147" s="21" t="n">
        <f aca="false">SUMIFS('SALES Raw'!$C$6:$C$603,'SALES Raw'!$E$6:$E$603,$A147,'SALES Raw'!$B$6:$B$603,2025)</f>
        <v>0</v>
      </c>
      <c r="I147" s="22" t="n">
        <f aca="false">SUMIFS('SALES Raw'!$D$6:$D$603,'SALES Raw'!$E$6:$E$603,$A147,'SALES Raw'!$B$6:$B$603,2025)</f>
        <v>0</v>
      </c>
      <c r="J147" s="21" t="n">
        <f aca="false">SUMIFS('SALES Raw'!$C$6:$C$603,'SALES Raw'!$E$6:$E$603,$A147,'SALES Raw'!$B$6:$B$603,2026)</f>
        <v>0</v>
      </c>
      <c r="K147" s="22" t="n">
        <f aca="false">SUMIFS('SALES Raw'!$D$6:$D$603,'SALES Raw'!$E$6:$E$603,$A147,'SALES Raw'!$B$6:$B$603,2026)</f>
        <v>0</v>
      </c>
      <c r="L147" s="21" t="n">
        <f aca="false">D147+H147</f>
        <v>2</v>
      </c>
      <c r="M147" s="22" t="n">
        <f aca="false">E147+I147</f>
        <v>211.7</v>
      </c>
      <c r="N147" s="21" t="n">
        <f aca="false">F147+J147</f>
        <v>0</v>
      </c>
      <c r="O147" s="22" t="n">
        <f aca="false">G147+K147</f>
        <v>0</v>
      </c>
    </row>
    <row r="148" customFormat="false" ht="15" hidden="false" customHeight="false" outlineLevel="0" collapsed="false">
      <c r="A148" s="20" t="n">
        <v>4408177</v>
      </c>
      <c r="B148" s="20" t="str">
        <f aca="false">IFERROR(INDEX('Catalog'!$B:$B,MATCH($A148,'Catalog'!$A:$A,0)),"")</f>
        <v>13 M חגורה לשבר טבור</v>
      </c>
      <c r="C148" s="20" t="str">
        <f aca="false">IFERROR(INDEX('TRANS'!$A:$A,MATCH($A148,'TRANS'!$B:$B,0)),"")</f>
        <v/>
      </c>
      <c r="D148" s="21" t="n">
        <f aca="false">SUMIFS('CEMI Raw'!$C$6:$C$1018,'CEMI Raw'!$E$6:$E$1018,$A148,'CEMI Raw'!$B$6:$B$1018,2025)</f>
        <v>1</v>
      </c>
      <c r="E148" s="22" t="n">
        <f aca="false">SUMIFS('CEMI Raw'!$D$6:$D$1018,'CEMI Raw'!$E$6:$E$1018,$A148,'CEMI Raw'!$B$6:$B$1018,2025)</f>
        <v>157</v>
      </c>
      <c r="F148" s="21" t="n">
        <f aca="false">SUMIFS('CEMI Raw'!$C$6:$C$1018,'CEMI Raw'!$E$6:$E$1018,$A148,'CEMI Raw'!$B$6:$B$1018,2026)</f>
        <v>0</v>
      </c>
      <c r="G148" s="22" t="n">
        <f aca="false">SUMIFS('CEMI Raw'!$D$6:$D$1018,'CEMI Raw'!$E$6:$E$1018,$A148,'CEMI Raw'!$B$6:$B$1018,2026)</f>
        <v>0</v>
      </c>
      <c r="H148" s="21" t="n">
        <f aca="false">SUMIFS('SALES Raw'!$C$6:$C$603,'SALES Raw'!$E$6:$E$603,$A148,'SALES Raw'!$B$6:$B$603,2025)</f>
        <v>0</v>
      </c>
      <c r="I148" s="22" t="n">
        <f aca="false">SUMIFS('SALES Raw'!$D$6:$D$603,'SALES Raw'!$E$6:$E$603,$A148,'SALES Raw'!$B$6:$B$603,2025)</f>
        <v>0</v>
      </c>
      <c r="J148" s="21" t="n">
        <f aca="false">SUMIFS('SALES Raw'!$C$6:$C$603,'SALES Raw'!$E$6:$E$603,$A148,'SALES Raw'!$B$6:$B$603,2026)</f>
        <v>0</v>
      </c>
      <c r="K148" s="22" t="n">
        <f aca="false">SUMIFS('SALES Raw'!$D$6:$D$603,'SALES Raw'!$E$6:$E$603,$A148,'SALES Raw'!$B$6:$B$603,2026)</f>
        <v>0</v>
      </c>
      <c r="L148" s="21" t="n">
        <f aca="false">D148+H148</f>
        <v>1</v>
      </c>
      <c r="M148" s="22" t="n">
        <f aca="false">E148+I148</f>
        <v>157</v>
      </c>
      <c r="N148" s="21" t="n">
        <f aca="false">F148+J148</f>
        <v>0</v>
      </c>
      <c r="O148" s="22" t="n">
        <f aca="false">G148+K148</f>
        <v>0</v>
      </c>
    </row>
    <row r="149" customFormat="false" ht="15" hidden="false" customHeight="false" outlineLevel="0" collapsed="false">
      <c r="A149" s="20" t="n">
        <v>4408178</v>
      </c>
      <c r="B149" s="20" t="str">
        <f aca="false">IFERROR(INDEX('Catalog'!$B:$B,MATCH($A149,'Catalog'!$A:$A,0)),"")</f>
        <v>13 L חגורה לשבר טבור</v>
      </c>
      <c r="C149" s="20" t="str">
        <f aca="false">IFERROR(INDEX('TRANS'!$A:$A,MATCH($A149,'TRANS'!$B:$B,0)),"")</f>
        <v/>
      </c>
      <c r="D149" s="21" t="n">
        <f aca="false">SUMIFS('CEMI Raw'!$C$6:$C$1018,'CEMI Raw'!$E$6:$E$1018,$A149,'CEMI Raw'!$B$6:$B$1018,2025)</f>
        <v>1</v>
      </c>
      <c r="E149" s="22" t="n">
        <f aca="false">SUMIFS('CEMI Raw'!$D$6:$D$1018,'CEMI Raw'!$E$6:$E$1018,$A149,'CEMI Raw'!$B$6:$B$1018,2025)</f>
        <v>177.9</v>
      </c>
      <c r="F149" s="21" t="n">
        <f aca="false">SUMIFS('CEMI Raw'!$C$6:$C$1018,'CEMI Raw'!$E$6:$E$1018,$A149,'CEMI Raw'!$B$6:$B$1018,2026)</f>
        <v>0</v>
      </c>
      <c r="G149" s="22" t="n">
        <f aca="false">SUMIFS('CEMI Raw'!$D$6:$D$1018,'CEMI Raw'!$E$6:$E$1018,$A149,'CEMI Raw'!$B$6:$B$1018,2026)</f>
        <v>0</v>
      </c>
      <c r="H149" s="21" t="n">
        <f aca="false">SUMIFS('SALES Raw'!$C$6:$C$603,'SALES Raw'!$E$6:$E$603,$A149,'SALES Raw'!$B$6:$B$603,2025)</f>
        <v>0</v>
      </c>
      <c r="I149" s="22" t="n">
        <f aca="false">SUMIFS('SALES Raw'!$D$6:$D$603,'SALES Raw'!$E$6:$E$603,$A149,'SALES Raw'!$B$6:$B$603,2025)</f>
        <v>0</v>
      </c>
      <c r="J149" s="21" t="n">
        <f aca="false">SUMIFS('SALES Raw'!$C$6:$C$603,'SALES Raw'!$E$6:$E$603,$A149,'SALES Raw'!$B$6:$B$603,2026)</f>
        <v>0</v>
      </c>
      <c r="K149" s="22" t="n">
        <f aca="false">SUMIFS('SALES Raw'!$D$6:$D$603,'SALES Raw'!$E$6:$E$603,$A149,'SALES Raw'!$B$6:$B$603,2026)</f>
        <v>0</v>
      </c>
      <c r="L149" s="21" t="n">
        <f aca="false">D149+H149</f>
        <v>1</v>
      </c>
      <c r="M149" s="22" t="n">
        <f aca="false">E149+I149</f>
        <v>177.9</v>
      </c>
      <c r="N149" s="21" t="n">
        <f aca="false">F149+J149</f>
        <v>0</v>
      </c>
      <c r="O149" s="22" t="n">
        <f aca="false">G149+K149</f>
        <v>0</v>
      </c>
    </row>
    <row r="150" customFormat="false" ht="15" hidden="false" customHeight="false" outlineLevel="0" collapsed="false">
      <c r="A150" s="20" t="n">
        <v>4408179</v>
      </c>
      <c r="B150" s="20" t="str">
        <f aca="false">IFERROR(INDEX('Catalog'!$B:$B,MATCH($A150,'Catalog'!$A:$A,0)),"")</f>
        <v>13 XL חגורה לשבר טבור</v>
      </c>
      <c r="C150" s="20" t="str">
        <f aca="false">IFERROR(INDEX('TRANS'!$A:$A,MATCH($A150,'TRANS'!$B:$B,0)),"")</f>
        <v>13 XL</v>
      </c>
      <c r="D150" s="21" t="n">
        <f aca="false">SUMIFS('CEMI Raw'!$C$6:$C$1018,'CEMI Raw'!$E$6:$E$1018,$A150,'CEMI Raw'!$B$6:$B$1018,2025)</f>
        <v>3</v>
      </c>
      <c r="E150" s="22" t="n">
        <f aca="false">SUMIFS('CEMI Raw'!$D$6:$D$1018,'CEMI Raw'!$E$6:$E$1018,$A150,'CEMI Raw'!$B$6:$B$1018,2025)</f>
        <v>468.9</v>
      </c>
      <c r="F150" s="21" t="n">
        <f aca="false">SUMIFS('CEMI Raw'!$C$6:$C$1018,'CEMI Raw'!$E$6:$E$1018,$A150,'CEMI Raw'!$B$6:$B$1018,2026)</f>
        <v>1</v>
      </c>
      <c r="G150" s="22" t="n">
        <f aca="false">SUMIFS('CEMI Raw'!$D$6:$D$1018,'CEMI Raw'!$E$6:$E$1018,$A150,'CEMI Raw'!$B$6:$B$1018,2026)</f>
        <v>157</v>
      </c>
      <c r="H150" s="21" t="n">
        <f aca="false">SUMIFS('SALES Raw'!$C$6:$C$603,'SALES Raw'!$E$6:$E$603,$A150,'SALES Raw'!$B$6:$B$603,2025)</f>
        <v>0</v>
      </c>
      <c r="I150" s="22" t="n">
        <f aca="false">SUMIFS('SALES Raw'!$D$6:$D$603,'SALES Raw'!$E$6:$E$603,$A150,'SALES Raw'!$B$6:$B$603,2025)</f>
        <v>0</v>
      </c>
      <c r="J150" s="21" t="n">
        <f aca="false">SUMIFS('SALES Raw'!$C$6:$C$603,'SALES Raw'!$E$6:$E$603,$A150,'SALES Raw'!$B$6:$B$603,2026)</f>
        <v>3</v>
      </c>
      <c r="K150" s="22" t="n">
        <f aca="false">SUMIFS('SALES Raw'!$D$6:$D$603,'SALES Raw'!$E$6:$E$603,$A150,'SALES Raw'!$B$6:$B$603,2026)</f>
        <v>428.93</v>
      </c>
      <c r="L150" s="21" t="n">
        <f aca="false">D150+H150</f>
        <v>3</v>
      </c>
      <c r="M150" s="22" t="n">
        <f aca="false">E150+I150</f>
        <v>468.9</v>
      </c>
      <c r="N150" s="21" t="n">
        <f aca="false">F150+J150</f>
        <v>4</v>
      </c>
      <c r="O150" s="22" t="n">
        <f aca="false">G150+K150</f>
        <v>585.93</v>
      </c>
    </row>
    <row r="151" customFormat="false" ht="15" hidden="false" customHeight="false" outlineLevel="0" collapsed="false">
      <c r="A151" s="20" t="n">
        <v>4408180</v>
      </c>
      <c r="B151" s="20" t="str">
        <f aca="false">IFERROR(INDEX('Catalog'!$B:$B,MATCH($A151,'Catalog'!$A:$A,0)),"")</f>
        <v>13 XXL חגורה לשבר טבור</v>
      </c>
      <c r="C151" s="20" t="str">
        <f aca="false">IFERROR(INDEX('TRANS'!$A:$A,MATCH($A151,'TRANS'!$B:$B,0)),"")</f>
        <v>13 XXL</v>
      </c>
      <c r="D151" s="21" t="n">
        <f aca="false">SUMIFS('CEMI Raw'!$C$6:$C$1018,'CEMI Raw'!$E$6:$E$1018,$A151,'CEMI Raw'!$B$6:$B$1018,2025)</f>
        <v>3</v>
      </c>
      <c r="E151" s="22" t="n">
        <f aca="false">SUMIFS('CEMI Raw'!$D$6:$D$1018,'CEMI Raw'!$E$6:$E$1018,$A151,'CEMI Raw'!$B$6:$B$1018,2025)</f>
        <v>429.1</v>
      </c>
      <c r="F151" s="21" t="n">
        <f aca="false">SUMIFS('CEMI Raw'!$C$6:$C$1018,'CEMI Raw'!$E$6:$E$1018,$A151,'CEMI Raw'!$B$6:$B$1018,2026)</f>
        <v>1</v>
      </c>
      <c r="G151" s="22" t="n">
        <f aca="false">SUMIFS('CEMI Raw'!$D$6:$D$1018,'CEMI Raw'!$E$6:$E$1018,$A151,'CEMI Raw'!$B$6:$B$1018,2026)</f>
        <v>157</v>
      </c>
      <c r="H151" s="21" t="n">
        <f aca="false">SUMIFS('SALES Raw'!$C$6:$C$603,'SALES Raw'!$E$6:$E$603,$A151,'SALES Raw'!$B$6:$B$603,2025)</f>
        <v>0</v>
      </c>
      <c r="I151" s="22" t="n">
        <f aca="false">SUMIFS('SALES Raw'!$D$6:$D$603,'SALES Raw'!$E$6:$E$603,$A151,'SALES Raw'!$B$6:$B$603,2025)</f>
        <v>0</v>
      </c>
      <c r="J151" s="21" t="n">
        <f aca="false">SUMIFS('SALES Raw'!$C$6:$C$603,'SALES Raw'!$E$6:$E$603,$A151,'SALES Raw'!$B$6:$B$603,2026)</f>
        <v>0</v>
      </c>
      <c r="K151" s="22" t="n">
        <f aca="false">SUMIFS('SALES Raw'!$D$6:$D$603,'SALES Raw'!$E$6:$E$603,$A151,'SALES Raw'!$B$6:$B$603,2026)</f>
        <v>0</v>
      </c>
      <c r="L151" s="21" t="n">
        <f aca="false">D151+H151</f>
        <v>3</v>
      </c>
      <c r="M151" s="22" t="n">
        <f aca="false">E151+I151</f>
        <v>429.1</v>
      </c>
      <c r="N151" s="21" t="n">
        <f aca="false">F151+J151</f>
        <v>1</v>
      </c>
      <c r="O151" s="22" t="n">
        <f aca="false">G151+K151</f>
        <v>157</v>
      </c>
    </row>
    <row r="152" customFormat="false" ht="15" hidden="false" customHeight="false" outlineLevel="0" collapsed="false">
      <c r="A152" s="20" t="n">
        <v>4408190</v>
      </c>
      <c r="B152" s="20" t="str">
        <f aca="false">IFERROR(INDEX('Catalog'!$B:$B,MATCH($A152,'Catalog'!$A:$A,0)),"")</f>
        <v>M078 חגורת גב +סגירה כפולה</v>
      </c>
      <c r="C152" s="20" t="str">
        <f aca="false">IFERROR(INDEX('TRANS'!$A:$A,MATCH($A152,'TRANS'!$B:$B,0)),"")</f>
        <v>078 M</v>
      </c>
      <c r="D152" s="21" t="n">
        <f aca="false">SUMIFS('CEMI Raw'!$C$6:$C$1018,'CEMI Raw'!$E$6:$E$1018,$A152,'CEMI Raw'!$B$6:$B$1018,2025)</f>
        <v>86</v>
      </c>
      <c r="E152" s="22" t="n">
        <f aca="false">SUMIFS('CEMI Raw'!$D$6:$D$1018,'CEMI Raw'!$E$6:$E$1018,$A152,'CEMI Raw'!$B$6:$B$1018,2025)</f>
        <v>9536.7</v>
      </c>
      <c r="F152" s="21" t="n">
        <f aca="false">SUMIFS('CEMI Raw'!$C$6:$C$1018,'CEMI Raw'!$E$6:$E$1018,$A152,'CEMI Raw'!$B$6:$B$1018,2026)</f>
        <v>33</v>
      </c>
      <c r="G152" s="22" t="n">
        <f aca="false">SUMIFS('CEMI Raw'!$D$6:$D$1018,'CEMI Raw'!$E$6:$E$1018,$A152,'CEMI Raw'!$B$6:$B$1018,2026)</f>
        <v>3735.7</v>
      </c>
      <c r="H152" s="21" t="n">
        <f aca="false">SUMIFS('SALES Raw'!$C$6:$C$603,'SALES Raw'!$E$6:$E$603,$A152,'SALES Raw'!$B$6:$B$603,2025)</f>
        <v>0</v>
      </c>
      <c r="I152" s="22" t="n">
        <f aca="false">SUMIFS('SALES Raw'!$D$6:$D$603,'SALES Raw'!$E$6:$E$603,$A152,'SALES Raw'!$B$6:$B$603,2025)</f>
        <v>0</v>
      </c>
      <c r="J152" s="21" t="n">
        <f aca="false">SUMIFS('SALES Raw'!$C$6:$C$603,'SALES Raw'!$E$6:$E$603,$A152,'SALES Raw'!$B$6:$B$603,2026)</f>
        <v>0</v>
      </c>
      <c r="K152" s="22" t="n">
        <f aca="false">SUMIFS('SALES Raw'!$D$6:$D$603,'SALES Raw'!$E$6:$E$603,$A152,'SALES Raw'!$B$6:$B$603,2026)</f>
        <v>0</v>
      </c>
      <c r="L152" s="21" t="n">
        <f aca="false">D152+H152</f>
        <v>86</v>
      </c>
      <c r="M152" s="22" t="n">
        <f aca="false">E152+I152</f>
        <v>9536.7</v>
      </c>
      <c r="N152" s="21" t="n">
        <f aca="false">F152+J152</f>
        <v>33</v>
      </c>
      <c r="O152" s="22" t="n">
        <f aca="false">G152+K152</f>
        <v>3735.7</v>
      </c>
    </row>
    <row r="153" customFormat="false" ht="15" hidden="false" customHeight="false" outlineLevel="0" collapsed="false">
      <c r="A153" s="20" t="n">
        <v>4408192</v>
      </c>
      <c r="B153" s="20" t="str">
        <f aca="false">IFERROR(INDEX('Catalog'!$B:$B,MATCH($A153,'Catalog'!$A:$A,0)),"")</f>
        <v>078 L חגורת גב +סגירה</v>
      </c>
      <c r="C153" s="20" t="str">
        <f aca="false">IFERROR(INDEX('TRANS'!$A:$A,MATCH($A153,'TRANS'!$B:$B,0)),"")</f>
        <v>078 L</v>
      </c>
      <c r="D153" s="21" t="n">
        <f aca="false">SUMIFS('CEMI Raw'!$C$6:$C$1018,'CEMI Raw'!$E$6:$E$1018,$A153,'CEMI Raw'!$B$6:$B$1018,2025)</f>
        <v>139</v>
      </c>
      <c r="E153" s="22" t="n">
        <f aca="false">SUMIFS('CEMI Raw'!$D$6:$D$1018,'CEMI Raw'!$E$6:$E$1018,$A153,'CEMI Raw'!$B$6:$B$1018,2025)</f>
        <v>15439</v>
      </c>
      <c r="F153" s="21" t="n">
        <f aca="false">SUMIFS('CEMI Raw'!$C$6:$C$1018,'CEMI Raw'!$E$6:$E$1018,$A153,'CEMI Raw'!$B$6:$B$1018,2026)</f>
        <v>55</v>
      </c>
      <c r="G153" s="22" t="n">
        <f aca="false">SUMIFS('CEMI Raw'!$D$6:$D$1018,'CEMI Raw'!$E$6:$E$1018,$A153,'CEMI Raw'!$B$6:$B$1018,2026)</f>
        <v>6254.8</v>
      </c>
      <c r="H153" s="21" t="n">
        <f aca="false">SUMIFS('SALES Raw'!$C$6:$C$603,'SALES Raw'!$E$6:$E$603,$A153,'SALES Raw'!$B$6:$B$603,2025)</f>
        <v>1</v>
      </c>
      <c r="I153" s="22" t="n">
        <f aca="false">SUMIFS('SALES Raw'!$D$6:$D$603,'SALES Raw'!$E$6:$E$603,$A153,'SALES Raw'!$B$6:$B$603,2025)</f>
        <v>117.14</v>
      </c>
      <c r="J153" s="21" t="n">
        <f aca="false">SUMIFS('SALES Raw'!$C$6:$C$603,'SALES Raw'!$E$6:$E$603,$A153,'SALES Raw'!$B$6:$B$603,2026)</f>
        <v>1</v>
      </c>
      <c r="K153" s="22" t="n">
        <f aca="false">SUMIFS('SALES Raw'!$D$6:$D$603,'SALES Raw'!$E$6:$E$603,$A153,'SALES Raw'!$B$6:$B$603,2026)</f>
        <v>117.13</v>
      </c>
      <c r="L153" s="21" t="n">
        <f aca="false">D153+H153</f>
        <v>140</v>
      </c>
      <c r="M153" s="22" t="n">
        <f aca="false">E153+I153</f>
        <v>15556.14</v>
      </c>
      <c r="N153" s="21" t="n">
        <f aca="false">F153+J153</f>
        <v>56</v>
      </c>
      <c r="O153" s="22" t="n">
        <f aca="false">G153+K153</f>
        <v>6371.93</v>
      </c>
    </row>
    <row r="154" customFormat="false" ht="15" hidden="false" customHeight="false" outlineLevel="0" collapsed="false">
      <c r="A154" s="20" t="n">
        <v>4408203</v>
      </c>
      <c r="B154" s="20" t="str">
        <f aca="false">IFERROR(INDEX('Catalog'!$B:$B,MATCH($A154,'Catalog'!$A:$A,0)),"")</f>
        <v>14 0 חגורה למנותחי בית חזה</v>
      </c>
      <c r="C154" s="20" t="str">
        <f aca="false">IFERROR(INDEX('TRANS'!$A:$A,MATCH($A154,'TRANS'!$B:$B,0)),"")</f>
        <v>14 0</v>
      </c>
      <c r="D154" s="21" t="n">
        <f aca="false">SUMIFS('CEMI Raw'!$C$6:$C$1018,'CEMI Raw'!$E$6:$E$1018,$A154,'CEMI Raw'!$B$6:$B$1018,2025)</f>
        <v>6</v>
      </c>
      <c r="E154" s="22" t="n">
        <f aca="false">SUMIFS('CEMI Raw'!$D$6:$D$1018,'CEMI Raw'!$E$6:$E$1018,$A154,'CEMI Raw'!$B$6:$B$1018,2025)</f>
        <v>1467.5</v>
      </c>
      <c r="F154" s="21" t="n">
        <f aca="false">SUMIFS('CEMI Raw'!$C$6:$C$1018,'CEMI Raw'!$E$6:$E$1018,$A154,'CEMI Raw'!$B$6:$B$1018,2026)</f>
        <v>3</v>
      </c>
      <c r="G154" s="22" t="n">
        <f aca="false">SUMIFS('CEMI Raw'!$D$6:$D$1018,'CEMI Raw'!$E$6:$E$1018,$A154,'CEMI Raw'!$B$6:$B$1018,2026)</f>
        <v>774.8</v>
      </c>
      <c r="H154" s="21" t="n">
        <f aca="false">SUMIFS('SALES Raw'!$C$6:$C$603,'SALES Raw'!$E$6:$E$603,$A154,'SALES Raw'!$B$6:$B$603,2025)</f>
        <v>3</v>
      </c>
      <c r="I154" s="22" t="n">
        <f aca="false">SUMIFS('SALES Raw'!$D$6:$D$603,'SALES Raw'!$E$6:$E$603,$A154,'SALES Raw'!$B$6:$B$603,2025)</f>
        <v>694.88</v>
      </c>
      <c r="J154" s="21" t="n">
        <f aca="false">SUMIFS('SALES Raw'!$C$6:$C$603,'SALES Raw'!$E$6:$E$603,$A154,'SALES Raw'!$B$6:$B$603,2026)</f>
        <v>1</v>
      </c>
      <c r="K154" s="22" t="n">
        <f aca="false">SUMIFS('SALES Raw'!$D$6:$D$603,'SALES Raw'!$E$6:$E$603,$A154,'SALES Raw'!$B$6:$B$603,2026)</f>
        <v>262.45</v>
      </c>
      <c r="L154" s="21" t="n">
        <f aca="false">D154+H154</f>
        <v>9</v>
      </c>
      <c r="M154" s="22" t="n">
        <f aca="false">E154+I154</f>
        <v>2162.38</v>
      </c>
      <c r="N154" s="21" t="n">
        <f aca="false">F154+J154</f>
        <v>4</v>
      </c>
      <c r="O154" s="22" t="n">
        <f aca="false">G154+K154</f>
        <v>1037.25</v>
      </c>
    </row>
    <row r="155" customFormat="false" ht="15" hidden="false" customHeight="false" outlineLevel="0" collapsed="false">
      <c r="A155" s="20" t="n">
        <v>4408205</v>
      </c>
      <c r="B155" s="20" t="str">
        <f aca="false">IFERROR(INDEX('Catalog'!$B:$B,MATCH($A155,'Catalog'!$A:$A,0)),"")</f>
        <v>AC-07 חגורת גב עם תמיכות</v>
      </c>
      <c r="C155" s="20" t="str">
        <f aca="false">IFERROR(INDEX('TRANS'!$A:$A,MATCH($A155,'TRANS'!$B:$B,0)),"")</f>
        <v>AC07 0</v>
      </c>
      <c r="D155" s="21" t="n">
        <f aca="false">SUMIFS('CEMI Raw'!$C$6:$C$1018,'CEMI Raw'!$E$6:$E$1018,$A155,'CEMI Raw'!$B$6:$B$1018,2025)</f>
        <v>1110</v>
      </c>
      <c r="E155" s="22" t="n">
        <f aca="false">SUMIFS('CEMI Raw'!$D$6:$D$1018,'CEMI Raw'!$E$6:$E$1018,$A155,'CEMI Raw'!$B$6:$B$1018,2025)</f>
        <v>94616.3</v>
      </c>
      <c r="F155" s="21" t="n">
        <f aca="false">SUMIFS('CEMI Raw'!$C$6:$C$1018,'CEMI Raw'!$E$6:$E$1018,$A155,'CEMI Raw'!$B$6:$B$1018,2026)</f>
        <v>802</v>
      </c>
      <c r="G155" s="22" t="n">
        <f aca="false">SUMIFS('CEMI Raw'!$D$6:$D$1018,'CEMI Raw'!$E$6:$E$1018,$A155,'CEMI Raw'!$B$6:$B$1018,2026)</f>
        <v>69090.9</v>
      </c>
      <c r="H155" s="21" t="n">
        <f aca="false">SUMIFS('SALES Raw'!$C$6:$C$603,'SALES Raw'!$E$6:$E$603,$A155,'SALES Raw'!$B$6:$B$603,2025)</f>
        <v>31</v>
      </c>
      <c r="I155" s="22" t="n">
        <f aca="false">SUMIFS('SALES Raw'!$D$6:$D$603,'SALES Raw'!$E$6:$E$603,$A155,'SALES Raw'!$B$6:$B$603,2025)</f>
        <v>2810.95</v>
      </c>
      <c r="J155" s="21" t="n">
        <f aca="false">SUMIFS('SALES Raw'!$C$6:$C$603,'SALES Raw'!$E$6:$E$603,$A155,'SALES Raw'!$B$6:$B$603,2026)</f>
        <v>19</v>
      </c>
      <c r="K155" s="22" t="n">
        <f aca="false">SUMIFS('SALES Raw'!$D$6:$D$603,'SALES Raw'!$E$6:$E$603,$A155,'SALES Raw'!$B$6:$B$603,2026)</f>
        <v>1624.32</v>
      </c>
      <c r="L155" s="21" t="n">
        <f aca="false">D155+H155</f>
        <v>1141</v>
      </c>
      <c r="M155" s="22" t="n">
        <f aca="false">E155+I155</f>
        <v>97427.25</v>
      </c>
      <c r="N155" s="21" t="n">
        <f aca="false">F155+J155</f>
        <v>821</v>
      </c>
      <c r="O155" s="22" t="n">
        <f aca="false">G155+K155</f>
        <v>70715.22</v>
      </c>
    </row>
    <row r="156" customFormat="false" ht="15" hidden="false" customHeight="false" outlineLevel="0" collapsed="false">
      <c r="A156" s="20" t="n">
        <v>4408206</v>
      </c>
      <c r="B156" s="20" t="str">
        <f aca="false">IFERROR(INDEX('Catalog'!$B:$B,MATCH($A156,'Catalog'!$A:$A,0)),"")</f>
        <v>AC-11 חגורת בטן קלה</v>
      </c>
      <c r="C156" s="20" t="str">
        <f aca="false">IFERROR(INDEX('TRANS'!$A:$A,MATCH($A156,'TRANS'!$B:$B,0)),"")</f>
        <v>AC11 0</v>
      </c>
      <c r="D156" s="21" t="n">
        <f aca="false">SUMIFS('CEMI Raw'!$C$6:$C$1018,'CEMI Raw'!$E$6:$E$1018,$A156,'CEMI Raw'!$B$6:$B$1018,2025)</f>
        <v>224</v>
      </c>
      <c r="E156" s="22" t="n">
        <f aca="false">SUMIFS('CEMI Raw'!$D$6:$D$1018,'CEMI Raw'!$E$6:$E$1018,$A156,'CEMI Raw'!$B$6:$B$1018,2025)</f>
        <v>14959.2</v>
      </c>
      <c r="F156" s="21" t="n">
        <f aca="false">SUMIFS('CEMI Raw'!$C$6:$C$1018,'CEMI Raw'!$E$6:$E$1018,$A156,'CEMI Raw'!$B$6:$B$1018,2026)</f>
        <v>161</v>
      </c>
      <c r="G156" s="22" t="n">
        <f aca="false">SUMIFS('CEMI Raw'!$D$6:$D$1018,'CEMI Raw'!$E$6:$E$1018,$A156,'CEMI Raw'!$B$6:$B$1018,2026)</f>
        <v>10810.9</v>
      </c>
      <c r="H156" s="21" t="n">
        <f aca="false">SUMIFS('SALES Raw'!$C$6:$C$603,'SALES Raw'!$E$6:$E$603,$A156,'SALES Raw'!$B$6:$B$603,2025)</f>
        <v>0</v>
      </c>
      <c r="I156" s="22" t="n">
        <f aca="false">SUMIFS('SALES Raw'!$D$6:$D$603,'SALES Raw'!$E$6:$E$603,$A156,'SALES Raw'!$B$6:$B$603,2025)</f>
        <v>0</v>
      </c>
      <c r="J156" s="21" t="n">
        <f aca="false">SUMIFS('SALES Raw'!$C$6:$C$603,'SALES Raw'!$E$6:$E$603,$A156,'SALES Raw'!$B$6:$B$603,2026)</f>
        <v>0</v>
      </c>
      <c r="K156" s="22" t="n">
        <f aca="false">SUMIFS('SALES Raw'!$D$6:$D$603,'SALES Raw'!$E$6:$E$603,$A156,'SALES Raw'!$B$6:$B$603,2026)</f>
        <v>0</v>
      </c>
      <c r="L156" s="21" t="n">
        <f aca="false">D156+H156</f>
        <v>224</v>
      </c>
      <c r="M156" s="22" t="n">
        <f aca="false">E156+I156</f>
        <v>14959.2</v>
      </c>
      <c r="N156" s="21" t="n">
        <f aca="false">F156+J156</f>
        <v>161</v>
      </c>
      <c r="O156" s="22" t="n">
        <f aca="false">G156+K156</f>
        <v>10810.9</v>
      </c>
    </row>
    <row r="157" customFormat="false" ht="15" hidden="false" customHeight="false" outlineLevel="0" collapsed="false">
      <c r="A157" s="20" t="n">
        <v>4408207</v>
      </c>
      <c r="B157" s="20" t="str">
        <f aca="false">IFERROR(INDEX('Catalog'!$B:$B,MATCH($A157,'Catalog'!$A:$A,0)),"")</f>
        <v>AC-25 חבק לשורש כף היד</v>
      </c>
      <c r="C157" s="20" t="str">
        <f aca="false">IFERROR(INDEX('TRANS'!$A:$A,MATCH($A157,'TRANS'!$B:$B,0)),"")</f>
        <v>AC25 0</v>
      </c>
      <c r="D157" s="21" t="n">
        <f aca="false">SUMIFS('CEMI Raw'!$C$6:$C$1018,'CEMI Raw'!$E$6:$E$1018,$A157,'CEMI Raw'!$B$6:$B$1018,2025)</f>
        <v>1143</v>
      </c>
      <c r="E157" s="22" t="n">
        <f aca="false">SUMIFS('CEMI Raw'!$D$6:$D$1018,'CEMI Raw'!$E$6:$E$1018,$A157,'CEMI Raw'!$B$6:$B$1018,2025)</f>
        <v>36486.6</v>
      </c>
      <c r="F157" s="21" t="n">
        <f aca="false">SUMIFS('CEMI Raw'!$C$6:$C$1018,'CEMI Raw'!$E$6:$E$1018,$A157,'CEMI Raw'!$B$6:$B$1018,2026)</f>
        <v>801</v>
      </c>
      <c r="G157" s="22" t="n">
        <f aca="false">SUMIFS('CEMI Raw'!$D$6:$D$1018,'CEMI Raw'!$E$6:$E$1018,$A157,'CEMI Raw'!$B$6:$B$1018,2026)</f>
        <v>26891.9</v>
      </c>
      <c r="H157" s="21" t="n">
        <f aca="false">SUMIFS('SALES Raw'!$C$6:$C$603,'SALES Raw'!$E$6:$E$603,$A157,'SALES Raw'!$B$6:$B$603,2025)</f>
        <v>24</v>
      </c>
      <c r="I157" s="22" t="n">
        <f aca="false">SUMIFS('SALES Raw'!$D$6:$D$603,'SALES Raw'!$E$6:$E$603,$A157,'SALES Raw'!$B$6:$B$603,2025)</f>
        <v>892.1</v>
      </c>
      <c r="J157" s="21" t="n">
        <f aca="false">SUMIFS('SALES Raw'!$C$6:$C$603,'SALES Raw'!$E$6:$E$603,$A157,'SALES Raw'!$B$6:$B$603,2026)</f>
        <v>32</v>
      </c>
      <c r="K157" s="22" t="n">
        <f aca="false">SUMIFS('SALES Raw'!$D$6:$D$603,'SALES Raw'!$E$6:$E$603,$A157,'SALES Raw'!$B$6:$B$603,2026)</f>
        <v>1198.58</v>
      </c>
      <c r="L157" s="21" t="n">
        <f aca="false">D157+H157</f>
        <v>1167</v>
      </c>
      <c r="M157" s="22" t="n">
        <f aca="false">E157+I157</f>
        <v>37378.7</v>
      </c>
      <c r="N157" s="21" t="n">
        <f aca="false">F157+J157</f>
        <v>833</v>
      </c>
      <c r="O157" s="22" t="n">
        <f aca="false">G157+K157</f>
        <v>28090.48</v>
      </c>
    </row>
    <row r="158" customFormat="false" ht="15" hidden="false" customHeight="false" outlineLevel="0" collapsed="false">
      <c r="A158" s="20" t="n">
        <v>4408208</v>
      </c>
      <c r="B158" s="20" t="str">
        <f aca="false">IFERROR(INDEX('Catalog'!$B:$B,MATCH($A158,'Catalog'!$A:$A,0)),"")</f>
        <v>AC91 חבק טניס</v>
      </c>
      <c r="C158" s="20" t="str">
        <f aca="false">IFERROR(INDEX('TRANS'!$A:$A,MATCH($A158,'TRANS'!$B:$B,0)),"")</f>
        <v>AC91 0</v>
      </c>
      <c r="D158" s="21" t="n">
        <f aca="false">SUMIFS('CEMI Raw'!$C$6:$C$1018,'CEMI Raw'!$E$6:$E$1018,$A158,'CEMI Raw'!$B$6:$B$1018,2025)</f>
        <v>394</v>
      </c>
      <c r="E158" s="22" t="n">
        <f aca="false">SUMIFS('CEMI Raw'!$D$6:$D$1018,'CEMI Raw'!$E$6:$E$1018,$A158,'CEMI Raw'!$B$6:$B$1018,2025)</f>
        <v>14192.7</v>
      </c>
      <c r="F158" s="21" t="n">
        <f aca="false">SUMIFS('CEMI Raw'!$C$6:$C$1018,'CEMI Raw'!$E$6:$E$1018,$A158,'CEMI Raw'!$B$6:$B$1018,2026)</f>
        <v>314</v>
      </c>
      <c r="G158" s="22" t="n">
        <f aca="false">SUMIFS('CEMI Raw'!$D$6:$D$1018,'CEMI Raw'!$E$6:$E$1018,$A158,'CEMI Raw'!$B$6:$B$1018,2026)</f>
        <v>11799.5</v>
      </c>
      <c r="H158" s="21" t="n">
        <f aca="false">SUMIFS('SALES Raw'!$C$6:$C$603,'SALES Raw'!$E$6:$E$603,$A158,'SALES Raw'!$B$6:$B$603,2025)</f>
        <v>73</v>
      </c>
      <c r="I158" s="22" t="n">
        <f aca="false">SUMIFS('SALES Raw'!$D$6:$D$603,'SALES Raw'!$E$6:$E$603,$A158,'SALES Raw'!$B$6:$B$603,2025)</f>
        <v>2644.62</v>
      </c>
      <c r="J158" s="21" t="n">
        <f aca="false">SUMIFS('SALES Raw'!$C$6:$C$603,'SALES Raw'!$E$6:$E$603,$A158,'SALES Raw'!$B$6:$B$603,2026)</f>
        <v>33</v>
      </c>
      <c r="K158" s="22" t="n">
        <f aca="false">SUMIFS('SALES Raw'!$D$6:$D$603,'SALES Raw'!$E$6:$E$603,$A158,'SALES Raw'!$B$6:$B$603,2026)</f>
        <v>1313.22</v>
      </c>
      <c r="L158" s="21" t="n">
        <f aca="false">D158+H158</f>
        <v>467</v>
      </c>
      <c r="M158" s="22" t="n">
        <f aca="false">E158+I158</f>
        <v>16837.32</v>
      </c>
      <c r="N158" s="21" t="n">
        <f aca="false">F158+J158</f>
        <v>347</v>
      </c>
      <c r="O158" s="22" t="n">
        <f aca="false">G158+K158</f>
        <v>13112.72</v>
      </c>
    </row>
    <row r="159" customFormat="false" ht="15" hidden="false" customHeight="false" outlineLevel="0" collapsed="false">
      <c r="A159" s="20" t="n">
        <v>4408217</v>
      </c>
      <c r="B159" s="20" t="str">
        <f aca="false">IFERROR(INDEX('Catalog'!$B:$B,MATCH($A159,'Catalog'!$A:$A,0)),"")</f>
        <v>S078 חגורת גב +סגירה כפולה</v>
      </c>
      <c r="C159" s="20" t="str">
        <f aca="false">IFERROR(INDEX('TRANS'!$A:$A,MATCH($A159,'TRANS'!$B:$B,0)),"")</f>
        <v>078 S</v>
      </c>
      <c r="D159" s="21" t="n">
        <f aca="false">SUMIFS('CEMI Raw'!$C$6:$C$1018,'CEMI Raw'!$E$6:$E$1018,$A159,'CEMI Raw'!$B$6:$B$1018,2025)</f>
        <v>21</v>
      </c>
      <c r="E159" s="22" t="n">
        <f aca="false">SUMIFS('CEMI Raw'!$D$6:$D$1018,'CEMI Raw'!$E$6:$E$1018,$A159,'CEMI Raw'!$B$6:$B$1018,2025)</f>
        <v>2324.2</v>
      </c>
      <c r="F159" s="21" t="n">
        <f aca="false">SUMIFS('CEMI Raw'!$C$6:$C$1018,'CEMI Raw'!$E$6:$E$1018,$A159,'CEMI Raw'!$B$6:$B$1018,2026)</f>
        <v>8</v>
      </c>
      <c r="G159" s="22" t="n">
        <f aca="false">SUMIFS('CEMI Raw'!$D$6:$D$1018,'CEMI Raw'!$E$6:$E$1018,$A159,'CEMI Raw'!$B$6:$B$1018,2026)</f>
        <v>858.9</v>
      </c>
      <c r="H159" s="21" t="n">
        <f aca="false">SUMIFS('SALES Raw'!$C$6:$C$603,'SALES Raw'!$E$6:$E$603,$A159,'SALES Raw'!$B$6:$B$603,2025)</f>
        <v>0</v>
      </c>
      <c r="I159" s="22" t="n">
        <f aca="false">SUMIFS('SALES Raw'!$D$6:$D$603,'SALES Raw'!$E$6:$E$603,$A159,'SALES Raw'!$B$6:$B$603,2025)</f>
        <v>0</v>
      </c>
      <c r="J159" s="21" t="n">
        <f aca="false">SUMIFS('SALES Raw'!$C$6:$C$603,'SALES Raw'!$E$6:$E$603,$A159,'SALES Raw'!$B$6:$B$603,2026)</f>
        <v>0</v>
      </c>
      <c r="K159" s="22" t="n">
        <f aca="false">SUMIFS('SALES Raw'!$D$6:$D$603,'SALES Raw'!$E$6:$E$603,$A159,'SALES Raw'!$B$6:$B$603,2026)</f>
        <v>0</v>
      </c>
      <c r="L159" s="21" t="n">
        <f aca="false">D159+H159</f>
        <v>21</v>
      </c>
      <c r="M159" s="22" t="n">
        <f aca="false">E159+I159</f>
        <v>2324.2</v>
      </c>
      <c r="N159" s="21" t="n">
        <f aca="false">F159+J159</f>
        <v>8</v>
      </c>
      <c r="O159" s="22" t="n">
        <f aca="false">G159+K159</f>
        <v>858.9</v>
      </c>
    </row>
    <row r="160" customFormat="false" ht="15" hidden="false" customHeight="false" outlineLevel="0" collapsed="false">
      <c r="A160" s="20" t="n">
        <v>4408218</v>
      </c>
      <c r="B160" s="20" t="str">
        <f aca="false">IFERROR(INDEX('Catalog'!$B:$B,MATCH($A160,'Catalog'!$A:$A,0)),"")</f>
        <v>078XL חגורת גב +סגירה כפולה</v>
      </c>
      <c r="C160" s="20" t="str">
        <f aca="false">IFERROR(INDEX('TRANS'!$A:$A,MATCH($A160,'TRANS'!$B:$B,0)),"")</f>
        <v>078 XL</v>
      </c>
      <c r="D160" s="21" t="n">
        <f aca="false">SUMIFS('CEMI Raw'!$C$6:$C$1018,'CEMI Raw'!$E$6:$E$1018,$A160,'CEMI Raw'!$B$6:$B$1018,2025)</f>
        <v>121</v>
      </c>
      <c r="E160" s="22" t="n">
        <f aca="false">SUMIFS('CEMI Raw'!$D$6:$D$1018,'CEMI Raw'!$E$6:$E$1018,$A160,'CEMI Raw'!$B$6:$B$1018,2025)</f>
        <v>13380.2</v>
      </c>
      <c r="F160" s="21" t="n">
        <f aca="false">SUMIFS('CEMI Raw'!$C$6:$C$1018,'CEMI Raw'!$E$6:$E$1018,$A160,'CEMI Raw'!$B$6:$B$1018,2026)</f>
        <v>52</v>
      </c>
      <c r="G160" s="22" t="n">
        <f aca="false">SUMIFS('CEMI Raw'!$D$6:$D$1018,'CEMI Raw'!$E$6:$E$1018,$A160,'CEMI Raw'!$B$6:$B$1018,2026)</f>
        <v>5965.9</v>
      </c>
      <c r="H160" s="21" t="n">
        <f aca="false">SUMIFS('SALES Raw'!$C$6:$C$603,'SALES Raw'!$E$6:$E$603,$A160,'SALES Raw'!$B$6:$B$603,2025)</f>
        <v>0</v>
      </c>
      <c r="I160" s="22" t="n">
        <f aca="false">SUMIFS('SALES Raw'!$D$6:$D$603,'SALES Raw'!$E$6:$E$603,$A160,'SALES Raw'!$B$6:$B$603,2025)</f>
        <v>0</v>
      </c>
      <c r="J160" s="21" t="n">
        <f aca="false">SUMIFS('SALES Raw'!$C$6:$C$603,'SALES Raw'!$E$6:$E$603,$A160,'SALES Raw'!$B$6:$B$603,2026)</f>
        <v>1</v>
      </c>
      <c r="K160" s="22" t="n">
        <f aca="false">SUMIFS('SALES Raw'!$D$6:$D$603,'SALES Raw'!$E$6:$E$603,$A160,'SALES Raw'!$B$6:$B$603,2026)</f>
        <v>117.14</v>
      </c>
      <c r="L160" s="21" t="n">
        <f aca="false">D160+H160</f>
        <v>121</v>
      </c>
      <c r="M160" s="22" t="n">
        <f aca="false">E160+I160</f>
        <v>13380.2</v>
      </c>
      <c r="N160" s="21" t="n">
        <f aca="false">F160+J160</f>
        <v>53</v>
      </c>
      <c r="O160" s="22" t="n">
        <f aca="false">G160+K160</f>
        <v>6083.04</v>
      </c>
    </row>
    <row r="161" customFormat="false" ht="15" hidden="false" customHeight="false" outlineLevel="0" collapsed="false">
      <c r="A161" s="20" t="n">
        <v>4408219</v>
      </c>
      <c r="B161" s="20" t="str">
        <f aca="false">IFERROR(INDEX('Catalog'!$B:$B,MATCH($A161,'Catalog'!$A:$A,0)),"")</f>
        <v>078G-S חגורת גב אפורה</v>
      </c>
      <c r="C161" s="20" t="str">
        <f aca="false">IFERROR(INDEX('TRANS'!$A:$A,MATCH($A161,'TRANS'!$B:$B,0)),"")</f>
        <v>078G S</v>
      </c>
      <c r="D161" s="21" t="n">
        <f aca="false">SUMIFS('CEMI Raw'!$C$6:$C$1018,'CEMI Raw'!$E$6:$E$1018,$A161,'CEMI Raw'!$B$6:$B$1018,2025)</f>
        <v>5</v>
      </c>
      <c r="E161" s="22" t="n">
        <f aca="false">SUMIFS('CEMI Raw'!$D$6:$D$1018,'CEMI Raw'!$E$6:$E$1018,$A161,'CEMI Raw'!$B$6:$B$1018,2025)</f>
        <v>577.8</v>
      </c>
      <c r="F161" s="21" t="n">
        <f aca="false">SUMIFS('CEMI Raw'!$C$6:$C$1018,'CEMI Raw'!$E$6:$E$1018,$A161,'CEMI Raw'!$B$6:$B$1018,2026)</f>
        <v>5</v>
      </c>
      <c r="G161" s="22" t="n">
        <f aca="false">SUMIFS('CEMI Raw'!$D$6:$D$1018,'CEMI Raw'!$E$6:$E$1018,$A161,'CEMI Raw'!$B$6:$B$1018,2026)</f>
        <v>554.4</v>
      </c>
      <c r="H161" s="21" t="n">
        <f aca="false">SUMIFS('SALES Raw'!$C$6:$C$603,'SALES Raw'!$E$6:$E$603,$A161,'SALES Raw'!$B$6:$B$603,2025)</f>
        <v>0</v>
      </c>
      <c r="I161" s="22" t="n">
        <f aca="false">SUMIFS('SALES Raw'!$D$6:$D$603,'SALES Raw'!$E$6:$E$603,$A161,'SALES Raw'!$B$6:$B$603,2025)</f>
        <v>0</v>
      </c>
      <c r="J161" s="21" t="n">
        <f aca="false">SUMIFS('SALES Raw'!$C$6:$C$603,'SALES Raw'!$E$6:$E$603,$A161,'SALES Raw'!$B$6:$B$603,2026)</f>
        <v>0</v>
      </c>
      <c r="K161" s="22" t="n">
        <f aca="false">SUMIFS('SALES Raw'!$D$6:$D$603,'SALES Raw'!$E$6:$E$603,$A161,'SALES Raw'!$B$6:$B$603,2026)</f>
        <v>0</v>
      </c>
      <c r="L161" s="21" t="n">
        <f aca="false">D161+H161</f>
        <v>5</v>
      </c>
      <c r="M161" s="22" t="n">
        <f aca="false">E161+I161</f>
        <v>577.8</v>
      </c>
      <c r="N161" s="21" t="n">
        <f aca="false">F161+J161</f>
        <v>5</v>
      </c>
      <c r="O161" s="22" t="n">
        <f aca="false">G161+K161</f>
        <v>554.4</v>
      </c>
    </row>
    <row r="162" customFormat="false" ht="15" hidden="false" customHeight="false" outlineLevel="0" collapsed="false">
      <c r="A162" s="20" t="n">
        <v>4408220</v>
      </c>
      <c r="B162" s="20" t="str">
        <f aca="false">IFERROR(INDEX('Catalog'!$B:$B,MATCH($A162,'Catalog'!$A:$A,0)),"")</f>
        <v>078G-M חגורת גב אפורה</v>
      </c>
      <c r="C162" s="20" t="str">
        <f aca="false">IFERROR(INDEX('TRANS'!$A:$A,MATCH($A162,'TRANS'!$B:$B,0)),"")</f>
        <v>078G M</v>
      </c>
      <c r="D162" s="21" t="n">
        <f aca="false">SUMIFS('CEMI Raw'!$C$6:$C$1018,'CEMI Raw'!$E$6:$E$1018,$A162,'CEMI Raw'!$B$6:$B$1018,2025)</f>
        <v>27</v>
      </c>
      <c r="E162" s="22" t="n">
        <f aca="false">SUMIFS('CEMI Raw'!$D$6:$D$1018,'CEMI Raw'!$E$6:$E$1018,$A162,'CEMI Raw'!$B$6:$B$1018,2025)</f>
        <v>2977.7</v>
      </c>
      <c r="F162" s="21" t="n">
        <f aca="false">SUMIFS('CEMI Raw'!$C$6:$C$1018,'CEMI Raw'!$E$6:$E$1018,$A162,'CEMI Raw'!$B$6:$B$1018,2026)</f>
        <v>27</v>
      </c>
      <c r="G162" s="22" t="n">
        <f aca="false">SUMIFS('CEMI Raw'!$D$6:$D$1018,'CEMI Raw'!$E$6:$E$1018,$A162,'CEMI Raw'!$B$6:$B$1018,2026)</f>
        <v>3009.4</v>
      </c>
      <c r="H162" s="21" t="n">
        <f aca="false">SUMIFS('SALES Raw'!$C$6:$C$603,'SALES Raw'!$E$6:$E$603,$A162,'SALES Raw'!$B$6:$B$603,2025)</f>
        <v>0</v>
      </c>
      <c r="I162" s="22" t="n">
        <f aca="false">SUMIFS('SALES Raw'!$D$6:$D$603,'SALES Raw'!$E$6:$E$603,$A162,'SALES Raw'!$B$6:$B$603,2025)</f>
        <v>0</v>
      </c>
      <c r="J162" s="21" t="n">
        <f aca="false">SUMIFS('SALES Raw'!$C$6:$C$603,'SALES Raw'!$E$6:$E$603,$A162,'SALES Raw'!$B$6:$B$603,2026)</f>
        <v>0</v>
      </c>
      <c r="K162" s="22" t="n">
        <f aca="false">SUMIFS('SALES Raw'!$D$6:$D$603,'SALES Raw'!$E$6:$E$603,$A162,'SALES Raw'!$B$6:$B$603,2026)</f>
        <v>0</v>
      </c>
      <c r="L162" s="21" t="n">
        <f aca="false">D162+H162</f>
        <v>27</v>
      </c>
      <c r="M162" s="22" t="n">
        <f aca="false">E162+I162</f>
        <v>2977.7</v>
      </c>
      <c r="N162" s="21" t="n">
        <f aca="false">F162+J162</f>
        <v>27</v>
      </c>
      <c r="O162" s="22" t="n">
        <f aca="false">G162+K162</f>
        <v>3009.4</v>
      </c>
    </row>
    <row r="163" customFormat="false" ht="15" hidden="false" customHeight="false" outlineLevel="0" collapsed="false">
      <c r="A163" s="20" t="n">
        <v>4408221</v>
      </c>
      <c r="B163" s="20" t="str">
        <f aca="false">IFERROR(INDEX('Catalog'!$B:$B,MATCH($A163,'Catalog'!$A:$A,0)),"")</f>
        <v>078G-L חגורת גב אפורה</v>
      </c>
      <c r="C163" s="20" t="str">
        <f aca="false">IFERROR(INDEX('TRANS'!$A:$A,MATCH($A163,'TRANS'!$B:$B,0)),"")</f>
        <v>078G L</v>
      </c>
      <c r="D163" s="21" t="n">
        <f aca="false">SUMIFS('CEMI Raw'!$C$6:$C$1018,'CEMI Raw'!$E$6:$E$1018,$A163,'CEMI Raw'!$B$6:$B$1018,2025)</f>
        <v>50</v>
      </c>
      <c r="E163" s="22" t="n">
        <f aca="false">SUMIFS('CEMI Raw'!$D$6:$D$1018,'CEMI Raw'!$E$6:$E$1018,$A163,'CEMI Raw'!$B$6:$B$1018,2025)</f>
        <v>5649.4</v>
      </c>
      <c r="F163" s="21" t="n">
        <f aca="false">SUMIFS('CEMI Raw'!$C$6:$C$1018,'CEMI Raw'!$E$6:$E$1018,$A163,'CEMI Raw'!$B$6:$B$1018,2026)</f>
        <v>43</v>
      </c>
      <c r="G163" s="22" t="n">
        <f aca="false">SUMIFS('CEMI Raw'!$D$6:$D$1018,'CEMI Raw'!$E$6:$E$1018,$A163,'CEMI Raw'!$B$6:$B$1018,2026)</f>
        <v>4953.8</v>
      </c>
      <c r="H163" s="21" t="n">
        <f aca="false">SUMIFS('SALES Raw'!$C$6:$C$603,'SALES Raw'!$E$6:$E$603,$A163,'SALES Raw'!$B$6:$B$603,2025)</f>
        <v>0</v>
      </c>
      <c r="I163" s="22" t="n">
        <f aca="false">SUMIFS('SALES Raw'!$D$6:$D$603,'SALES Raw'!$E$6:$E$603,$A163,'SALES Raw'!$B$6:$B$603,2025)</f>
        <v>0</v>
      </c>
      <c r="J163" s="21" t="n">
        <f aca="false">SUMIFS('SALES Raw'!$C$6:$C$603,'SALES Raw'!$E$6:$E$603,$A163,'SALES Raw'!$B$6:$B$603,2026)</f>
        <v>0</v>
      </c>
      <c r="K163" s="22" t="n">
        <f aca="false">SUMIFS('SALES Raw'!$D$6:$D$603,'SALES Raw'!$E$6:$E$603,$A163,'SALES Raw'!$B$6:$B$603,2026)</f>
        <v>0</v>
      </c>
      <c r="L163" s="21" t="n">
        <f aca="false">D163+H163</f>
        <v>50</v>
      </c>
      <c r="M163" s="22" t="n">
        <f aca="false">E163+I163</f>
        <v>5649.4</v>
      </c>
      <c r="N163" s="21" t="n">
        <f aca="false">F163+J163</f>
        <v>43</v>
      </c>
      <c r="O163" s="22" t="n">
        <f aca="false">G163+K163</f>
        <v>4953.8</v>
      </c>
    </row>
    <row r="164" customFormat="false" ht="15" hidden="false" customHeight="false" outlineLevel="0" collapsed="false">
      <c r="A164" s="20" t="n">
        <v>4408222</v>
      </c>
      <c r="B164" s="20" t="str">
        <f aca="false">IFERROR(INDEX('Catalog'!$B:$B,MATCH($A164,'Catalog'!$A:$A,0)),"")</f>
        <v>078G-XLחגורת גב אפורה</v>
      </c>
      <c r="C164" s="20" t="str">
        <f aca="false">IFERROR(INDEX('TRANS'!$A:$A,MATCH($A164,'TRANS'!$B:$B,0)),"")</f>
        <v>078G XL</v>
      </c>
      <c r="D164" s="21" t="n">
        <f aca="false">SUMIFS('CEMI Raw'!$C$6:$C$1018,'CEMI Raw'!$E$6:$E$1018,$A164,'CEMI Raw'!$B$6:$B$1018,2025)</f>
        <v>53</v>
      </c>
      <c r="E164" s="22" t="n">
        <f aca="false">SUMIFS('CEMI Raw'!$D$6:$D$1018,'CEMI Raw'!$E$6:$E$1018,$A164,'CEMI Raw'!$B$6:$B$1018,2025)</f>
        <v>5922.9</v>
      </c>
      <c r="F164" s="21" t="n">
        <f aca="false">SUMIFS('CEMI Raw'!$C$6:$C$1018,'CEMI Raw'!$E$6:$E$1018,$A164,'CEMI Raw'!$B$6:$B$1018,2026)</f>
        <v>35</v>
      </c>
      <c r="G164" s="22" t="n">
        <f aca="false">SUMIFS('CEMI Raw'!$D$6:$D$1018,'CEMI Raw'!$E$6:$E$1018,$A164,'CEMI Raw'!$B$6:$B$1018,2026)</f>
        <v>3813.7</v>
      </c>
      <c r="H164" s="21" t="n">
        <f aca="false">SUMIFS('SALES Raw'!$C$6:$C$603,'SALES Raw'!$E$6:$E$603,$A164,'SALES Raw'!$B$6:$B$603,2025)</f>
        <v>1</v>
      </c>
      <c r="I164" s="22" t="n">
        <f aca="false">SUMIFS('SALES Raw'!$D$6:$D$603,'SALES Raw'!$E$6:$E$603,$A164,'SALES Raw'!$B$6:$B$603,2025)</f>
        <v>74.97</v>
      </c>
      <c r="J164" s="21" t="n">
        <f aca="false">SUMIFS('SALES Raw'!$C$6:$C$603,'SALES Raw'!$E$6:$E$603,$A164,'SALES Raw'!$B$6:$B$603,2026)</f>
        <v>0</v>
      </c>
      <c r="K164" s="22" t="n">
        <f aca="false">SUMIFS('SALES Raw'!$D$6:$D$603,'SALES Raw'!$E$6:$E$603,$A164,'SALES Raw'!$B$6:$B$603,2026)</f>
        <v>0</v>
      </c>
      <c r="L164" s="21" t="n">
        <f aca="false">D164+H164</f>
        <v>54</v>
      </c>
      <c r="M164" s="22" t="n">
        <f aca="false">E164+I164</f>
        <v>5997.87</v>
      </c>
      <c r="N164" s="21" t="n">
        <f aca="false">F164+J164</f>
        <v>35</v>
      </c>
      <c r="O164" s="22" t="n">
        <f aca="false">G164+K164</f>
        <v>3813.7</v>
      </c>
    </row>
    <row r="165" customFormat="false" ht="15" hidden="false" customHeight="false" outlineLevel="0" collapsed="false">
      <c r="A165" s="20" t="n">
        <v>4408223</v>
      </c>
      <c r="B165" s="20" t="str">
        <f aca="false">IFERROR(INDEX('Catalog'!$B:$B,MATCH($A165,'Catalog'!$A:$A,0)),"")</f>
        <v>078G-XXLחגורת גב אפורה</v>
      </c>
      <c r="C165" s="20" t="str">
        <f aca="false">IFERROR(INDEX('TRANS'!$A:$A,MATCH($A165,'TRANS'!$B:$B,0)),"")</f>
        <v>078G XXL</v>
      </c>
      <c r="D165" s="21" t="n">
        <f aca="false">SUMIFS('CEMI Raw'!$C$6:$C$1018,'CEMI Raw'!$E$6:$E$1018,$A165,'CEMI Raw'!$B$6:$B$1018,2025)</f>
        <v>41</v>
      </c>
      <c r="E165" s="22" t="n">
        <f aca="false">SUMIFS('CEMI Raw'!$D$6:$D$1018,'CEMI Raw'!$E$6:$E$1018,$A165,'CEMI Raw'!$B$6:$B$1018,2025)</f>
        <v>4452.3</v>
      </c>
      <c r="F165" s="21" t="n">
        <f aca="false">SUMIFS('CEMI Raw'!$C$6:$C$1018,'CEMI Raw'!$E$6:$E$1018,$A165,'CEMI Raw'!$B$6:$B$1018,2026)</f>
        <v>22</v>
      </c>
      <c r="G165" s="22" t="n">
        <f aca="false">SUMIFS('CEMI Raw'!$D$6:$D$1018,'CEMI Raw'!$E$6:$E$1018,$A165,'CEMI Raw'!$B$6:$B$1018,2026)</f>
        <v>2494.1</v>
      </c>
      <c r="H165" s="21" t="n">
        <f aca="false">SUMIFS('SALES Raw'!$C$6:$C$603,'SALES Raw'!$E$6:$E$603,$A165,'SALES Raw'!$B$6:$B$603,2025)</f>
        <v>0</v>
      </c>
      <c r="I165" s="22" t="n">
        <f aca="false">SUMIFS('SALES Raw'!$D$6:$D$603,'SALES Raw'!$E$6:$E$603,$A165,'SALES Raw'!$B$6:$B$603,2025)</f>
        <v>0</v>
      </c>
      <c r="J165" s="21" t="n">
        <f aca="false">SUMIFS('SALES Raw'!$C$6:$C$603,'SALES Raw'!$E$6:$E$603,$A165,'SALES Raw'!$B$6:$B$603,2026)</f>
        <v>0</v>
      </c>
      <c r="K165" s="22" t="n">
        <f aca="false">SUMIFS('SALES Raw'!$D$6:$D$603,'SALES Raw'!$E$6:$E$603,$A165,'SALES Raw'!$B$6:$B$603,2026)</f>
        <v>0</v>
      </c>
      <c r="L165" s="21" t="n">
        <f aca="false">D165+H165</f>
        <v>41</v>
      </c>
      <c r="M165" s="22" t="n">
        <f aca="false">E165+I165</f>
        <v>4452.3</v>
      </c>
      <c r="N165" s="21" t="n">
        <f aca="false">F165+J165</f>
        <v>22</v>
      </c>
      <c r="O165" s="22" t="n">
        <f aca="false">G165+K165</f>
        <v>2494.1</v>
      </c>
    </row>
    <row r="166" customFormat="false" ht="15" hidden="false" customHeight="false" outlineLevel="0" collapsed="false">
      <c r="A166" s="20" t="n">
        <v>4408225</v>
      </c>
      <c r="B166" s="20" t="str">
        <f aca="false">IFERROR(INDEX('Catalog'!$B:$B,MATCH($A166,'Catalog'!$A:$A,0)),"")</f>
        <v>M 11 אפורUG חגורת בטן</v>
      </c>
      <c r="C166" s="20" t="str">
        <f aca="false">IFERROR(INDEX('TRANS'!$A:$A,MATCH($A166,'TRANS'!$B:$B,0)),"")</f>
        <v/>
      </c>
      <c r="D166" s="21" t="n">
        <f aca="false">SUMIFS('CEMI Raw'!$C$6:$C$1018,'CEMI Raw'!$E$6:$E$1018,$A166,'CEMI Raw'!$B$6:$B$1018,2025)</f>
        <v>3</v>
      </c>
      <c r="E166" s="22" t="n">
        <f aca="false">SUMIFS('CEMI Raw'!$D$6:$D$1018,'CEMI Raw'!$E$6:$E$1018,$A166,'CEMI Raw'!$B$6:$B$1018,2025)</f>
        <v>288.7</v>
      </c>
      <c r="F166" s="21" t="n">
        <f aca="false">SUMIFS('CEMI Raw'!$C$6:$C$1018,'CEMI Raw'!$E$6:$E$1018,$A166,'CEMI Raw'!$B$6:$B$1018,2026)</f>
        <v>0</v>
      </c>
      <c r="G166" s="22" t="n">
        <f aca="false">SUMIFS('CEMI Raw'!$D$6:$D$1018,'CEMI Raw'!$E$6:$E$1018,$A166,'CEMI Raw'!$B$6:$B$1018,2026)</f>
        <v>0</v>
      </c>
      <c r="H166" s="21" t="n">
        <f aca="false">SUMIFS('SALES Raw'!$C$6:$C$603,'SALES Raw'!$E$6:$E$603,$A166,'SALES Raw'!$B$6:$B$603,2025)</f>
        <v>0</v>
      </c>
      <c r="I166" s="22" t="n">
        <f aca="false">SUMIFS('SALES Raw'!$D$6:$D$603,'SALES Raw'!$E$6:$E$603,$A166,'SALES Raw'!$B$6:$B$603,2025)</f>
        <v>0</v>
      </c>
      <c r="J166" s="21" t="n">
        <f aca="false">SUMIFS('SALES Raw'!$C$6:$C$603,'SALES Raw'!$E$6:$E$603,$A166,'SALES Raw'!$B$6:$B$603,2026)</f>
        <v>0</v>
      </c>
      <c r="K166" s="22" t="n">
        <f aca="false">SUMIFS('SALES Raw'!$D$6:$D$603,'SALES Raw'!$E$6:$E$603,$A166,'SALES Raw'!$B$6:$B$603,2026)</f>
        <v>0</v>
      </c>
      <c r="L166" s="21" t="n">
        <f aca="false">D166+H166</f>
        <v>3</v>
      </c>
      <c r="M166" s="22" t="n">
        <f aca="false">E166+I166</f>
        <v>288.7</v>
      </c>
      <c r="N166" s="21" t="n">
        <f aca="false">F166+J166</f>
        <v>0</v>
      </c>
      <c r="O166" s="22" t="n">
        <f aca="false">G166+K166</f>
        <v>0</v>
      </c>
    </row>
    <row r="167" customFormat="false" ht="15" hidden="false" customHeight="false" outlineLevel="0" collapsed="false">
      <c r="A167" s="20" t="n">
        <v>4408226</v>
      </c>
      <c r="B167" s="20" t="str">
        <f aca="false">IFERROR(INDEX('Catalog'!$B:$B,MATCH($A167,'Catalog'!$A:$A,0)),"")</f>
        <v>L 11 אפורUG חגורת בטן</v>
      </c>
      <c r="C167" s="20" t="str">
        <f aca="false">IFERROR(INDEX('TRANS'!$A:$A,MATCH($A167,'TRANS'!$B:$B,0)),"")</f>
        <v>11UG L</v>
      </c>
      <c r="D167" s="21" t="n">
        <f aca="false">SUMIFS('CEMI Raw'!$C$6:$C$1018,'CEMI Raw'!$E$6:$E$1018,$A167,'CEMI Raw'!$B$6:$B$1018,2025)</f>
        <v>2</v>
      </c>
      <c r="E167" s="22" t="n">
        <f aca="false">SUMIFS('CEMI Raw'!$D$6:$D$1018,'CEMI Raw'!$E$6:$E$1018,$A167,'CEMI Raw'!$B$6:$B$1018,2025)</f>
        <v>206.1</v>
      </c>
      <c r="F167" s="21" t="n">
        <f aca="false">SUMIFS('CEMI Raw'!$C$6:$C$1018,'CEMI Raw'!$E$6:$E$1018,$A167,'CEMI Raw'!$B$6:$B$1018,2026)</f>
        <v>0</v>
      </c>
      <c r="G167" s="22" t="n">
        <f aca="false">SUMIFS('CEMI Raw'!$D$6:$D$1018,'CEMI Raw'!$E$6:$E$1018,$A167,'CEMI Raw'!$B$6:$B$1018,2026)</f>
        <v>0</v>
      </c>
      <c r="H167" s="21" t="n">
        <f aca="false">SUMIFS('SALES Raw'!$C$6:$C$603,'SALES Raw'!$E$6:$E$603,$A167,'SALES Raw'!$B$6:$B$603,2025)</f>
        <v>0</v>
      </c>
      <c r="I167" s="22" t="n">
        <f aca="false">SUMIFS('SALES Raw'!$D$6:$D$603,'SALES Raw'!$E$6:$E$603,$A167,'SALES Raw'!$B$6:$B$603,2025)</f>
        <v>0</v>
      </c>
      <c r="J167" s="21" t="n">
        <f aca="false">SUMIFS('SALES Raw'!$C$6:$C$603,'SALES Raw'!$E$6:$E$603,$A167,'SALES Raw'!$B$6:$B$603,2026)</f>
        <v>0</v>
      </c>
      <c r="K167" s="22" t="n">
        <f aca="false">SUMIFS('SALES Raw'!$D$6:$D$603,'SALES Raw'!$E$6:$E$603,$A167,'SALES Raw'!$B$6:$B$603,2026)</f>
        <v>0</v>
      </c>
      <c r="L167" s="21" t="n">
        <f aca="false">D167+H167</f>
        <v>2</v>
      </c>
      <c r="M167" s="22" t="n">
        <f aca="false">E167+I167</f>
        <v>206.1</v>
      </c>
      <c r="N167" s="21" t="n">
        <f aca="false">F167+J167</f>
        <v>0</v>
      </c>
      <c r="O167" s="22" t="n">
        <f aca="false">G167+K167</f>
        <v>0</v>
      </c>
    </row>
    <row r="168" customFormat="false" ht="15" hidden="false" customHeight="false" outlineLevel="0" collapsed="false">
      <c r="A168" s="20" t="n">
        <v>4408227</v>
      </c>
      <c r="B168" s="20" t="str">
        <f aca="false">IFERROR(INDEX('Catalog'!$B:$B,MATCH($A168,'Catalog'!$A:$A,0)),"")</f>
        <v>XL 11 אפורUG חגורת בטן</v>
      </c>
      <c r="C168" s="20" t="str">
        <f aca="false">IFERROR(INDEX('TRANS'!$A:$A,MATCH($A168,'TRANS'!$B:$B,0)),"")</f>
        <v/>
      </c>
      <c r="D168" s="21" t="n">
        <f aca="false">SUMIFS('CEMI Raw'!$C$6:$C$1018,'CEMI Raw'!$E$6:$E$1018,$A168,'CEMI Raw'!$B$6:$B$1018,2025)</f>
        <v>1</v>
      </c>
      <c r="E168" s="22" t="n">
        <f aca="false">SUMIFS('CEMI Raw'!$D$6:$D$1018,'CEMI Raw'!$E$6:$E$1018,$A168,'CEMI Raw'!$B$6:$B$1018,2025)</f>
        <v>103.1</v>
      </c>
      <c r="F168" s="21" t="n">
        <f aca="false">SUMIFS('CEMI Raw'!$C$6:$C$1018,'CEMI Raw'!$E$6:$E$1018,$A168,'CEMI Raw'!$B$6:$B$1018,2026)</f>
        <v>0</v>
      </c>
      <c r="G168" s="22" t="n">
        <f aca="false">SUMIFS('CEMI Raw'!$D$6:$D$1018,'CEMI Raw'!$E$6:$E$1018,$A168,'CEMI Raw'!$B$6:$B$1018,2026)</f>
        <v>0</v>
      </c>
      <c r="H168" s="21" t="n">
        <f aca="false">SUMIFS('SALES Raw'!$C$6:$C$603,'SALES Raw'!$E$6:$E$603,$A168,'SALES Raw'!$B$6:$B$603,2025)</f>
        <v>0</v>
      </c>
      <c r="I168" s="22" t="n">
        <f aca="false">SUMIFS('SALES Raw'!$D$6:$D$603,'SALES Raw'!$E$6:$E$603,$A168,'SALES Raw'!$B$6:$B$603,2025)</f>
        <v>0</v>
      </c>
      <c r="J168" s="21" t="n">
        <f aca="false">SUMIFS('SALES Raw'!$C$6:$C$603,'SALES Raw'!$E$6:$E$603,$A168,'SALES Raw'!$B$6:$B$603,2026)</f>
        <v>0</v>
      </c>
      <c r="K168" s="22" t="n">
        <f aca="false">SUMIFS('SALES Raw'!$D$6:$D$603,'SALES Raw'!$E$6:$E$603,$A168,'SALES Raw'!$B$6:$B$603,2026)</f>
        <v>0</v>
      </c>
      <c r="L168" s="21" t="n">
        <f aca="false">D168+H168</f>
        <v>1</v>
      </c>
      <c r="M168" s="22" t="n">
        <f aca="false">E168+I168</f>
        <v>103.1</v>
      </c>
      <c r="N168" s="21" t="n">
        <f aca="false">F168+J168</f>
        <v>0</v>
      </c>
      <c r="O168" s="22" t="n">
        <f aca="false">G168+K168</f>
        <v>0</v>
      </c>
    </row>
    <row r="169" customFormat="false" ht="15" hidden="false" customHeight="false" outlineLevel="0" collapsed="false">
      <c r="A169" s="20" t="n">
        <v>4408229</v>
      </c>
      <c r="B169" s="20" t="str">
        <f aca="false">IFERROR(INDEX('Catalog'!$B:$B,MATCH($A169,'Catalog'!$A:$A,0)),"")</f>
        <v>XXL 11אפורUGחגורת בטן</v>
      </c>
      <c r="C169" s="20" t="str">
        <f aca="false">IFERROR(INDEX('TRANS'!$A:$A,MATCH($A169,'TRANS'!$B:$B,0)),"")</f>
        <v/>
      </c>
      <c r="D169" s="21" t="n">
        <f aca="false">SUMIFS('CEMI Raw'!$C$6:$C$1018,'CEMI Raw'!$E$6:$E$1018,$A169,'CEMI Raw'!$B$6:$B$1018,2025)</f>
        <v>1</v>
      </c>
      <c r="E169" s="22" t="n">
        <f aca="false">SUMIFS('CEMI Raw'!$D$6:$D$1018,'CEMI Raw'!$E$6:$E$1018,$A169,'CEMI Raw'!$B$6:$B$1018,2025)</f>
        <v>103.1</v>
      </c>
      <c r="F169" s="21" t="n">
        <f aca="false">SUMIFS('CEMI Raw'!$C$6:$C$1018,'CEMI Raw'!$E$6:$E$1018,$A169,'CEMI Raw'!$B$6:$B$1018,2026)</f>
        <v>-1</v>
      </c>
      <c r="G169" s="22" t="n">
        <f aca="false">SUMIFS('CEMI Raw'!$D$6:$D$1018,'CEMI Raw'!$E$6:$E$1018,$A169,'CEMI Raw'!$B$6:$B$1018,2026)</f>
        <v>-92.8</v>
      </c>
      <c r="H169" s="21" t="n">
        <f aca="false">SUMIFS('SALES Raw'!$C$6:$C$603,'SALES Raw'!$E$6:$E$603,$A169,'SALES Raw'!$B$6:$B$603,2025)</f>
        <v>0</v>
      </c>
      <c r="I169" s="22" t="n">
        <f aca="false">SUMIFS('SALES Raw'!$D$6:$D$603,'SALES Raw'!$E$6:$E$603,$A169,'SALES Raw'!$B$6:$B$603,2025)</f>
        <v>0</v>
      </c>
      <c r="J169" s="21" t="n">
        <f aca="false">SUMIFS('SALES Raw'!$C$6:$C$603,'SALES Raw'!$E$6:$E$603,$A169,'SALES Raw'!$B$6:$B$603,2026)</f>
        <v>0</v>
      </c>
      <c r="K169" s="22" t="n">
        <f aca="false">SUMIFS('SALES Raw'!$D$6:$D$603,'SALES Raw'!$E$6:$E$603,$A169,'SALES Raw'!$B$6:$B$603,2026)</f>
        <v>0</v>
      </c>
      <c r="L169" s="21" t="n">
        <f aca="false">D169+H169</f>
        <v>1</v>
      </c>
      <c r="M169" s="22" t="n">
        <f aca="false">E169+I169</f>
        <v>103.1</v>
      </c>
      <c r="N169" s="21" t="n">
        <f aca="false">F169+J169</f>
        <v>-1</v>
      </c>
      <c r="O169" s="22" t="n">
        <f aca="false">G169+K169</f>
        <v>-92.8</v>
      </c>
    </row>
    <row r="170" customFormat="false" ht="15" hidden="false" customHeight="false" outlineLevel="0" collapsed="false">
      <c r="A170" s="20" t="n">
        <v>4408230</v>
      </c>
      <c r="B170" s="20" t="str">
        <f aca="false">IFERROR(INDEX('Catalog'!$B:$B,MATCH($A170,'Catalog'!$A:$A,0)),"")</f>
        <v>16 L-XL חגורת הריון</v>
      </c>
      <c r="C170" s="20" t="str">
        <f aca="false">IFERROR(INDEX('TRANS'!$A:$A,MATCH($A170,'TRANS'!$B:$B,0)),"")</f>
        <v>16-L-XL</v>
      </c>
      <c r="D170" s="21" t="n">
        <f aca="false">SUMIFS('CEMI Raw'!$C$6:$C$1018,'CEMI Raw'!$E$6:$E$1018,$A170,'CEMI Raw'!$B$6:$B$1018,2025)</f>
        <v>13</v>
      </c>
      <c r="E170" s="22" t="n">
        <f aca="false">SUMIFS('CEMI Raw'!$D$6:$D$1018,'CEMI Raw'!$E$6:$E$1018,$A170,'CEMI Raw'!$B$6:$B$1018,2025)</f>
        <v>1544.1</v>
      </c>
      <c r="F170" s="21" t="n">
        <f aca="false">SUMIFS('CEMI Raw'!$C$6:$C$1018,'CEMI Raw'!$E$6:$E$1018,$A170,'CEMI Raw'!$B$6:$B$1018,2026)</f>
        <v>17</v>
      </c>
      <c r="G170" s="22" t="n">
        <f aca="false">SUMIFS('CEMI Raw'!$D$6:$D$1018,'CEMI Raw'!$E$6:$E$1018,$A170,'CEMI Raw'!$B$6:$B$1018,2026)</f>
        <v>2074.7</v>
      </c>
      <c r="H170" s="21" t="n">
        <f aca="false">SUMIFS('SALES Raw'!$C$6:$C$603,'SALES Raw'!$E$6:$E$603,$A170,'SALES Raw'!$B$6:$B$603,2025)</f>
        <v>14</v>
      </c>
      <c r="I170" s="22" t="n">
        <f aca="false">SUMIFS('SALES Raw'!$D$6:$D$603,'SALES Raw'!$E$6:$E$603,$A170,'SALES Raw'!$B$6:$B$603,2025)</f>
        <v>1281.02</v>
      </c>
      <c r="J170" s="21" t="n">
        <f aca="false">SUMIFS('SALES Raw'!$C$6:$C$603,'SALES Raw'!$E$6:$E$603,$A170,'SALES Raw'!$B$6:$B$603,2026)</f>
        <v>7</v>
      </c>
      <c r="K170" s="22" t="n">
        <f aca="false">SUMIFS('SALES Raw'!$D$6:$D$603,'SALES Raw'!$E$6:$E$603,$A170,'SALES Raw'!$B$6:$B$603,2026)</f>
        <v>666.53</v>
      </c>
      <c r="L170" s="21" t="n">
        <f aca="false">D170+H170</f>
        <v>27</v>
      </c>
      <c r="M170" s="22" t="n">
        <f aca="false">E170+I170</f>
        <v>2825.12</v>
      </c>
      <c r="N170" s="21" t="n">
        <f aca="false">F170+J170</f>
        <v>24</v>
      </c>
      <c r="O170" s="22" t="n">
        <f aca="false">G170+K170</f>
        <v>2741.23</v>
      </c>
    </row>
    <row r="171" customFormat="false" ht="15" hidden="false" customHeight="false" outlineLevel="0" collapsed="false">
      <c r="A171" s="20" t="n">
        <v>4408231</v>
      </c>
      <c r="B171" s="20" t="str">
        <f aca="false">IFERROR(INDEX('Catalog'!$B:$B,MATCH($A171,'Catalog'!$A:$A,0)),"")</f>
        <v>16 S-M חגורת הריון</v>
      </c>
      <c r="C171" s="20" t="str">
        <f aca="false">IFERROR(INDEX('TRANS'!$A:$A,MATCH($A171,'TRANS'!$B:$B,0)),"")</f>
        <v>16-S-M</v>
      </c>
      <c r="D171" s="21" t="n">
        <f aca="false">SUMIFS('CEMI Raw'!$C$6:$C$1018,'CEMI Raw'!$E$6:$E$1018,$A171,'CEMI Raw'!$B$6:$B$1018,2025)</f>
        <v>3</v>
      </c>
      <c r="E171" s="22" t="n">
        <f aca="false">SUMIFS('CEMI Raw'!$D$6:$D$1018,'CEMI Raw'!$E$6:$E$1018,$A171,'CEMI Raw'!$B$6:$B$1018,2025)</f>
        <v>339.6</v>
      </c>
      <c r="F171" s="21" t="n">
        <f aca="false">SUMIFS('CEMI Raw'!$C$6:$C$1018,'CEMI Raw'!$E$6:$E$1018,$A171,'CEMI Raw'!$B$6:$B$1018,2026)</f>
        <v>12</v>
      </c>
      <c r="G171" s="22" t="n">
        <f aca="false">SUMIFS('CEMI Raw'!$D$6:$D$1018,'CEMI Raw'!$E$6:$E$1018,$A171,'CEMI Raw'!$B$6:$B$1018,2026)</f>
        <v>1475.9</v>
      </c>
      <c r="H171" s="21" t="n">
        <f aca="false">SUMIFS('SALES Raw'!$C$6:$C$603,'SALES Raw'!$E$6:$E$603,$A171,'SALES Raw'!$B$6:$B$603,2025)</f>
        <v>8</v>
      </c>
      <c r="I171" s="22" t="n">
        <f aca="false">SUMIFS('SALES Raw'!$D$6:$D$603,'SALES Raw'!$E$6:$E$603,$A171,'SALES Raw'!$B$6:$B$603,2025)</f>
        <v>780.03</v>
      </c>
      <c r="J171" s="21" t="n">
        <f aca="false">SUMIFS('SALES Raw'!$C$6:$C$603,'SALES Raw'!$E$6:$E$603,$A171,'SALES Raw'!$B$6:$B$603,2026)</f>
        <v>7</v>
      </c>
      <c r="K171" s="22" t="n">
        <f aca="false">SUMIFS('SALES Raw'!$D$6:$D$603,'SALES Raw'!$E$6:$E$603,$A171,'SALES Raw'!$B$6:$B$603,2026)</f>
        <v>630</v>
      </c>
      <c r="L171" s="21" t="n">
        <f aca="false">D171+H171</f>
        <v>11</v>
      </c>
      <c r="M171" s="22" t="n">
        <f aca="false">E171+I171</f>
        <v>1119.63</v>
      </c>
      <c r="N171" s="21" t="n">
        <f aca="false">F171+J171</f>
        <v>19</v>
      </c>
      <c r="O171" s="22" t="n">
        <f aca="false">G171+K171</f>
        <v>2105.9</v>
      </c>
    </row>
    <row r="172" customFormat="false" ht="15" hidden="false" customHeight="false" outlineLevel="0" collapsed="false">
      <c r="A172" s="20" t="n">
        <v>4408232</v>
      </c>
      <c r="B172" s="20" t="str">
        <f aca="false">IFERROR(INDEX('Catalog'!$B:$B,MATCH($A172,'Catalog'!$A:$A,0)),"")</f>
        <v>16 XXL חגורת הריון</v>
      </c>
      <c r="C172" s="20" t="str">
        <f aca="false">IFERROR(INDEX('TRANS'!$A:$A,MATCH($A172,'TRANS'!$B:$B,0)),"")</f>
        <v>16 XXL</v>
      </c>
      <c r="D172" s="21" t="n">
        <f aca="false">SUMIFS('CEMI Raw'!$C$6:$C$1018,'CEMI Raw'!$E$6:$E$1018,$A172,'CEMI Raw'!$B$6:$B$1018,2025)</f>
        <v>2</v>
      </c>
      <c r="E172" s="22" t="n">
        <f aca="false">SUMIFS('CEMI Raw'!$D$6:$D$1018,'CEMI Raw'!$E$6:$E$1018,$A172,'CEMI Raw'!$B$6:$B$1018,2025)</f>
        <v>236.2</v>
      </c>
      <c r="F172" s="21" t="n">
        <f aca="false">SUMIFS('CEMI Raw'!$C$6:$C$1018,'CEMI Raw'!$E$6:$E$1018,$A172,'CEMI Raw'!$B$6:$B$1018,2026)</f>
        <v>4</v>
      </c>
      <c r="G172" s="22" t="n">
        <f aca="false">SUMIFS('CEMI Raw'!$D$6:$D$1018,'CEMI Raw'!$E$6:$E$1018,$A172,'CEMI Raw'!$B$6:$B$1018,2026)</f>
        <v>489.2</v>
      </c>
      <c r="H172" s="21" t="n">
        <f aca="false">SUMIFS('SALES Raw'!$C$6:$C$603,'SALES Raw'!$E$6:$E$603,$A172,'SALES Raw'!$B$6:$B$603,2025)</f>
        <v>0</v>
      </c>
      <c r="I172" s="22" t="n">
        <f aca="false">SUMIFS('SALES Raw'!$D$6:$D$603,'SALES Raw'!$E$6:$E$603,$A172,'SALES Raw'!$B$6:$B$603,2025)</f>
        <v>0</v>
      </c>
      <c r="J172" s="21" t="n">
        <f aca="false">SUMIFS('SALES Raw'!$C$6:$C$603,'SALES Raw'!$E$6:$E$603,$A172,'SALES Raw'!$B$6:$B$603,2026)</f>
        <v>0</v>
      </c>
      <c r="K172" s="22" t="n">
        <f aca="false">SUMIFS('SALES Raw'!$D$6:$D$603,'SALES Raw'!$E$6:$E$603,$A172,'SALES Raw'!$B$6:$B$603,2026)</f>
        <v>0</v>
      </c>
      <c r="L172" s="21" t="n">
        <f aca="false">D172+H172</f>
        <v>2</v>
      </c>
      <c r="M172" s="22" t="n">
        <f aca="false">E172+I172</f>
        <v>236.2</v>
      </c>
      <c r="N172" s="21" t="n">
        <f aca="false">F172+J172</f>
        <v>4</v>
      </c>
      <c r="O172" s="22" t="n">
        <f aca="false">G172+K172</f>
        <v>489.2</v>
      </c>
    </row>
    <row r="173" customFormat="false" ht="15" hidden="false" customHeight="false" outlineLevel="0" collapsed="false">
      <c r="A173" s="20" t="n">
        <v>4408234</v>
      </c>
      <c r="B173" s="20" t="str">
        <f aca="false">IFERROR(INDEX('Catalog'!$B:$B,MATCH($A173,'Catalog'!$A:$A,0)),"")</f>
        <v>078C M'חגורת גב+סגירה כפו בז</v>
      </c>
      <c r="C173" s="20" t="str">
        <f aca="false">IFERROR(INDEX('TRANS'!$A:$A,MATCH($A173,'TRANS'!$B:$B,0)),"")</f>
        <v/>
      </c>
      <c r="D173" s="21" t="n">
        <f aca="false">SUMIFS('CEMI Raw'!$C$6:$C$1018,'CEMI Raw'!$E$6:$E$1018,$A173,'CEMI Raw'!$B$6:$B$1018,2025)</f>
        <v>-1</v>
      </c>
      <c r="E173" s="22" t="n">
        <f aca="false">SUMIFS('CEMI Raw'!$D$6:$D$1018,'CEMI Raw'!$E$6:$E$1018,$A173,'CEMI Raw'!$B$6:$B$1018,2025)</f>
        <v>-133.3</v>
      </c>
      <c r="F173" s="21" t="n">
        <f aca="false">SUMIFS('CEMI Raw'!$C$6:$C$1018,'CEMI Raw'!$E$6:$E$1018,$A173,'CEMI Raw'!$B$6:$B$1018,2026)</f>
        <v>0</v>
      </c>
      <c r="G173" s="22" t="n">
        <f aca="false">SUMIFS('CEMI Raw'!$D$6:$D$1018,'CEMI Raw'!$E$6:$E$1018,$A173,'CEMI Raw'!$B$6:$B$1018,2026)</f>
        <v>-37.1</v>
      </c>
      <c r="H173" s="21" t="n">
        <f aca="false">SUMIFS('SALES Raw'!$C$6:$C$603,'SALES Raw'!$E$6:$E$603,$A173,'SALES Raw'!$B$6:$B$603,2025)</f>
        <v>0</v>
      </c>
      <c r="I173" s="22" t="n">
        <f aca="false">SUMIFS('SALES Raw'!$D$6:$D$603,'SALES Raw'!$E$6:$E$603,$A173,'SALES Raw'!$B$6:$B$603,2025)</f>
        <v>0</v>
      </c>
      <c r="J173" s="21" t="n">
        <f aca="false">SUMIFS('SALES Raw'!$C$6:$C$603,'SALES Raw'!$E$6:$E$603,$A173,'SALES Raw'!$B$6:$B$603,2026)</f>
        <v>0</v>
      </c>
      <c r="K173" s="22" t="n">
        <f aca="false">SUMIFS('SALES Raw'!$D$6:$D$603,'SALES Raw'!$E$6:$E$603,$A173,'SALES Raw'!$B$6:$B$603,2026)</f>
        <v>0</v>
      </c>
      <c r="L173" s="21" t="n">
        <f aca="false">D173+H173</f>
        <v>-1</v>
      </c>
      <c r="M173" s="22" t="n">
        <f aca="false">E173+I173</f>
        <v>-133.3</v>
      </c>
      <c r="N173" s="21" t="n">
        <f aca="false">F173+J173</f>
        <v>0</v>
      </c>
      <c r="O173" s="22" t="n">
        <f aca="false">G173+K173</f>
        <v>-37.1</v>
      </c>
    </row>
    <row r="174" customFormat="false" ht="15" hidden="false" customHeight="false" outlineLevel="0" collapsed="false">
      <c r="A174" s="20" t="n">
        <v>4408235</v>
      </c>
      <c r="B174" s="20" t="str">
        <f aca="false">IFERROR(INDEX('Catalog'!$B:$B,MATCH($A174,'Catalog'!$A:$A,0)),"")</f>
        <v>078C S'חגורת גב+סגירה כפו בז</v>
      </c>
      <c r="C174" s="20" t="str">
        <f aca="false">IFERROR(INDEX('TRANS'!$A:$A,MATCH($A174,'TRANS'!$B:$B,0)),"")</f>
        <v/>
      </c>
      <c r="D174" s="21" t="n">
        <f aca="false">SUMIFS('CEMI Raw'!$C$6:$C$1018,'CEMI Raw'!$E$6:$E$1018,$A174,'CEMI Raw'!$B$6:$B$1018,2025)</f>
        <v>0</v>
      </c>
      <c r="E174" s="22" t="n">
        <f aca="false">SUMIFS('CEMI Raw'!$D$6:$D$1018,'CEMI Raw'!$E$6:$E$1018,$A174,'CEMI Raw'!$B$6:$B$1018,2025)</f>
        <v>0</v>
      </c>
      <c r="F174" s="21" t="n">
        <f aca="false">SUMIFS('CEMI Raw'!$C$6:$C$1018,'CEMI Raw'!$E$6:$E$1018,$A174,'CEMI Raw'!$B$6:$B$1018,2026)</f>
        <v>1</v>
      </c>
      <c r="G174" s="22" t="n">
        <f aca="false">SUMIFS('CEMI Raw'!$D$6:$D$1018,'CEMI Raw'!$E$6:$E$1018,$A174,'CEMI Raw'!$B$6:$B$1018,2026)</f>
        <v>111</v>
      </c>
      <c r="H174" s="21" t="n">
        <f aca="false">SUMIFS('SALES Raw'!$C$6:$C$603,'SALES Raw'!$E$6:$E$603,$A174,'SALES Raw'!$B$6:$B$603,2025)</f>
        <v>0</v>
      </c>
      <c r="I174" s="22" t="n">
        <f aca="false">SUMIFS('SALES Raw'!$D$6:$D$603,'SALES Raw'!$E$6:$E$603,$A174,'SALES Raw'!$B$6:$B$603,2025)</f>
        <v>0</v>
      </c>
      <c r="J174" s="21" t="n">
        <f aca="false">SUMIFS('SALES Raw'!$C$6:$C$603,'SALES Raw'!$E$6:$E$603,$A174,'SALES Raw'!$B$6:$B$603,2026)</f>
        <v>0</v>
      </c>
      <c r="K174" s="22" t="n">
        <f aca="false">SUMIFS('SALES Raw'!$D$6:$D$603,'SALES Raw'!$E$6:$E$603,$A174,'SALES Raw'!$B$6:$B$603,2026)</f>
        <v>0</v>
      </c>
      <c r="L174" s="21" t="n">
        <f aca="false">D174+H174</f>
        <v>0</v>
      </c>
      <c r="M174" s="22" t="n">
        <f aca="false">E174+I174</f>
        <v>0</v>
      </c>
      <c r="N174" s="21" t="n">
        <f aca="false">F174+J174</f>
        <v>1</v>
      </c>
      <c r="O174" s="22" t="n">
        <f aca="false">G174+K174</f>
        <v>111</v>
      </c>
    </row>
    <row r="175" customFormat="false" ht="15" hidden="false" customHeight="false" outlineLevel="0" collapsed="false">
      <c r="A175" s="20" t="n">
        <v>4408245</v>
      </c>
      <c r="B175" s="20" t="str">
        <f aca="false">IFERROR(INDEX('Catalog'!$B:$B,MATCH($A175,'Catalog'!$A:$A,0)),"")</f>
        <v>077A   XXL חגורת גב עם חיזוקים</v>
      </c>
      <c r="C175" s="20" t="str">
        <f aca="false">IFERROR(INDEX('TRANS'!$A:$A,MATCH($A175,'TRANS'!$B:$B,0)),"")</f>
        <v>077A XXL</v>
      </c>
      <c r="D175" s="21" t="n">
        <f aca="false">SUMIFS('CEMI Raw'!$C$6:$C$1018,'CEMI Raw'!$E$6:$E$1018,$A175,'CEMI Raw'!$B$6:$B$1018,2025)</f>
        <v>7</v>
      </c>
      <c r="E175" s="22" t="n">
        <f aca="false">SUMIFS('CEMI Raw'!$D$6:$D$1018,'CEMI Raw'!$E$6:$E$1018,$A175,'CEMI Raw'!$B$6:$B$1018,2025)</f>
        <v>999</v>
      </c>
      <c r="F175" s="21" t="n">
        <f aca="false">SUMIFS('CEMI Raw'!$C$6:$C$1018,'CEMI Raw'!$E$6:$E$1018,$A175,'CEMI Raw'!$B$6:$B$1018,2026)</f>
        <v>3</v>
      </c>
      <c r="G175" s="22" t="n">
        <f aca="false">SUMIFS('CEMI Raw'!$D$6:$D$1018,'CEMI Raw'!$E$6:$E$1018,$A175,'CEMI Raw'!$B$6:$B$1018,2026)</f>
        <v>520.1</v>
      </c>
      <c r="H175" s="21" t="n">
        <f aca="false">SUMIFS('SALES Raw'!$C$6:$C$603,'SALES Raw'!$E$6:$E$603,$A175,'SALES Raw'!$B$6:$B$603,2025)</f>
        <v>0</v>
      </c>
      <c r="I175" s="22" t="n">
        <f aca="false">SUMIFS('SALES Raw'!$D$6:$D$603,'SALES Raw'!$E$6:$E$603,$A175,'SALES Raw'!$B$6:$B$603,2025)</f>
        <v>0</v>
      </c>
      <c r="J175" s="21" t="n">
        <f aca="false">SUMIFS('SALES Raw'!$C$6:$C$603,'SALES Raw'!$E$6:$E$603,$A175,'SALES Raw'!$B$6:$B$603,2026)</f>
        <v>0</v>
      </c>
      <c r="K175" s="22" t="n">
        <f aca="false">SUMIFS('SALES Raw'!$D$6:$D$603,'SALES Raw'!$E$6:$E$603,$A175,'SALES Raw'!$B$6:$B$603,2026)</f>
        <v>0</v>
      </c>
      <c r="L175" s="21" t="n">
        <f aca="false">D175+H175</f>
        <v>7</v>
      </c>
      <c r="M175" s="22" t="n">
        <f aca="false">E175+I175</f>
        <v>999</v>
      </c>
      <c r="N175" s="21" t="n">
        <f aca="false">F175+J175</f>
        <v>3</v>
      </c>
      <c r="O175" s="22" t="n">
        <f aca="false">G175+K175</f>
        <v>520.1</v>
      </c>
    </row>
    <row r="176" customFormat="false" ht="15" hidden="false" customHeight="false" outlineLevel="0" collapsed="false">
      <c r="A176" s="20" t="n">
        <v>4408247</v>
      </c>
      <c r="B176" s="20" t="str">
        <f aca="false">IFERROR(INDEX('Catalog'!$B:$B,MATCH($A176,'Catalog'!$A:$A,0)),"")</f>
        <v>SC25  S חבק יד</v>
      </c>
      <c r="C176" s="20" t="str">
        <f aca="false">IFERROR(INDEX('TRANS'!$A:$A,MATCH($A176,'TRANS'!$B:$B,0)),"")</f>
        <v>SC25 S</v>
      </c>
      <c r="D176" s="21" t="n">
        <f aca="false">SUMIFS('CEMI Raw'!$C$6:$C$1018,'CEMI Raw'!$E$6:$E$1018,$A176,'CEMI Raw'!$B$6:$B$1018,2025)</f>
        <v>3</v>
      </c>
      <c r="E176" s="22" t="n">
        <f aca="false">SUMIFS('CEMI Raw'!$D$6:$D$1018,'CEMI Raw'!$E$6:$E$1018,$A176,'CEMI Raw'!$B$6:$B$1018,2025)</f>
        <v>248.3</v>
      </c>
      <c r="F176" s="21" t="n">
        <f aca="false">SUMIFS('CEMI Raw'!$C$6:$C$1018,'CEMI Raw'!$E$6:$E$1018,$A176,'CEMI Raw'!$B$6:$B$1018,2026)</f>
        <v>13</v>
      </c>
      <c r="G176" s="22" t="n">
        <f aca="false">SUMIFS('CEMI Raw'!$D$6:$D$1018,'CEMI Raw'!$E$6:$E$1018,$A176,'CEMI Raw'!$B$6:$B$1018,2026)</f>
        <v>1167.8</v>
      </c>
      <c r="H176" s="21" t="n">
        <f aca="false">SUMIFS('SALES Raw'!$C$6:$C$603,'SALES Raw'!$E$6:$E$603,$A176,'SALES Raw'!$B$6:$B$603,2025)</f>
        <v>3</v>
      </c>
      <c r="I176" s="22" t="n">
        <f aca="false">SUMIFS('SALES Raw'!$D$6:$D$603,'SALES Raw'!$E$6:$E$603,$A176,'SALES Raw'!$B$6:$B$603,2025)</f>
        <v>248.27</v>
      </c>
      <c r="J176" s="21" t="n">
        <f aca="false">SUMIFS('SALES Raw'!$C$6:$C$603,'SALES Raw'!$E$6:$E$603,$A176,'SALES Raw'!$B$6:$B$603,2026)</f>
        <v>2</v>
      </c>
      <c r="K176" s="22" t="n">
        <f aca="false">SUMIFS('SALES Raw'!$D$6:$D$603,'SALES Raw'!$E$6:$E$603,$A176,'SALES Raw'!$B$6:$B$603,2026)</f>
        <v>187.35</v>
      </c>
      <c r="L176" s="21" t="n">
        <f aca="false">D176+H176</f>
        <v>6</v>
      </c>
      <c r="M176" s="22" t="n">
        <f aca="false">E176+I176</f>
        <v>496.57</v>
      </c>
      <c r="N176" s="21" t="n">
        <f aca="false">F176+J176</f>
        <v>15</v>
      </c>
      <c r="O176" s="22" t="n">
        <f aca="false">G176+K176</f>
        <v>1355.15</v>
      </c>
    </row>
    <row r="177" customFormat="false" ht="15" hidden="false" customHeight="false" outlineLevel="0" collapsed="false">
      <c r="A177" s="20" t="n">
        <v>4408248</v>
      </c>
      <c r="B177" s="20" t="str">
        <f aca="false">IFERROR(INDEX('Catalog'!$B:$B,MATCH($A177,'Catalog'!$A:$A,0)),"")</f>
        <v>SC25  M חבק יד</v>
      </c>
      <c r="C177" s="20" t="str">
        <f aca="false">IFERROR(INDEX('TRANS'!$A:$A,MATCH($A177,'TRANS'!$B:$B,0)),"")</f>
        <v>SC25 M</v>
      </c>
      <c r="D177" s="21" t="n">
        <f aca="false">SUMIFS('CEMI Raw'!$C$6:$C$1018,'CEMI Raw'!$E$6:$E$1018,$A177,'CEMI Raw'!$B$6:$B$1018,2025)</f>
        <v>13</v>
      </c>
      <c r="E177" s="22" t="n">
        <f aca="false">SUMIFS('CEMI Raw'!$D$6:$D$1018,'CEMI Raw'!$E$6:$E$1018,$A177,'CEMI Raw'!$B$6:$B$1018,2025)</f>
        <v>1102.3</v>
      </c>
      <c r="F177" s="21" t="n">
        <f aca="false">SUMIFS('CEMI Raw'!$C$6:$C$1018,'CEMI Raw'!$E$6:$E$1018,$A177,'CEMI Raw'!$B$6:$B$1018,2026)</f>
        <v>15</v>
      </c>
      <c r="G177" s="22" t="n">
        <f aca="false">SUMIFS('CEMI Raw'!$D$6:$D$1018,'CEMI Raw'!$E$6:$E$1018,$A177,'CEMI Raw'!$B$6:$B$1018,2026)</f>
        <v>1342.6</v>
      </c>
      <c r="H177" s="21" t="n">
        <f aca="false">SUMIFS('SALES Raw'!$C$6:$C$603,'SALES Raw'!$E$6:$E$603,$A177,'SALES Raw'!$B$6:$B$603,2025)</f>
        <v>6</v>
      </c>
      <c r="I177" s="22" t="n">
        <f aca="false">SUMIFS('SALES Raw'!$D$6:$D$603,'SALES Raw'!$E$6:$E$603,$A177,'SALES Raw'!$B$6:$B$603,2025)</f>
        <v>545.68</v>
      </c>
      <c r="J177" s="21" t="n">
        <f aca="false">SUMIFS('SALES Raw'!$C$6:$C$603,'SALES Raw'!$E$6:$E$603,$A177,'SALES Raw'!$B$6:$B$603,2026)</f>
        <v>3</v>
      </c>
      <c r="K177" s="22" t="n">
        <f aca="false">SUMIFS('SALES Raw'!$D$6:$D$603,'SALES Raw'!$E$6:$E$603,$A177,'SALES Raw'!$B$6:$B$603,2026)</f>
        <v>281.02</v>
      </c>
      <c r="L177" s="21" t="n">
        <f aca="false">D177+H177</f>
        <v>19</v>
      </c>
      <c r="M177" s="22" t="n">
        <f aca="false">E177+I177</f>
        <v>1647.98</v>
      </c>
      <c r="N177" s="21" t="n">
        <f aca="false">F177+J177</f>
        <v>18</v>
      </c>
      <c r="O177" s="22" t="n">
        <f aca="false">G177+K177</f>
        <v>1623.62</v>
      </c>
    </row>
    <row r="178" customFormat="false" ht="15" hidden="false" customHeight="false" outlineLevel="0" collapsed="false">
      <c r="A178" s="20" t="n">
        <v>4408249</v>
      </c>
      <c r="B178" s="20" t="str">
        <f aca="false">IFERROR(INDEX('Catalog'!$B:$B,MATCH($A178,'Catalog'!$A:$A,0)),"")</f>
        <v>SC25  L חבק יד</v>
      </c>
      <c r="C178" s="20" t="str">
        <f aca="false">IFERROR(INDEX('TRANS'!$A:$A,MATCH($A178,'TRANS'!$B:$B,0)),"")</f>
        <v>SC25 L</v>
      </c>
      <c r="D178" s="21" t="n">
        <f aca="false">SUMIFS('CEMI Raw'!$C$6:$C$1018,'CEMI Raw'!$E$6:$E$1018,$A178,'CEMI Raw'!$B$6:$B$1018,2025)</f>
        <v>10</v>
      </c>
      <c r="E178" s="22" t="n">
        <f aca="false">SUMIFS('CEMI Raw'!$D$6:$D$1018,'CEMI Raw'!$E$6:$E$1018,$A178,'CEMI Raw'!$B$6:$B$1018,2025)</f>
        <v>806</v>
      </c>
      <c r="F178" s="21" t="n">
        <f aca="false">SUMIFS('CEMI Raw'!$C$6:$C$1018,'CEMI Raw'!$E$6:$E$1018,$A178,'CEMI Raw'!$B$6:$B$1018,2026)</f>
        <v>19</v>
      </c>
      <c r="G178" s="22" t="n">
        <f aca="false">SUMIFS('CEMI Raw'!$D$6:$D$1018,'CEMI Raw'!$E$6:$E$1018,$A178,'CEMI Raw'!$B$6:$B$1018,2026)</f>
        <v>1740</v>
      </c>
      <c r="H178" s="21" t="n">
        <f aca="false">SUMIFS('SALES Raw'!$C$6:$C$603,'SALES Raw'!$E$6:$E$603,$A178,'SALES Raw'!$B$6:$B$603,2025)</f>
        <v>6</v>
      </c>
      <c r="I178" s="22" t="n">
        <f aca="false">SUMIFS('SALES Raw'!$D$6:$D$603,'SALES Raw'!$E$6:$E$603,$A178,'SALES Raw'!$B$6:$B$603,2025)</f>
        <v>512.91</v>
      </c>
      <c r="J178" s="21" t="n">
        <f aca="false">SUMIFS('SALES Raw'!$C$6:$C$603,'SALES Raw'!$E$6:$E$603,$A178,'SALES Raw'!$B$6:$B$603,2026)</f>
        <v>2</v>
      </c>
      <c r="K178" s="22" t="n">
        <f aca="false">SUMIFS('SALES Raw'!$D$6:$D$603,'SALES Raw'!$E$6:$E$603,$A178,'SALES Raw'!$B$6:$B$603,2026)</f>
        <v>187.35</v>
      </c>
      <c r="L178" s="21" t="n">
        <f aca="false">D178+H178</f>
        <v>16</v>
      </c>
      <c r="M178" s="22" t="n">
        <f aca="false">E178+I178</f>
        <v>1318.91</v>
      </c>
      <c r="N178" s="21" t="n">
        <f aca="false">F178+J178</f>
        <v>21</v>
      </c>
      <c r="O178" s="22" t="n">
        <f aca="false">G178+K178</f>
        <v>1927.35</v>
      </c>
    </row>
    <row r="179" customFormat="false" ht="15" hidden="false" customHeight="false" outlineLevel="0" collapsed="false">
      <c r="A179" s="20" t="n">
        <v>4408250</v>
      </c>
      <c r="B179" s="20" t="str">
        <f aca="false">IFERROR(INDEX('Catalog'!$B:$B,MATCH($A179,'Catalog'!$A:$A,0)),"")</f>
        <v>SC25 XL חבק יד</v>
      </c>
      <c r="C179" s="20" t="str">
        <f aca="false">IFERROR(INDEX('TRANS'!$A:$A,MATCH($A179,'TRANS'!$B:$B,0)),"")</f>
        <v>SC25 XL</v>
      </c>
      <c r="D179" s="21" t="n">
        <f aca="false">SUMIFS('CEMI Raw'!$C$6:$C$1018,'CEMI Raw'!$E$6:$E$1018,$A179,'CEMI Raw'!$B$6:$B$1018,2025)</f>
        <v>9</v>
      </c>
      <c r="E179" s="22" t="n">
        <f aca="false">SUMIFS('CEMI Raw'!$D$6:$D$1018,'CEMI Raw'!$E$6:$E$1018,$A179,'CEMI Raw'!$B$6:$B$1018,2025)</f>
        <v>718.1</v>
      </c>
      <c r="F179" s="21" t="n">
        <f aca="false">SUMIFS('CEMI Raw'!$C$6:$C$1018,'CEMI Raw'!$E$6:$E$1018,$A179,'CEMI Raw'!$B$6:$B$1018,2026)</f>
        <v>10</v>
      </c>
      <c r="G179" s="22" t="n">
        <f aca="false">SUMIFS('CEMI Raw'!$D$6:$D$1018,'CEMI Raw'!$E$6:$E$1018,$A179,'CEMI Raw'!$B$6:$B$1018,2026)</f>
        <v>899.2</v>
      </c>
      <c r="H179" s="21" t="n">
        <f aca="false">SUMIFS('SALES Raw'!$C$6:$C$603,'SALES Raw'!$E$6:$E$603,$A179,'SALES Raw'!$B$6:$B$603,2025)</f>
        <v>9</v>
      </c>
      <c r="I179" s="22" t="n">
        <f aca="false">SUMIFS('SALES Raw'!$D$6:$D$603,'SALES Raw'!$E$6:$E$603,$A179,'SALES Raw'!$B$6:$B$603,2025)</f>
        <v>739.69</v>
      </c>
      <c r="J179" s="21" t="n">
        <f aca="false">SUMIFS('SALES Raw'!$C$6:$C$603,'SALES Raw'!$E$6:$E$603,$A179,'SALES Raw'!$B$6:$B$603,2026)</f>
        <v>3</v>
      </c>
      <c r="K179" s="22" t="n">
        <f aca="false">SUMIFS('SALES Raw'!$D$6:$D$603,'SALES Raw'!$E$6:$E$603,$A179,'SALES Raw'!$B$6:$B$603,2026)</f>
        <v>281.03</v>
      </c>
      <c r="L179" s="21" t="n">
        <f aca="false">D179+H179</f>
        <v>18</v>
      </c>
      <c r="M179" s="22" t="n">
        <f aca="false">E179+I179</f>
        <v>1457.79</v>
      </c>
      <c r="N179" s="21" t="n">
        <f aca="false">F179+J179</f>
        <v>13</v>
      </c>
      <c r="O179" s="22" t="n">
        <f aca="false">G179+K179</f>
        <v>1180.23</v>
      </c>
    </row>
    <row r="180" customFormat="false" ht="15" hidden="false" customHeight="false" outlineLevel="0" collapsed="false">
      <c r="A180" s="20" t="n">
        <v>4408259</v>
      </c>
      <c r="B180" s="20" t="str">
        <f aca="false">IFERROR(INDEX('Catalog'!$B:$B,MATCH($A180,'Catalog'!$A:$A,0)),"")</f>
        <v>11STO S חגורה אחרי ניתוח</v>
      </c>
      <c r="C180" s="20" t="str">
        <f aca="false">IFERROR(INDEX('TRANS'!$A:$A,MATCH($A180,'TRANS'!$B:$B,0)),"")</f>
        <v>11STO S</v>
      </c>
      <c r="D180" s="21" t="n">
        <f aca="false">SUMIFS('CEMI Raw'!$C$6:$C$1018,'CEMI Raw'!$E$6:$E$1018,$A180,'CEMI Raw'!$B$6:$B$1018,2025)</f>
        <v>0</v>
      </c>
      <c r="E180" s="22" t="n">
        <f aca="false">SUMIFS('CEMI Raw'!$D$6:$D$1018,'CEMI Raw'!$E$6:$E$1018,$A180,'CEMI Raw'!$B$6:$B$1018,2025)</f>
        <v>0</v>
      </c>
      <c r="F180" s="21" t="n">
        <f aca="false">SUMIFS('CEMI Raw'!$C$6:$C$1018,'CEMI Raw'!$E$6:$E$1018,$A180,'CEMI Raw'!$B$6:$B$1018,2026)</f>
        <v>1</v>
      </c>
      <c r="G180" s="22" t="n">
        <f aca="false">SUMIFS('CEMI Raw'!$D$6:$D$1018,'CEMI Raw'!$E$6:$E$1018,$A180,'CEMI Raw'!$B$6:$B$1018,2026)</f>
        <v>166.4</v>
      </c>
      <c r="H180" s="21" t="n">
        <f aca="false">SUMIFS('SALES Raw'!$C$6:$C$603,'SALES Raw'!$E$6:$E$603,$A180,'SALES Raw'!$B$6:$B$603,2025)</f>
        <v>1</v>
      </c>
      <c r="I180" s="22" t="n">
        <f aca="false">SUMIFS('SALES Raw'!$D$6:$D$603,'SALES Raw'!$E$6:$E$603,$A180,'SALES Raw'!$B$6:$B$603,2025)</f>
        <v>105</v>
      </c>
      <c r="J180" s="21" t="n">
        <f aca="false">SUMIFS('SALES Raw'!$C$6:$C$603,'SALES Raw'!$E$6:$E$603,$A180,'SALES Raw'!$B$6:$B$603,2026)</f>
        <v>2</v>
      </c>
      <c r="K180" s="22" t="n">
        <f aca="false">SUMIFS('SALES Raw'!$D$6:$D$603,'SALES Raw'!$E$6:$E$603,$A180,'SALES Raw'!$B$6:$B$603,2026)</f>
        <v>210.01</v>
      </c>
      <c r="L180" s="21" t="n">
        <f aca="false">D180+H180</f>
        <v>1</v>
      </c>
      <c r="M180" s="22" t="n">
        <f aca="false">E180+I180</f>
        <v>105</v>
      </c>
      <c r="N180" s="21" t="n">
        <f aca="false">F180+J180</f>
        <v>3</v>
      </c>
      <c r="O180" s="22" t="n">
        <f aca="false">G180+K180</f>
        <v>376.41</v>
      </c>
    </row>
    <row r="181" customFormat="false" ht="15" hidden="false" customHeight="false" outlineLevel="0" collapsed="false">
      <c r="A181" s="20" t="n">
        <v>4408260</v>
      </c>
      <c r="B181" s="20" t="str">
        <f aca="false">IFERROR(INDEX('Catalog'!$B:$B,MATCH($A181,'Catalog'!$A:$A,0)),"")</f>
        <v>11STO M חגורה אחרי ניתוח</v>
      </c>
      <c r="C181" s="20" t="str">
        <f aca="false">IFERROR(INDEX('TRANS'!$A:$A,MATCH($A181,'TRANS'!$B:$B,0)),"")</f>
        <v>11STO M</v>
      </c>
      <c r="D181" s="21" t="n">
        <f aca="false">SUMIFS('CEMI Raw'!$C$6:$C$1018,'CEMI Raw'!$E$6:$E$1018,$A181,'CEMI Raw'!$B$6:$B$1018,2025)</f>
        <v>2</v>
      </c>
      <c r="E181" s="22" t="n">
        <f aca="false">SUMIFS('CEMI Raw'!$D$6:$D$1018,'CEMI Raw'!$E$6:$E$1018,$A181,'CEMI Raw'!$B$6:$B$1018,2025)</f>
        <v>310.5</v>
      </c>
      <c r="F181" s="21" t="n">
        <f aca="false">SUMIFS('CEMI Raw'!$C$6:$C$1018,'CEMI Raw'!$E$6:$E$1018,$A181,'CEMI Raw'!$B$6:$B$1018,2026)</f>
        <v>1</v>
      </c>
      <c r="G181" s="22" t="n">
        <f aca="false">SUMIFS('CEMI Raw'!$D$6:$D$1018,'CEMI Raw'!$E$6:$E$1018,$A181,'CEMI Raw'!$B$6:$B$1018,2026)</f>
        <v>166.4</v>
      </c>
      <c r="H181" s="21" t="n">
        <f aca="false">SUMIFS('SALES Raw'!$C$6:$C$603,'SALES Raw'!$E$6:$E$603,$A181,'SALES Raw'!$B$6:$B$603,2025)</f>
        <v>7</v>
      </c>
      <c r="I181" s="22" t="n">
        <f aca="false">SUMIFS('SALES Raw'!$D$6:$D$603,'SALES Raw'!$E$6:$E$603,$A181,'SALES Raw'!$B$6:$B$603,2025)</f>
        <v>735</v>
      </c>
      <c r="J181" s="21" t="n">
        <f aca="false">SUMIFS('SALES Raw'!$C$6:$C$603,'SALES Raw'!$E$6:$E$603,$A181,'SALES Raw'!$B$6:$B$603,2026)</f>
        <v>5</v>
      </c>
      <c r="K181" s="22" t="n">
        <f aca="false">SUMIFS('SALES Raw'!$D$6:$D$603,'SALES Raw'!$E$6:$E$603,$A181,'SALES Raw'!$B$6:$B$603,2026)</f>
        <v>525.01</v>
      </c>
      <c r="L181" s="21" t="n">
        <f aca="false">D181+H181</f>
        <v>9</v>
      </c>
      <c r="M181" s="22" t="n">
        <f aca="false">E181+I181</f>
        <v>1045.5</v>
      </c>
      <c r="N181" s="21" t="n">
        <f aca="false">F181+J181</f>
        <v>6</v>
      </c>
      <c r="O181" s="22" t="n">
        <f aca="false">G181+K181</f>
        <v>691.41</v>
      </c>
    </row>
    <row r="182" customFormat="false" ht="15" hidden="false" customHeight="false" outlineLevel="0" collapsed="false">
      <c r="A182" s="20" t="n">
        <v>4408261</v>
      </c>
      <c r="B182" s="20" t="str">
        <f aca="false">IFERROR(INDEX('Catalog'!$B:$B,MATCH($A182,'Catalog'!$A:$A,0)),"")</f>
        <v>11STO L חגורה אחרי ניתוח</v>
      </c>
      <c r="C182" s="20" t="str">
        <f aca="false">IFERROR(INDEX('TRANS'!$A:$A,MATCH($A182,'TRANS'!$B:$B,0)),"")</f>
        <v>11STO L</v>
      </c>
      <c r="D182" s="21" t="n">
        <f aca="false">SUMIFS('CEMI Raw'!$C$6:$C$1018,'CEMI Raw'!$E$6:$E$1018,$A182,'CEMI Raw'!$B$6:$B$1018,2025)</f>
        <v>0</v>
      </c>
      <c r="E182" s="22" t="n">
        <f aca="false">SUMIFS('CEMI Raw'!$D$6:$D$1018,'CEMI Raw'!$E$6:$E$1018,$A182,'CEMI Raw'!$B$6:$B$1018,2025)</f>
        <v>0</v>
      </c>
      <c r="F182" s="21" t="n">
        <f aca="false">SUMIFS('CEMI Raw'!$C$6:$C$1018,'CEMI Raw'!$E$6:$E$1018,$A182,'CEMI Raw'!$B$6:$B$1018,2026)</f>
        <v>0</v>
      </c>
      <c r="G182" s="22" t="n">
        <f aca="false">SUMIFS('CEMI Raw'!$D$6:$D$1018,'CEMI Raw'!$E$6:$E$1018,$A182,'CEMI Raw'!$B$6:$B$1018,2026)</f>
        <v>0</v>
      </c>
      <c r="H182" s="21" t="n">
        <f aca="false">SUMIFS('SALES Raw'!$C$6:$C$603,'SALES Raw'!$E$6:$E$603,$A182,'SALES Raw'!$B$6:$B$603,2025)</f>
        <v>24</v>
      </c>
      <c r="I182" s="22" t="n">
        <f aca="false">SUMIFS('SALES Raw'!$D$6:$D$603,'SALES Raw'!$E$6:$E$603,$A182,'SALES Raw'!$B$6:$B$603,2025)</f>
        <v>2704.04</v>
      </c>
      <c r="J182" s="21" t="n">
        <f aca="false">SUMIFS('SALES Raw'!$C$6:$C$603,'SALES Raw'!$E$6:$E$603,$A182,'SALES Raw'!$B$6:$B$603,2026)</f>
        <v>14</v>
      </c>
      <c r="K182" s="22" t="n">
        <f aca="false">SUMIFS('SALES Raw'!$D$6:$D$603,'SALES Raw'!$E$6:$E$603,$A182,'SALES Raw'!$B$6:$B$603,2026)</f>
        <v>1531.38</v>
      </c>
      <c r="L182" s="21" t="n">
        <f aca="false">D182+H182</f>
        <v>24</v>
      </c>
      <c r="M182" s="22" t="n">
        <f aca="false">E182+I182</f>
        <v>2704.04</v>
      </c>
      <c r="N182" s="21" t="n">
        <f aca="false">F182+J182</f>
        <v>14</v>
      </c>
      <c r="O182" s="22" t="n">
        <f aca="false">G182+K182</f>
        <v>1531.38</v>
      </c>
    </row>
    <row r="183" customFormat="false" ht="15" hidden="false" customHeight="false" outlineLevel="0" collapsed="false">
      <c r="A183" s="20" t="n">
        <v>4408262</v>
      </c>
      <c r="B183" s="20" t="str">
        <f aca="false">IFERROR(INDEX('Catalog'!$B:$B,MATCH($A183,'Catalog'!$A:$A,0)),"")</f>
        <v>11STO XL  חגורה אחרי ניתוח</v>
      </c>
      <c r="C183" s="20" t="str">
        <f aca="false">IFERROR(INDEX('TRANS'!$A:$A,MATCH($A183,'TRANS'!$B:$B,0)),"")</f>
        <v>11STO XL</v>
      </c>
      <c r="D183" s="21" t="n">
        <f aca="false">SUMIFS('CEMI Raw'!$C$6:$C$1018,'CEMI Raw'!$E$6:$E$1018,$A183,'CEMI Raw'!$B$6:$B$1018,2025)</f>
        <v>0</v>
      </c>
      <c r="E183" s="22" t="n">
        <f aca="false">SUMIFS('CEMI Raw'!$D$6:$D$1018,'CEMI Raw'!$E$6:$E$1018,$A183,'CEMI Raw'!$B$6:$B$1018,2025)</f>
        <v>0</v>
      </c>
      <c r="F183" s="21" t="n">
        <f aca="false">SUMIFS('CEMI Raw'!$C$6:$C$1018,'CEMI Raw'!$E$6:$E$1018,$A183,'CEMI Raw'!$B$6:$B$1018,2026)</f>
        <v>2</v>
      </c>
      <c r="G183" s="22" t="n">
        <f aca="false">SUMIFS('CEMI Raw'!$D$6:$D$1018,'CEMI Raw'!$E$6:$E$1018,$A183,'CEMI Raw'!$B$6:$B$1018,2026)</f>
        <v>332.7</v>
      </c>
      <c r="H183" s="21" t="n">
        <f aca="false">SUMIFS('SALES Raw'!$C$6:$C$603,'SALES Raw'!$E$6:$E$603,$A183,'SALES Raw'!$B$6:$B$603,2025)</f>
        <v>11</v>
      </c>
      <c r="I183" s="22" t="n">
        <f aca="false">SUMIFS('SALES Raw'!$D$6:$D$603,'SALES Raw'!$E$6:$E$603,$A183,'SALES Raw'!$B$6:$B$603,2025)</f>
        <v>1155</v>
      </c>
      <c r="J183" s="21" t="n">
        <f aca="false">SUMIFS('SALES Raw'!$C$6:$C$603,'SALES Raw'!$E$6:$E$603,$A183,'SALES Raw'!$B$6:$B$603,2026)</f>
        <v>8</v>
      </c>
      <c r="K183" s="22" t="n">
        <f aca="false">SUMIFS('SALES Raw'!$D$6:$D$603,'SALES Raw'!$E$6:$E$603,$A183,'SALES Raw'!$B$6:$B$603,2026)</f>
        <v>962.71</v>
      </c>
      <c r="L183" s="21" t="n">
        <f aca="false">D183+H183</f>
        <v>11</v>
      </c>
      <c r="M183" s="22" t="n">
        <f aca="false">E183+I183</f>
        <v>1155</v>
      </c>
      <c r="N183" s="21" t="n">
        <f aca="false">F183+J183</f>
        <v>10</v>
      </c>
      <c r="O183" s="22" t="n">
        <f aca="false">G183+K183</f>
        <v>1295.41</v>
      </c>
    </row>
    <row r="184" customFormat="false" ht="15" hidden="false" customHeight="false" outlineLevel="0" collapsed="false">
      <c r="A184" s="20" t="n">
        <v>4408263</v>
      </c>
      <c r="B184" s="20" t="str">
        <f aca="false">IFERROR(INDEX('Catalog'!$B:$B,MATCH($A184,'Catalog'!$A:$A,0)),"")</f>
        <v>11STO XXL חגורה אחרי ניתוח</v>
      </c>
      <c r="C184" s="20" t="str">
        <f aca="false">IFERROR(INDEX('TRANS'!$A:$A,MATCH($A184,'TRANS'!$B:$B,0)),"")</f>
        <v>11STO XXL</v>
      </c>
      <c r="D184" s="21" t="n">
        <f aca="false">SUMIFS('CEMI Raw'!$C$6:$C$1018,'CEMI Raw'!$E$6:$E$1018,$A184,'CEMI Raw'!$B$6:$B$1018,2025)</f>
        <v>0</v>
      </c>
      <c r="E184" s="22" t="n">
        <f aca="false">SUMIFS('CEMI Raw'!$D$6:$D$1018,'CEMI Raw'!$E$6:$E$1018,$A184,'CEMI Raw'!$B$6:$B$1018,2025)</f>
        <v>0</v>
      </c>
      <c r="F184" s="21" t="n">
        <f aca="false">SUMIFS('CEMI Raw'!$C$6:$C$1018,'CEMI Raw'!$E$6:$E$1018,$A184,'CEMI Raw'!$B$6:$B$1018,2026)</f>
        <v>0</v>
      </c>
      <c r="G184" s="22" t="n">
        <f aca="false">SUMIFS('CEMI Raw'!$D$6:$D$1018,'CEMI Raw'!$E$6:$E$1018,$A184,'CEMI Raw'!$B$6:$B$1018,2026)</f>
        <v>0</v>
      </c>
      <c r="H184" s="21" t="n">
        <f aca="false">SUMIFS('SALES Raw'!$C$6:$C$603,'SALES Raw'!$E$6:$E$603,$A184,'SALES Raw'!$B$6:$B$603,2025)</f>
        <v>14</v>
      </c>
      <c r="I184" s="22" t="n">
        <f aca="false">SUMIFS('SALES Raw'!$D$6:$D$603,'SALES Raw'!$E$6:$E$603,$A184,'SALES Raw'!$B$6:$B$603,2025)</f>
        <v>1530.41</v>
      </c>
      <c r="J184" s="21" t="n">
        <f aca="false">SUMIFS('SALES Raw'!$C$6:$C$603,'SALES Raw'!$E$6:$E$603,$A184,'SALES Raw'!$B$6:$B$603,2026)</f>
        <v>6</v>
      </c>
      <c r="K184" s="22" t="n">
        <f aca="false">SUMIFS('SALES Raw'!$D$6:$D$603,'SALES Raw'!$E$6:$E$603,$A184,'SALES Raw'!$B$6:$B$603,2026)</f>
        <v>630.01</v>
      </c>
      <c r="L184" s="21" t="n">
        <f aca="false">D184+H184</f>
        <v>14</v>
      </c>
      <c r="M184" s="22" t="n">
        <f aca="false">E184+I184</f>
        <v>1530.41</v>
      </c>
      <c r="N184" s="21" t="n">
        <f aca="false">F184+J184</f>
        <v>6</v>
      </c>
      <c r="O184" s="22" t="n">
        <f aca="false">G184+K184</f>
        <v>630.01</v>
      </c>
    </row>
    <row r="185" customFormat="false" ht="15" hidden="false" customHeight="false" outlineLevel="0" collapsed="false">
      <c r="A185" s="20" t="n">
        <v>4408264</v>
      </c>
      <c r="B185" s="20" t="str">
        <f aca="false">IFERROR(INDEX('Catalog'!$B:$B,MATCH($A185,'Catalog'!$A:$A,0)),"")</f>
        <v>T25B   חבק יד אגודלי</v>
      </c>
      <c r="C185" s="20" t="str">
        <f aca="false">IFERROR(INDEX('TRANS'!$A:$A,MATCH($A185,'TRANS'!$B:$B,0)),"")</f>
        <v>T25B 0</v>
      </c>
      <c r="D185" s="21" t="n">
        <f aca="false">SUMIFS('CEMI Raw'!$C$6:$C$1018,'CEMI Raw'!$E$6:$E$1018,$A185,'CEMI Raw'!$B$6:$B$1018,2025)</f>
        <v>382</v>
      </c>
      <c r="E185" s="22" t="n">
        <f aca="false">SUMIFS('CEMI Raw'!$D$6:$D$1018,'CEMI Raw'!$E$6:$E$1018,$A185,'CEMI Raw'!$B$6:$B$1018,2025)</f>
        <v>15998.7</v>
      </c>
      <c r="F185" s="21" t="n">
        <f aca="false">SUMIFS('CEMI Raw'!$C$6:$C$1018,'CEMI Raw'!$E$6:$E$1018,$A185,'CEMI Raw'!$B$6:$B$1018,2026)</f>
        <v>179</v>
      </c>
      <c r="G185" s="22" t="n">
        <f aca="false">SUMIFS('CEMI Raw'!$D$6:$D$1018,'CEMI Raw'!$E$6:$E$1018,$A185,'CEMI Raw'!$B$6:$B$1018,2026)</f>
        <v>8153</v>
      </c>
      <c r="H185" s="21" t="n">
        <f aca="false">SUMIFS('SALES Raw'!$C$6:$C$603,'SALES Raw'!$E$6:$E$603,$A185,'SALES Raw'!$B$6:$B$603,2025)</f>
        <v>1</v>
      </c>
      <c r="I185" s="22" t="n">
        <f aca="false">SUMIFS('SALES Raw'!$D$6:$D$603,'SALES Raw'!$E$6:$E$603,$A185,'SALES Raw'!$B$6:$B$603,2025)</f>
        <v>42.5</v>
      </c>
      <c r="J185" s="21" t="n">
        <f aca="false">SUMIFS('SALES Raw'!$C$6:$C$603,'SALES Raw'!$E$6:$E$603,$A185,'SALES Raw'!$B$6:$B$603,2026)</f>
        <v>1</v>
      </c>
      <c r="K185" s="22" t="n">
        <f aca="false">SUMIFS('SALES Raw'!$D$6:$D$603,'SALES Raw'!$E$6:$E$603,$A185,'SALES Raw'!$B$6:$B$603,2026)</f>
        <v>46.82</v>
      </c>
      <c r="L185" s="21" t="n">
        <f aca="false">D185+H185</f>
        <v>383</v>
      </c>
      <c r="M185" s="22" t="n">
        <f aca="false">E185+I185</f>
        <v>16041.2</v>
      </c>
      <c r="N185" s="21" t="n">
        <f aca="false">F185+J185</f>
        <v>180</v>
      </c>
      <c r="O185" s="22" t="n">
        <f aca="false">G185+K185</f>
        <v>8199.82</v>
      </c>
    </row>
    <row r="186" customFormat="false" ht="15" hidden="false" customHeight="false" outlineLevel="0" collapsed="false">
      <c r="A186" s="20" t="n">
        <v>4408265</v>
      </c>
      <c r="B186" s="20" t="str">
        <f aca="false">IFERROR(INDEX('Catalog'!$B:$B,MATCH($A186,'Catalog'!$A:$A,0)),"")</f>
        <v>078XXL חגורת גב +סגירה כפולה</v>
      </c>
      <c r="C186" s="20" t="str">
        <f aca="false">IFERROR(INDEX('TRANS'!$A:$A,MATCH($A186,'TRANS'!$B:$B,0)),"")</f>
        <v>078 XXL</v>
      </c>
      <c r="D186" s="21" t="n">
        <f aca="false">SUMIFS('CEMI Raw'!$C$6:$C$1018,'CEMI Raw'!$E$6:$E$1018,$A186,'CEMI Raw'!$B$6:$B$1018,2025)</f>
        <v>64</v>
      </c>
      <c r="E186" s="22" t="n">
        <f aca="false">SUMIFS('CEMI Raw'!$D$6:$D$1018,'CEMI Raw'!$E$6:$E$1018,$A186,'CEMI Raw'!$B$6:$B$1018,2025)</f>
        <v>6752.6</v>
      </c>
      <c r="F186" s="21" t="n">
        <f aca="false">SUMIFS('CEMI Raw'!$C$6:$C$1018,'CEMI Raw'!$E$6:$E$1018,$A186,'CEMI Raw'!$B$6:$B$1018,2026)</f>
        <v>32</v>
      </c>
      <c r="G186" s="22" t="n">
        <f aca="false">SUMIFS('CEMI Raw'!$D$6:$D$1018,'CEMI Raw'!$E$6:$E$1018,$A186,'CEMI Raw'!$B$6:$B$1018,2026)</f>
        <v>3393.7</v>
      </c>
      <c r="H186" s="21" t="n">
        <f aca="false">SUMIFS('SALES Raw'!$C$6:$C$603,'SALES Raw'!$E$6:$E$603,$A186,'SALES Raw'!$B$6:$B$603,2025)</f>
        <v>0</v>
      </c>
      <c r="I186" s="22" t="n">
        <f aca="false">SUMIFS('SALES Raw'!$D$6:$D$603,'SALES Raw'!$E$6:$E$603,$A186,'SALES Raw'!$B$6:$B$603,2025)</f>
        <v>0</v>
      </c>
      <c r="J186" s="21" t="n">
        <f aca="false">SUMIFS('SALES Raw'!$C$6:$C$603,'SALES Raw'!$E$6:$E$603,$A186,'SALES Raw'!$B$6:$B$603,2026)</f>
        <v>0</v>
      </c>
      <c r="K186" s="22" t="n">
        <f aca="false">SUMIFS('SALES Raw'!$D$6:$D$603,'SALES Raw'!$E$6:$E$603,$A186,'SALES Raw'!$B$6:$B$603,2026)</f>
        <v>0</v>
      </c>
      <c r="L186" s="21" t="n">
        <f aca="false">D186+H186</f>
        <v>64</v>
      </c>
      <c r="M186" s="22" t="n">
        <f aca="false">E186+I186</f>
        <v>6752.6</v>
      </c>
      <c r="N186" s="21" t="n">
        <f aca="false">F186+J186</f>
        <v>32</v>
      </c>
      <c r="O186" s="22" t="n">
        <f aca="false">G186+K186</f>
        <v>3393.7</v>
      </c>
    </row>
    <row r="187" customFormat="false" ht="15" hidden="false" customHeight="false" outlineLevel="0" collapsed="false">
      <c r="A187" s="20" t="n">
        <v>4408266</v>
      </c>
      <c r="B187" s="20" t="str">
        <f aca="false">IFERROR(INDEX('Catalog'!$B:$B,MATCH($A187,'Catalog'!$A:$A,0)),"")</f>
        <v>91B חבק טניס אלבו</v>
      </c>
      <c r="C187" s="20" t="str">
        <f aca="false">IFERROR(INDEX('TRANS'!$A:$A,MATCH($A187,'TRANS'!$B:$B,0)),"")</f>
        <v>91B 0</v>
      </c>
      <c r="D187" s="21" t="n">
        <f aca="false">SUMIFS('CEMI Raw'!$C$6:$C$1018,'CEMI Raw'!$E$6:$E$1018,$A187,'CEMI Raw'!$B$6:$B$1018,2025)</f>
        <v>79</v>
      </c>
      <c r="E187" s="22" t="n">
        <f aca="false">SUMIFS('CEMI Raw'!$D$6:$D$1018,'CEMI Raw'!$E$6:$E$1018,$A187,'CEMI Raw'!$B$6:$B$1018,2025)</f>
        <v>6503.9</v>
      </c>
      <c r="F187" s="21" t="n">
        <f aca="false">SUMIFS('CEMI Raw'!$C$6:$C$1018,'CEMI Raw'!$E$6:$E$1018,$A187,'CEMI Raw'!$B$6:$B$1018,2026)</f>
        <v>67</v>
      </c>
      <c r="G187" s="22" t="n">
        <f aca="false">SUMIFS('CEMI Raw'!$D$6:$D$1018,'CEMI Raw'!$E$6:$E$1018,$A187,'CEMI Raw'!$B$6:$B$1018,2026)</f>
        <v>5537</v>
      </c>
      <c r="H187" s="21" t="n">
        <f aca="false">SUMIFS('SALES Raw'!$C$6:$C$603,'SALES Raw'!$E$6:$E$603,$A187,'SALES Raw'!$B$6:$B$603,2025)</f>
        <v>4</v>
      </c>
      <c r="I187" s="22" t="n">
        <f aca="false">SUMIFS('SALES Raw'!$D$6:$D$603,'SALES Raw'!$E$6:$E$603,$A187,'SALES Raw'!$B$6:$B$603,2025)</f>
        <v>337.28</v>
      </c>
      <c r="J187" s="21" t="n">
        <f aca="false">SUMIFS('SALES Raw'!$C$6:$C$603,'SALES Raw'!$E$6:$E$603,$A187,'SALES Raw'!$B$6:$B$603,2026)</f>
        <v>13</v>
      </c>
      <c r="K187" s="22" t="n">
        <f aca="false">SUMIFS('SALES Raw'!$D$6:$D$603,'SALES Raw'!$E$6:$E$603,$A187,'SALES Raw'!$B$6:$B$603,2026)</f>
        <v>1096.15</v>
      </c>
      <c r="L187" s="21" t="n">
        <f aca="false">D187+H187</f>
        <v>83</v>
      </c>
      <c r="M187" s="22" t="n">
        <f aca="false">E187+I187</f>
        <v>6841.18</v>
      </c>
      <c r="N187" s="21" t="n">
        <f aca="false">F187+J187</f>
        <v>80</v>
      </c>
      <c r="O187" s="22" t="n">
        <f aca="false">G187+K187</f>
        <v>6633.15</v>
      </c>
    </row>
    <row r="188" customFormat="false" ht="15" hidden="false" customHeight="false" outlineLevel="0" collapsed="false">
      <c r="A188" s="20" t="n">
        <v>4408271</v>
      </c>
      <c r="B188" s="20" t="str">
        <f aca="false">IFERROR(INDEX('Catalog'!$B:$B,MATCH($A188,'Catalog'!$A:$A,0)),"")</f>
        <v>70N XS חגורת פאבליק</v>
      </c>
      <c r="C188" s="20" t="str">
        <f aca="false">IFERROR(INDEX('TRANS'!$A:$A,MATCH($A188,'TRANS'!$B:$B,0)),"")</f>
        <v>70N XS</v>
      </c>
      <c r="D188" s="21" t="n">
        <f aca="false">SUMIFS('CEMI Raw'!$C$6:$C$1018,'CEMI Raw'!$E$6:$E$1018,$A188,'CEMI Raw'!$B$6:$B$1018,2025)</f>
        <v>0</v>
      </c>
      <c r="E188" s="22" t="n">
        <f aca="false">SUMIFS('CEMI Raw'!$D$6:$D$1018,'CEMI Raw'!$E$6:$E$1018,$A188,'CEMI Raw'!$B$6:$B$1018,2025)</f>
        <v>0</v>
      </c>
      <c r="F188" s="21" t="n">
        <f aca="false">SUMIFS('CEMI Raw'!$C$6:$C$1018,'CEMI Raw'!$E$6:$E$1018,$A188,'CEMI Raw'!$B$6:$B$1018,2026)</f>
        <v>0</v>
      </c>
      <c r="G188" s="22" t="n">
        <f aca="false">SUMIFS('CEMI Raw'!$D$6:$D$1018,'CEMI Raw'!$E$6:$E$1018,$A188,'CEMI Raw'!$B$6:$B$1018,2026)</f>
        <v>0</v>
      </c>
      <c r="H188" s="21" t="n">
        <f aca="false">SUMIFS('SALES Raw'!$C$6:$C$603,'SALES Raw'!$E$6:$E$603,$A188,'SALES Raw'!$B$6:$B$603,2025)</f>
        <v>1</v>
      </c>
      <c r="I188" s="22" t="n">
        <f aca="false">SUMIFS('SALES Raw'!$D$6:$D$603,'SALES Raw'!$E$6:$E$603,$A188,'SALES Raw'!$B$6:$B$603,2025)</f>
        <v>260</v>
      </c>
      <c r="J188" s="21" t="n">
        <f aca="false">SUMIFS('SALES Raw'!$C$6:$C$603,'SALES Raw'!$E$6:$E$603,$A188,'SALES Raw'!$B$6:$B$603,2026)</f>
        <v>2</v>
      </c>
      <c r="K188" s="22" t="n">
        <f aca="false">SUMIFS('SALES Raw'!$D$6:$D$603,'SALES Raw'!$E$6:$E$603,$A188,'SALES Raw'!$B$6:$B$603,2026)</f>
        <v>583.38</v>
      </c>
      <c r="L188" s="21" t="n">
        <f aca="false">D188+H188</f>
        <v>1</v>
      </c>
      <c r="M188" s="22" t="n">
        <f aca="false">E188+I188</f>
        <v>260</v>
      </c>
      <c r="N188" s="21" t="n">
        <f aca="false">F188+J188</f>
        <v>2</v>
      </c>
      <c r="O188" s="22" t="n">
        <f aca="false">G188+K188</f>
        <v>583.38</v>
      </c>
    </row>
    <row r="189" customFormat="false" ht="15" hidden="false" customHeight="false" outlineLevel="0" collapsed="false">
      <c r="A189" s="20" t="n">
        <v>4408272</v>
      </c>
      <c r="B189" s="20" t="str">
        <f aca="false">IFERROR(INDEX('Catalog'!$B:$B,MATCH($A189,'Catalog'!$A:$A,0)),"")</f>
        <v>70N S חגורת פאבליק</v>
      </c>
      <c r="C189" s="20" t="str">
        <f aca="false">IFERROR(INDEX('TRANS'!$A:$A,MATCH($A189,'TRANS'!$B:$B,0)),"")</f>
        <v>70N S</v>
      </c>
      <c r="D189" s="21" t="n">
        <f aca="false">SUMIFS('CEMI Raw'!$C$6:$C$1018,'CEMI Raw'!$E$6:$E$1018,$A189,'CEMI Raw'!$B$6:$B$1018,2025)</f>
        <v>0</v>
      </c>
      <c r="E189" s="22" t="n">
        <f aca="false">SUMIFS('CEMI Raw'!$D$6:$D$1018,'CEMI Raw'!$E$6:$E$1018,$A189,'CEMI Raw'!$B$6:$B$1018,2025)</f>
        <v>0</v>
      </c>
      <c r="F189" s="21" t="n">
        <f aca="false">SUMIFS('CEMI Raw'!$C$6:$C$1018,'CEMI Raw'!$E$6:$E$1018,$A189,'CEMI Raw'!$B$6:$B$1018,2026)</f>
        <v>1</v>
      </c>
      <c r="G189" s="22" t="n">
        <f aca="false">SUMIFS('CEMI Raw'!$D$6:$D$1018,'CEMI Raw'!$E$6:$E$1018,$A189,'CEMI Raw'!$B$6:$B$1018,2026)</f>
        <v>323.4</v>
      </c>
      <c r="H189" s="21" t="n">
        <f aca="false">SUMIFS('SALES Raw'!$C$6:$C$603,'SALES Raw'!$E$6:$E$603,$A189,'SALES Raw'!$B$6:$B$603,2025)</f>
        <v>0</v>
      </c>
      <c r="I189" s="22" t="n">
        <f aca="false">SUMIFS('SALES Raw'!$D$6:$D$603,'SALES Raw'!$E$6:$E$603,$A189,'SALES Raw'!$B$6:$B$603,2025)</f>
        <v>0</v>
      </c>
      <c r="J189" s="21" t="n">
        <f aca="false">SUMIFS('SALES Raw'!$C$6:$C$603,'SALES Raw'!$E$6:$E$603,$A189,'SALES Raw'!$B$6:$B$603,2026)</f>
        <v>0</v>
      </c>
      <c r="K189" s="22" t="n">
        <f aca="false">SUMIFS('SALES Raw'!$D$6:$D$603,'SALES Raw'!$E$6:$E$603,$A189,'SALES Raw'!$B$6:$B$603,2026)</f>
        <v>0</v>
      </c>
      <c r="L189" s="21" t="n">
        <f aca="false">D189+H189</f>
        <v>0</v>
      </c>
      <c r="M189" s="22" t="n">
        <f aca="false">E189+I189</f>
        <v>0</v>
      </c>
      <c r="N189" s="21" t="n">
        <f aca="false">F189+J189</f>
        <v>1</v>
      </c>
      <c r="O189" s="22" t="n">
        <f aca="false">G189+K189</f>
        <v>323.4</v>
      </c>
    </row>
    <row r="190" customFormat="false" ht="15" hidden="false" customHeight="false" outlineLevel="0" collapsed="false">
      <c r="A190" s="20" t="n">
        <v>4408273</v>
      </c>
      <c r="B190" s="20" t="str">
        <f aca="false">IFERROR(INDEX('Catalog'!$B:$B,MATCH($A190,'Catalog'!$A:$A,0)),"")</f>
        <v>70N M חגורת פאבליק</v>
      </c>
      <c r="C190" s="20" t="str">
        <f aca="false">IFERROR(INDEX('TRANS'!$A:$A,MATCH($A190,'TRANS'!$B:$B,0)),"")</f>
        <v>70N M</v>
      </c>
      <c r="D190" s="21" t="n">
        <f aca="false">SUMIFS('CEMI Raw'!$C$6:$C$1018,'CEMI Raw'!$E$6:$E$1018,$A190,'CEMI Raw'!$B$6:$B$1018,2025)</f>
        <v>0</v>
      </c>
      <c r="E190" s="22" t="n">
        <f aca="false">SUMIFS('CEMI Raw'!$D$6:$D$1018,'CEMI Raw'!$E$6:$E$1018,$A190,'CEMI Raw'!$B$6:$B$1018,2025)</f>
        <v>0</v>
      </c>
      <c r="F190" s="21" t="n">
        <f aca="false">SUMIFS('CEMI Raw'!$C$6:$C$1018,'CEMI Raw'!$E$6:$E$1018,$A190,'CEMI Raw'!$B$6:$B$1018,2026)</f>
        <v>1</v>
      </c>
      <c r="G190" s="22" t="n">
        <f aca="false">SUMIFS('CEMI Raw'!$D$6:$D$1018,'CEMI Raw'!$E$6:$E$1018,$A190,'CEMI Raw'!$B$6:$B$1018,2026)</f>
        <v>323.4</v>
      </c>
      <c r="H190" s="21" t="n">
        <f aca="false">SUMIFS('SALES Raw'!$C$6:$C$603,'SALES Raw'!$E$6:$E$603,$A190,'SALES Raw'!$B$6:$B$603,2025)</f>
        <v>0</v>
      </c>
      <c r="I190" s="22" t="n">
        <f aca="false">SUMIFS('SALES Raw'!$D$6:$D$603,'SALES Raw'!$E$6:$E$603,$A190,'SALES Raw'!$B$6:$B$603,2025)</f>
        <v>0</v>
      </c>
      <c r="J190" s="21" t="n">
        <f aca="false">SUMIFS('SALES Raw'!$C$6:$C$603,'SALES Raw'!$E$6:$E$603,$A190,'SALES Raw'!$B$6:$B$603,2026)</f>
        <v>0</v>
      </c>
      <c r="K190" s="22" t="n">
        <f aca="false">SUMIFS('SALES Raw'!$D$6:$D$603,'SALES Raw'!$E$6:$E$603,$A190,'SALES Raw'!$B$6:$B$603,2026)</f>
        <v>0</v>
      </c>
      <c r="L190" s="21" t="n">
        <f aca="false">D190+H190</f>
        <v>0</v>
      </c>
      <c r="M190" s="22" t="n">
        <f aca="false">E190+I190</f>
        <v>0</v>
      </c>
      <c r="N190" s="21" t="n">
        <f aca="false">F190+J190</f>
        <v>1</v>
      </c>
      <c r="O190" s="22" t="n">
        <f aca="false">G190+K190</f>
        <v>323.4</v>
      </c>
    </row>
    <row r="191" customFormat="false" ht="15" hidden="false" customHeight="false" outlineLevel="0" collapsed="false">
      <c r="A191" s="20" t="n">
        <v>4408274</v>
      </c>
      <c r="B191" s="20" t="str">
        <f aca="false">IFERROR(INDEX('Catalog'!$B:$B,MATCH($A191,'Catalog'!$A:$A,0)),"")</f>
        <v>70N L חגורת פאבליק</v>
      </c>
      <c r="C191" s="20" t="str">
        <f aca="false">IFERROR(INDEX('TRANS'!$A:$A,MATCH($A191,'TRANS'!$B:$B,0)),"")</f>
        <v>70N L</v>
      </c>
      <c r="D191" s="21" t="n">
        <f aca="false">SUMIFS('CEMI Raw'!$C$6:$C$1018,'CEMI Raw'!$E$6:$E$1018,$A191,'CEMI Raw'!$B$6:$B$1018,2025)</f>
        <v>0</v>
      </c>
      <c r="E191" s="22" t="n">
        <f aca="false">SUMIFS('CEMI Raw'!$D$6:$D$1018,'CEMI Raw'!$E$6:$E$1018,$A191,'CEMI Raw'!$B$6:$B$1018,2025)</f>
        <v>0</v>
      </c>
      <c r="F191" s="21" t="n">
        <f aca="false">SUMIFS('CEMI Raw'!$C$6:$C$1018,'CEMI Raw'!$E$6:$E$1018,$A191,'CEMI Raw'!$B$6:$B$1018,2026)</f>
        <v>1</v>
      </c>
      <c r="G191" s="22" t="n">
        <f aca="false">SUMIFS('CEMI Raw'!$D$6:$D$1018,'CEMI Raw'!$E$6:$E$1018,$A191,'CEMI Raw'!$B$6:$B$1018,2026)</f>
        <v>323.4</v>
      </c>
      <c r="H191" s="21" t="n">
        <f aca="false">SUMIFS('SALES Raw'!$C$6:$C$603,'SALES Raw'!$E$6:$E$603,$A191,'SALES Raw'!$B$6:$B$603,2025)</f>
        <v>0</v>
      </c>
      <c r="I191" s="22" t="n">
        <f aca="false">SUMIFS('SALES Raw'!$D$6:$D$603,'SALES Raw'!$E$6:$E$603,$A191,'SALES Raw'!$B$6:$B$603,2025)</f>
        <v>0</v>
      </c>
      <c r="J191" s="21" t="n">
        <f aca="false">SUMIFS('SALES Raw'!$C$6:$C$603,'SALES Raw'!$E$6:$E$603,$A191,'SALES Raw'!$B$6:$B$603,2026)</f>
        <v>0</v>
      </c>
      <c r="K191" s="22" t="n">
        <f aca="false">SUMIFS('SALES Raw'!$D$6:$D$603,'SALES Raw'!$E$6:$E$603,$A191,'SALES Raw'!$B$6:$B$603,2026)</f>
        <v>0</v>
      </c>
      <c r="L191" s="21" t="n">
        <f aca="false">D191+H191</f>
        <v>0</v>
      </c>
      <c r="M191" s="22" t="n">
        <f aca="false">E191+I191</f>
        <v>0</v>
      </c>
      <c r="N191" s="21" t="n">
        <f aca="false">F191+J191</f>
        <v>1</v>
      </c>
      <c r="O191" s="22" t="n">
        <f aca="false">G191+K191</f>
        <v>323.4</v>
      </c>
    </row>
    <row r="192" customFormat="false" ht="15" hidden="false" customHeight="false" outlineLevel="0" collapsed="false">
      <c r="A192" s="20" t="n">
        <v>4408275</v>
      </c>
      <c r="B192" s="20" t="str">
        <f aca="false">IFERROR(INDEX('Catalog'!$B:$B,MATCH($A192,'Catalog'!$A:$A,0)),"")</f>
        <v>202  ONE SIZE חבק יד</v>
      </c>
      <c r="C192" s="20" t="str">
        <f aca="false">IFERROR(INDEX('TRANS'!$A:$A,MATCH($A192,'TRANS'!$B:$B,0)),"")</f>
        <v>202 0</v>
      </c>
      <c r="D192" s="21" t="n">
        <f aca="false">SUMIFS('CEMI Raw'!$C$6:$C$1018,'CEMI Raw'!$E$6:$E$1018,$A192,'CEMI Raw'!$B$6:$B$1018,2025)</f>
        <v>0</v>
      </c>
      <c r="E192" s="22" t="n">
        <f aca="false">SUMIFS('CEMI Raw'!$D$6:$D$1018,'CEMI Raw'!$E$6:$E$1018,$A192,'CEMI Raw'!$B$6:$B$1018,2025)</f>
        <v>0</v>
      </c>
      <c r="F192" s="21" t="n">
        <f aca="false">SUMIFS('CEMI Raw'!$C$6:$C$1018,'CEMI Raw'!$E$6:$E$1018,$A192,'CEMI Raw'!$B$6:$B$1018,2026)</f>
        <v>22</v>
      </c>
      <c r="G192" s="22" t="n">
        <f aca="false">SUMIFS('CEMI Raw'!$D$6:$D$1018,'CEMI Raw'!$E$6:$E$1018,$A192,'CEMI Raw'!$B$6:$B$1018,2026)</f>
        <v>1035.8</v>
      </c>
      <c r="H192" s="21" t="n">
        <f aca="false">SUMIFS('SALES Raw'!$C$6:$C$603,'SALES Raw'!$E$6:$E$603,$A192,'SALES Raw'!$B$6:$B$603,2025)</f>
        <v>0</v>
      </c>
      <c r="I192" s="22" t="n">
        <f aca="false">SUMIFS('SALES Raw'!$D$6:$D$603,'SALES Raw'!$E$6:$E$603,$A192,'SALES Raw'!$B$6:$B$603,2025)</f>
        <v>0</v>
      </c>
      <c r="J192" s="21" t="n">
        <f aca="false">SUMIFS('SALES Raw'!$C$6:$C$603,'SALES Raw'!$E$6:$E$603,$A192,'SALES Raw'!$B$6:$B$603,2026)</f>
        <v>0</v>
      </c>
      <c r="K192" s="22" t="n">
        <f aca="false">SUMIFS('SALES Raw'!$D$6:$D$603,'SALES Raw'!$E$6:$E$603,$A192,'SALES Raw'!$B$6:$B$603,2026)</f>
        <v>0</v>
      </c>
      <c r="L192" s="21" t="n">
        <f aca="false">D192+H192</f>
        <v>0</v>
      </c>
      <c r="M192" s="22" t="n">
        <f aca="false">E192+I192</f>
        <v>0</v>
      </c>
      <c r="N192" s="21" t="n">
        <f aca="false">F192+J192</f>
        <v>22</v>
      </c>
      <c r="O192" s="22" t="n">
        <f aca="false">G192+K192</f>
        <v>1035.8</v>
      </c>
    </row>
    <row r="193" customFormat="false" ht="15" hidden="false" customHeight="false" outlineLevel="0" collapsed="false">
      <c r="A193" s="20" t="n">
        <v>4409000</v>
      </c>
      <c r="B193" s="20" t="str">
        <f aca="false">IFERROR(INDEX('Catalog'!$B:$B,MATCH($A193,'Catalog'!$A:$A,0)),"")</f>
        <v>365 S-Lטבעת אלסטית מסיליקון</v>
      </c>
      <c r="C193" s="20" t="str">
        <f aca="false">IFERROR(INDEX('TRANS'!$A:$A,MATCH($A193,'TRANS'!$B:$B,0)),"")</f>
        <v>365-S-L</v>
      </c>
      <c r="D193" s="21" t="n">
        <f aca="false">SUMIFS('CEMI Raw'!$C$6:$C$1018,'CEMI Raw'!$E$6:$E$1018,$A193,'CEMI Raw'!$B$6:$B$1018,2025)</f>
        <v>407</v>
      </c>
      <c r="E193" s="22" t="n">
        <f aca="false">SUMIFS('CEMI Raw'!$D$6:$D$1018,'CEMI Raw'!$E$6:$E$1018,$A193,'CEMI Raw'!$B$6:$B$1018,2025)</f>
        <v>5513.6</v>
      </c>
      <c r="F193" s="21" t="n">
        <f aca="false">SUMIFS('CEMI Raw'!$C$6:$C$1018,'CEMI Raw'!$E$6:$E$1018,$A193,'CEMI Raw'!$B$6:$B$1018,2026)</f>
        <v>337</v>
      </c>
      <c r="G193" s="22" t="n">
        <f aca="false">SUMIFS('CEMI Raw'!$D$6:$D$1018,'CEMI Raw'!$E$6:$E$1018,$A193,'CEMI Raw'!$B$6:$B$1018,2026)</f>
        <v>4572.7</v>
      </c>
      <c r="H193" s="21" t="n">
        <f aca="false">SUMIFS('SALES Raw'!$C$6:$C$603,'SALES Raw'!$E$6:$E$603,$A193,'SALES Raw'!$B$6:$B$603,2025)</f>
        <v>7</v>
      </c>
      <c r="I193" s="22" t="n">
        <f aca="false">SUMIFS('SALES Raw'!$D$6:$D$603,'SALES Raw'!$E$6:$E$603,$A193,'SALES Raw'!$B$6:$B$603,2025)</f>
        <v>101.04</v>
      </c>
      <c r="J193" s="21" t="n">
        <f aca="false">SUMIFS('SALES Raw'!$C$6:$C$603,'SALES Raw'!$E$6:$E$603,$A193,'SALES Raw'!$B$6:$B$603,2026)</f>
        <v>15</v>
      </c>
      <c r="K193" s="22" t="n">
        <f aca="false">SUMIFS('SALES Raw'!$D$6:$D$603,'SALES Raw'!$E$6:$E$603,$A193,'SALES Raw'!$B$6:$B$603,2026)</f>
        <v>217.22</v>
      </c>
      <c r="L193" s="21" t="n">
        <f aca="false">D193+H193</f>
        <v>414</v>
      </c>
      <c r="M193" s="22" t="n">
        <f aca="false">E193+I193</f>
        <v>5614.64</v>
      </c>
      <c r="N193" s="21" t="n">
        <f aca="false">F193+J193</f>
        <v>352</v>
      </c>
      <c r="O193" s="22" t="n">
        <f aca="false">G193+K193</f>
        <v>4789.92</v>
      </c>
    </row>
    <row r="194" customFormat="false" ht="15" hidden="false" customHeight="false" outlineLevel="0" collapsed="false">
      <c r="A194" s="20" t="n">
        <v>4409001</v>
      </c>
      <c r="B194" s="20" t="str">
        <f aca="false">IFERROR(INDEX('Catalog'!$B:$B,MATCH($A194,'Catalog'!$A:$A,0)),"")</f>
        <v>365  X-Lטבעת אלסטית מסיליקון</v>
      </c>
      <c r="C194" s="20" t="str">
        <f aca="false">IFERROR(INDEX('TRANS'!$A:$A,MATCH($A194,'TRANS'!$B:$B,0)),"")</f>
        <v>365-XL</v>
      </c>
      <c r="D194" s="21" t="n">
        <f aca="false">SUMIFS('CEMI Raw'!$C$6:$C$1018,'CEMI Raw'!$E$6:$E$1018,$A194,'CEMI Raw'!$B$6:$B$1018,2025)</f>
        <v>259</v>
      </c>
      <c r="E194" s="22" t="n">
        <f aca="false">SUMIFS('CEMI Raw'!$D$6:$D$1018,'CEMI Raw'!$E$6:$E$1018,$A194,'CEMI Raw'!$B$6:$B$1018,2025)</f>
        <v>3377.2</v>
      </c>
      <c r="F194" s="21" t="n">
        <f aca="false">SUMIFS('CEMI Raw'!$C$6:$C$1018,'CEMI Raw'!$E$6:$E$1018,$A194,'CEMI Raw'!$B$6:$B$1018,2026)</f>
        <v>140</v>
      </c>
      <c r="G194" s="22" t="n">
        <f aca="false">SUMIFS('CEMI Raw'!$D$6:$D$1018,'CEMI Raw'!$E$6:$E$1018,$A194,'CEMI Raw'!$B$6:$B$1018,2026)</f>
        <v>1798.7</v>
      </c>
      <c r="H194" s="21" t="n">
        <f aca="false">SUMIFS('SALES Raw'!$C$6:$C$603,'SALES Raw'!$E$6:$E$603,$A194,'SALES Raw'!$B$6:$B$603,2025)</f>
        <v>6</v>
      </c>
      <c r="I194" s="22" t="n">
        <f aca="false">SUMIFS('SALES Raw'!$D$6:$D$603,'SALES Raw'!$E$6:$E$603,$A194,'SALES Raw'!$B$6:$B$603,2025)</f>
        <v>70.6</v>
      </c>
      <c r="J194" s="21" t="n">
        <f aca="false">SUMIFS('SALES Raw'!$C$6:$C$603,'SALES Raw'!$E$6:$E$603,$A194,'SALES Raw'!$B$6:$B$603,2026)</f>
        <v>5</v>
      </c>
      <c r="K194" s="22" t="n">
        <f aca="false">SUMIFS('SALES Raw'!$D$6:$D$603,'SALES Raw'!$E$6:$E$603,$A194,'SALES Raw'!$B$6:$B$603,2026)</f>
        <v>70.09</v>
      </c>
      <c r="L194" s="21" t="n">
        <f aca="false">D194+H194</f>
        <v>265</v>
      </c>
      <c r="M194" s="22" t="n">
        <f aca="false">E194+I194</f>
        <v>3447.8</v>
      </c>
      <c r="N194" s="21" t="n">
        <f aca="false">F194+J194</f>
        <v>145</v>
      </c>
      <c r="O194" s="22" t="n">
        <f aca="false">G194+K194</f>
        <v>1868.79</v>
      </c>
    </row>
    <row r="195" customFormat="false" ht="15" hidden="false" customHeight="false" outlineLevel="0" collapsed="false">
      <c r="A195" s="20" t="n">
        <v>4409002</v>
      </c>
      <c r="B195" s="20" t="str">
        <f aca="false">IFERROR(INDEX('Catalog'!$B:$B,MATCH($A195,'Catalog'!$A:$A,0)),"")</f>
        <v>FC341-טיפות נגד פטרת הציפורן</v>
      </c>
      <c r="C195" s="20" t="str">
        <f aca="false">IFERROR(INDEX('TRANS'!$A:$A,MATCH($A195,'TRANS'!$B:$B,0)),"")</f>
        <v/>
      </c>
      <c r="D195" s="21" t="n">
        <f aca="false">SUMIFS('CEMI Raw'!$C$6:$C$1018,'CEMI Raw'!$E$6:$E$1018,$A195,'CEMI Raw'!$B$6:$B$1018,2025)</f>
        <v>-21</v>
      </c>
      <c r="E195" s="22" t="n">
        <f aca="false">SUMIFS('CEMI Raw'!$D$6:$D$1018,'CEMI Raw'!$E$6:$E$1018,$A195,'CEMI Raw'!$B$6:$B$1018,2025)</f>
        <v>-810.8</v>
      </c>
      <c r="F195" s="21" t="n">
        <f aca="false">SUMIFS('CEMI Raw'!$C$6:$C$1018,'CEMI Raw'!$E$6:$E$1018,$A195,'CEMI Raw'!$B$6:$B$1018,2026)</f>
        <v>-4</v>
      </c>
      <c r="G195" s="22" t="n">
        <f aca="false">SUMIFS('CEMI Raw'!$D$6:$D$1018,'CEMI Raw'!$E$6:$E$1018,$A195,'CEMI Raw'!$B$6:$B$1018,2026)</f>
        <v>-113.3</v>
      </c>
      <c r="H195" s="21" t="n">
        <f aca="false">SUMIFS('SALES Raw'!$C$6:$C$603,'SALES Raw'!$E$6:$E$603,$A195,'SALES Raw'!$B$6:$B$603,2025)</f>
        <v>0</v>
      </c>
      <c r="I195" s="22" t="n">
        <f aca="false">SUMIFS('SALES Raw'!$D$6:$D$603,'SALES Raw'!$E$6:$E$603,$A195,'SALES Raw'!$B$6:$B$603,2025)</f>
        <v>0</v>
      </c>
      <c r="J195" s="21" t="n">
        <f aca="false">SUMIFS('SALES Raw'!$C$6:$C$603,'SALES Raw'!$E$6:$E$603,$A195,'SALES Raw'!$B$6:$B$603,2026)</f>
        <v>0</v>
      </c>
      <c r="K195" s="22" t="n">
        <f aca="false">SUMIFS('SALES Raw'!$D$6:$D$603,'SALES Raw'!$E$6:$E$603,$A195,'SALES Raw'!$B$6:$B$603,2026)</f>
        <v>0</v>
      </c>
      <c r="L195" s="21" t="n">
        <f aca="false">D195+H195</f>
        <v>-21</v>
      </c>
      <c r="M195" s="22" t="n">
        <f aca="false">E195+I195</f>
        <v>-810.8</v>
      </c>
      <c r="N195" s="21" t="n">
        <f aca="false">F195+J195</f>
        <v>-4</v>
      </c>
      <c r="O195" s="22" t="n">
        <f aca="false">G195+K195</f>
        <v>-113.3</v>
      </c>
    </row>
    <row r="196" customFormat="false" ht="15" hidden="false" customHeight="false" outlineLevel="0" collapsed="false">
      <c r="A196" s="20" t="n">
        <v>4409004</v>
      </c>
      <c r="B196" s="20" t="str">
        <f aca="false">IFERROR(INDEX('Catalog'!$B:$B,MATCH($A196,'Catalog'!$A:$A,0)),"")</f>
        <v>FC335 טלק מעושר באלוורה</v>
      </c>
      <c r="C196" s="20" t="str">
        <f aca="false">IFERROR(INDEX('TRANS'!$A:$A,MATCH($A196,'TRANS'!$B:$B,0)),"")</f>
        <v>FC335 0</v>
      </c>
      <c r="D196" s="21" t="n">
        <f aca="false">SUMIFS('CEMI Raw'!$C$6:$C$1018,'CEMI Raw'!$E$6:$E$1018,$A196,'CEMI Raw'!$B$6:$B$1018,2025)</f>
        <v>686</v>
      </c>
      <c r="E196" s="22" t="n">
        <f aca="false">SUMIFS('CEMI Raw'!$D$6:$D$1018,'CEMI Raw'!$E$6:$E$1018,$A196,'CEMI Raw'!$B$6:$B$1018,2025)</f>
        <v>15450.1</v>
      </c>
      <c r="F196" s="21" t="n">
        <f aca="false">SUMIFS('CEMI Raw'!$C$6:$C$1018,'CEMI Raw'!$E$6:$E$1018,$A196,'CEMI Raw'!$B$6:$B$1018,2026)</f>
        <v>278</v>
      </c>
      <c r="G196" s="22" t="n">
        <f aca="false">SUMIFS('CEMI Raw'!$D$6:$D$1018,'CEMI Raw'!$E$6:$E$1018,$A196,'CEMI Raw'!$B$6:$B$1018,2026)</f>
        <v>6368.9</v>
      </c>
      <c r="H196" s="21" t="n">
        <f aca="false">SUMIFS('SALES Raw'!$C$6:$C$603,'SALES Raw'!$E$6:$E$603,$A196,'SALES Raw'!$B$6:$B$603,2025)</f>
        <v>3</v>
      </c>
      <c r="I196" s="22" t="n">
        <f aca="false">SUMIFS('SALES Raw'!$D$6:$D$603,'SALES Raw'!$E$6:$E$603,$A196,'SALES Raw'!$B$6:$B$603,2025)</f>
        <v>70.17</v>
      </c>
      <c r="J196" s="21" t="n">
        <f aca="false">SUMIFS('SALES Raw'!$C$6:$C$603,'SALES Raw'!$E$6:$E$603,$A196,'SALES Raw'!$B$6:$B$603,2026)</f>
        <v>0</v>
      </c>
      <c r="K196" s="22" t="n">
        <f aca="false">SUMIFS('SALES Raw'!$D$6:$D$603,'SALES Raw'!$E$6:$E$603,$A196,'SALES Raw'!$B$6:$B$603,2026)</f>
        <v>0</v>
      </c>
      <c r="L196" s="21" t="n">
        <f aca="false">D196+H196</f>
        <v>689</v>
      </c>
      <c r="M196" s="22" t="n">
        <f aca="false">E196+I196</f>
        <v>15520.27</v>
      </c>
      <c r="N196" s="21" t="n">
        <f aca="false">F196+J196</f>
        <v>278</v>
      </c>
      <c r="O196" s="22" t="n">
        <f aca="false">G196+K196</f>
        <v>6368.9</v>
      </c>
    </row>
    <row r="197" customFormat="false" ht="15" hidden="false" customHeight="false" outlineLevel="0" collapsed="false">
      <c r="A197" s="20" t="n">
        <v>4409010</v>
      </c>
      <c r="B197" s="20" t="str">
        <f aca="false">IFERROR(INDEX('Catalog'!$B:$B,MATCH($A197,'Catalog'!$A:$A,0)),"")</f>
        <v>804AT-W      טייפ חבישה לספורט</v>
      </c>
      <c r="C197" s="20" t="str">
        <f aca="false">IFERROR(INDEX('TRANS'!$A:$A,MATCH($A197,'TRANS'!$B:$B,0)),"")</f>
        <v>804AT-W</v>
      </c>
      <c r="D197" s="21" t="n">
        <f aca="false">SUMIFS('CEMI Raw'!$C$6:$C$1018,'CEMI Raw'!$E$6:$E$1018,$A197,'CEMI Raw'!$B$6:$B$1018,2025)</f>
        <v>10</v>
      </c>
      <c r="E197" s="22" t="n">
        <f aca="false">SUMIFS('CEMI Raw'!$D$6:$D$1018,'CEMI Raw'!$E$6:$E$1018,$A197,'CEMI Raw'!$B$6:$B$1018,2025)</f>
        <v>159.1</v>
      </c>
      <c r="F197" s="21" t="n">
        <f aca="false">SUMIFS('CEMI Raw'!$C$6:$C$1018,'CEMI Raw'!$E$6:$E$1018,$A197,'CEMI Raw'!$B$6:$B$1018,2026)</f>
        <v>8</v>
      </c>
      <c r="G197" s="22" t="n">
        <f aca="false">SUMIFS('CEMI Raw'!$D$6:$D$1018,'CEMI Raw'!$E$6:$E$1018,$A197,'CEMI Raw'!$B$6:$B$1018,2026)</f>
        <v>136.1</v>
      </c>
      <c r="H197" s="21" t="n">
        <f aca="false">SUMIFS('SALES Raw'!$C$6:$C$603,'SALES Raw'!$E$6:$E$603,$A197,'SALES Raw'!$B$6:$B$603,2025)</f>
        <v>0</v>
      </c>
      <c r="I197" s="22" t="n">
        <f aca="false">SUMIFS('SALES Raw'!$D$6:$D$603,'SALES Raw'!$E$6:$E$603,$A197,'SALES Raw'!$B$6:$B$603,2025)</f>
        <v>0</v>
      </c>
      <c r="J197" s="21" t="n">
        <f aca="false">SUMIFS('SALES Raw'!$C$6:$C$603,'SALES Raw'!$E$6:$E$603,$A197,'SALES Raw'!$B$6:$B$603,2026)</f>
        <v>0</v>
      </c>
      <c r="K197" s="22" t="n">
        <f aca="false">SUMIFS('SALES Raw'!$D$6:$D$603,'SALES Raw'!$E$6:$E$603,$A197,'SALES Raw'!$B$6:$B$603,2026)</f>
        <v>0</v>
      </c>
      <c r="L197" s="21" t="n">
        <f aca="false">D197+H197</f>
        <v>10</v>
      </c>
      <c r="M197" s="22" t="n">
        <f aca="false">E197+I197</f>
        <v>159.1</v>
      </c>
      <c r="N197" s="21" t="n">
        <f aca="false">F197+J197</f>
        <v>8</v>
      </c>
      <c r="O197" s="22" t="n">
        <f aca="false">G197+K197</f>
        <v>136.1</v>
      </c>
    </row>
    <row r="198" customFormat="false" ht="15" hidden="false" customHeight="false" outlineLevel="0" collapsed="false">
      <c r="A198" s="20" t="n">
        <v>4409011</v>
      </c>
      <c r="B198" s="20" t="str">
        <f aca="false">IFERROR(INDEX('Catalog'!$B:$B,MATCH($A198,'Catalog'!$A:$A,0)),"")</f>
        <v>804AT-B      טייפ חבישה לספורט</v>
      </c>
      <c r="C198" s="20" t="str">
        <f aca="false">IFERROR(INDEX('TRANS'!$A:$A,MATCH($A198,'TRANS'!$B:$B,0)),"")</f>
        <v>804AT-B</v>
      </c>
      <c r="D198" s="21" t="n">
        <f aca="false">SUMIFS('CEMI Raw'!$C$6:$C$1018,'CEMI Raw'!$E$6:$E$1018,$A198,'CEMI Raw'!$B$6:$B$1018,2025)</f>
        <v>26</v>
      </c>
      <c r="E198" s="22" t="n">
        <f aca="false">SUMIFS('CEMI Raw'!$D$6:$D$1018,'CEMI Raw'!$E$6:$E$1018,$A198,'CEMI Raw'!$B$6:$B$1018,2025)</f>
        <v>417.2</v>
      </c>
      <c r="F198" s="21" t="n">
        <f aca="false">SUMIFS('CEMI Raw'!$C$6:$C$1018,'CEMI Raw'!$E$6:$E$1018,$A198,'CEMI Raw'!$B$6:$B$1018,2026)</f>
        <v>56</v>
      </c>
      <c r="G198" s="22" t="n">
        <f aca="false">SUMIFS('CEMI Raw'!$D$6:$D$1018,'CEMI Raw'!$E$6:$E$1018,$A198,'CEMI Raw'!$B$6:$B$1018,2026)</f>
        <v>966.2</v>
      </c>
      <c r="H198" s="21" t="n">
        <f aca="false">SUMIFS('SALES Raw'!$C$6:$C$603,'SALES Raw'!$E$6:$E$603,$A198,'SALES Raw'!$B$6:$B$603,2025)</f>
        <v>0</v>
      </c>
      <c r="I198" s="22" t="n">
        <f aca="false">SUMIFS('SALES Raw'!$D$6:$D$603,'SALES Raw'!$E$6:$E$603,$A198,'SALES Raw'!$B$6:$B$603,2025)</f>
        <v>0</v>
      </c>
      <c r="J198" s="21" t="n">
        <f aca="false">SUMIFS('SALES Raw'!$C$6:$C$603,'SALES Raw'!$E$6:$E$603,$A198,'SALES Raw'!$B$6:$B$603,2026)</f>
        <v>0</v>
      </c>
      <c r="K198" s="22" t="n">
        <f aca="false">SUMIFS('SALES Raw'!$D$6:$D$603,'SALES Raw'!$E$6:$E$603,$A198,'SALES Raw'!$B$6:$B$603,2026)</f>
        <v>0</v>
      </c>
      <c r="L198" s="21" t="n">
        <f aca="false">D198+H198</f>
        <v>26</v>
      </c>
      <c r="M198" s="22" t="n">
        <f aca="false">E198+I198</f>
        <v>417.2</v>
      </c>
      <c r="N198" s="21" t="n">
        <f aca="false">F198+J198</f>
        <v>56</v>
      </c>
      <c r="O198" s="22" t="n">
        <f aca="false">G198+K198</f>
        <v>966.2</v>
      </c>
    </row>
    <row r="199" customFormat="false" ht="15" hidden="false" customHeight="false" outlineLevel="0" collapsed="false">
      <c r="A199" s="20" t="n">
        <v>4409012</v>
      </c>
      <c r="B199" s="20" t="str">
        <f aca="false">IFERROR(INDEX('Catalog'!$B:$B,MATCH($A199,'Catalog'!$A:$A,0)),"")</f>
        <v>804AT-C      טייפ חבישה לספורט</v>
      </c>
      <c r="C199" s="20" t="str">
        <f aca="false">IFERROR(INDEX('TRANS'!$A:$A,MATCH($A199,'TRANS'!$B:$B,0)),"")</f>
        <v>804AT-C</v>
      </c>
      <c r="D199" s="21" t="n">
        <f aca="false">SUMIFS('CEMI Raw'!$C$6:$C$1018,'CEMI Raw'!$E$6:$E$1018,$A199,'CEMI Raw'!$B$6:$B$1018,2025)</f>
        <v>41</v>
      </c>
      <c r="E199" s="22" t="n">
        <f aca="false">SUMIFS('CEMI Raw'!$D$6:$D$1018,'CEMI Raw'!$E$6:$E$1018,$A199,'CEMI Raw'!$B$6:$B$1018,2025)</f>
        <v>613.6</v>
      </c>
      <c r="F199" s="21" t="n">
        <f aca="false">SUMIFS('CEMI Raw'!$C$6:$C$1018,'CEMI Raw'!$E$6:$E$1018,$A199,'CEMI Raw'!$B$6:$B$1018,2026)</f>
        <v>35</v>
      </c>
      <c r="G199" s="22" t="n">
        <f aca="false">SUMIFS('CEMI Raw'!$D$6:$D$1018,'CEMI Raw'!$E$6:$E$1018,$A199,'CEMI Raw'!$B$6:$B$1018,2026)</f>
        <v>600.7</v>
      </c>
      <c r="H199" s="21" t="n">
        <f aca="false">SUMIFS('SALES Raw'!$C$6:$C$603,'SALES Raw'!$E$6:$E$603,$A199,'SALES Raw'!$B$6:$B$603,2025)</f>
        <v>0</v>
      </c>
      <c r="I199" s="22" t="n">
        <f aca="false">SUMIFS('SALES Raw'!$D$6:$D$603,'SALES Raw'!$E$6:$E$603,$A199,'SALES Raw'!$B$6:$B$603,2025)</f>
        <v>0</v>
      </c>
      <c r="J199" s="21" t="n">
        <f aca="false">SUMIFS('SALES Raw'!$C$6:$C$603,'SALES Raw'!$E$6:$E$603,$A199,'SALES Raw'!$B$6:$B$603,2026)</f>
        <v>0</v>
      </c>
      <c r="K199" s="22" t="n">
        <f aca="false">SUMIFS('SALES Raw'!$D$6:$D$603,'SALES Raw'!$E$6:$E$603,$A199,'SALES Raw'!$B$6:$B$603,2026)</f>
        <v>0</v>
      </c>
      <c r="L199" s="21" t="n">
        <f aca="false">D199+H199</f>
        <v>41</v>
      </c>
      <c r="M199" s="22" t="n">
        <f aca="false">E199+I199</f>
        <v>613.6</v>
      </c>
      <c r="N199" s="21" t="n">
        <f aca="false">F199+J199</f>
        <v>35</v>
      </c>
      <c r="O199" s="22" t="n">
        <f aca="false">G199+K199</f>
        <v>600.7</v>
      </c>
    </row>
    <row r="200" customFormat="false" ht="15" hidden="false" customHeight="false" outlineLevel="0" collapsed="false">
      <c r="A200" s="20" t="n">
        <v>4409013</v>
      </c>
      <c r="B200" s="20" t="str">
        <f aca="false">IFERROR(INDEX('Catalog'!$B:$B,MATCH($A200,'Catalog'!$A:$A,0)),"")</f>
        <v>804AT-BL     טייפ חבישה לספורט</v>
      </c>
      <c r="C200" s="20" t="str">
        <f aca="false">IFERROR(INDEX('TRANS'!$A:$A,MATCH($A200,'TRANS'!$B:$B,0)),"")</f>
        <v>804AT-BL</v>
      </c>
      <c r="D200" s="21" t="n">
        <f aca="false">SUMIFS('CEMI Raw'!$C$6:$C$1018,'CEMI Raw'!$E$6:$E$1018,$A200,'CEMI Raw'!$B$6:$B$1018,2025)</f>
        <v>7</v>
      </c>
      <c r="E200" s="22" t="n">
        <f aca="false">SUMIFS('CEMI Raw'!$D$6:$D$1018,'CEMI Raw'!$E$6:$E$1018,$A200,'CEMI Raw'!$B$6:$B$1018,2025)</f>
        <v>118.8</v>
      </c>
      <c r="F200" s="21" t="n">
        <f aca="false">SUMIFS('CEMI Raw'!$C$6:$C$1018,'CEMI Raw'!$E$6:$E$1018,$A200,'CEMI Raw'!$B$6:$B$1018,2026)</f>
        <v>26</v>
      </c>
      <c r="G200" s="22" t="n">
        <f aca="false">SUMIFS('CEMI Raw'!$D$6:$D$1018,'CEMI Raw'!$E$6:$E$1018,$A200,'CEMI Raw'!$B$6:$B$1018,2026)</f>
        <v>449.7</v>
      </c>
      <c r="H200" s="21" t="n">
        <f aca="false">SUMIFS('SALES Raw'!$C$6:$C$603,'SALES Raw'!$E$6:$E$603,$A200,'SALES Raw'!$B$6:$B$603,2025)</f>
        <v>0</v>
      </c>
      <c r="I200" s="22" t="n">
        <f aca="false">SUMIFS('SALES Raw'!$D$6:$D$603,'SALES Raw'!$E$6:$E$603,$A200,'SALES Raw'!$B$6:$B$603,2025)</f>
        <v>0</v>
      </c>
      <c r="J200" s="21" t="n">
        <f aca="false">SUMIFS('SALES Raw'!$C$6:$C$603,'SALES Raw'!$E$6:$E$603,$A200,'SALES Raw'!$B$6:$B$603,2026)</f>
        <v>0</v>
      </c>
      <c r="K200" s="22" t="n">
        <f aca="false">SUMIFS('SALES Raw'!$D$6:$D$603,'SALES Raw'!$E$6:$E$603,$A200,'SALES Raw'!$B$6:$B$603,2026)</f>
        <v>0</v>
      </c>
      <c r="L200" s="21" t="n">
        <f aca="false">D200+H200</f>
        <v>7</v>
      </c>
      <c r="M200" s="22" t="n">
        <f aca="false">E200+I200</f>
        <v>118.8</v>
      </c>
      <c r="N200" s="21" t="n">
        <f aca="false">F200+J200</f>
        <v>26</v>
      </c>
      <c r="O200" s="22" t="n">
        <f aca="false">G200+K200</f>
        <v>449.7</v>
      </c>
    </row>
    <row r="201" customFormat="false" ht="15" hidden="false" customHeight="false" outlineLevel="0" collapsed="false">
      <c r="A201" s="20" t="n">
        <v>4409014</v>
      </c>
      <c r="B201" s="20" t="str">
        <f aca="false">IFERROR(INDEX('Catalog'!$B:$B,MATCH($A201,'Catalog'!$A:$A,0)),"")</f>
        <v>808KT-P        טייפ קינזיולוגי</v>
      </c>
      <c r="C201" s="20" t="str">
        <f aca="false">IFERROR(INDEX('TRANS'!$A:$A,MATCH($A201,'TRANS'!$B:$B,0)),"")</f>
        <v>808KT-P</v>
      </c>
      <c r="D201" s="21" t="n">
        <f aca="false">SUMIFS('CEMI Raw'!$C$6:$C$1018,'CEMI Raw'!$E$6:$E$1018,$A201,'CEMI Raw'!$B$6:$B$1018,2025)</f>
        <v>295</v>
      </c>
      <c r="E201" s="22" t="n">
        <f aca="false">SUMIFS('CEMI Raw'!$D$6:$D$1018,'CEMI Raw'!$E$6:$E$1018,$A201,'CEMI Raw'!$B$6:$B$1018,2025)</f>
        <v>8838</v>
      </c>
      <c r="F201" s="21" t="n">
        <f aca="false">SUMIFS('CEMI Raw'!$C$6:$C$1018,'CEMI Raw'!$E$6:$E$1018,$A201,'CEMI Raw'!$B$6:$B$1018,2026)</f>
        <v>63</v>
      </c>
      <c r="G201" s="22" t="n">
        <f aca="false">SUMIFS('CEMI Raw'!$D$6:$D$1018,'CEMI Raw'!$E$6:$E$1018,$A201,'CEMI Raw'!$B$6:$B$1018,2026)</f>
        <v>2401</v>
      </c>
      <c r="H201" s="21" t="n">
        <f aca="false">SUMIFS('SALES Raw'!$C$6:$C$603,'SALES Raw'!$E$6:$E$603,$A201,'SALES Raw'!$B$6:$B$603,2025)</f>
        <v>5</v>
      </c>
      <c r="I201" s="22" t="n">
        <f aca="false">SUMIFS('SALES Raw'!$D$6:$D$603,'SALES Raw'!$E$6:$E$603,$A201,'SALES Raw'!$B$6:$B$603,2025)</f>
        <v>184.45</v>
      </c>
      <c r="J201" s="21" t="n">
        <f aca="false">SUMIFS('SALES Raw'!$C$6:$C$603,'SALES Raw'!$E$6:$E$603,$A201,'SALES Raw'!$B$6:$B$603,2026)</f>
        <v>0</v>
      </c>
      <c r="K201" s="22" t="n">
        <f aca="false">SUMIFS('SALES Raw'!$D$6:$D$603,'SALES Raw'!$E$6:$E$603,$A201,'SALES Raw'!$B$6:$B$603,2026)</f>
        <v>0</v>
      </c>
      <c r="L201" s="21" t="n">
        <f aca="false">D201+H201</f>
        <v>300</v>
      </c>
      <c r="M201" s="22" t="n">
        <f aca="false">E201+I201</f>
        <v>9022.45</v>
      </c>
      <c r="N201" s="21" t="n">
        <f aca="false">F201+J201</f>
        <v>63</v>
      </c>
      <c r="O201" s="22" t="n">
        <f aca="false">G201+K201</f>
        <v>2401</v>
      </c>
    </row>
    <row r="202" customFormat="false" ht="15" hidden="false" customHeight="false" outlineLevel="0" collapsed="false">
      <c r="A202" s="20" t="n">
        <v>4409015</v>
      </c>
      <c r="B202" s="20" t="str">
        <f aca="false">IFERROR(INDEX('Catalog'!$B:$B,MATCH($A202,'Catalog'!$A:$A,0)),"")</f>
        <v>808KT-BL       טייפ קינזיולוגי</v>
      </c>
      <c r="C202" s="20" t="str">
        <f aca="false">IFERROR(INDEX('TRANS'!$A:$A,MATCH($A202,'TRANS'!$B:$B,0)),"")</f>
        <v>808KT-BL</v>
      </c>
      <c r="D202" s="21" t="n">
        <f aca="false">SUMIFS('CEMI Raw'!$C$6:$C$1018,'CEMI Raw'!$E$6:$E$1018,$A202,'CEMI Raw'!$B$6:$B$1018,2025)</f>
        <v>411</v>
      </c>
      <c r="E202" s="22" t="n">
        <f aca="false">SUMIFS('CEMI Raw'!$D$6:$D$1018,'CEMI Raw'!$E$6:$E$1018,$A202,'CEMI Raw'!$B$6:$B$1018,2025)</f>
        <v>13057</v>
      </c>
      <c r="F202" s="21" t="n">
        <f aca="false">SUMIFS('CEMI Raw'!$C$6:$C$1018,'CEMI Raw'!$E$6:$E$1018,$A202,'CEMI Raw'!$B$6:$B$1018,2026)</f>
        <v>117</v>
      </c>
      <c r="G202" s="22" t="n">
        <f aca="false">SUMIFS('CEMI Raw'!$D$6:$D$1018,'CEMI Raw'!$E$6:$E$1018,$A202,'CEMI Raw'!$B$6:$B$1018,2026)</f>
        <v>4205</v>
      </c>
      <c r="H202" s="21" t="n">
        <f aca="false">SUMIFS('SALES Raw'!$C$6:$C$603,'SALES Raw'!$E$6:$E$603,$A202,'SALES Raw'!$B$6:$B$603,2025)</f>
        <v>1</v>
      </c>
      <c r="I202" s="22" t="n">
        <f aca="false">SUMIFS('SALES Raw'!$D$6:$D$603,'SALES Raw'!$E$6:$E$603,$A202,'SALES Raw'!$B$6:$B$603,2025)</f>
        <v>30</v>
      </c>
      <c r="J202" s="21" t="n">
        <f aca="false">SUMIFS('SALES Raw'!$C$6:$C$603,'SALES Raw'!$E$6:$E$603,$A202,'SALES Raw'!$B$6:$B$603,2026)</f>
        <v>3</v>
      </c>
      <c r="K202" s="22" t="n">
        <f aca="false">SUMIFS('SALES Raw'!$D$6:$D$603,'SALES Raw'!$E$6:$E$603,$A202,'SALES Raw'!$B$6:$B$603,2026)</f>
        <v>90</v>
      </c>
      <c r="L202" s="21" t="n">
        <f aca="false">D202+H202</f>
        <v>412</v>
      </c>
      <c r="M202" s="22" t="n">
        <f aca="false">E202+I202</f>
        <v>13087</v>
      </c>
      <c r="N202" s="21" t="n">
        <f aca="false">F202+J202</f>
        <v>120</v>
      </c>
      <c r="O202" s="22" t="n">
        <f aca="false">G202+K202</f>
        <v>4295</v>
      </c>
    </row>
    <row r="203" customFormat="false" ht="15" hidden="false" customHeight="false" outlineLevel="0" collapsed="false">
      <c r="A203" s="20" t="n">
        <v>4409016</v>
      </c>
      <c r="B203" s="20" t="str">
        <f aca="false">IFERROR(INDEX('Catalog'!$B:$B,MATCH($A203,'Catalog'!$A:$A,0)),"")</f>
        <v>808KT-C        טייפ קינזיולוגי</v>
      </c>
      <c r="C203" s="20" t="str">
        <f aca="false">IFERROR(INDEX('TRANS'!$A:$A,MATCH($A203,'TRANS'!$B:$B,0)),"")</f>
        <v>808KT-C</v>
      </c>
      <c r="D203" s="21" t="n">
        <f aca="false">SUMIFS('CEMI Raw'!$C$6:$C$1018,'CEMI Raw'!$E$6:$E$1018,$A203,'CEMI Raw'!$B$6:$B$1018,2025)</f>
        <v>517</v>
      </c>
      <c r="E203" s="22" t="n">
        <f aca="false">SUMIFS('CEMI Raw'!$D$6:$D$1018,'CEMI Raw'!$E$6:$E$1018,$A203,'CEMI Raw'!$B$6:$B$1018,2025)</f>
        <v>15602.6</v>
      </c>
      <c r="F203" s="21" t="n">
        <f aca="false">SUMIFS('CEMI Raw'!$C$6:$C$1018,'CEMI Raw'!$E$6:$E$1018,$A203,'CEMI Raw'!$B$6:$B$1018,2026)</f>
        <v>278</v>
      </c>
      <c r="G203" s="22" t="n">
        <f aca="false">SUMIFS('CEMI Raw'!$D$6:$D$1018,'CEMI Raw'!$E$6:$E$1018,$A203,'CEMI Raw'!$B$6:$B$1018,2026)</f>
        <v>9297.7</v>
      </c>
      <c r="H203" s="21" t="n">
        <f aca="false">SUMIFS('SALES Raw'!$C$6:$C$603,'SALES Raw'!$E$6:$E$603,$A203,'SALES Raw'!$B$6:$B$603,2025)</f>
        <v>16</v>
      </c>
      <c r="I203" s="22" t="n">
        <f aca="false">SUMIFS('SALES Raw'!$D$6:$D$603,'SALES Raw'!$E$6:$E$603,$A203,'SALES Raw'!$B$6:$B$603,2025)</f>
        <v>575.53</v>
      </c>
      <c r="J203" s="21" t="n">
        <f aca="false">SUMIFS('SALES Raw'!$C$6:$C$603,'SALES Raw'!$E$6:$E$603,$A203,'SALES Raw'!$B$6:$B$603,2026)</f>
        <v>7</v>
      </c>
      <c r="K203" s="22" t="n">
        <f aca="false">SUMIFS('SALES Raw'!$D$6:$D$603,'SALES Raw'!$E$6:$E$603,$A203,'SALES Raw'!$B$6:$B$603,2026)</f>
        <v>210</v>
      </c>
      <c r="L203" s="21" t="n">
        <f aca="false">D203+H203</f>
        <v>533</v>
      </c>
      <c r="M203" s="22" t="n">
        <f aca="false">E203+I203</f>
        <v>16178.13</v>
      </c>
      <c r="N203" s="21" t="n">
        <f aca="false">F203+J203</f>
        <v>285</v>
      </c>
      <c r="O203" s="22" t="n">
        <f aca="false">G203+K203</f>
        <v>9507.7</v>
      </c>
    </row>
    <row r="204" customFormat="false" ht="15" hidden="false" customHeight="false" outlineLevel="0" collapsed="false">
      <c r="A204" s="20" t="n">
        <v>4409017</v>
      </c>
      <c r="B204" s="20" t="str">
        <f aca="false">IFERROR(INDEX('Catalog'!$B:$B,MATCH($A204,'Catalog'!$A:$A,0)),"")</f>
        <v>808KT-B        טייפ קינזיולוגי</v>
      </c>
      <c r="C204" s="20" t="str">
        <f aca="false">IFERROR(INDEX('TRANS'!$A:$A,MATCH($A204,'TRANS'!$B:$B,0)),"")</f>
        <v>808KT-B</v>
      </c>
      <c r="D204" s="21" t="n">
        <f aca="false">SUMIFS('CEMI Raw'!$C$6:$C$1018,'CEMI Raw'!$E$6:$E$1018,$A204,'CEMI Raw'!$B$6:$B$1018,2025)</f>
        <v>391</v>
      </c>
      <c r="E204" s="22" t="n">
        <f aca="false">SUMIFS('CEMI Raw'!$D$6:$D$1018,'CEMI Raw'!$E$6:$E$1018,$A204,'CEMI Raw'!$B$6:$B$1018,2025)</f>
        <v>12113.8</v>
      </c>
      <c r="F204" s="21" t="n">
        <f aca="false">SUMIFS('CEMI Raw'!$C$6:$C$1018,'CEMI Raw'!$E$6:$E$1018,$A204,'CEMI Raw'!$B$6:$B$1018,2026)</f>
        <v>180</v>
      </c>
      <c r="G204" s="22" t="n">
        <f aca="false">SUMIFS('CEMI Raw'!$D$6:$D$1018,'CEMI Raw'!$E$6:$E$1018,$A204,'CEMI Raw'!$B$6:$B$1018,2026)</f>
        <v>6434.5</v>
      </c>
      <c r="H204" s="21" t="n">
        <f aca="false">SUMIFS('SALES Raw'!$C$6:$C$603,'SALES Raw'!$E$6:$E$603,$A204,'SALES Raw'!$B$6:$B$603,2025)</f>
        <v>7</v>
      </c>
      <c r="I204" s="22" t="n">
        <f aca="false">SUMIFS('SALES Raw'!$D$6:$D$603,'SALES Raw'!$E$6:$E$603,$A204,'SALES Raw'!$B$6:$B$603,2025)</f>
        <v>210</v>
      </c>
      <c r="J204" s="21" t="n">
        <f aca="false">SUMIFS('SALES Raw'!$C$6:$C$603,'SALES Raw'!$E$6:$E$603,$A204,'SALES Raw'!$B$6:$B$603,2026)</f>
        <v>3</v>
      </c>
      <c r="K204" s="22" t="n">
        <f aca="false">SUMIFS('SALES Raw'!$D$6:$D$603,'SALES Raw'!$E$6:$E$603,$A204,'SALES Raw'!$B$6:$B$603,2026)</f>
        <v>90</v>
      </c>
      <c r="L204" s="21" t="n">
        <f aca="false">D204+H204</f>
        <v>398</v>
      </c>
      <c r="M204" s="22" t="n">
        <f aca="false">E204+I204</f>
        <v>12323.8</v>
      </c>
      <c r="N204" s="21" t="n">
        <f aca="false">F204+J204</f>
        <v>183</v>
      </c>
      <c r="O204" s="22" t="n">
        <f aca="false">G204+K204</f>
        <v>6524.5</v>
      </c>
    </row>
    <row r="205" customFormat="false" ht="15" hidden="false" customHeight="false" outlineLevel="0" collapsed="false">
      <c r="A205" s="20" t="n">
        <v>4411000</v>
      </c>
      <c r="B205" s="20" t="str">
        <f aca="false">IFERROR(INDEX('Catalog'!$B:$B,MATCH($A205,'Catalog'!$A:$A,0)),"")</f>
        <v>כרית מטטרזלי סיליקון362</v>
      </c>
      <c r="C205" s="20" t="str">
        <f aca="false">IFERROR(INDEX('TRANS'!$A:$A,MATCH($A205,'TRANS'!$B:$B,0)),"")</f>
        <v>362-L-R</v>
      </c>
      <c r="D205" s="21" t="n">
        <f aca="false">SUMIFS('CEMI Raw'!$C$6:$C$1018,'CEMI Raw'!$E$6:$E$1018,$A205,'CEMI Raw'!$B$6:$B$1018,2025)</f>
        <v>309</v>
      </c>
      <c r="E205" s="22" t="n">
        <f aca="false">SUMIFS('CEMI Raw'!$D$6:$D$1018,'CEMI Raw'!$E$6:$E$1018,$A205,'CEMI Raw'!$B$6:$B$1018,2025)</f>
        <v>8696.6</v>
      </c>
      <c r="F205" s="21" t="n">
        <f aca="false">SUMIFS('CEMI Raw'!$C$6:$C$1018,'CEMI Raw'!$E$6:$E$1018,$A205,'CEMI Raw'!$B$6:$B$1018,2026)</f>
        <v>164</v>
      </c>
      <c r="G205" s="22" t="n">
        <f aca="false">SUMIFS('CEMI Raw'!$D$6:$D$1018,'CEMI Raw'!$E$6:$E$1018,$A205,'CEMI Raw'!$B$6:$B$1018,2026)</f>
        <v>4670.1</v>
      </c>
      <c r="H205" s="21" t="n">
        <f aca="false">SUMIFS('SALES Raw'!$C$6:$C$603,'SALES Raw'!$E$6:$E$603,$A205,'SALES Raw'!$B$6:$B$603,2025)</f>
        <v>45</v>
      </c>
      <c r="I205" s="22" t="n">
        <f aca="false">SUMIFS('SALES Raw'!$D$6:$D$603,'SALES Raw'!$E$6:$E$603,$A205,'SALES Raw'!$B$6:$B$603,2025)</f>
        <v>1315.69</v>
      </c>
      <c r="J205" s="21" t="n">
        <f aca="false">SUMIFS('SALES Raw'!$C$6:$C$603,'SALES Raw'!$E$6:$E$603,$A205,'SALES Raw'!$B$6:$B$603,2026)</f>
        <v>35</v>
      </c>
      <c r="K205" s="22" t="n">
        <f aca="false">SUMIFS('SALES Raw'!$D$6:$D$603,'SALES Raw'!$E$6:$E$603,$A205,'SALES Raw'!$B$6:$B$603,2026)</f>
        <v>1064.7</v>
      </c>
      <c r="L205" s="21" t="n">
        <f aca="false">D205+H205</f>
        <v>354</v>
      </c>
      <c r="M205" s="22" t="n">
        <f aca="false">E205+I205</f>
        <v>10012.29</v>
      </c>
      <c r="N205" s="21" t="n">
        <f aca="false">F205+J205</f>
        <v>199</v>
      </c>
      <c r="O205" s="22" t="n">
        <f aca="false">G205+K205</f>
        <v>5734.8</v>
      </c>
    </row>
    <row r="206" customFormat="false" ht="15" hidden="false" customHeight="false" outlineLevel="0" collapsed="false">
      <c r="A206" s="20" t="n">
        <v>4411001</v>
      </c>
      <c r="B206" s="20" t="str">
        <f aca="false">IFERROR(INDEX('Catalog'!$B:$B,MATCH($A206,'Catalog'!$A:$A,0)),"")</f>
        <v>3623 כרית ליישור אצבע פטיש</v>
      </c>
      <c r="C206" s="20" t="str">
        <f aca="false">IFERROR(INDEX('TRANS'!$A:$A,MATCH($A206,'TRANS'!$B:$B,0)),"")</f>
        <v>3623 0</v>
      </c>
      <c r="D206" s="21" t="n">
        <f aca="false">SUMIFS('CEMI Raw'!$C$6:$C$1018,'CEMI Raw'!$E$6:$E$1018,$A206,'CEMI Raw'!$B$6:$B$1018,2025)</f>
        <v>222</v>
      </c>
      <c r="E206" s="22" t="n">
        <f aca="false">SUMIFS('CEMI Raw'!$D$6:$D$1018,'CEMI Raw'!$E$6:$E$1018,$A206,'CEMI Raw'!$B$6:$B$1018,2025)</f>
        <v>5823</v>
      </c>
      <c r="F206" s="21" t="n">
        <f aca="false">SUMIFS('CEMI Raw'!$C$6:$C$1018,'CEMI Raw'!$E$6:$E$1018,$A206,'CEMI Raw'!$B$6:$B$1018,2026)</f>
        <v>136</v>
      </c>
      <c r="G206" s="22" t="n">
        <f aca="false">SUMIFS('CEMI Raw'!$D$6:$D$1018,'CEMI Raw'!$E$6:$E$1018,$A206,'CEMI Raw'!$B$6:$B$1018,2026)</f>
        <v>3638.9</v>
      </c>
      <c r="H206" s="21" t="n">
        <f aca="false">SUMIFS('SALES Raw'!$C$6:$C$603,'SALES Raw'!$E$6:$E$603,$A206,'SALES Raw'!$B$6:$B$603,2025)</f>
        <v>60</v>
      </c>
      <c r="I206" s="22" t="n">
        <f aca="false">SUMIFS('SALES Raw'!$D$6:$D$603,'SALES Raw'!$E$6:$E$603,$A206,'SALES Raw'!$B$6:$B$603,2025)</f>
        <v>1707.12</v>
      </c>
      <c r="J206" s="21" t="n">
        <f aca="false">SUMIFS('SALES Raw'!$C$6:$C$603,'SALES Raw'!$E$6:$E$603,$A206,'SALES Raw'!$B$6:$B$603,2026)</f>
        <v>27</v>
      </c>
      <c r="K206" s="22" t="n">
        <f aca="false">SUMIFS('SALES Raw'!$D$6:$D$603,'SALES Raw'!$E$6:$E$603,$A206,'SALES Raw'!$B$6:$B$603,2026)</f>
        <v>770.7</v>
      </c>
      <c r="L206" s="21" t="n">
        <f aca="false">D206+H206</f>
        <v>282</v>
      </c>
      <c r="M206" s="22" t="n">
        <f aca="false">E206+I206</f>
        <v>7530.12</v>
      </c>
      <c r="N206" s="21" t="n">
        <f aca="false">F206+J206</f>
        <v>163</v>
      </c>
      <c r="O206" s="22" t="n">
        <f aca="false">G206+K206</f>
        <v>4409.6</v>
      </c>
    </row>
    <row r="207" customFormat="false" ht="15" hidden="false" customHeight="false" outlineLevel="0" collapsed="false">
      <c r="A207" s="20" t="n">
        <v>4411015</v>
      </c>
      <c r="B207" s="20" t="str">
        <f aca="false">IFERROR(INDEX('Catalog'!$B:$B,MATCH($A207,'Catalog'!$A:$A,0)),"")</f>
        <v>820 0 כרית חום וקור</v>
      </c>
      <c r="C207" s="20" t="str">
        <f aca="false">IFERROR(INDEX('TRANS'!$A:$A,MATCH($A207,'TRANS'!$B:$B,0)),"")</f>
        <v>820 0</v>
      </c>
      <c r="D207" s="21" t="n">
        <f aca="false">SUMIFS('CEMI Raw'!$C$6:$C$1018,'CEMI Raw'!$E$6:$E$1018,$A207,'CEMI Raw'!$B$6:$B$1018,2025)</f>
        <v>49</v>
      </c>
      <c r="E207" s="22" t="n">
        <f aca="false">SUMIFS('CEMI Raw'!$D$6:$D$1018,'CEMI Raw'!$E$6:$E$1018,$A207,'CEMI Raw'!$B$6:$B$1018,2025)</f>
        <v>2276.2</v>
      </c>
      <c r="F207" s="21" t="n">
        <f aca="false">SUMIFS('CEMI Raw'!$C$6:$C$1018,'CEMI Raw'!$E$6:$E$1018,$A207,'CEMI Raw'!$B$6:$B$1018,2026)</f>
        <v>36</v>
      </c>
      <c r="G207" s="22" t="n">
        <f aca="false">SUMIFS('CEMI Raw'!$D$6:$D$1018,'CEMI Raw'!$E$6:$E$1018,$A207,'CEMI Raw'!$B$6:$B$1018,2026)</f>
        <v>1677.4</v>
      </c>
      <c r="H207" s="21" t="n">
        <f aca="false">SUMIFS('SALES Raw'!$C$6:$C$603,'SALES Raw'!$E$6:$E$603,$A207,'SALES Raw'!$B$6:$B$603,2025)</f>
        <v>1</v>
      </c>
      <c r="I207" s="22" t="n">
        <f aca="false">SUMIFS('SALES Raw'!$D$6:$D$603,'SALES Raw'!$E$6:$E$603,$A207,'SALES Raw'!$B$6:$B$603,2025)</f>
        <v>47.3</v>
      </c>
      <c r="J207" s="21" t="n">
        <f aca="false">SUMIFS('SALES Raw'!$C$6:$C$603,'SALES Raw'!$E$6:$E$603,$A207,'SALES Raw'!$B$6:$B$603,2026)</f>
        <v>0</v>
      </c>
      <c r="K207" s="22" t="n">
        <f aca="false">SUMIFS('SALES Raw'!$D$6:$D$603,'SALES Raw'!$E$6:$E$603,$A207,'SALES Raw'!$B$6:$B$603,2026)</f>
        <v>0</v>
      </c>
      <c r="L207" s="21" t="n">
        <f aca="false">D207+H207</f>
        <v>50</v>
      </c>
      <c r="M207" s="22" t="n">
        <f aca="false">E207+I207</f>
        <v>2323.5</v>
      </c>
      <c r="N207" s="21" t="n">
        <f aca="false">F207+J207</f>
        <v>36</v>
      </c>
      <c r="O207" s="22" t="n">
        <f aca="false">G207+K207</f>
        <v>1677.4</v>
      </c>
    </row>
    <row r="208" customFormat="false" ht="15" hidden="false" customHeight="false" outlineLevel="0" collapsed="false">
      <c r="A208" s="20" t="n">
        <v>4411016</v>
      </c>
      <c r="B208" s="20" t="str">
        <f aca="false">IFERROR(INDEX('Catalog'!$B:$B,MATCH($A208,'Catalog'!$A:$A,0)),"")</f>
        <v>307 XL כרית סיליקון לעקב</v>
      </c>
      <c r="C208" s="20" t="str">
        <f aca="false">IFERROR(INDEX('TRANS'!$A:$A,MATCH($A208,'TRANS'!$B:$B,0)),"")</f>
        <v>307 XL</v>
      </c>
      <c r="D208" s="21" t="n">
        <f aca="false">SUMIFS('CEMI Raw'!$C$6:$C$1018,'CEMI Raw'!$E$6:$E$1018,$A208,'CEMI Raw'!$B$6:$B$1018,2025)</f>
        <v>104</v>
      </c>
      <c r="E208" s="22" t="n">
        <f aca="false">SUMIFS('CEMI Raw'!$D$6:$D$1018,'CEMI Raw'!$E$6:$E$1018,$A208,'CEMI Raw'!$B$6:$B$1018,2025)</f>
        <v>8199.3</v>
      </c>
      <c r="F208" s="21" t="n">
        <f aca="false">SUMIFS('CEMI Raw'!$C$6:$C$1018,'CEMI Raw'!$E$6:$E$1018,$A208,'CEMI Raw'!$B$6:$B$1018,2026)</f>
        <v>56</v>
      </c>
      <c r="G208" s="22" t="n">
        <f aca="false">SUMIFS('CEMI Raw'!$D$6:$D$1018,'CEMI Raw'!$E$6:$E$1018,$A208,'CEMI Raw'!$B$6:$B$1018,2026)</f>
        <v>4681</v>
      </c>
      <c r="H208" s="21" t="n">
        <f aca="false">SUMIFS('SALES Raw'!$C$6:$C$603,'SALES Raw'!$E$6:$E$603,$A208,'SALES Raw'!$B$6:$B$603,2025)</f>
        <v>3</v>
      </c>
      <c r="I208" s="22" t="n">
        <f aca="false">SUMIFS('SALES Raw'!$D$6:$D$603,'SALES Raw'!$E$6:$E$603,$A208,'SALES Raw'!$B$6:$B$603,2025)</f>
        <v>276.87</v>
      </c>
      <c r="J208" s="21" t="n">
        <f aca="false">SUMIFS('SALES Raw'!$C$6:$C$603,'SALES Raw'!$E$6:$E$603,$A208,'SALES Raw'!$B$6:$B$603,2026)</f>
        <v>2</v>
      </c>
      <c r="K208" s="22" t="n">
        <f aca="false">SUMIFS('SALES Raw'!$D$6:$D$603,'SALES Raw'!$E$6:$E$603,$A208,'SALES Raw'!$B$6:$B$603,2026)</f>
        <v>184.58</v>
      </c>
      <c r="L208" s="21" t="n">
        <f aca="false">D208+H208</f>
        <v>107</v>
      </c>
      <c r="M208" s="22" t="n">
        <f aca="false">E208+I208</f>
        <v>8476.17</v>
      </c>
      <c r="N208" s="21" t="n">
        <f aca="false">F208+J208</f>
        <v>58</v>
      </c>
      <c r="O208" s="22" t="n">
        <f aca="false">G208+K208</f>
        <v>4865.58</v>
      </c>
    </row>
    <row r="209" customFormat="false" ht="15" hidden="false" customHeight="false" outlineLevel="0" collapsed="false">
      <c r="A209" s="20" t="n">
        <v>4411017</v>
      </c>
      <c r="B209" s="20" t="str">
        <f aca="false">IFERROR(INDEX('Catalog'!$B:$B,MATCH($A209,'Catalog'!$A:$A,0)),"")</f>
        <v>211L כפפות לחץ</v>
      </c>
      <c r="C209" s="20" t="str">
        <f aca="false">IFERROR(INDEX('TRANS'!$A:$A,MATCH($A209,'TRANS'!$B:$B,0)),"")</f>
        <v>211 L</v>
      </c>
      <c r="D209" s="21" t="n">
        <f aca="false">SUMIFS('CEMI Raw'!$C$6:$C$1018,'CEMI Raw'!$E$6:$E$1018,$A209,'CEMI Raw'!$B$6:$B$1018,2025)</f>
        <v>26</v>
      </c>
      <c r="E209" s="22" t="n">
        <f aca="false">SUMIFS('CEMI Raw'!$D$6:$D$1018,'CEMI Raw'!$E$6:$E$1018,$A209,'CEMI Raw'!$B$6:$B$1018,2025)</f>
        <v>922.3</v>
      </c>
      <c r="F209" s="21" t="n">
        <f aca="false">SUMIFS('CEMI Raw'!$C$6:$C$1018,'CEMI Raw'!$E$6:$E$1018,$A209,'CEMI Raw'!$B$6:$B$1018,2026)</f>
        <v>11</v>
      </c>
      <c r="G209" s="22" t="n">
        <f aca="false">SUMIFS('CEMI Raw'!$D$6:$D$1018,'CEMI Raw'!$E$6:$E$1018,$A209,'CEMI Raw'!$B$6:$B$1018,2026)</f>
        <v>407</v>
      </c>
      <c r="H209" s="21" t="n">
        <f aca="false">SUMIFS('SALES Raw'!$C$6:$C$603,'SALES Raw'!$E$6:$E$603,$A209,'SALES Raw'!$B$6:$B$603,2025)</f>
        <v>0</v>
      </c>
      <c r="I209" s="22" t="n">
        <f aca="false">SUMIFS('SALES Raw'!$D$6:$D$603,'SALES Raw'!$E$6:$E$603,$A209,'SALES Raw'!$B$6:$B$603,2025)</f>
        <v>0</v>
      </c>
      <c r="J209" s="21" t="n">
        <f aca="false">SUMIFS('SALES Raw'!$C$6:$C$603,'SALES Raw'!$E$6:$E$603,$A209,'SALES Raw'!$B$6:$B$603,2026)</f>
        <v>0</v>
      </c>
      <c r="K209" s="22" t="n">
        <f aca="false">SUMIFS('SALES Raw'!$D$6:$D$603,'SALES Raw'!$E$6:$E$603,$A209,'SALES Raw'!$B$6:$B$603,2026)</f>
        <v>0</v>
      </c>
      <c r="L209" s="21" t="n">
        <f aca="false">D209+H209</f>
        <v>26</v>
      </c>
      <c r="M209" s="22" t="n">
        <f aca="false">E209+I209</f>
        <v>922.3</v>
      </c>
      <c r="N209" s="21" t="n">
        <f aca="false">F209+J209</f>
        <v>11</v>
      </c>
      <c r="O209" s="22" t="n">
        <f aca="false">G209+K209</f>
        <v>407</v>
      </c>
    </row>
    <row r="210" customFormat="false" ht="15" hidden="false" customHeight="false" outlineLevel="0" collapsed="false">
      <c r="A210" s="20" t="n">
        <v>4411018</v>
      </c>
      <c r="B210" s="20" t="str">
        <f aca="false">IFERROR(INDEX('Catalog'!$B:$B,MATCH($A210,'Catalog'!$A:$A,0)),"")</f>
        <v>211M כפפות לחץ</v>
      </c>
      <c r="C210" s="20" t="str">
        <f aca="false">IFERROR(INDEX('TRANS'!$A:$A,MATCH($A210,'TRANS'!$B:$B,0)),"")</f>
        <v>211 M</v>
      </c>
      <c r="D210" s="21" t="n">
        <f aca="false">SUMIFS('CEMI Raw'!$C$6:$C$1018,'CEMI Raw'!$E$6:$E$1018,$A210,'CEMI Raw'!$B$6:$B$1018,2025)</f>
        <v>32</v>
      </c>
      <c r="E210" s="22" t="n">
        <f aca="false">SUMIFS('CEMI Raw'!$D$6:$D$1018,'CEMI Raw'!$E$6:$E$1018,$A210,'CEMI Raw'!$B$6:$B$1018,2025)</f>
        <v>1162.2</v>
      </c>
      <c r="F210" s="21" t="n">
        <f aca="false">SUMIFS('CEMI Raw'!$C$6:$C$1018,'CEMI Raw'!$E$6:$E$1018,$A210,'CEMI Raw'!$B$6:$B$1018,2026)</f>
        <v>16</v>
      </c>
      <c r="G210" s="22" t="n">
        <f aca="false">SUMIFS('CEMI Raw'!$D$6:$D$1018,'CEMI Raw'!$E$6:$E$1018,$A210,'CEMI Raw'!$B$6:$B$1018,2026)</f>
        <v>591.7</v>
      </c>
      <c r="H210" s="21" t="n">
        <f aca="false">SUMIFS('SALES Raw'!$C$6:$C$603,'SALES Raw'!$E$6:$E$603,$A210,'SALES Raw'!$B$6:$B$603,2025)</f>
        <v>0</v>
      </c>
      <c r="I210" s="22" t="n">
        <f aca="false">SUMIFS('SALES Raw'!$D$6:$D$603,'SALES Raw'!$E$6:$E$603,$A210,'SALES Raw'!$B$6:$B$603,2025)</f>
        <v>0</v>
      </c>
      <c r="J210" s="21" t="n">
        <f aca="false">SUMIFS('SALES Raw'!$C$6:$C$603,'SALES Raw'!$E$6:$E$603,$A210,'SALES Raw'!$B$6:$B$603,2026)</f>
        <v>0</v>
      </c>
      <c r="K210" s="22" t="n">
        <f aca="false">SUMIFS('SALES Raw'!$D$6:$D$603,'SALES Raw'!$E$6:$E$603,$A210,'SALES Raw'!$B$6:$B$603,2026)</f>
        <v>0</v>
      </c>
      <c r="L210" s="21" t="n">
        <f aca="false">D210+H210</f>
        <v>32</v>
      </c>
      <c r="M210" s="22" t="n">
        <f aca="false">E210+I210</f>
        <v>1162.2</v>
      </c>
      <c r="N210" s="21" t="n">
        <f aca="false">F210+J210</f>
        <v>16</v>
      </c>
      <c r="O210" s="22" t="n">
        <f aca="false">G210+K210</f>
        <v>591.7</v>
      </c>
    </row>
    <row r="211" customFormat="false" ht="15" hidden="false" customHeight="false" outlineLevel="0" collapsed="false">
      <c r="A211" s="20" t="n">
        <v>4411019</v>
      </c>
      <c r="B211" s="20" t="str">
        <f aca="false">IFERROR(INDEX('Catalog'!$B:$B,MATCH($A211,'Catalog'!$A:$A,0)),"")</f>
        <v>211S כפפות לחץ</v>
      </c>
      <c r="C211" s="20" t="str">
        <f aca="false">IFERROR(INDEX('TRANS'!$A:$A,MATCH($A211,'TRANS'!$B:$B,0)),"")</f>
        <v>211 S</v>
      </c>
      <c r="D211" s="21" t="n">
        <f aca="false">SUMIFS('CEMI Raw'!$C$6:$C$1018,'CEMI Raw'!$E$6:$E$1018,$A211,'CEMI Raw'!$B$6:$B$1018,2025)</f>
        <v>24</v>
      </c>
      <c r="E211" s="22" t="n">
        <f aca="false">SUMIFS('CEMI Raw'!$D$6:$D$1018,'CEMI Raw'!$E$6:$E$1018,$A211,'CEMI Raw'!$B$6:$B$1018,2025)</f>
        <v>857.1</v>
      </c>
      <c r="F211" s="21" t="n">
        <f aca="false">SUMIFS('CEMI Raw'!$C$6:$C$1018,'CEMI Raw'!$E$6:$E$1018,$A211,'CEMI Raw'!$B$6:$B$1018,2026)</f>
        <v>10</v>
      </c>
      <c r="G211" s="22" t="n">
        <f aca="false">SUMIFS('CEMI Raw'!$D$6:$D$1018,'CEMI Raw'!$E$6:$E$1018,$A211,'CEMI Raw'!$B$6:$B$1018,2026)</f>
        <v>359.6</v>
      </c>
      <c r="H211" s="21" t="n">
        <f aca="false">SUMIFS('SALES Raw'!$C$6:$C$603,'SALES Raw'!$E$6:$E$603,$A211,'SALES Raw'!$B$6:$B$603,2025)</f>
        <v>0</v>
      </c>
      <c r="I211" s="22" t="n">
        <f aca="false">SUMIFS('SALES Raw'!$D$6:$D$603,'SALES Raw'!$E$6:$E$603,$A211,'SALES Raw'!$B$6:$B$603,2025)</f>
        <v>0</v>
      </c>
      <c r="J211" s="21" t="n">
        <f aca="false">SUMIFS('SALES Raw'!$C$6:$C$603,'SALES Raw'!$E$6:$E$603,$A211,'SALES Raw'!$B$6:$B$603,2026)</f>
        <v>0</v>
      </c>
      <c r="K211" s="22" t="n">
        <f aca="false">SUMIFS('SALES Raw'!$D$6:$D$603,'SALES Raw'!$E$6:$E$603,$A211,'SALES Raw'!$B$6:$B$603,2026)</f>
        <v>0</v>
      </c>
      <c r="L211" s="21" t="n">
        <f aca="false">D211+H211</f>
        <v>24</v>
      </c>
      <c r="M211" s="22" t="n">
        <f aca="false">E211+I211</f>
        <v>857.1</v>
      </c>
      <c r="N211" s="21" t="n">
        <f aca="false">F211+J211</f>
        <v>10</v>
      </c>
      <c r="O211" s="22" t="n">
        <f aca="false">G211+K211</f>
        <v>359.6</v>
      </c>
    </row>
    <row r="212" customFormat="false" ht="15" hidden="false" customHeight="false" outlineLevel="0" collapsed="false">
      <c r="A212" s="20" t="n">
        <v>4411020</v>
      </c>
      <c r="B212" s="20" t="str">
        <f aca="false">IFERROR(INDEX('Catalog'!$B:$B,MATCH($A212,'Catalog'!$A:$A,0)),"")</f>
        <v>211XL כפפות לחץ</v>
      </c>
      <c r="C212" s="20" t="str">
        <f aca="false">IFERROR(INDEX('TRANS'!$A:$A,MATCH($A212,'TRANS'!$B:$B,0)),"")</f>
        <v>211 XL</v>
      </c>
      <c r="D212" s="21" t="n">
        <f aca="false">SUMIFS('CEMI Raw'!$C$6:$C$1018,'CEMI Raw'!$E$6:$E$1018,$A212,'CEMI Raw'!$B$6:$B$1018,2025)</f>
        <v>13</v>
      </c>
      <c r="E212" s="22" t="n">
        <f aca="false">SUMIFS('CEMI Raw'!$D$6:$D$1018,'CEMI Raw'!$E$6:$E$1018,$A212,'CEMI Raw'!$B$6:$B$1018,2025)</f>
        <v>469.4</v>
      </c>
      <c r="F212" s="21" t="n">
        <f aca="false">SUMIFS('CEMI Raw'!$C$6:$C$1018,'CEMI Raw'!$E$6:$E$1018,$A212,'CEMI Raw'!$B$6:$B$1018,2026)</f>
        <v>5</v>
      </c>
      <c r="G212" s="22" t="n">
        <f aca="false">SUMIFS('CEMI Raw'!$D$6:$D$1018,'CEMI Raw'!$E$6:$E$1018,$A212,'CEMI Raw'!$B$6:$B$1018,2026)</f>
        <v>184.8</v>
      </c>
      <c r="H212" s="21" t="n">
        <f aca="false">SUMIFS('SALES Raw'!$C$6:$C$603,'SALES Raw'!$E$6:$E$603,$A212,'SALES Raw'!$B$6:$B$603,2025)</f>
        <v>0</v>
      </c>
      <c r="I212" s="22" t="n">
        <f aca="false">SUMIFS('SALES Raw'!$D$6:$D$603,'SALES Raw'!$E$6:$E$603,$A212,'SALES Raw'!$B$6:$B$603,2025)</f>
        <v>0</v>
      </c>
      <c r="J212" s="21" t="n">
        <f aca="false">SUMIFS('SALES Raw'!$C$6:$C$603,'SALES Raw'!$E$6:$E$603,$A212,'SALES Raw'!$B$6:$B$603,2026)</f>
        <v>0</v>
      </c>
      <c r="K212" s="22" t="n">
        <f aca="false">SUMIFS('SALES Raw'!$D$6:$D$603,'SALES Raw'!$E$6:$E$603,$A212,'SALES Raw'!$B$6:$B$603,2026)</f>
        <v>0</v>
      </c>
      <c r="L212" s="21" t="n">
        <f aca="false">D212+H212</f>
        <v>13</v>
      </c>
      <c r="M212" s="22" t="n">
        <f aca="false">E212+I212</f>
        <v>469.4</v>
      </c>
      <c r="N212" s="21" t="n">
        <f aca="false">F212+J212</f>
        <v>5</v>
      </c>
      <c r="O212" s="22" t="n">
        <f aca="false">G212+K212</f>
        <v>184.8</v>
      </c>
    </row>
    <row r="213" customFormat="false" ht="15" hidden="false" customHeight="false" outlineLevel="0" collapsed="false">
      <c r="A213" s="20" t="n">
        <v>4411021</v>
      </c>
      <c r="B213" s="20" t="str">
        <f aca="false">IFERROR(INDEX('Catalog'!$B:$B,MATCH($A213,'Catalog'!$A:$A,0)),"")</f>
        <v>212L כפפות אגודל לחץ</v>
      </c>
      <c r="C213" s="20" t="str">
        <f aca="false">IFERROR(INDEX('TRANS'!$A:$A,MATCH($A213,'TRANS'!$B:$B,0)),"")</f>
        <v>212 L</v>
      </c>
      <c r="D213" s="21" t="n">
        <f aca="false">SUMIFS('CEMI Raw'!$C$6:$C$1018,'CEMI Raw'!$E$6:$E$1018,$A213,'CEMI Raw'!$B$6:$B$1018,2025)</f>
        <v>28</v>
      </c>
      <c r="E213" s="22" t="n">
        <f aca="false">SUMIFS('CEMI Raw'!$D$6:$D$1018,'CEMI Raw'!$E$6:$E$1018,$A213,'CEMI Raw'!$B$6:$B$1018,2025)</f>
        <v>1071.9</v>
      </c>
      <c r="F213" s="21" t="n">
        <f aca="false">SUMIFS('CEMI Raw'!$C$6:$C$1018,'CEMI Raw'!$E$6:$E$1018,$A213,'CEMI Raw'!$B$6:$B$1018,2026)</f>
        <v>13</v>
      </c>
      <c r="G213" s="22" t="n">
        <f aca="false">SUMIFS('CEMI Raw'!$D$6:$D$1018,'CEMI Raw'!$E$6:$E$1018,$A213,'CEMI Raw'!$B$6:$B$1018,2026)</f>
        <v>512</v>
      </c>
      <c r="H213" s="21" t="n">
        <f aca="false">SUMIFS('SALES Raw'!$C$6:$C$603,'SALES Raw'!$E$6:$E$603,$A213,'SALES Raw'!$B$6:$B$603,2025)</f>
        <v>0</v>
      </c>
      <c r="I213" s="22" t="n">
        <f aca="false">SUMIFS('SALES Raw'!$D$6:$D$603,'SALES Raw'!$E$6:$E$603,$A213,'SALES Raw'!$B$6:$B$603,2025)</f>
        <v>0</v>
      </c>
      <c r="J213" s="21" t="n">
        <f aca="false">SUMIFS('SALES Raw'!$C$6:$C$603,'SALES Raw'!$E$6:$E$603,$A213,'SALES Raw'!$B$6:$B$603,2026)</f>
        <v>3</v>
      </c>
      <c r="K213" s="22" t="n">
        <f aca="false">SUMIFS('SALES Raw'!$D$6:$D$603,'SALES Raw'!$E$6:$E$603,$A213,'SALES Raw'!$B$6:$B$603,2026)</f>
        <v>119.39</v>
      </c>
      <c r="L213" s="21" t="n">
        <f aca="false">D213+H213</f>
        <v>28</v>
      </c>
      <c r="M213" s="22" t="n">
        <f aca="false">E213+I213</f>
        <v>1071.9</v>
      </c>
      <c r="N213" s="21" t="n">
        <f aca="false">F213+J213</f>
        <v>16</v>
      </c>
      <c r="O213" s="22" t="n">
        <f aca="false">G213+K213</f>
        <v>631.39</v>
      </c>
    </row>
    <row r="214" customFormat="false" ht="15" hidden="false" customHeight="false" outlineLevel="0" collapsed="false">
      <c r="A214" s="20" t="n">
        <v>4411022</v>
      </c>
      <c r="B214" s="20" t="str">
        <f aca="false">IFERROR(INDEX('Catalog'!$B:$B,MATCH($A214,'Catalog'!$A:$A,0)),"")</f>
        <v>212M כפפות אגודל לחץ</v>
      </c>
      <c r="C214" s="20" t="str">
        <f aca="false">IFERROR(INDEX('TRANS'!$A:$A,MATCH($A214,'TRANS'!$B:$B,0)),"")</f>
        <v>212 M</v>
      </c>
      <c r="D214" s="21" t="n">
        <f aca="false">SUMIFS('CEMI Raw'!$C$6:$C$1018,'CEMI Raw'!$E$6:$E$1018,$A214,'CEMI Raw'!$B$6:$B$1018,2025)</f>
        <v>44</v>
      </c>
      <c r="E214" s="22" t="n">
        <f aca="false">SUMIFS('CEMI Raw'!$D$6:$D$1018,'CEMI Raw'!$E$6:$E$1018,$A214,'CEMI Raw'!$B$6:$B$1018,2025)</f>
        <v>1685.9</v>
      </c>
      <c r="F214" s="21" t="n">
        <f aca="false">SUMIFS('CEMI Raw'!$C$6:$C$1018,'CEMI Raw'!$E$6:$E$1018,$A214,'CEMI Raw'!$B$6:$B$1018,2026)</f>
        <v>27</v>
      </c>
      <c r="G214" s="22" t="n">
        <f aca="false">SUMIFS('CEMI Raw'!$D$6:$D$1018,'CEMI Raw'!$E$6:$E$1018,$A214,'CEMI Raw'!$B$6:$B$1018,2026)</f>
        <v>1063.8</v>
      </c>
      <c r="H214" s="21" t="n">
        <f aca="false">SUMIFS('SALES Raw'!$C$6:$C$603,'SALES Raw'!$E$6:$E$603,$A214,'SALES Raw'!$B$6:$B$603,2025)</f>
        <v>5</v>
      </c>
      <c r="I214" s="22" t="n">
        <f aca="false">SUMIFS('SALES Raw'!$D$6:$D$603,'SALES Raw'!$E$6:$E$603,$A214,'SALES Raw'!$B$6:$B$603,2025)</f>
        <v>185.81</v>
      </c>
      <c r="J214" s="21" t="n">
        <f aca="false">SUMIFS('SALES Raw'!$C$6:$C$603,'SALES Raw'!$E$6:$E$603,$A214,'SALES Raw'!$B$6:$B$603,2026)</f>
        <v>2</v>
      </c>
      <c r="K214" s="22" t="n">
        <f aca="false">SUMIFS('SALES Raw'!$D$6:$D$603,'SALES Raw'!$E$6:$E$603,$A214,'SALES Raw'!$B$6:$B$603,2026)</f>
        <v>79.6</v>
      </c>
      <c r="L214" s="21" t="n">
        <f aca="false">D214+H214</f>
        <v>49</v>
      </c>
      <c r="M214" s="22" t="n">
        <f aca="false">E214+I214</f>
        <v>1871.71</v>
      </c>
      <c r="N214" s="21" t="n">
        <f aca="false">F214+J214</f>
        <v>29</v>
      </c>
      <c r="O214" s="22" t="n">
        <f aca="false">G214+K214</f>
        <v>1143.4</v>
      </c>
    </row>
    <row r="215" customFormat="false" ht="15" hidden="false" customHeight="false" outlineLevel="0" collapsed="false">
      <c r="A215" s="20" t="n">
        <v>4411023</v>
      </c>
      <c r="B215" s="20" t="str">
        <f aca="false">IFERROR(INDEX('Catalog'!$B:$B,MATCH($A215,'Catalog'!$A:$A,0)),"")</f>
        <v>212S כפפות אגודל לחץ</v>
      </c>
      <c r="C215" s="20" t="str">
        <f aca="false">IFERROR(INDEX('TRANS'!$A:$A,MATCH($A215,'TRANS'!$B:$B,0)),"")</f>
        <v>212 S</v>
      </c>
      <c r="D215" s="21" t="n">
        <f aca="false">SUMIFS('CEMI Raw'!$C$6:$C$1018,'CEMI Raw'!$E$6:$E$1018,$A215,'CEMI Raw'!$B$6:$B$1018,2025)</f>
        <v>35</v>
      </c>
      <c r="E215" s="22" t="n">
        <f aca="false">SUMIFS('CEMI Raw'!$D$6:$D$1018,'CEMI Raw'!$E$6:$E$1018,$A215,'CEMI Raw'!$B$6:$B$1018,2025)</f>
        <v>1331.6</v>
      </c>
      <c r="F215" s="21" t="n">
        <f aca="false">SUMIFS('CEMI Raw'!$C$6:$C$1018,'CEMI Raw'!$E$6:$E$1018,$A215,'CEMI Raw'!$B$6:$B$1018,2026)</f>
        <v>26</v>
      </c>
      <c r="G215" s="22" t="n">
        <f aca="false">SUMIFS('CEMI Raw'!$D$6:$D$1018,'CEMI Raw'!$E$6:$E$1018,$A215,'CEMI Raw'!$B$6:$B$1018,2026)</f>
        <v>1016</v>
      </c>
      <c r="H215" s="21" t="n">
        <f aca="false">SUMIFS('SALES Raw'!$C$6:$C$603,'SALES Raw'!$E$6:$E$603,$A215,'SALES Raw'!$B$6:$B$603,2025)</f>
        <v>4</v>
      </c>
      <c r="I215" s="22" t="n">
        <f aca="false">SUMIFS('SALES Raw'!$D$6:$D$603,'SALES Raw'!$E$6:$E$603,$A215,'SALES Raw'!$B$6:$B$603,2025)</f>
        <v>150.4</v>
      </c>
      <c r="J215" s="21" t="n">
        <f aca="false">SUMIFS('SALES Raw'!$C$6:$C$603,'SALES Raw'!$E$6:$E$603,$A215,'SALES Raw'!$B$6:$B$603,2026)</f>
        <v>3</v>
      </c>
      <c r="K215" s="22" t="n">
        <f aca="false">SUMIFS('SALES Raw'!$D$6:$D$603,'SALES Raw'!$E$6:$E$603,$A215,'SALES Raw'!$B$6:$B$603,2026)</f>
        <v>119.38</v>
      </c>
      <c r="L215" s="21" t="n">
        <f aca="false">D215+H215</f>
        <v>39</v>
      </c>
      <c r="M215" s="22" t="n">
        <f aca="false">E215+I215</f>
        <v>1482</v>
      </c>
      <c r="N215" s="21" t="n">
        <f aca="false">F215+J215</f>
        <v>29</v>
      </c>
      <c r="O215" s="22" t="n">
        <f aca="false">G215+K215</f>
        <v>1135.38</v>
      </c>
    </row>
    <row r="216" customFormat="false" ht="15" hidden="false" customHeight="false" outlineLevel="0" collapsed="false">
      <c r="A216" s="20" t="n">
        <v>4411024</v>
      </c>
      <c r="B216" s="20" t="str">
        <f aca="false">IFERROR(INDEX('Catalog'!$B:$B,MATCH($A216,'Catalog'!$A:$A,0)),"")</f>
        <v>212XL כפפות אגודל לחץ</v>
      </c>
      <c r="C216" s="20" t="str">
        <f aca="false">IFERROR(INDEX('TRANS'!$A:$A,MATCH($A216,'TRANS'!$B:$B,0)),"")</f>
        <v>212 XL</v>
      </c>
      <c r="D216" s="21" t="n">
        <f aca="false">SUMIFS('CEMI Raw'!$C$6:$C$1018,'CEMI Raw'!$E$6:$E$1018,$A216,'CEMI Raw'!$B$6:$B$1018,2025)</f>
        <v>16</v>
      </c>
      <c r="E216" s="22" t="n">
        <f aca="false">SUMIFS('CEMI Raw'!$D$6:$D$1018,'CEMI Raw'!$E$6:$E$1018,$A216,'CEMI Raw'!$B$6:$B$1018,2025)</f>
        <v>609.4</v>
      </c>
      <c r="F216" s="21" t="n">
        <f aca="false">SUMIFS('CEMI Raw'!$C$6:$C$1018,'CEMI Raw'!$E$6:$E$1018,$A216,'CEMI Raw'!$B$6:$B$1018,2026)</f>
        <v>5</v>
      </c>
      <c r="G216" s="22" t="n">
        <f aca="false">SUMIFS('CEMI Raw'!$D$6:$D$1018,'CEMI Raw'!$E$6:$E$1018,$A216,'CEMI Raw'!$B$6:$B$1018,2026)</f>
        <v>199</v>
      </c>
      <c r="H216" s="21" t="n">
        <f aca="false">SUMIFS('SALES Raw'!$C$6:$C$603,'SALES Raw'!$E$6:$E$603,$A216,'SALES Raw'!$B$6:$B$603,2025)</f>
        <v>0</v>
      </c>
      <c r="I216" s="22" t="n">
        <f aca="false">SUMIFS('SALES Raw'!$D$6:$D$603,'SALES Raw'!$E$6:$E$603,$A216,'SALES Raw'!$B$6:$B$603,2025)</f>
        <v>0</v>
      </c>
      <c r="J216" s="21" t="n">
        <f aca="false">SUMIFS('SALES Raw'!$C$6:$C$603,'SALES Raw'!$E$6:$E$603,$A216,'SALES Raw'!$B$6:$B$603,2026)</f>
        <v>0</v>
      </c>
      <c r="K216" s="22" t="n">
        <f aca="false">SUMIFS('SALES Raw'!$D$6:$D$603,'SALES Raw'!$E$6:$E$603,$A216,'SALES Raw'!$B$6:$B$603,2026)</f>
        <v>0</v>
      </c>
      <c r="L216" s="21" t="n">
        <f aca="false">D216+H216</f>
        <v>16</v>
      </c>
      <c r="M216" s="22" t="n">
        <f aca="false">E216+I216</f>
        <v>609.4</v>
      </c>
      <c r="N216" s="21" t="n">
        <f aca="false">F216+J216</f>
        <v>5</v>
      </c>
      <c r="O216" s="22" t="n">
        <f aca="false">G216+K216</f>
        <v>199</v>
      </c>
    </row>
    <row r="217" customFormat="false" ht="15" hidden="false" customHeight="false" outlineLevel="0" collapsed="false">
      <c r="A217" s="20" t="n">
        <v>4411026</v>
      </c>
      <c r="B217" s="20" t="str">
        <f aca="false">IFERROR(INDEX('Catalog'!$B:$B,MATCH($A217,'Catalog'!$A:$A,0)),"")</f>
        <v>213CTSL L שמאל CTS כפפות</v>
      </c>
      <c r="C217" s="20" t="str">
        <f aca="false">IFERROR(INDEX('TRANS'!$A:$A,MATCH($A217,'TRANS'!$B:$B,0)),"")</f>
        <v>213CTSL L</v>
      </c>
      <c r="D217" s="21" t="n">
        <f aca="false">SUMIFS('CEMI Raw'!$C$6:$C$1018,'CEMI Raw'!$E$6:$E$1018,$A217,'CEMI Raw'!$B$6:$B$1018,2025)</f>
        <v>0</v>
      </c>
      <c r="E217" s="22" t="n">
        <f aca="false">SUMIFS('CEMI Raw'!$D$6:$D$1018,'CEMI Raw'!$E$6:$E$1018,$A217,'CEMI Raw'!$B$6:$B$1018,2025)</f>
        <v>0</v>
      </c>
      <c r="F217" s="21" t="n">
        <f aca="false">SUMIFS('CEMI Raw'!$C$6:$C$1018,'CEMI Raw'!$E$6:$E$1018,$A217,'CEMI Raw'!$B$6:$B$1018,2026)</f>
        <v>2</v>
      </c>
      <c r="G217" s="22" t="n">
        <f aca="false">SUMIFS('CEMI Raw'!$D$6:$D$1018,'CEMI Raw'!$E$6:$E$1018,$A217,'CEMI Raw'!$B$6:$B$1018,2026)</f>
        <v>234.3</v>
      </c>
      <c r="H217" s="21" t="n">
        <f aca="false">SUMIFS('SALES Raw'!$C$6:$C$603,'SALES Raw'!$E$6:$E$603,$A217,'SALES Raw'!$B$6:$B$603,2025)</f>
        <v>0</v>
      </c>
      <c r="I217" s="22" t="n">
        <f aca="false">SUMIFS('SALES Raw'!$D$6:$D$603,'SALES Raw'!$E$6:$E$603,$A217,'SALES Raw'!$B$6:$B$603,2025)</f>
        <v>0</v>
      </c>
      <c r="J217" s="21" t="n">
        <f aca="false">SUMIFS('SALES Raw'!$C$6:$C$603,'SALES Raw'!$E$6:$E$603,$A217,'SALES Raw'!$B$6:$B$603,2026)</f>
        <v>0</v>
      </c>
      <c r="K217" s="22" t="n">
        <f aca="false">SUMIFS('SALES Raw'!$D$6:$D$603,'SALES Raw'!$E$6:$E$603,$A217,'SALES Raw'!$B$6:$B$603,2026)</f>
        <v>0</v>
      </c>
      <c r="L217" s="21" t="n">
        <f aca="false">D217+H217</f>
        <v>0</v>
      </c>
      <c r="M217" s="22" t="n">
        <f aca="false">E217+I217</f>
        <v>0</v>
      </c>
      <c r="N217" s="21" t="n">
        <f aca="false">F217+J217</f>
        <v>2</v>
      </c>
      <c r="O217" s="22" t="n">
        <f aca="false">G217+K217</f>
        <v>234.3</v>
      </c>
    </row>
    <row r="218" customFormat="false" ht="15" hidden="false" customHeight="false" outlineLevel="0" collapsed="false">
      <c r="A218" s="20" t="n">
        <v>4411027</v>
      </c>
      <c r="B218" s="20" t="str">
        <f aca="false">IFERROR(INDEX('Catalog'!$B:$B,MATCH($A218,'Catalog'!$A:$A,0)),"")</f>
        <v>213CTSL M שמאל CTS כפפות</v>
      </c>
      <c r="C218" s="20" t="str">
        <f aca="false">IFERROR(INDEX('TRANS'!$A:$A,MATCH($A218,'TRANS'!$B:$B,0)),"")</f>
        <v>213CTSL M</v>
      </c>
      <c r="D218" s="21" t="n">
        <f aca="false">SUMIFS('CEMI Raw'!$C$6:$C$1018,'CEMI Raw'!$E$6:$E$1018,$A218,'CEMI Raw'!$B$6:$B$1018,2025)</f>
        <v>0</v>
      </c>
      <c r="E218" s="22" t="n">
        <f aca="false">SUMIFS('CEMI Raw'!$D$6:$D$1018,'CEMI Raw'!$E$6:$E$1018,$A218,'CEMI Raw'!$B$6:$B$1018,2025)</f>
        <v>0</v>
      </c>
      <c r="F218" s="21" t="n">
        <f aca="false">SUMIFS('CEMI Raw'!$C$6:$C$1018,'CEMI Raw'!$E$6:$E$1018,$A218,'CEMI Raw'!$B$6:$B$1018,2026)</f>
        <v>1</v>
      </c>
      <c r="G218" s="22" t="n">
        <f aca="false">SUMIFS('CEMI Raw'!$D$6:$D$1018,'CEMI Raw'!$E$6:$E$1018,$A218,'CEMI Raw'!$B$6:$B$1018,2026)</f>
        <v>117.1</v>
      </c>
      <c r="H218" s="21" t="n">
        <f aca="false">SUMIFS('SALES Raw'!$C$6:$C$603,'SALES Raw'!$E$6:$E$603,$A218,'SALES Raw'!$B$6:$B$603,2025)</f>
        <v>0</v>
      </c>
      <c r="I218" s="22" t="n">
        <f aca="false">SUMIFS('SALES Raw'!$D$6:$D$603,'SALES Raw'!$E$6:$E$603,$A218,'SALES Raw'!$B$6:$B$603,2025)</f>
        <v>0</v>
      </c>
      <c r="J218" s="21" t="n">
        <f aca="false">SUMIFS('SALES Raw'!$C$6:$C$603,'SALES Raw'!$E$6:$E$603,$A218,'SALES Raw'!$B$6:$B$603,2026)</f>
        <v>0</v>
      </c>
      <c r="K218" s="22" t="n">
        <f aca="false">SUMIFS('SALES Raw'!$D$6:$D$603,'SALES Raw'!$E$6:$E$603,$A218,'SALES Raw'!$B$6:$B$603,2026)</f>
        <v>0</v>
      </c>
      <c r="L218" s="21" t="n">
        <f aca="false">D218+H218</f>
        <v>0</v>
      </c>
      <c r="M218" s="22" t="n">
        <f aca="false">E218+I218</f>
        <v>0</v>
      </c>
      <c r="N218" s="21" t="n">
        <f aca="false">F218+J218</f>
        <v>1</v>
      </c>
      <c r="O218" s="22" t="n">
        <f aca="false">G218+K218</f>
        <v>117.1</v>
      </c>
    </row>
    <row r="219" customFormat="false" ht="15" hidden="false" customHeight="false" outlineLevel="0" collapsed="false">
      <c r="A219" s="20" t="n">
        <v>4411028</v>
      </c>
      <c r="B219" s="20" t="str">
        <f aca="false">IFERROR(INDEX('Catalog'!$B:$B,MATCH($A219,'Catalog'!$A:$A,0)),"")</f>
        <v>213CTSL S שמאל CTS כפפות</v>
      </c>
      <c r="C219" s="20" t="str">
        <f aca="false">IFERROR(INDEX('TRANS'!$A:$A,MATCH($A219,'TRANS'!$B:$B,0)),"")</f>
        <v>213CTSL S</v>
      </c>
      <c r="D219" s="21" t="n">
        <f aca="false">SUMIFS('CEMI Raw'!$C$6:$C$1018,'CEMI Raw'!$E$6:$E$1018,$A219,'CEMI Raw'!$B$6:$B$1018,2025)</f>
        <v>0</v>
      </c>
      <c r="E219" s="22" t="n">
        <f aca="false">SUMIFS('CEMI Raw'!$D$6:$D$1018,'CEMI Raw'!$E$6:$E$1018,$A219,'CEMI Raw'!$B$6:$B$1018,2025)</f>
        <v>0</v>
      </c>
      <c r="F219" s="21" t="n">
        <f aca="false">SUMIFS('CEMI Raw'!$C$6:$C$1018,'CEMI Raw'!$E$6:$E$1018,$A219,'CEMI Raw'!$B$6:$B$1018,2026)</f>
        <v>1</v>
      </c>
      <c r="G219" s="22" t="n">
        <f aca="false">SUMIFS('CEMI Raw'!$D$6:$D$1018,'CEMI Raw'!$E$6:$E$1018,$A219,'CEMI Raw'!$B$6:$B$1018,2026)</f>
        <v>117.1</v>
      </c>
      <c r="H219" s="21" t="n">
        <f aca="false">SUMIFS('SALES Raw'!$C$6:$C$603,'SALES Raw'!$E$6:$E$603,$A219,'SALES Raw'!$B$6:$B$603,2025)</f>
        <v>0</v>
      </c>
      <c r="I219" s="22" t="n">
        <f aca="false">SUMIFS('SALES Raw'!$D$6:$D$603,'SALES Raw'!$E$6:$E$603,$A219,'SALES Raw'!$B$6:$B$603,2025)</f>
        <v>0</v>
      </c>
      <c r="J219" s="21" t="n">
        <f aca="false">SUMIFS('SALES Raw'!$C$6:$C$603,'SALES Raw'!$E$6:$E$603,$A219,'SALES Raw'!$B$6:$B$603,2026)</f>
        <v>0</v>
      </c>
      <c r="K219" s="22" t="n">
        <f aca="false">SUMIFS('SALES Raw'!$D$6:$D$603,'SALES Raw'!$E$6:$E$603,$A219,'SALES Raw'!$B$6:$B$603,2026)</f>
        <v>0</v>
      </c>
      <c r="L219" s="21" t="n">
        <f aca="false">D219+H219</f>
        <v>0</v>
      </c>
      <c r="M219" s="22" t="n">
        <f aca="false">E219+I219</f>
        <v>0</v>
      </c>
      <c r="N219" s="21" t="n">
        <f aca="false">F219+J219</f>
        <v>1</v>
      </c>
      <c r="O219" s="22" t="n">
        <f aca="false">G219+K219</f>
        <v>117.1</v>
      </c>
    </row>
    <row r="220" customFormat="false" ht="15" hidden="false" customHeight="false" outlineLevel="0" collapsed="false">
      <c r="A220" s="20" t="n">
        <v>4411029</v>
      </c>
      <c r="B220" s="20" t="str">
        <f aca="false">IFERROR(INDEX('Catalog'!$B:$B,MATCH($A220,'Catalog'!$A:$A,0)),"")</f>
        <v>213CTSR L ימין CTS כפפות</v>
      </c>
      <c r="C220" s="20" t="str">
        <f aca="false">IFERROR(INDEX('TRANS'!$A:$A,MATCH($A220,'TRANS'!$B:$B,0)),"")</f>
        <v>213CTSR L</v>
      </c>
      <c r="D220" s="21" t="n">
        <f aca="false">SUMIFS('CEMI Raw'!$C$6:$C$1018,'CEMI Raw'!$E$6:$E$1018,$A220,'CEMI Raw'!$B$6:$B$1018,2025)</f>
        <v>0</v>
      </c>
      <c r="E220" s="22" t="n">
        <f aca="false">SUMIFS('CEMI Raw'!$D$6:$D$1018,'CEMI Raw'!$E$6:$E$1018,$A220,'CEMI Raw'!$B$6:$B$1018,2025)</f>
        <v>0</v>
      </c>
      <c r="F220" s="21" t="n">
        <f aca="false">SUMIFS('CEMI Raw'!$C$6:$C$1018,'CEMI Raw'!$E$6:$E$1018,$A220,'CEMI Raw'!$B$6:$B$1018,2026)</f>
        <v>1</v>
      </c>
      <c r="G220" s="22" t="n">
        <f aca="false">SUMIFS('CEMI Raw'!$D$6:$D$1018,'CEMI Raw'!$E$6:$E$1018,$A220,'CEMI Raw'!$B$6:$B$1018,2026)</f>
        <v>117.1</v>
      </c>
      <c r="H220" s="21" t="n">
        <f aca="false">SUMIFS('SALES Raw'!$C$6:$C$603,'SALES Raw'!$E$6:$E$603,$A220,'SALES Raw'!$B$6:$B$603,2025)</f>
        <v>0</v>
      </c>
      <c r="I220" s="22" t="n">
        <f aca="false">SUMIFS('SALES Raw'!$D$6:$D$603,'SALES Raw'!$E$6:$E$603,$A220,'SALES Raw'!$B$6:$B$603,2025)</f>
        <v>0</v>
      </c>
      <c r="J220" s="21" t="n">
        <f aca="false">SUMIFS('SALES Raw'!$C$6:$C$603,'SALES Raw'!$E$6:$E$603,$A220,'SALES Raw'!$B$6:$B$603,2026)</f>
        <v>0</v>
      </c>
      <c r="K220" s="22" t="n">
        <f aca="false">SUMIFS('SALES Raw'!$D$6:$D$603,'SALES Raw'!$E$6:$E$603,$A220,'SALES Raw'!$B$6:$B$603,2026)</f>
        <v>0</v>
      </c>
      <c r="L220" s="21" t="n">
        <f aca="false">D220+H220</f>
        <v>0</v>
      </c>
      <c r="M220" s="22" t="n">
        <f aca="false">E220+I220</f>
        <v>0</v>
      </c>
      <c r="N220" s="21" t="n">
        <f aca="false">F220+J220</f>
        <v>1</v>
      </c>
      <c r="O220" s="22" t="n">
        <f aca="false">G220+K220</f>
        <v>117.1</v>
      </c>
    </row>
    <row r="221" customFormat="false" ht="15" hidden="false" customHeight="false" outlineLevel="0" collapsed="false">
      <c r="A221" s="20" t="n">
        <v>4411030</v>
      </c>
      <c r="B221" s="20" t="str">
        <f aca="false">IFERROR(INDEX('Catalog'!$B:$B,MATCH($A221,'Catalog'!$A:$A,0)),"")</f>
        <v>213CTSR M ימין CTS כפפות</v>
      </c>
      <c r="C221" s="20" t="str">
        <f aca="false">IFERROR(INDEX('TRANS'!$A:$A,MATCH($A221,'TRANS'!$B:$B,0)),"")</f>
        <v>213CTSR M</v>
      </c>
      <c r="D221" s="21" t="n">
        <f aca="false">SUMIFS('CEMI Raw'!$C$6:$C$1018,'CEMI Raw'!$E$6:$E$1018,$A221,'CEMI Raw'!$B$6:$B$1018,2025)</f>
        <v>0</v>
      </c>
      <c r="E221" s="22" t="n">
        <f aca="false">SUMIFS('CEMI Raw'!$D$6:$D$1018,'CEMI Raw'!$E$6:$E$1018,$A221,'CEMI Raw'!$B$6:$B$1018,2025)</f>
        <v>0</v>
      </c>
      <c r="F221" s="21" t="n">
        <f aca="false">SUMIFS('CEMI Raw'!$C$6:$C$1018,'CEMI Raw'!$E$6:$E$1018,$A221,'CEMI Raw'!$B$6:$B$1018,2026)</f>
        <v>1</v>
      </c>
      <c r="G221" s="22" t="n">
        <f aca="false">SUMIFS('CEMI Raw'!$D$6:$D$1018,'CEMI Raw'!$E$6:$E$1018,$A221,'CEMI Raw'!$B$6:$B$1018,2026)</f>
        <v>117.1</v>
      </c>
      <c r="H221" s="21" t="n">
        <f aca="false">SUMIFS('SALES Raw'!$C$6:$C$603,'SALES Raw'!$E$6:$E$603,$A221,'SALES Raw'!$B$6:$B$603,2025)</f>
        <v>0</v>
      </c>
      <c r="I221" s="22" t="n">
        <f aca="false">SUMIFS('SALES Raw'!$D$6:$D$603,'SALES Raw'!$E$6:$E$603,$A221,'SALES Raw'!$B$6:$B$603,2025)</f>
        <v>0</v>
      </c>
      <c r="J221" s="21" t="n">
        <f aca="false">SUMIFS('SALES Raw'!$C$6:$C$603,'SALES Raw'!$E$6:$E$603,$A221,'SALES Raw'!$B$6:$B$603,2026)</f>
        <v>0</v>
      </c>
      <c r="K221" s="22" t="n">
        <f aca="false">SUMIFS('SALES Raw'!$D$6:$D$603,'SALES Raw'!$E$6:$E$603,$A221,'SALES Raw'!$B$6:$B$603,2026)</f>
        <v>0</v>
      </c>
      <c r="L221" s="21" t="n">
        <f aca="false">D221+H221</f>
        <v>0</v>
      </c>
      <c r="M221" s="22" t="n">
        <f aca="false">E221+I221</f>
        <v>0</v>
      </c>
      <c r="N221" s="21" t="n">
        <f aca="false">F221+J221</f>
        <v>1</v>
      </c>
      <c r="O221" s="22" t="n">
        <f aca="false">G221+K221</f>
        <v>117.1</v>
      </c>
    </row>
    <row r="222" customFormat="false" ht="15" hidden="false" customHeight="false" outlineLevel="0" collapsed="false">
      <c r="A222" s="20" t="n">
        <v>4411031</v>
      </c>
      <c r="B222" s="20" t="str">
        <f aca="false">IFERROR(INDEX('Catalog'!$B:$B,MATCH($A222,'Catalog'!$A:$A,0)),"")</f>
        <v>213CTS  S ימין CTS כפפות</v>
      </c>
      <c r="C222" s="20" t="str">
        <f aca="false">IFERROR(INDEX('TRANS'!$A:$A,MATCH($A222,'TRANS'!$B:$B,0)),"")</f>
        <v>213CTSR S</v>
      </c>
      <c r="D222" s="21" t="n">
        <f aca="false">SUMIFS('CEMI Raw'!$C$6:$C$1018,'CEMI Raw'!$E$6:$E$1018,$A222,'CEMI Raw'!$B$6:$B$1018,2025)</f>
        <v>0</v>
      </c>
      <c r="E222" s="22" t="n">
        <f aca="false">SUMIFS('CEMI Raw'!$D$6:$D$1018,'CEMI Raw'!$E$6:$E$1018,$A222,'CEMI Raw'!$B$6:$B$1018,2025)</f>
        <v>0</v>
      </c>
      <c r="F222" s="21" t="n">
        <f aca="false">SUMIFS('CEMI Raw'!$C$6:$C$1018,'CEMI Raw'!$E$6:$E$1018,$A222,'CEMI Raw'!$B$6:$B$1018,2026)</f>
        <v>2</v>
      </c>
      <c r="G222" s="22" t="n">
        <f aca="false">SUMIFS('CEMI Raw'!$D$6:$D$1018,'CEMI Raw'!$E$6:$E$1018,$A222,'CEMI Raw'!$B$6:$B$1018,2026)</f>
        <v>234.3</v>
      </c>
      <c r="H222" s="21" t="n">
        <f aca="false">SUMIFS('SALES Raw'!$C$6:$C$603,'SALES Raw'!$E$6:$E$603,$A222,'SALES Raw'!$B$6:$B$603,2025)</f>
        <v>0</v>
      </c>
      <c r="I222" s="22" t="n">
        <f aca="false">SUMIFS('SALES Raw'!$D$6:$D$603,'SALES Raw'!$E$6:$E$603,$A222,'SALES Raw'!$B$6:$B$603,2025)</f>
        <v>0</v>
      </c>
      <c r="J222" s="21" t="n">
        <f aca="false">SUMIFS('SALES Raw'!$C$6:$C$603,'SALES Raw'!$E$6:$E$603,$A222,'SALES Raw'!$B$6:$B$603,2026)</f>
        <v>0</v>
      </c>
      <c r="K222" s="22" t="n">
        <f aca="false">SUMIFS('SALES Raw'!$D$6:$D$603,'SALES Raw'!$E$6:$E$603,$A222,'SALES Raw'!$B$6:$B$603,2026)</f>
        <v>0</v>
      </c>
      <c r="L222" s="21" t="n">
        <f aca="false">D222+H222</f>
        <v>0</v>
      </c>
      <c r="M222" s="22" t="n">
        <f aca="false">E222+I222</f>
        <v>0</v>
      </c>
      <c r="N222" s="21" t="n">
        <f aca="false">F222+J222</f>
        <v>2</v>
      </c>
      <c r="O222" s="22" t="n">
        <f aca="false">G222+K222</f>
        <v>234.3</v>
      </c>
    </row>
    <row r="223" customFormat="false" ht="15" hidden="false" customHeight="false" outlineLevel="0" collapsed="false">
      <c r="A223" s="20" t="n">
        <v>4413000</v>
      </c>
      <c r="B223" s="20" t="str">
        <f aca="false">IFERROR(INDEX('Catalog'!$B:$B,MATCH($A223,'Catalog'!$A:$A,0)),"")</f>
        <v>30 S מגן קרסול מתכוון עם סקוטש</v>
      </c>
      <c r="C223" s="20" t="str">
        <f aca="false">IFERROR(INDEX('TRANS'!$A:$A,MATCH($A223,'TRANS'!$B:$B,0)),"")</f>
        <v/>
      </c>
      <c r="D223" s="21" t="n">
        <f aca="false">SUMIFS('CEMI Raw'!$C$6:$C$1018,'CEMI Raw'!$E$6:$E$1018,$A223,'CEMI Raw'!$B$6:$B$1018,2025)</f>
        <v>6</v>
      </c>
      <c r="E223" s="22" t="n">
        <f aca="false">SUMIFS('CEMI Raw'!$D$6:$D$1018,'CEMI Raw'!$E$6:$E$1018,$A223,'CEMI Raw'!$B$6:$B$1018,2025)</f>
        <v>388.7</v>
      </c>
      <c r="F223" s="21" t="n">
        <f aca="false">SUMIFS('CEMI Raw'!$C$6:$C$1018,'CEMI Raw'!$E$6:$E$1018,$A223,'CEMI Raw'!$B$6:$B$1018,2026)</f>
        <v>0</v>
      </c>
      <c r="G223" s="22" t="n">
        <f aca="false">SUMIFS('CEMI Raw'!$D$6:$D$1018,'CEMI Raw'!$E$6:$E$1018,$A223,'CEMI Raw'!$B$6:$B$1018,2026)</f>
        <v>0</v>
      </c>
      <c r="H223" s="21" t="n">
        <f aca="false">SUMIFS('SALES Raw'!$C$6:$C$603,'SALES Raw'!$E$6:$E$603,$A223,'SALES Raw'!$B$6:$B$603,2025)</f>
        <v>0</v>
      </c>
      <c r="I223" s="22" t="n">
        <f aca="false">SUMIFS('SALES Raw'!$D$6:$D$603,'SALES Raw'!$E$6:$E$603,$A223,'SALES Raw'!$B$6:$B$603,2025)</f>
        <v>0</v>
      </c>
      <c r="J223" s="21" t="n">
        <f aca="false">SUMIFS('SALES Raw'!$C$6:$C$603,'SALES Raw'!$E$6:$E$603,$A223,'SALES Raw'!$B$6:$B$603,2026)</f>
        <v>0</v>
      </c>
      <c r="K223" s="22" t="n">
        <f aca="false">SUMIFS('SALES Raw'!$D$6:$D$603,'SALES Raw'!$E$6:$E$603,$A223,'SALES Raw'!$B$6:$B$603,2026)</f>
        <v>0</v>
      </c>
      <c r="L223" s="21" t="n">
        <f aca="false">D223+H223</f>
        <v>6</v>
      </c>
      <c r="M223" s="22" t="n">
        <f aca="false">E223+I223</f>
        <v>388.7</v>
      </c>
      <c r="N223" s="21" t="n">
        <f aca="false">F223+J223</f>
        <v>0</v>
      </c>
      <c r="O223" s="22" t="n">
        <f aca="false">G223+K223</f>
        <v>0</v>
      </c>
    </row>
    <row r="224" customFormat="false" ht="15" hidden="false" customHeight="false" outlineLevel="0" collapsed="false">
      <c r="A224" s="20" t="n">
        <v>4413002</v>
      </c>
      <c r="B224" s="20" t="str">
        <f aca="false">IFERROR(INDEX('Catalog'!$B:$B,MATCH($A224,'Catalog'!$A:$A,0)),"")</f>
        <v>30 L מגן קרסול מתכוון עם סקוטש</v>
      </c>
      <c r="C224" s="20" t="str">
        <f aca="false">IFERROR(INDEX('TRANS'!$A:$A,MATCH($A224,'TRANS'!$B:$B,0)),"")</f>
        <v/>
      </c>
      <c r="D224" s="21" t="n">
        <f aca="false">SUMIFS('CEMI Raw'!$C$6:$C$1018,'CEMI Raw'!$E$6:$E$1018,$A224,'CEMI Raw'!$B$6:$B$1018,2025)</f>
        <v>14</v>
      </c>
      <c r="E224" s="22" t="n">
        <f aca="false">SUMIFS('CEMI Raw'!$D$6:$D$1018,'CEMI Raw'!$E$6:$E$1018,$A224,'CEMI Raw'!$B$6:$B$1018,2025)</f>
        <v>917</v>
      </c>
      <c r="F224" s="21" t="n">
        <f aca="false">SUMIFS('CEMI Raw'!$C$6:$C$1018,'CEMI Raw'!$E$6:$E$1018,$A224,'CEMI Raw'!$B$6:$B$1018,2026)</f>
        <v>0</v>
      </c>
      <c r="G224" s="22" t="n">
        <f aca="false">SUMIFS('CEMI Raw'!$D$6:$D$1018,'CEMI Raw'!$E$6:$E$1018,$A224,'CEMI Raw'!$B$6:$B$1018,2026)</f>
        <v>0</v>
      </c>
      <c r="H224" s="21" t="n">
        <f aca="false">SUMIFS('SALES Raw'!$C$6:$C$603,'SALES Raw'!$E$6:$E$603,$A224,'SALES Raw'!$B$6:$B$603,2025)</f>
        <v>0</v>
      </c>
      <c r="I224" s="22" t="n">
        <f aca="false">SUMIFS('SALES Raw'!$D$6:$D$603,'SALES Raw'!$E$6:$E$603,$A224,'SALES Raw'!$B$6:$B$603,2025)</f>
        <v>0</v>
      </c>
      <c r="J224" s="21" t="n">
        <f aca="false">SUMIFS('SALES Raw'!$C$6:$C$603,'SALES Raw'!$E$6:$E$603,$A224,'SALES Raw'!$B$6:$B$603,2026)</f>
        <v>0</v>
      </c>
      <c r="K224" s="22" t="n">
        <f aca="false">SUMIFS('SALES Raw'!$D$6:$D$603,'SALES Raw'!$E$6:$E$603,$A224,'SALES Raw'!$B$6:$B$603,2026)</f>
        <v>0</v>
      </c>
      <c r="L224" s="21" t="n">
        <f aca="false">D224+H224</f>
        <v>14</v>
      </c>
      <c r="M224" s="22" t="n">
        <f aca="false">E224+I224</f>
        <v>917</v>
      </c>
      <c r="N224" s="21" t="n">
        <f aca="false">F224+J224</f>
        <v>0</v>
      </c>
      <c r="O224" s="22" t="n">
        <f aca="false">G224+K224</f>
        <v>0</v>
      </c>
    </row>
    <row r="225" customFormat="false" ht="15" hidden="false" customHeight="false" outlineLevel="0" collapsed="false">
      <c r="A225" s="20" t="n">
        <v>4413003</v>
      </c>
      <c r="B225" s="20" t="str">
        <f aca="false">IFERROR(INDEX('Catalog'!$B:$B,MATCH($A225,'Catalog'!$A:$A,0)),"")</f>
        <v>30 M מגן קרסול מתכוון עם סקוטש</v>
      </c>
      <c r="C225" s="20" t="str">
        <f aca="false">IFERROR(INDEX('TRANS'!$A:$A,MATCH($A225,'TRANS'!$B:$B,0)),"")</f>
        <v/>
      </c>
      <c r="D225" s="21" t="n">
        <f aca="false">SUMIFS('CEMI Raw'!$C$6:$C$1018,'CEMI Raw'!$E$6:$E$1018,$A225,'CEMI Raw'!$B$6:$B$1018,2025)</f>
        <v>6</v>
      </c>
      <c r="E225" s="22" t="n">
        <f aca="false">SUMIFS('CEMI Raw'!$D$6:$D$1018,'CEMI Raw'!$E$6:$E$1018,$A225,'CEMI Raw'!$B$6:$B$1018,2025)</f>
        <v>373.1</v>
      </c>
      <c r="F225" s="21" t="n">
        <f aca="false">SUMIFS('CEMI Raw'!$C$6:$C$1018,'CEMI Raw'!$E$6:$E$1018,$A225,'CEMI Raw'!$B$6:$B$1018,2026)</f>
        <v>0</v>
      </c>
      <c r="G225" s="22" t="n">
        <f aca="false">SUMIFS('CEMI Raw'!$D$6:$D$1018,'CEMI Raw'!$E$6:$E$1018,$A225,'CEMI Raw'!$B$6:$B$1018,2026)</f>
        <v>0</v>
      </c>
      <c r="H225" s="21" t="n">
        <f aca="false">SUMIFS('SALES Raw'!$C$6:$C$603,'SALES Raw'!$E$6:$E$603,$A225,'SALES Raw'!$B$6:$B$603,2025)</f>
        <v>0</v>
      </c>
      <c r="I225" s="22" t="n">
        <f aca="false">SUMIFS('SALES Raw'!$D$6:$D$603,'SALES Raw'!$E$6:$E$603,$A225,'SALES Raw'!$B$6:$B$603,2025)</f>
        <v>0</v>
      </c>
      <c r="J225" s="21" t="n">
        <f aca="false">SUMIFS('SALES Raw'!$C$6:$C$603,'SALES Raw'!$E$6:$E$603,$A225,'SALES Raw'!$B$6:$B$603,2026)</f>
        <v>0</v>
      </c>
      <c r="K225" s="22" t="n">
        <f aca="false">SUMIFS('SALES Raw'!$D$6:$D$603,'SALES Raw'!$E$6:$E$603,$A225,'SALES Raw'!$B$6:$B$603,2026)</f>
        <v>0</v>
      </c>
      <c r="L225" s="21" t="n">
        <f aca="false">D225+H225</f>
        <v>6</v>
      </c>
      <c r="M225" s="22" t="n">
        <f aca="false">E225+I225</f>
        <v>373.1</v>
      </c>
      <c r="N225" s="21" t="n">
        <f aca="false">F225+J225</f>
        <v>0</v>
      </c>
      <c r="O225" s="22" t="n">
        <f aca="false">G225+K225</f>
        <v>0</v>
      </c>
    </row>
    <row r="226" customFormat="false" ht="15" hidden="false" customHeight="false" outlineLevel="0" collapsed="false">
      <c r="A226" s="20" t="n">
        <v>4413004</v>
      </c>
      <c r="B226" s="20" t="str">
        <f aca="false">IFERROR(INDEX('Catalog'!$B:$B,MATCH($A226,'Catalog'!$A:$A,0)),"")</f>
        <v>30 XL מגן קרסול מתכוון סקוטש</v>
      </c>
      <c r="C226" s="20" t="str">
        <f aca="false">IFERROR(INDEX('TRANS'!$A:$A,MATCH($A226,'TRANS'!$B:$B,0)),"")</f>
        <v/>
      </c>
      <c r="D226" s="21" t="n">
        <f aca="false">SUMIFS('CEMI Raw'!$C$6:$C$1018,'CEMI Raw'!$E$6:$E$1018,$A226,'CEMI Raw'!$B$6:$B$1018,2025)</f>
        <v>11</v>
      </c>
      <c r="E226" s="22" t="n">
        <f aca="false">SUMIFS('CEMI Raw'!$D$6:$D$1018,'CEMI Raw'!$E$6:$E$1018,$A226,'CEMI Raw'!$B$6:$B$1018,2025)</f>
        <v>711.5</v>
      </c>
      <c r="F226" s="21" t="n">
        <f aca="false">SUMIFS('CEMI Raw'!$C$6:$C$1018,'CEMI Raw'!$E$6:$E$1018,$A226,'CEMI Raw'!$B$6:$B$1018,2026)</f>
        <v>0</v>
      </c>
      <c r="G226" s="22" t="n">
        <f aca="false">SUMIFS('CEMI Raw'!$D$6:$D$1018,'CEMI Raw'!$E$6:$E$1018,$A226,'CEMI Raw'!$B$6:$B$1018,2026)</f>
        <v>0</v>
      </c>
      <c r="H226" s="21" t="n">
        <f aca="false">SUMIFS('SALES Raw'!$C$6:$C$603,'SALES Raw'!$E$6:$E$603,$A226,'SALES Raw'!$B$6:$B$603,2025)</f>
        <v>0</v>
      </c>
      <c r="I226" s="22" t="n">
        <f aca="false">SUMIFS('SALES Raw'!$D$6:$D$603,'SALES Raw'!$E$6:$E$603,$A226,'SALES Raw'!$B$6:$B$603,2025)</f>
        <v>0</v>
      </c>
      <c r="J226" s="21" t="n">
        <f aca="false">SUMIFS('SALES Raw'!$C$6:$C$603,'SALES Raw'!$E$6:$E$603,$A226,'SALES Raw'!$B$6:$B$603,2026)</f>
        <v>0</v>
      </c>
      <c r="K226" s="22" t="n">
        <f aca="false">SUMIFS('SALES Raw'!$D$6:$D$603,'SALES Raw'!$E$6:$E$603,$A226,'SALES Raw'!$B$6:$B$603,2026)</f>
        <v>0</v>
      </c>
      <c r="L226" s="21" t="n">
        <f aca="false">D226+H226</f>
        <v>11</v>
      </c>
      <c r="M226" s="22" t="n">
        <f aca="false">E226+I226</f>
        <v>711.5</v>
      </c>
      <c r="N226" s="21" t="n">
        <f aca="false">F226+J226</f>
        <v>0</v>
      </c>
      <c r="O226" s="22" t="n">
        <f aca="false">G226+K226</f>
        <v>0</v>
      </c>
    </row>
    <row r="227" customFormat="false" ht="15" hidden="false" customHeight="false" outlineLevel="0" collapsed="false">
      <c r="A227" s="20" t="n">
        <v>4413005</v>
      </c>
      <c r="B227" s="20" t="str">
        <f aca="false">IFERROR(INDEX('Catalog'!$B:$B,MATCH($A227,'Catalog'!$A:$A,0)),"")</f>
        <v>30 XXL מגן קרסול מתכוון+סקוטש</v>
      </c>
      <c r="C227" s="20" t="str">
        <f aca="false">IFERROR(INDEX('TRANS'!$A:$A,MATCH($A227,'TRANS'!$B:$B,0)),"")</f>
        <v/>
      </c>
      <c r="D227" s="21" t="n">
        <f aca="false">SUMIFS('CEMI Raw'!$C$6:$C$1018,'CEMI Raw'!$E$6:$E$1018,$A227,'CEMI Raw'!$B$6:$B$1018,2025)</f>
        <v>2</v>
      </c>
      <c r="E227" s="22" t="n">
        <f aca="false">SUMIFS('CEMI Raw'!$D$6:$D$1018,'CEMI Raw'!$E$6:$E$1018,$A227,'CEMI Raw'!$B$6:$B$1018,2025)</f>
        <v>130.4</v>
      </c>
      <c r="F227" s="21" t="n">
        <f aca="false">SUMIFS('CEMI Raw'!$C$6:$C$1018,'CEMI Raw'!$E$6:$E$1018,$A227,'CEMI Raw'!$B$6:$B$1018,2026)</f>
        <v>0</v>
      </c>
      <c r="G227" s="22" t="n">
        <f aca="false">SUMIFS('CEMI Raw'!$D$6:$D$1018,'CEMI Raw'!$E$6:$E$1018,$A227,'CEMI Raw'!$B$6:$B$1018,2026)</f>
        <v>0</v>
      </c>
      <c r="H227" s="21" t="n">
        <f aca="false">SUMIFS('SALES Raw'!$C$6:$C$603,'SALES Raw'!$E$6:$E$603,$A227,'SALES Raw'!$B$6:$B$603,2025)</f>
        <v>0</v>
      </c>
      <c r="I227" s="22" t="n">
        <f aca="false">SUMIFS('SALES Raw'!$D$6:$D$603,'SALES Raw'!$E$6:$E$603,$A227,'SALES Raw'!$B$6:$B$603,2025)</f>
        <v>0</v>
      </c>
      <c r="J227" s="21" t="n">
        <f aca="false">SUMIFS('SALES Raw'!$C$6:$C$603,'SALES Raw'!$E$6:$E$603,$A227,'SALES Raw'!$B$6:$B$603,2026)</f>
        <v>0</v>
      </c>
      <c r="K227" s="22" t="n">
        <f aca="false">SUMIFS('SALES Raw'!$D$6:$D$603,'SALES Raw'!$E$6:$E$603,$A227,'SALES Raw'!$B$6:$B$603,2026)</f>
        <v>0</v>
      </c>
      <c r="L227" s="21" t="n">
        <f aca="false">D227+H227</f>
        <v>2</v>
      </c>
      <c r="M227" s="22" t="n">
        <f aca="false">E227+I227</f>
        <v>130.4</v>
      </c>
      <c r="N227" s="21" t="n">
        <f aca="false">F227+J227</f>
        <v>0</v>
      </c>
      <c r="O227" s="22" t="n">
        <f aca="false">G227+K227</f>
        <v>0</v>
      </c>
    </row>
    <row r="228" customFormat="false" ht="15" hidden="false" customHeight="false" outlineLevel="0" collapsed="false">
      <c r="A228" s="20" t="n">
        <v>4413018</v>
      </c>
      <c r="B228" s="20" t="str">
        <f aca="false">IFERROR(INDEX('Catalog'!$B:$B,MATCH($A228,'Catalog'!$A:$A,0)),"")</f>
        <v>303 37-38 מדרסי סיליק.לח.סכרת</v>
      </c>
      <c r="C228" s="20" t="str">
        <f aca="false">IFERROR(INDEX('TRANS'!$A:$A,MATCH($A228,'TRANS'!$B:$B,0)),"")</f>
        <v>303-37-38</v>
      </c>
      <c r="D228" s="21" t="n">
        <f aca="false">SUMIFS('CEMI Raw'!$C$6:$C$1018,'CEMI Raw'!$E$6:$E$1018,$A228,'CEMI Raw'!$B$6:$B$1018,2025)</f>
        <v>1</v>
      </c>
      <c r="E228" s="22" t="n">
        <f aca="false">SUMIFS('CEMI Raw'!$D$6:$D$1018,'CEMI Raw'!$E$6:$E$1018,$A228,'CEMI Raw'!$B$6:$B$1018,2025)</f>
        <v>118.5</v>
      </c>
      <c r="F228" s="21" t="n">
        <f aca="false">SUMIFS('CEMI Raw'!$C$6:$C$1018,'CEMI Raw'!$E$6:$E$1018,$A228,'CEMI Raw'!$B$6:$B$1018,2026)</f>
        <v>3</v>
      </c>
      <c r="G228" s="22" t="n">
        <f aca="false">SUMIFS('CEMI Raw'!$D$6:$D$1018,'CEMI Raw'!$E$6:$E$1018,$A228,'CEMI Raw'!$B$6:$B$1018,2026)</f>
        <v>355.6</v>
      </c>
      <c r="H228" s="21" t="n">
        <f aca="false">SUMIFS('SALES Raw'!$C$6:$C$603,'SALES Raw'!$E$6:$E$603,$A228,'SALES Raw'!$B$6:$B$603,2025)</f>
        <v>0</v>
      </c>
      <c r="I228" s="22" t="n">
        <f aca="false">SUMIFS('SALES Raw'!$D$6:$D$603,'SALES Raw'!$E$6:$E$603,$A228,'SALES Raw'!$B$6:$B$603,2025)</f>
        <v>0</v>
      </c>
      <c r="J228" s="21" t="n">
        <f aca="false">SUMIFS('SALES Raw'!$C$6:$C$603,'SALES Raw'!$E$6:$E$603,$A228,'SALES Raw'!$B$6:$B$603,2026)</f>
        <v>0</v>
      </c>
      <c r="K228" s="22" t="n">
        <f aca="false">SUMIFS('SALES Raw'!$D$6:$D$603,'SALES Raw'!$E$6:$E$603,$A228,'SALES Raw'!$B$6:$B$603,2026)</f>
        <v>0</v>
      </c>
      <c r="L228" s="21" t="n">
        <f aca="false">D228+H228</f>
        <v>1</v>
      </c>
      <c r="M228" s="22" t="n">
        <f aca="false">E228+I228</f>
        <v>118.5</v>
      </c>
      <c r="N228" s="21" t="n">
        <f aca="false">F228+J228</f>
        <v>3</v>
      </c>
      <c r="O228" s="22" t="n">
        <f aca="false">G228+K228</f>
        <v>355.6</v>
      </c>
    </row>
    <row r="229" customFormat="false" ht="15" hidden="false" customHeight="false" outlineLevel="0" collapsed="false">
      <c r="A229" s="20" t="n">
        <v>4413019</v>
      </c>
      <c r="B229" s="20" t="str">
        <f aca="false">IFERROR(INDEX('Catalog'!$B:$B,MATCH($A229,'Catalog'!$A:$A,0)),"")</f>
        <v>303 39-40 מדרסי סיליק.לח.סכרת</v>
      </c>
      <c r="C229" s="20" t="str">
        <f aca="false">IFERROR(INDEX('TRANS'!$A:$A,MATCH($A229,'TRANS'!$B:$B,0)),"")</f>
        <v/>
      </c>
      <c r="D229" s="21" t="n">
        <f aca="false">SUMIFS('CEMI Raw'!$C$6:$C$1018,'CEMI Raw'!$E$6:$E$1018,$A229,'CEMI Raw'!$B$6:$B$1018,2025)</f>
        <v>0</v>
      </c>
      <c r="E229" s="22" t="n">
        <f aca="false">SUMIFS('CEMI Raw'!$D$6:$D$1018,'CEMI Raw'!$E$6:$E$1018,$A229,'CEMI Raw'!$B$6:$B$1018,2025)</f>
        <v>0</v>
      </c>
      <c r="F229" s="21" t="n">
        <f aca="false">SUMIFS('CEMI Raw'!$C$6:$C$1018,'CEMI Raw'!$E$6:$E$1018,$A229,'CEMI Raw'!$B$6:$B$1018,2026)</f>
        <v>-1</v>
      </c>
      <c r="G229" s="22" t="n">
        <f aca="false">SUMIFS('CEMI Raw'!$D$6:$D$1018,'CEMI Raw'!$E$6:$E$1018,$A229,'CEMI Raw'!$B$6:$B$1018,2026)</f>
        <v>-71.1</v>
      </c>
      <c r="H229" s="21" t="n">
        <f aca="false">SUMIFS('SALES Raw'!$C$6:$C$603,'SALES Raw'!$E$6:$E$603,$A229,'SALES Raw'!$B$6:$B$603,2025)</f>
        <v>0</v>
      </c>
      <c r="I229" s="22" t="n">
        <f aca="false">SUMIFS('SALES Raw'!$D$6:$D$603,'SALES Raw'!$E$6:$E$603,$A229,'SALES Raw'!$B$6:$B$603,2025)</f>
        <v>0</v>
      </c>
      <c r="J229" s="21" t="n">
        <f aca="false">SUMIFS('SALES Raw'!$C$6:$C$603,'SALES Raw'!$E$6:$E$603,$A229,'SALES Raw'!$B$6:$B$603,2026)</f>
        <v>0</v>
      </c>
      <c r="K229" s="22" t="n">
        <f aca="false">SUMIFS('SALES Raw'!$D$6:$D$603,'SALES Raw'!$E$6:$E$603,$A229,'SALES Raw'!$B$6:$B$603,2026)</f>
        <v>0</v>
      </c>
      <c r="L229" s="21" t="n">
        <f aca="false">D229+H229</f>
        <v>0</v>
      </c>
      <c r="M229" s="22" t="n">
        <f aca="false">E229+I229</f>
        <v>0</v>
      </c>
      <c r="N229" s="21" t="n">
        <f aca="false">F229+J229</f>
        <v>-1</v>
      </c>
      <c r="O229" s="22" t="n">
        <f aca="false">G229+K229</f>
        <v>-71.1</v>
      </c>
    </row>
    <row r="230" customFormat="false" ht="15" hidden="false" customHeight="false" outlineLevel="0" collapsed="false">
      <c r="A230" s="20" t="n">
        <v>4413020</v>
      </c>
      <c r="B230" s="20" t="str">
        <f aca="false">IFERROR(INDEX('Catalog'!$B:$B,MATCH($A230,'Catalog'!$A:$A,0)),"")</f>
        <v>303 41-42 מדרסי סיליק.לח.סכרת</v>
      </c>
      <c r="C230" s="20" t="str">
        <f aca="false">IFERROR(INDEX('TRANS'!$A:$A,MATCH($A230,'TRANS'!$B:$B,0)),"")</f>
        <v>303-41-42</v>
      </c>
      <c r="D230" s="21" t="n">
        <f aca="false">SUMIFS('CEMI Raw'!$C$6:$C$1018,'CEMI Raw'!$E$6:$E$1018,$A230,'CEMI Raw'!$B$6:$B$1018,2025)</f>
        <v>6</v>
      </c>
      <c r="E230" s="22" t="n">
        <f aca="false">SUMIFS('CEMI Raw'!$D$6:$D$1018,'CEMI Raw'!$E$6:$E$1018,$A230,'CEMI Raw'!$B$6:$B$1018,2025)</f>
        <v>706.5</v>
      </c>
      <c r="F230" s="21" t="n">
        <f aca="false">SUMIFS('CEMI Raw'!$C$6:$C$1018,'CEMI Raw'!$E$6:$E$1018,$A230,'CEMI Raw'!$B$6:$B$1018,2026)</f>
        <v>0</v>
      </c>
      <c r="G230" s="22" t="n">
        <f aca="false">SUMIFS('CEMI Raw'!$D$6:$D$1018,'CEMI Raw'!$E$6:$E$1018,$A230,'CEMI Raw'!$B$6:$B$1018,2026)</f>
        <v>23.7</v>
      </c>
      <c r="H230" s="21" t="n">
        <f aca="false">SUMIFS('SALES Raw'!$C$6:$C$603,'SALES Raw'!$E$6:$E$603,$A230,'SALES Raw'!$B$6:$B$603,2025)</f>
        <v>0</v>
      </c>
      <c r="I230" s="22" t="n">
        <f aca="false">SUMIFS('SALES Raw'!$D$6:$D$603,'SALES Raw'!$E$6:$E$603,$A230,'SALES Raw'!$B$6:$B$603,2025)</f>
        <v>0</v>
      </c>
      <c r="J230" s="21" t="n">
        <f aca="false">SUMIFS('SALES Raw'!$C$6:$C$603,'SALES Raw'!$E$6:$E$603,$A230,'SALES Raw'!$B$6:$B$603,2026)</f>
        <v>0</v>
      </c>
      <c r="K230" s="22" t="n">
        <f aca="false">SUMIFS('SALES Raw'!$D$6:$D$603,'SALES Raw'!$E$6:$E$603,$A230,'SALES Raw'!$B$6:$B$603,2026)</f>
        <v>0</v>
      </c>
      <c r="L230" s="21" t="n">
        <f aca="false">D230+H230</f>
        <v>6</v>
      </c>
      <c r="M230" s="22" t="n">
        <f aca="false">E230+I230</f>
        <v>706.5</v>
      </c>
      <c r="N230" s="21" t="n">
        <f aca="false">F230+J230</f>
        <v>0</v>
      </c>
      <c r="O230" s="22" t="n">
        <f aca="false">G230+K230</f>
        <v>23.7</v>
      </c>
    </row>
    <row r="231" customFormat="false" ht="15" hidden="false" customHeight="false" outlineLevel="0" collapsed="false">
      <c r="A231" s="20" t="n">
        <v>4413021</v>
      </c>
      <c r="B231" s="20" t="str">
        <f aca="false">IFERROR(INDEX('Catalog'!$B:$B,MATCH($A231,'Catalog'!$A:$A,0)),"")</f>
        <v>303 43-44 מדרסי סיליק.לח.סכרת</v>
      </c>
      <c r="C231" s="20" t="str">
        <f aca="false">IFERROR(INDEX('TRANS'!$A:$A,MATCH($A231,'TRANS'!$B:$B,0)),"")</f>
        <v/>
      </c>
      <c r="D231" s="21" t="n">
        <f aca="false">SUMIFS('CEMI Raw'!$C$6:$C$1018,'CEMI Raw'!$E$6:$E$1018,$A231,'CEMI Raw'!$B$6:$B$1018,2025)</f>
        <v>10</v>
      </c>
      <c r="E231" s="22" t="n">
        <f aca="false">SUMIFS('CEMI Raw'!$D$6:$D$1018,'CEMI Raw'!$E$6:$E$1018,$A231,'CEMI Raw'!$B$6:$B$1018,2025)</f>
        <v>1109</v>
      </c>
      <c r="F231" s="21" t="n">
        <f aca="false">SUMIFS('CEMI Raw'!$C$6:$C$1018,'CEMI Raw'!$E$6:$E$1018,$A231,'CEMI Raw'!$B$6:$B$1018,2026)</f>
        <v>-1</v>
      </c>
      <c r="G231" s="22" t="n">
        <f aca="false">SUMIFS('CEMI Raw'!$D$6:$D$1018,'CEMI Raw'!$E$6:$E$1018,$A231,'CEMI Raw'!$B$6:$B$1018,2026)</f>
        <v>-94.8</v>
      </c>
      <c r="H231" s="21" t="n">
        <f aca="false">SUMIFS('SALES Raw'!$C$6:$C$603,'SALES Raw'!$E$6:$E$603,$A231,'SALES Raw'!$B$6:$B$603,2025)</f>
        <v>0</v>
      </c>
      <c r="I231" s="22" t="n">
        <f aca="false">SUMIFS('SALES Raw'!$D$6:$D$603,'SALES Raw'!$E$6:$E$603,$A231,'SALES Raw'!$B$6:$B$603,2025)</f>
        <v>0</v>
      </c>
      <c r="J231" s="21" t="n">
        <f aca="false">SUMIFS('SALES Raw'!$C$6:$C$603,'SALES Raw'!$E$6:$E$603,$A231,'SALES Raw'!$B$6:$B$603,2026)</f>
        <v>0</v>
      </c>
      <c r="K231" s="22" t="n">
        <f aca="false">SUMIFS('SALES Raw'!$D$6:$D$603,'SALES Raw'!$E$6:$E$603,$A231,'SALES Raw'!$B$6:$B$603,2026)</f>
        <v>0</v>
      </c>
      <c r="L231" s="21" t="n">
        <f aca="false">D231+H231</f>
        <v>10</v>
      </c>
      <c r="M231" s="22" t="n">
        <f aca="false">E231+I231</f>
        <v>1109</v>
      </c>
      <c r="N231" s="21" t="n">
        <f aca="false">F231+J231</f>
        <v>-1</v>
      </c>
      <c r="O231" s="22" t="n">
        <f aca="false">G231+K231</f>
        <v>-94.8</v>
      </c>
    </row>
    <row r="232" customFormat="false" ht="15" hidden="false" customHeight="false" outlineLevel="0" collapsed="false">
      <c r="A232" s="20" t="n">
        <v>4413022</v>
      </c>
      <c r="B232" s="20" t="str">
        <f aca="false">IFERROR(INDEX('Catalog'!$B:$B,MATCH($A232,'Catalog'!$A:$A,0)),"")</f>
        <v>303 45-46 מדרסי סיליק.לח.סכרת</v>
      </c>
      <c r="C232" s="20" t="str">
        <f aca="false">IFERROR(INDEX('TRANS'!$A:$A,MATCH($A232,'TRANS'!$B:$B,0)),"")</f>
        <v>303-45-46</v>
      </c>
      <c r="D232" s="21" t="n">
        <f aca="false">SUMIFS('CEMI Raw'!$C$6:$C$1018,'CEMI Raw'!$E$6:$E$1018,$A232,'CEMI Raw'!$B$6:$B$1018,2025)</f>
        <v>3</v>
      </c>
      <c r="E232" s="22" t="n">
        <f aca="false">SUMIFS('CEMI Raw'!$D$6:$D$1018,'CEMI Raw'!$E$6:$E$1018,$A232,'CEMI Raw'!$B$6:$B$1018,2025)</f>
        <v>327</v>
      </c>
      <c r="F232" s="21" t="n">
        <f aca="false">SUMIFS('CEMI Raw'!$C$6:$C$1018,'CEMI Raw'!$E$6:$E$1018,$A232,'CEMI Raw'!$B$6:$B$1018,2026)</f>
        <v>2</v>
      </c>
      <c r="G232" s="22" t="n">
        <f aca="false">SUMIFS('CEMI Raw'!$D$6:$D$1018,'CEMI Raw'!$E$6:$E$1018,$A232,'CEMI Raw'!$B$6:$B$1018,2026)</f>
        <v>237.1</v>
      </c>
      <c r="H232" s="21" t="n">
        <f aca="false">SUMIFS('SALES Raw'!$C$6:$C$603,'SALES Raw'!$E$6:$E$603,$A232,'SALES Raw'!$B$6:$B$603,2025)</f>
        <v>0</v>
      </c>
      <c r="I232" s="22" t="n">
        <f aca="false">SUMIFS('SALES Raw'!$D$6:$D$603,'SALES Raw'!$E$6:$E$603,$A232,'SALES Raw'!$B$6:$B$603,2025)</f>
        <v>0</v>
      </c>
      <c r="J232" s="21" t="n">
        <f aca="false">SUMIFS('SALES Raw'!$C$6:$C$603,'SALES Raw'!$E$6:$E$603,$A232,'SALES Raw'!$B$6:$B$603,2026)</f>
        <v>0</v>
      </c>
      <c r="K232" s="22" t="n">
        <f aca="false">SUMIFS('SALES Raw'!$D$6:$D$603,'SALES Raw'!$E$6:$E$603,$A232,'SALES Raw'!$B$6:$B$603,2026)</f>
        <v>0</v>
      </c>
      <c r="L232" s="21" t="n">
        <f aca="false">D232+H232</f>
        <v>3</v>
      </c>
      <c r="M232" s="22" t="n">
        <f aca="false">E232+I232</f>
        <v>327</v>
      </c>
      <c r="N232" s="21" t="n">
        <f aca="false">F232+J232</f>
        <v>2</v>
      </c>
      <c r="O232" s="22" t="n">
        <f aca="false">G232+K232</f>
        <v>237.1</v>
      </c>
    </row>
    <row r="233" customFormat="false" ht="15" hidden="false" customHeight="false" outlineLevel="0" collapsed="false">
      <c r="A233" s="20" t="n">
        <v>4413033</v>
      </c>
      <c r="B233" s="20" t="str">
        <f aca="false">IFERROR(INDEX('Catalog'!$B:$B,MATCH($A233,'Catalog'!$A:$A,0)),"")</f>
        <v>311'מדב.ג'ל למניעת שפשוף 5 יח</v>
      </c>
      <c r="C233" s="20" t="str">
        <f aca="false">IFERROR(INDEX('TRANS'!$A:$A,MATCH($A233,'TRANS'!$B:$B,0)),"")</f>
        <v>311 0</v>
      </c>
      <c r="D233" s="21" t="n">
        <f aca="false">SUMIFS('CEMI Raw'!$C$6:$C$1018,'CEMI Raw'!$E$6:$E$1018,$A233,'CEMI Raw'!$B$6:$B$1018,2025)</f>
        <v>747</v>
      </c>
      <c r="E233" s="22" t="n">
        <f aca="false">SUMIFS('CEMI Raw'!$D$6:$D$1018,'CEMI Raw'!$E$6:$E$1018,$A233,'CEMI Raw'!$B$6:$B$1018,2025)</f>
        <v>12637.2</v>
      </c>
      <c r="F233" s="21" t="n">
        <f aca="false">SUMIFS('CEMI Raw'!$C$6:$C$1018,'CEMI Raw'!$E$6:$E$1018,$A233,'CEMI Raw'!$B$6:$B$1018,2026)</f>
        <v>443</v>
      </c>
      <c r="G233" s="22" t="n">
        <f aca="false">SUMIFS('CEMI Raw'!$D$6:$D$1018,'CEMI Raw'!$E$6:$E$1018,$A233,'CEMI Raw'!$B$6:$B$1018,2026)</f>
        <v>7781.1</v>
      </c>
      <c r="H233" s="21" t="n">
        <f aca="false">SUMIFS('SALES Raw'!$C$6:$C$603,'SALES Raw'!$E$6:$E$603,$A233,'SALES Raw'!$B$6:$B$603,2025)</f>
        <v>19</v>
      </c>
      <c r="I233" s="22" t="n">
        <f aca="false">SUMIFS('SALES Raw'!$D$6:$D$603,'SALES Raw'!$E$6:$E$603,$A233,'SALES Raw'!$B$6:$B$603,2025)</f>
        <v>346.57</v>
      </c>
      <c r="J233" s="21" t="n">
        <f aca="false">SUMIFS('SALES Raw'!$C$6:$C$603,'SALES Raw'!$E$6:$E$603,$A233,'SALES Raw'!$B$6:$B$603,2026)</f>
        <v>13</v>
      </c>
      <c r="K233" s="22" t="n">
        <f aca="false">SUMIFS('SALES Raw'!$D$6:$D$603,'SALES Raw'!$E$6:$E$603,$A233,'SALES Raw'!$B$6:$B$603,2026)</f>
        <v>243.16</v>
      </c>
      <c r="L233" s="21" t="n">
        <f aca="false">D233+H233</f>
        <v>766</v>
      </c>
      <c r="M233" s="22" t="n">
        <f aca="false">E233+I233</f>
        <v>12983.77</v>
      </c>
      <c r="N233" s="21" t="n">
        <f aca="false">F233+J233</f>
        <v>456</v>
      </c>
      <c r="O233" s="22" t="n">
        <f aca="false">G233+K233</f>
        <v>8024.26</v>
      </c>
    </row>
    <row r="234" customFormat="false" ht="15" hidden="false" customHeight="false" outlineLevel="0" collapsed="false">
      <c r="A234" s="20" t="n">
        <v>4413034</v>
      </c>
      <c r="B234" s="20" t="str">
        <f aca="false">IFERROR(INDEX('Catalog'!$B:$B,MATCH($A234,'Catalog'!$A:$A,0)),"")</f>
        <v>312 9 מ""ס להתאמהX5 מדבקה גדולה</v>
      </c>
      <c r="C234" s="20" t="str">
        <f aca="false">IFERROR(INDEX('TRANS'!$A:$A,MATCH($A234,'TRANS'!$B:$B,0)),"")</f>
        <v>312 0</v>
      </c>
      <c r="D234" s="21" t="n">
        <f aca="false">SUMIFS('CEMI Raw'!$C$6:$C$1018,'CEMI Raw'!$E$6:$E$1018,$A234,'CEMI Raw'!$B$6:$B$1018,2025)</f>
        <v>116</v>
      </c>
      <c r="E234" s="22" t="n">
        <f aca="false">SUMIFS('CEMI Raw'!$D$6:$D$1018,'CEMI Raw'!$E$6:$E$1018,$A234,'CEMI Raw'!$B$6:$B$1018,2025)</f>
        <v>2425</v>
      </c>
      <c r="F234" s="21" t="n">
        <f aca="false">SUMIFS('CEMI Raw'!$C$6:$C$1018,'CEMI Raw'!$E$6:$E$1018,$A234,'CEMI Raw'!$B$6:$B$1018,2026)</f>
        <v>59</v>
      </c>
      <c r="G234" s="22" t="n">
        <f aca="false">SUMIFS('CEMI Raw'!$D$6:$D$1018,'CEMI Raw'!$E$6:$E$1018,$A234,'CEMI Raw'!$B$6:$B$1018,2026)</f>
        <v>1206.8</v>
      </c>
      <c r="H234" s="21" t="n">
        <f aca="false">SUMIFS('SALES Raw'!$C$6:$C$603,'SALES Raw'!$E$6:$E$603,$A234,'SALES Raw'!$B$6:$B$603,2025)</f>
        <v>6</v>
      </c>
      <c r="I234" s="22" t="n">
        <f aca="false">SUMIFS('SALES Raw'!$D$6:$D$603,'SALES Raw'!$E$6:$E$603,$A234,'SALES Raw'!$B$6:$B$603,2025)</f>
        <v>131.89</v>
      </c>
      <c r="J234" s="21" t="n">
        <f aca="false">SUMIFS('SALES Raw'!$C$6:$C$603,'SALES Raw'!$E$6:$E$603,$A234,'SALES Raw'!$B$6:$B$603,2026)</f>
        <v>3</v>
      </c>
      <c r="K234" s="22" t="n">
        <f aca="false">SUMIFS('SALES Raw'!$D$6:$D$603,'SALES Raw'!$E$6:$E$603,$A234,'SALES Raw'!$B$6:$B$603,2026)</f>
        <v>65.95</v>
      </c>
      <c r="L234" s="21" t="n">
        <f aca="false">D234+H234</f>
        <v>122</v>
      </c>
      <c r="M234" s="22" t="n">
        <f aca="false">E234+I234</f>
        <v>2556.89</v>
      </c>
      <c r="N234" s="21" t="n">
        <f aca="false">F234+J234</f>
        <v>62</v>
      </c>
      <c r="O234" s="22" t="n">
        <f aca="false">G234+K234</f>
        <v>1272.75</v>
      </c>
    </row>
    <row r="235" customFormat="false" ht="15" hidden="false" customHeight="false" outlineLevel="0" collapsed="false">
      <c r="A235" s="20" t="n">
        <v>4413041</v>
      </c>
      <c r="B235" s="20" t="str">
        <f aca="false">IFERROR(INDEX('Catalog'!$B:$B,MATCH($A235,'Catalog'!$A:$A,0)),"")</f>
        <v>34  M מגן קרסול עקב סגור</v>
      </c>
      <c r="C235" s="20" t="str">
        <f aca="false">IFERROR(INDEX('TRANS'!$A:$A,MATCH($A235,'TRANS'!$B:$B,0)),"")</f>
        <v>34 M</v>
      </c>
      <c r="D235" s="21" t="n">
        <f aca="false">SUMIFS('CEMI Raw'!$C$6:$C$1018,'CEMI Raw'!$E$6:$E$1018,$A235,'CEMI Raw'!$B$6:$B$1018,2025)</f>
        <v>202</v>
      </c>
      <c r="E235" s="22" t="n">
        <f aca="false">SUMIFS('CEMI Raw'!$D$6:$D$1018,'CEMI Raw'!$E$6:$E$1018,$A235,'CEMI Raw'!$B$6:$B$1018,2025)</f>
        <v>8926.9</v>
      </c>
      <c r="F235" s="21" t="n">
        <f aca="false">SUMIFS('CEMI Raw'!$C$6:$C$1018,'CEMI Raw'!$E$6:$E$1018,$A235,'CEMI Raw'!$B$6:$B$1018,2026)</f>
        <v>94</v>
      </c>
      <c r="G235" s="22" t="n">
        <f aca="false">SUMIFS('CEMI Raw'!$D$6:$D$1018,'CEMI Raw'!$E$6:$E$1018,$A235,'CEMI Raw'!$B$6:$B$1018,2026)</f>
        <v>4206.8</v>
      </c>
      <c r="H235" s="21" t="n">
        <f aca="false">SUMIFS('SALES Raw'!$C$6:$C$603,'SALES Raw'!$E$6:$E$603,$A235,'SALES Raw'!$B$6:$B$603,2025)</f>
        <v>5</v>
      </c>
      <c r="I235" s="22" t="n">
        <f aca="false">SUMIFS('SALES Raw'!$D$6:$D$603,'SALES Raw'!$E$6:$E$603,$A235,'SALES Raw'!$B$6:$B$603,2025)</f>
        <v>234.1</v>
      </c>
      <c r="J235" s="21" t="n">
        <f aca="false">SUMIFS('SALES Raw'!$C$6:$C$603,'SALES Raw'!$E$6:$E$603,$A235,'SALES Raw'!$B$6:$B$603,2026)</f>
        <v>11</v>
      </c>
      <c r="K235" s="22" t="n">
        <f aca="false">SUMIFS('SALES Raw'!$D$6:$D$603,'SALES Raw'!$E$6:$E$603,$A235,'SALES Raw'!$B$6:$B$603,2026)</f>
        <v>515.04</v>
      </c>
      <c r="L235" s="21" t="n">
        <f aca="false">D235+H235</f>
        <v>207</v>
      </c>
      <c r="M235" s="22" t="n">
        <f aca="false">E235+I235</f>
        <v>9161</v>
      </c>
      <c r="N235" s="21" t="n">
        <f aca="false">F235+J235</f>
        <v>105</v>
      </c>
      <c r="O235" s="22" t="n">
        <f aca="false">G235+K235</f>
        <v>4721.84</v>
      </c>
    </row>
    <row r="236" customFormat="false" ht="15" hidden="false" customHeight="false" outlineLevel="0" collapsed="false">
      <c r="A236" s="20" t="n">
        <v>4413042</v>
      </c>
      <c r="B236" s="20" t="str">
        <f aca="false">IFERROR(INDEX('Catalog'!$B:$B,MATCH($A236,'Catalog'!$A:$A,0)),"")</f>
        <v>34  S מגן קרסול עקב סגור</v>
      </c>
      <c r="C236" s="20" t="str">
        <f aca="false">IFERROR(INDEX('TRANS'!$A:$A,MATCH($A236,'TRANS'!$B:$B,0)),"")</f>
        <v>34 S</v>
      </c>
      <c r="D236" s="21" t="n">
        <f aca="false">SUMIFS('CEMI Raw'!$C$6:$C$1018,'CEMI Raw'!$E$6:$E$1018,$A236,'CEMI Raw'!$B$6:$B$1018,2025)</f>
        <v>79</v>
      </c>
      <c r="E236" s="22" t="n">
        <f aca="false">SUMIFS('CEMI Raw'!$D$6:$D$1018,'CEMI Raw'!$E$6:$E$1018,$A236,'CEMI Raw'!$B$6:$B$1018,2025)</f>
        <v>3456.2</v>
      </c>
      <c r="F236" s="21" t="n">
        <f aca="false">SUMIFS('CEMI Raw'!$C$6:$C$1018,'CEMI Raw'!$E$6:$E$1018,$A236,'CEMI Raw'!$B$6:$B$1018,2026)</f>
        <v>49</v>
      </c>
      <c r="G236" s="22" t="n">
        <f aca="false">SUMIFS('CEMI Raw'!$D$6:$D$1018,'CEMI Raw'!$E$6:$E$1018,$A236,'CEMI Raw'!$B$6:$B$1018,2026)</f>
        <v>2253.6</v>
      </c>
      <c r="H236" s="21" t="n">
        <f aca="false">SUMIFS('SALES Raw'!$C$6:$C$603,'SALES Raw'!$E$6:$E$603,$A236,'SALES Raw'!$B$6:$B$603,2025)</f>
        <v>0</v>
      </c>
      <c r="I236" s="22" t="n">
        <f aca="false">SUMIFS('SALES Raw'!$D$6:$D$603,'SALES Raw'!$E$6:$E$603,$A236,'SALES Raw'!$B$6:$B$603,2025)</f>
        <v>0</v>
      </c>
      <c r="J236" s="21" t="n">
        <f aca="false">SUMIFS('SALES Raw'!$C$6:$C$603,'SALES Raw'!$E$6:$E$603,$A236,'SALES Raw'!$B$6:$B$603,2026)</f>
        <v>2</v>
      </c>
      <c r="K236" s="22" t="n">
        <f aca="false">SUMIFS('SALES Raw'!$D$6:$D$603,'SALES Raw'!$E$6:$E$603,$A236,'SALES Raw'!$B$6:$B$603,2026)</f>
        <v>93.65</v>
      </c>
      <c r="L236" s="21" t="n">
        <f aca="false">D236+H236</f>
        <v>79</v>
      </c>
      <c r="M236" s="22" t="n">
        <f aca="false">E236+I236</f>
        <v>3456.2</v>
      </c>
      <c r="N236" s="21" t="n">
        <f aca="false">F236+J236</f>
        <v>51</v>
      </c>
      <c r="O236" s="22" t="n">
        <f aca="false">G236+K236</f>
        <v>2347.25</v>
      </c>
    </row>
    <row r="237" customFormat="false" ht="15" hidden="false" customHeight="false" outlineLevel="0" collapsed="false">
      <c r="A237" s="20" t="n">
        <v>4413043</v>
      </c>
      <c r="B237" s="20" t="str">
        <f aca="false">IFERROR(INDEX('Catalog'!$B:$B,MATCH($A237,'Catalog'!$A:$A,0)),"")</f>
        <v>34  L מגן קרסול עקב סגור</v>
      </c>
      <c r="C237" s="20" t="str">
        <f aca="false">IFERROR(INDEX('TRANS'!$A:$A,MATCH($A237,'TRANS'!$B:$B,0)),"")</f>
        <v>34 L</v>
      </c>
      <c r="D237" s="21" t="n">
        <f aca="false">SUMIFS('CEMI Raw'!$C$6:$C$1018,'CEMI Raw'!$E$6:$E$1018,$A237,'CEMI Raw'!$B$6:$B$1018,2025)</f>
        <v>180</v>
      </c>
      <c r="E237" s="22" t="n">
        <f aca="false">SUMIFS('CEMI Raw'!$D$6:$D$1018,'CEMI Raw'!$E$6:$E$1018,$A237,'CEMI Raw'!$B$6:$B$1018,2025)</f>
        <v>8085.9</v>
      </c>
      <c r="F237" s="21" t="n">
        <f aca="false">SUMIFS('CEMI Raw'!$C$6:$C$1018,'CEMI Raw'!$E$6:$E$1018,$A237,'CEMI Raw'!$B$6:$B$1018,2026)</f>
        <v>118</v>
      </c>
      <c r="G237" s="22" t="n">
        <f aca="false">SUMIFS('CEMI Raw'!$D$6:$D$1018,'CEMI Raw'!$E$6:$E$1018,$A237,'CEMI Raw'!$B$6:$B$1018,2026)</f>
        <v>5341.8</v>
      </c>
      <c r="H237" s="21" t="n">
        <f aca="false">SUMIFS('SALES Raw'!$C$6:$C$603,'SALES Raw'!$E$6:$E$603,$A237,'SALES Raw'!$B$6:$B$603,2025)</f>
        <v>4</v>
      </c>
      <c r="I237" s="22" t="n">
        <f aca="false">SUMIFS('SALES Raw'!$D$6:$D$603,'SALES Raw'!$E$6:$E$603,$A237,'SALES Raw'!$B$6:$B$603,2025)</f>
        <v>187.28</v>
      </c>
      <c r="J237" s="21" t="n">
        <f aca="false">SUMIFS('SALES Raw'!$C$6:$C$603,'SALES Raw'!$E$6:$E$603,$A237,'SALES Raw'!$B$6:$B$603,2026)</f>
        <v>1</v>
      </c>
      <c r="K237" s="22" t="n">
        <f aca="false">SUMIFS('SALES Raw'!$D$6:$D$603,'SALES Raw'!$E$6:$E$603,$A237,'SALES Raw'!$B$6:$B$603,2026)</f>
        <v>46.82</v>
      </c>
      <c r="L237" s="21" t="n">
        <f aca="false">D237+H237</f>
        <v>184</v>
      </c>
      <c r="M237" s="22" t="n">
        <f aca="false">E237+I237</f>
        <v>8273.18</v>
      </c>
      <c r="N237" s="21" t="n">
        <f aca="false">F237+J237</f>
        <v>119</v>
      </c>
      <c r="O237" s="22" t="n">
        <f aca="false">G237+K237</f>
        <v>5388.62</v>
      </c>
    </row>
    <row r="238" customFormat="false" ht="15" hidden="false" customHeight="false" outlineLevel="0" collapsed="false">
      <c r="A238" s="20" t="n">
        <v>4413044</v>
      </c>
      <c r="B238" s="20" t="str">
        <f aca="false">IFERROR(INDEX('Catalog'!$B:$B,MATCH($A238,'Catalog'!$A:$A,0)),"")</f>
        <v>34 XL מגן קרסול עקב סגור</v>
      </c>
      <c r="C238" s="20" t="str">
        <f aca="false">IFERROR(INDEX('TRANS'!$A:$A,MATCH($A238,'TRANS'!$B:$B,0)),"")</f>
        <v>34 XL</v>
      </c>
      <c r="D238" s="21" t="n">
        <f aca="false">SUMIFS('CEMI Raw'!$C$6:$C$1018,'CEMI Raw'!$E$6:$E$1018,$A238,'CEMI Raw'!$B$6:$B$1018,2025)</f>
        <v>113</v>
      </c>
      <c r="E238" s="22" t="n">
        <f aca="false">SUMIFS('CEMI Raw'!$D$6:$D$1018,'CEMI Raw'!$E$6:$E$1018,$A238,'CEMI Raw'!$B$6:$B$1018,2025)</f>
        <v>5045</v>
      </c>
      <c r="F238" s="21" t="n">
        <f aca="false">SUMIFS('CEMI Raw'!$C$6:$C$1018,'CEMI Raw'!$E$6:$E$1018,$A238,'CEMI Raw'!$B$6:$B$1018,2026)</f>
        <v>70</v>
      </c>
      <c r="G238" s="22" t="n">
        <f aca="false">SUMIFS('CEMI Raw'!$D$6:$D$1018,'CEMI Raw'!$E$6:$E$1018,$A238,'CEMI Raw'!$B$6:$B$1018,2026)</f>
        <v>3183.1</v>
      </c>
      <c r="H238" s="21" t="n">
        <f aca="false">SUMIFS('SALES Raw'!$C$6:$C$603,'SALES Raw'!$E$6:$E$603,$A238,'SALES Raw'!$B$6:$B$603,2025)</f>
        <v>1</v>
      </c>
      <c r="I238" s="22" t="n">
        <f aca="false">SUMIFS('SALES Raw'!$D$6:$D$603,'SALES Raw'!$E$6:$E$603,$A238,'SALES Raw'!$B$6:$B$603,2025)</f>
        <v>46.82</v>
      </c>
      <c r="J238" s="21" t="n">
        <f aca="false">SUMIFS('SALES Raw'!$C$6:$C$603,'SALES Raw'!$E$6:$E$603,$A238,'SALES Raw'!$B$6:$B$603,2026)</f>
        <v>5</v>
      </c>
      <c r="K238" s="22" t="n">
        <f aca="false">SUMIFS('SALES Raw'!$D$6:$D$603,'SALES Raw'!$E$6:$E$603,$A238,'SALES Raw'!$B$6:$B$603,2026)</f>
        <v>234.11</v>
      </c>
      <c r="L238" s="21" t="n">
        <f aca="false">D238+H238</f>
        <v>114</v>
      </c>
      <c r="M238" s="22" t="n">
        <f aca="false">E238+I238</f>
        <v>5091.82</v>
      </c>
      <c r="N238" s="21" t="n">
        <f aca="false">F238+J238</f>
        <v>75</v>
      </c>
      <c r="O238" s="22" t="n">
        <f aca="false">G238+K238</f>
        <v>3417.21</v>
      </c>
    </row>
    <row r="239" customFormat="false" ht="15" hidden="false" customHeight="false" outlineLevel="0" collapsed="false">
      <c r="A239" s="20" t="n">
        <v>4413045</v>
      </c>
      <c r="B239" s="20" t="str">
        <f aca="false">IFERROR(INDEX('Catalog'!$B:$B,MATCH($A239,'Catalog'!$A:$A,0)),"")</f>
        <v>34 XS מגן קרסול עקב סגור</v>
      </c>
      <c r="C239" s="20" t="str">
        <f aca="false">IFERROR(INDEX('TRANS'!$A:$A,MATCH($A239,'TRANS'!$B:$B,0)),"")</f>
        <v/>
      </c>
      <c r="D239" s="21" t="n">
        <f aca="false">SUMIFS('CEMI Raw'!$C$6:$C$1018,'CEMI Raw'!$E$6:$E$1018,$A239,'CEMI Raw'!$B$6:$B$1018,2025)</f>
        <v>10</v>
      </c>
      <c r="E239" s="22" t="n">
        <f aca="false">SUMIFS('CEMI Raw'!$D$6:$D$1018,'CEMI Raw'!$E$6:$E$1018,$A239,'CEMI Raw'!$B$6:$B$1018,2025)</f>
        <v>439.2</v>
      </c>
      <c r="F239" s="21" t="n">
        <f aca="false">SUMIFS('CEMI Raw'!$C$6:$C$1018,'CEMI Raw'!$E$6:$E$1018,$A239,'CEMI Raw'!$B$6:$B$1018,2026)</f>
        <v>0</v>
      </c>
      <c r="G239" s="22" t="n">
        <f aca="false">SUMIFS('CEMI Raw'!$D$6:$D$1018,'CEMI Raw'!$E$6:$E$1018,$A239,'CEMI Raw'!$B$6:$B$1018,2026)</f>
        <v>0</v>
      </c>
      <c r="H239" s="21" t="n">
        <f aca="false">SUMIFS('SALES Raw'!$C$6:$C$603,'SALES Raw'!$E$6:$E$603,$A239,'SALES Raw'!$B$6:$B$603,2025)</f>
        <v>0</v>
      </c>
      <c r="I239" s="22" t="n">
        <f aca="false">SUMIFS('SALES Raw'!$D$6:$D$603,'SALES Raw'!$E$6:$E$603,$A239,'SALES Raw'!$B$6:$B$603,2025)</f>
        <v>0</v>
      </c>
      <c r="J239" s="21" t="n">
        <f aca="false">SUMIFS('SALES Raw'!$C$6:$C$603,'SALES Raw'!$E$6:$E$603,$A239,'SALES Raw'!$B$6:$B$603,2026)</f>
        <v>0</v>
      </c>
      <c r="K239" s="22" t="n">
        <f aca="false">SUMIFS('SALES Raw'!$D$6:$D$603,'SALES Raw'!$E$6:$E$603,$A239,'SALES Raw'!$B$6:$B$603,2026)</f>
        <v>0</v>
      </c>
      <c r="L239" s="21" t="n">
        <f aca="false">D239+H239</f>
        <v>10</v>
      </c>
      <c r="M239" s="22" t="n">
        <f aca="false">E239+I239</f>
        <v>439.2</v>
      </c>
      <c r="N239" s="21" t="n">
        <f aca="false">F239+J239</f>
        <v>0</v>
      </c>
      <c r="O239" s="22" t="n">
        <f aca="false">G239+K239</f>
        <v>0</v>
      </c>
    </row>
    <row r="240" customFormat="false" ht="15" hidden="false" customHeight="false" outlineLevel="0" collapsed="false">
      <c r="A240" s="20" t="n">
        <v>4413046</v>
      </c>
      <c r="B240" s="20" t="str">
        <f aca="false">IFERROR(INDEX('Catalog'!$B:$B,MATCH($A240,'Catalog'!$A:$A,0)),"")</f>
        <v>34 XXL מגן קרסול עקב סגור</v>
      </c>
      <c r="C240" s="20" t="str">
        <f aca="false">IFERROR(INDEX('TRANS'!$A:$A,MATCH($A240,'TRANS'!$B:$B,0)),"")</f>
        <v>34 XXL</v>
      </c>
      <c r="D240" s="21" t="n">
        <f aca="false">SUMIFS('CEMI Raw'!$C$6:$C$1018,'CEMI Raw'!$E$6:$E$1018,$A240,'CEMI Raw'!$B$6:$B$1018,2025)</f>
        <v>24</v>
      </c>
      <c r="E240" s="22" t="n">
        <f aca="false">SUMIFS('CEMI Raw'!$D$6:$D$1018,'CEMI Raw'!$E$6:$E$1018,$A240,'CEMI Raw'!$B$6:$B$1018,2025)</f>
        <v>1092</v>
      </c>
      <c r="F240" s="21" t="n">
        <f aca="false">SUMIFS('CEMI Raw'!$C$6:$C$1018,'CEMI Raw'!$E$6:$E$1018,$A240,'CEMI Raw'!$B$6:$B$1018,2026)</f>
        <v>17</v>
      </c>
      <c r="G240" s="22" t="n">
        <f aca="false">SUMIFS('CEMI Raw'!$D$6:$D$1018,'CEMI Raw'!$E$6:$E$1018,$A240,'CEMI Raw'!$B$6:$B$1018,2026)</f>
        <v>785.9</v>
      </c>
      <c r="H240" s="21" t="n">
        <f aca="false">SUMIFS('SALES Raw'!$C$6:$C$603,'SALES Raw'!$E$6:$E$603,$A240,'SALES Raw'!$B$6:$B$603,2025)</f>
        <v>0</v>
      </c>
      <c r="I240" s="22" t="n">
        <f aca="false">SUMIFS('SALES Raw'!$D$6:$D$603,'SALES Raw'!$E$6:$E$603,$A240,'SALES Raw'!$B$6:$B$603,2025)</f>
        <v>0</v>
      </c>
      <c r="J240" s="21" t="n">
        <f aca="false">SUMIFS('SALES Raw'!$C$6:$C$603,'SALES Raw'!$E$6:$E$603,$A240,'SALES Raw'!$B$6:$B$603,2026)</f>
        <v>0</v>
      </c>
      <c r="K240" s="22" t="n">
        <f aca="false">SUMIFS('SALES Raw'!$D$6:$D$603,'SALES Raw'!$E$6:$E$603,$A240,'SALES Raw'!$B$6:$B$603,2026)</f>
        <v>0</v>
      </c>
      <c r="L240" s="21" t="n">
        <f aca="false">D240+H240</f>
        <v>24</v>
      </c>
      <c r="M240" s="22" t="n">
        <f aca="false">E240+I240</f>
        <v>1092</v>
      </c>
      <c r="N240" s="21" t="n">
        <f aca="false">F240+J240</f>
        <v>17</v>
      </c>
      <c r="O240" s="22" t="n">
        <f aca="false">G240+K240</f>
        <v>785.9</v>
      </c>
    </row>
    <row r="241" customFormat="false" ht="15" hidden="false" customHeight="false" outlineLevel="0" collapsed="false">
      <c r="A241" s="20" t="n">
        <v>4413047</v>
      </c>
      <c r="B241" s="20" t="str">
        <f aca="false">IFERROR(INDEX('Catalog'!$B:$B,MATCH($A241,'Catalog'!$A:$A,0)),"")</f>
        <v>35 S מגן קרסול לבן</v>
      </c>
      <c r="C241" s="20" t="str">
        <f aca="false">IFERROR(INDEX('TRANS'!$A:$A,MATCH($A241,'TRANS'!$B:$B,0)),"")</f>
        <v>35 S</v>
      </c>
      <c r="D241" s="21" t="n">
        <f aca="false">SUMIFS('CEMI Raw'!$C$6:$C$1018,'CEMI Raw'!$E$6:$E$1018,$A241,'CEMI Raw'!$B$6:$B$1018,2025)</f>
        <v>112</v>
      </c>
      <c r="E241" s="22" t="n">
        <f aca="false">SUMIFS('CEMI Raw'!$D$6:$D$1018,'CEMI Raw'!$E$6:$E$1018,$A241,'CEMI Raw'!$B$6:$B$1018,2025)</f>
        <v>3338.7</v>
      </c>
      <c r="F241" s="21" t="n">
        <f aca="false">SUMIFS('CEMI Raw'!$C$6:$C$1018,'CEMI Raw'!$E$6:$E$1018,$A241,'CEMI Raw'!$B$6:$B$1018,2026)</f>
        <v>50</v>
      </c>
      <c r="G241" s="22" t="n">
        <f aca="false">SUMIFS('CEMI Raw'!$D$6:$D$1018,'CEMI Raw'!$E$6:$E$1018,$A241,'CEMI Raw'!$B$6:$B$1018,2026)</f>
        <v>1515.2</v>
      </c>
      <c r="H241" s="21" t="n">
        <f aca="false">SUMIFS('SALES Raw'!$C$6:$C$603,'SALES Raw'!$E$6:$E$603,$A241,'SALES Raw'!$B$6:$B$603,2025)</f>
        <v>1</v>
      </c>
      <c r="I241" s="22" t="n">
        <f aca="false">SUMIFS('SALES Raw'!$D$6:$D$603,'SALES Raw'!$E$6:$E$603,$A241,'SALES Raw'!$B$6:$B$603,2025)</f>
        <v>29.74</v>
      </c>
      <c r="J241" s="21" t="n">
        <f aca="false">SUMIFS('SALES Raw'!$C$6:$C$603,'SALES Raw'!$E$6:$E$603,$A241,'SALES Raw'!$B$6:$B$603,2026)</f>
        <v>0</v>
      </c>
      <c r="K241" s="22" t="n">
        <f aca="false">SUMIFS('SALES Raw'!$D$6:$D$603,'SALES Raw'!$E$6:$E$603,$A241,'SALES Raw'!$B$6:$B$603,2026)</f>
        <v>0</v>
      </c>
      <c r="L241" s="21" t="n">
        <f aca="false">D241+H241</f>
        <v>113</v>
      </c>
      <c r="M241" s="22" t="n">
        <f aca="false">E241+I241</f>
        <v>3368.44</v>
      </c>
      <c r="N241" s="21" t="n">
        <f aca="false">F241+J241</f>
        <v>50</v>
      </c>
      <c r="O241" s="22" t="n">
        <f aca="false">G241+K241</f>
        <v>1515.2</v>
      </c>
    </row>
    <row r="242" customFormat="false" ht="15" hidden="false" customHeight="false" outlineLevel="0" collapsed="false">
      <c r="A242" s="20" t="n">
        <v>4413048</v>
      </c>
      <c r="B242" s="20" t="str">
        <f aca="false">IFERROR(INDEX('Catalog'!$B:$B,MATCH($A242,'Catalog'!$A:$A,0)),"")</f>
        <v>35 L מגן קרסול לבן</v>
      </c>
      <c r="C242" s="20" t="str">
        <f aca="false">IFERROR(INDEX('TRANS'!$A:$A,MATCH($A242,'TRANS'!$B:$B,0)),"")</f>
        <v>35 L</v>
      </c>
      <c r="D242" s="21" t="n">
        <f aca="false">SUMIFS('CEMI Raw'!$C$6:$C$1018,'CEMI Raw'!$E$6:$E$1018,$A242,'CEMI Raw'!$B$6:$B$1018,2025)</f>
        <v>207</v>
      </c>
      <c r="E242" s="22" t="n">
        <f aca="false">SUMIFS('CEMI Raw'!$D$6:$D$1018,'CEMI Raw'!$E$6:$E$1018,$A242,'CEMI Raw'!$B$6:$B$1018,2025)</f>
        <v>6098.2</v>
      </c>
      <c r="F242" s="21" t="n">
        <f aca="false">SUMIFS('CEMI Raw'!$C$6:$C$1018,'CEMI Raw'!$E$6:$E$1018,$A242,'CEMI Raw'!$B$6:$B$1018,2026)</f>
        <v>134</v>
      </c>
      <c r="G242" s="22" t="n">
        <f aca="false">SUMIFS('CEMI Raw'!$D$6:$D$1018,'CEMI Raw'!$E$6:$E$1018,$A242,'CEMI Raw'!$B$6:$B$1018,2026)</f>
        <v>3963.4</v>
      </c>
      <c r="H242" s="21" t="n">
        <f aca="false">SUMIFS('SALES Raw'!$C$6:$C$603,'SALES Raw'!$E$6:$E$603,$A242,'SALES Raw'!$B$6:$B$603,2025)</f>
        <v>5</v>
      </c>
      <c r="I242" s="22" t="n">
        <f aca="false">SUMIFS('SALES Raw'!$D$6:$D$603,'SALES Raw'!$E$6:$E$603,$A242,'SALES Raw'!$B$6:$B$603,2025)</f>
        <v>154.45</v>
      </c>
      <c r="J242" s="21" t="n">
        <f aca="false">SUMIFS('SALES Raw'!$C$6:$C$603,'SALES Raw'!$E$6:$E$603,$A242,'SALES Raw'!$B$6:$B$603,2026)</f>
        <v>0</v>
      </c>
      <c r="K242" s="22" t="n">
        <f aca="false">SUMIFS('SALES Raw'!$D$6:$D$603,'SALES Raw'!$E$6:$E$603,$A242,'SALES Raw'!$B$6:$B$603,2026)</f>
        <v>0</v>
      </c>
      <c r="L242" s="21" t="n">
        <f aca="false">D242+H242</f>
        <v>212</v>
      </c>
      <c r="M242" s="22" t="n">
        <f aca="false">E242+I242</f>
        <v>6252.65</v>
      </c>
      <c r="N242" s="21" t="n">
        <f aca="false">F242+J242</f>
        <v>134</v>
      </c>
      <c r="O242" s="22" t="n">
        <f aca="false">G242+K242</f>
        <v>3963.4</v>
      </c>
    </row>
    <row r="243" customFormat="false" ht="15" hidden="false" customHeight="false" outlineLevel="0" collapsed="false">
      <c r="A243" s="20" t="n">
        <v>4413049</v>
      </c>
      <c r="B243" s="20" t="str">
        <f aca="false">IFERROR(INDEX('Catalog'!$B:$B,MATCH($A243,'Catalog'!$A:$A,0)),"")</f>
        <v>35 M מגן קרסול לבן</v>
      </c>
      <c r="C243" s="20" t="str">
        <f aca="false">IFERROR(INDEX('TRANS'!$A:$A,MATCH($A243,'TRANS'!$B:$B,0)),"")</f>
        <v>35 M</v>
      </c>
      <c r="D243" s="21" t="n">
        <f aca="false">SUMIFS('CEMI Raw'!$C$6:$C$1018,'CEMI Raw'!$E$6:$E$1018,$A243,'CEMI Raw'!$B$6:$B$1018,2025)</f>
        <v>222</v>
      </c>
      <c r="E243" s="22" t="n">
        <f aca="false">SUMIFS('CEMI Raw'!$D$6:$D$1018,'CEMI Raw'!$E$6:$E$1018,$A243,'CEMI Raw'!$B$6:$B$1018,2025)</f>
        <v>6497.8</v>
      </c>
      <c r="F243" s="21" t="n">
        <f aca="false">SUMIFS('CEMI Raw'!$C$6:$C$1018,'CEMI Raw'!$E$6:$E$1018,$A243,'CEMI Raw'!$B$6:$B$1018,2026)</f>
        <v>134</v>
      </c>
      <c r="G243" s="22" t="n">
        <f aca="false">SUMIFS('CEMI Raw'!$D$6:$D$1018,'CEMI Raw'!$E$6:$E$1018,$A243,'CEMI Raw'!$B$6:$B$1018,2026)</f>
        <v>3959.1</v>
      </c>
      <c r="H243" s="21" t="n">
        <f aca="false">SUMIFS('SALES Raw'!$C$6:$C$603,'SALES Raw'!$E$6:$E$603,$A243,'SALES Raw'!$B$6:$B$603,2025)</f>
        <v>9</v>
      </c>
      <c r="I243" s="22" t="n">
        <f aca="false">SUMIFS('SALES Raw'!$D$6:$D$603,'SALES Raw'!$E$6:$E$603,$A243,'SALES Raw'!$B$6:$B$603,2025)</f>
        <v>278.01</v>
      </c>
      <c r="J243" s="21" t="n">
        <f aca="false">SUMIFS('SALES Raw'!$C$6:$C$603,'SALES Raw'!$E$6:$E$603,$A243,'SALES Raw'!$B$6:$B$603,2026)</f>
        <v>0</v>
      </c>
      <c r="K243" s="22" t="n">
        <f aca="false">SUMIFS('SALES Raw'!$D$6:$D$603,'SALES Raw'!$E$6:$E$603,$A243,'SALES Raw'!$B$6:$B$603,2026)</f>
        <v>0</v>
      </c>
      <c r="L243" s="21" t="n">
        <f aca="false">D243+H243</f>
        <v>231</v>
      </c>
      <c r="M243" s="22" t="n">
        <f aca="false">E243+I243</f>
        <v>6775.81</v>
      </c>
      <c r="N243" s="21" t="n">
        <f aca="false">F243+J243</f>
        <v>134</v>
      </c>
      <c r="O243" s="22" t="n">
        <f aca="false">G243+K243</f>
        <v>3959.1</v>
      </c>
    </row>
    <row r="244" customFormat="false" ht="15" hidden="false" customHeight="false" outlineLevel="0" collapsed="false">
      <c r="A244" s="20" t="n">
        <v>4413050</v>
      </c>
      <c r="B244" s="20" t="str">
        <f aca="false">IFERROR(INDEX('Catalog'!$B:$B,MATCH($A244,'Catalog'!$A:$A,0)),"")</f>
        <v>35 XL מגן קרסול לבן</v>
      </c>
      <c r="C244" s="20" t="str">
        <f aca="false">IFERROR(INDEX('TRANS'!$A:$A,MATCH($A244,'TRANS'!$B:$B,0)),"")</f>
        <v>35 XL</v>
      </c>
      <c r="D244" s="21" t="n">
        <f aca="false">SUMIFS('CEMI Raw'!$C$6:$C$1018,'CEMI Raw'!$E$6:$E$1018,$A244,'CEMI Raw'!$B$6:$B$1018,2025)</f>
        <v>154</v>
      </c>
      <c r="E244" s="22" t="n">
        <f aca="false">SUMIFS('CEMI Raw'!$D$6:$D$1018,'CEMI Raw'!$E$6:$E$1018,$A244,'CEMI Raw'!$B$6:$B$1018,2025)</f>
        <v>4593.1</v>
      </c>
      <c r="F244" s="21" t="n">
        <f aca="false">SUMIFS('CEMI Raw'!$C$6:$C$1018,'CEMI Raw'!$E$6:$E$1018,$A244,'CEMI Raw'!$B$6:$B$1018,2026)</f>
        <v>92</v>
      </c>
      <c r="G244" s="22" t="n">
        <f aca="false">SUMIFS('CEMI Raw'!$D$6:$D$1018,'CEMI Raw'!$E$6:$E$1018,$A244,'CEMI Raw'!$B$6:$B$1018,2026)</f>
        <v>2764.5</v>
      </c>
      <c r="H244" s="21" t="n">
        <f aca="false">SUMIFS('SALES Raw'!$C$6:$C$603,'SALES Raw'!$E$6:$E$603,$A244,'SALES Raw'!$B$6:$B$603,2025)</f>
        <v>11</v>
      </c>
      <c r="I244" s="22" t="n">
        <f aca="false">SUMIFS('SALES Raw'!$D$6:$D$603,'SALES Raw'!$E$6:$E$603,$A244,'SALES Raw'!$B$6:$B$603,2025)</f>
        <v>339.8</v>
      </c>
      <c r="J244" s="21" t="n">
        <f aca="false">SUMIFS('SALES Raw'!$C$6:$C$603,'SALES Raw'!$E$6:$E$603,$A244,'SALES Raw'!$B$6:$B$603,2026)</f>
        <v>3</v>
      </c>
      <c r="K244" s="22" t="n">
        <f aca="false">SUMIFS('SALES Raw'!$D$6:$D$603,'SALES Raw'!$E$6:$E$603,$A244,'SALES Raw'!$B$6:$B$603,2026)</f>
        <v>92.68</v>
      </c>
      <c r="L244" s="21" t="n">
        <f aca="false">D244+H244</f>
        <v>165</v>
      </c>
      <c r="M244" s="22" t="n">
        <f aca="false">E244+I244</f>
        <v>4932.9</v>
      </c>
      <c r="N244" s="21" t="n">
        <f aca="false">F244+J244</f>
        <v>95</v>
      </c>
      <c r="O244" s="22" t="n">
        <f aca="false">G244+K244</f>
        <v>2857.18</v>
      </c>
    </row>
    <row r="245" customFormat="false" ht="15" hidden="false" customHeight="false" outlineLevel="0" collapsed="false">
      <c r="A245" s="20" t="n">
        <v>4413051</v>
      </c>
      <c r="B245" s="20" t="str">
        <f aca="false">IFERROR(INDEX('Catalog'!$B:$B,MATCH($A245,'Catalog'!$A:$A,0)),"")</f>
        <v>35 XXL מגן קרסול לבן</v>
      </c>
      <c r="C245" s="20" t="str">
        <f aca="false">IFERROR(INDEX('TRANS'!$A:$A,MATCH($A245,'TRANS'!$B:$B,0)),"")</f>
        <v>35 XXL</v>
      </c>
      <c r="D245" s="21" t="n">
        <f aca="false">SUMIFS('CEMI Raw'!$C$6:$C$1018,'CEMI Raw'!$E$6:$E$1018,$A245,'CEMI Raw'!$B$6:$B$1018,2025)</f>
        <v>83</v>
      </c>
      <c r="E245" s="22" t="n">
        <f aca="false">SUMIFS('CEMI Raw'!$D$6:$D$1018,'CEMI Raw'!$E$6:$E$1018,$A245,'CEMI Raw'!$B$6:$B$1018,2025)</f>
        <v>2446.1</v>
      </c>
      <c r="F245" s="21" t="n">
        <f aca="false">SUMIFS('CEMI Raw'!$C$6:$C$1018,'CEMI Raw'!$E$6:$E$1018,$A245,'CEMI Raw'!$B$6:$B$1018,2026)</f>
        <v>37</v>
      </c>
      <c r="G245" s="22" t="n">
        <f aca="false">SUMIFS('CEMI Raw'!$D$6:$D$1018,'CEMI Raw'!$E$6:$E$1018,$A245,'CEMI Raw'!$B$6:$B$1018,2026)</f>
        <v>1088.2</v>
      </c>
      <c r="H245" s="21" t="n">
        <f aca="false">SUMIFS('SALES Raw'!$C$6:$C$603,'SALES Raw'!$E$6:$E$603,$A245,'SALES Raw'!$B$6:$B$603,2025)</f>
        <v>1</v>
      </c>
      <c r="I245" s="22" t="n">
        <f aca="false">SUMIFS('SALES Raw'!$D$6:$D$603,'SALES Raw'!$E$6:$E$603,$A245,'SALES Raw'!$B$6:$B$603,2025)</f>
        <v>29.74</v>
      </c>
      <c r="J245" s="21" t="n">
        <f aca="false">SUMIFS('SALES Raw'!$C$6:$C$603,'SALES Raw'!$E$6:$E$603,$A245,'SALES Raw'!$B$6:$B$603,2026)</f>
        <v>0</v>
      </c>
      <c r="K245" s="22" t="n">
        <f aca="false">SUMIFS('SALES Raw'!$D$6:$D$603,'SALES Raw'!$E$6:$E$603,$A245,'SALES Raw'!$B$6:$B$603,2026)</f>
        <v>0</v>
      </c>
      <c r="L245" s="21" t="n">
        <f aca="false">D245+H245</f>
        <v>84</v>
      </c>
      <c r="M245" s="22" t="n">
        <f aca="false">E245+I245</f>
        <v>2475.84</v>
      </c>
      <c r="N245" s="21" t="n">
        <f aca="false">F245+J245</f>
        <v>37</v>
      </c>
      <c r="O245" s="22" t="n">
        <f aca="false">G245+K245</f>
        <v>1088.2</v>
      </c>
    </row>
    <row r="246" customFormat="false" ht="15" hidden="false" customHeight="false" outlineLevel="0" collapsed="false">
      <c r="A246" s="20" t="n">
        <v>4413052</v>
      </c>
      <c r="B246" s="20" t="str">
        <f aca="false">IFERROR(INDEX('Catalog'!$B:$B,MATCH($A246,'Catalog'!$A:$A,0)),"")</f>
        <v>35C S מגן קרסול חום</v>
      </c>
      <c r="C246" s="20" t="str">
        <f aca="false">IFERROR(INDEX('TRANS'!$A:$A,MATCH($A246,'TRANS'!$B:$B,0)),"")</f>
        <v>35C S</v>
      </c>
      <c r="D246" s="21" t="n">
        <f aca="false">SUMIFS('CEMI Raw'!$C$6:$C$1018,'CEMI Raw'!$E$6:$E$1018,$A246,'CEMI Raw'!$B$6:$B$1018,2025)</f>
        <v>229</v>
      </c>
      <c r="E246" s="22" t="n">
        <f aca="false">SUMIFS('CEMI Raw'!$D$6:$D$1018,'CEMI Raw'!$E$6:$E$1018,$A246,'CEMI Raw'!$B$6:$B$1018,2025)</f>
        <v>6805.6</v>
      </c>
      <c r="F246" s="21" t="n">
        <f aca="false">SUMIFS('CEMI Raw'!$C$6:$C$1018,'CEMI Raw'!$E$6:$E$1018,$A246,'CEMI Raw'!$B$6:$B$1018,2026)</f>
        <v>125</v>
      </c>
      <c r="G246" s="22" t="n">
        <f aca="false">SUMIFS('CEMI Raw'!$D$6:$D$1018,'CEMI Raw'!$E$6:$E$1018,$A246,'CEMI Raw'!$B$6:$B$1018,2026)</f>
        <v>3763.2</v>
      </c>
      <c r="H246" s="21" t="n">
        <f aca="false">SUMIFS('SALES Raw'!$C$6:$C$603,'SALES Raw'!$E$6:$E$603,$A246,'SALES Raw'!$B$6:$B$603,2025)</f>
        <v>5</v>
      </c>
      <c r="I246" s="22" t="n">
        <f aca="false">SUMIFS('SALES Raw'!$D$6:$D$603,'SALES Raw'!$E$6:$E$603,$A246,'SALES Raw'!$B$6:$B$603,2025)</f>
        <v>154.46</v>
      </c>
      <c r="J246" s="21" t="n">
        <f aca="false">SUMIFS('SALES Raw'!$C$6:$C$603,'SALES Raw'!$E$6:$E$603,$A246,'SALES Raw'!$B$6:$B$603,2026)</f>
        <v>8</v>
      </c>
      <c r="K246" s="22" t="n">
        <f aca="false">SUMIFS('SALES Raw'!$D$6:$D$603,'SALES Raw'!$E$6:$E$603,$A246,'SALES Raw'!$B$6:$B$603,2026)</f>
        <v>247.12</v>
      </c>
      <c r="L246" s="21" t="n">
        <f aca="false">D246+H246</f>
        <v>234</v>
      </c>
      <c r="M246" s="22" t="n">
        <f aca="false">E246+I246</f>
        <v>6960.06</v>
      </c>
      <c r="N246" s="21" t="n">
        <f aca="false">F246+J246</f>
        <v>133</v>
      </c>
      <c r="O246" s="22" t="n">
        <f aca="false">G246+K246</f>
        <v>4010.32</v>
      </c>
    </row>
    <row r="247" customFormat="false" ht="15" hidden="false" customHeight="false" outlineLevel="0" collapsed="false">
      <c r="A247" s="20" t="n">
        <v>4413053</v>
      </c>
      <c r="B247" s="20" t="str">
        <f aca="false">IFERROR(INDEX('Catalog'!$B:$B,MATCH($A247,'Catalog'!$A:$A,0)),"")</f>
        <v>35C L מגן קרסול חום</v>
      </c>
      <c r="C247" s="20" t="str">
        <f aca="false">IFERROR(INDEX('TRANS'!$A:$A,MATCH($A247,'TRANS'!$B:$B,0)),"")</f>
        <v>35C L</v>
      </c>
      <c r="D247" s="21" t="n">
        <f aca="false">SUMIFS('CEMI Raw'!$C$6:$C$1018,'CEMI Raw'!$E$6:$E$1018,$A247,'CEMI Raw'!$B$6:$B$1018,2025)</f>
        <v>404</v>
      </c>
      <c r="E247" s="22" t="n">
        <f aca="false">SUMIFS('CEMI Raw'!$D$6:$D$1018,'CEMI Raw'!$E$6:$E$1018,$A247,'CEMI Raw'!$B$6:$B$1018,2025)</f>
        <v>12092.6</v>
      </c>
      <c r="F247" s="21" t="n">
        <f aca="false">SUMIFS('CEMI Raw'!$C$6:$C$1018,'CEMI Raw'!$E$6:$E$1018,$A247,'CEMI Raw'!$B$6:$B$1018,2026)</f>
        <v>294</v>
      </c>
      <c r="G247" s="22" t="n">
        <f aca="false">SUMIFS('CEMI Raw'!$D$6:$D$1018,'CEMI Raw'!$E$6:$E$1018,$A247,'CEMI Raw'!$B$6:$B$1018,2026)</f>
        <v>8812.2</v>
      </c>
      <c r="H247" s="21" t="n">
        <f aca="false">SUMIFS('SALES Raw'!$C$6:$C$603,'SALES Raw'!$E$6:$E$603,$A247,'SALES Raw'!$B$6:$B$603,2025)</f>
        <v>10</v>
      </c>
      <c r="I247" s="22" t="n">
        <f aca="false">SUMIFS('SALES Raw'!$D$6:$D$603,'SALES Raw'!$E$6:$E$603,$A247,'SALES Raw'!$B$6:$B$603,2025)</f>
        <v>306.6</v>
      </c>
      <c r="J247" s="21" t="n">
        <f aca="false">SUMIFS('SALES Raw'!$C$6:$C$603,'SALES Raw'!$E$6:$E$603,$A247,'SALES Raw'!$B$6:$B$603,2026)</f>
        <v>5</v>
      </c>
      <c r="K247" s="22" t="n">
        <f aca="false">SUMIFS('SALES Raw'!$D$6:$D$603,'SALES Raw'!$E$6:$E$603,$A247,'SALES Raw'!$B$6:$B$603,2026)</f>
        <v>154.45</v>
      </c>
      <c r="L247" s="21" t="n">
        <f aca="false">D247+H247</f>
        <v>414</v>
      </c>
      <c r="M247" s="22" t="n">
        <f aca="false">E247+I247</f>
        <v>12399.2</v>
      </c>
      <c r="N247" s="21" t="n">
        <f aca="false">F247+J247</f>
        <v>299</v>
      </c>
      <c r="O247" s="22" t="n">
        <f aca="false">G247+K247</f>
        <v>8966.65</v>
      </c>
    </row>
    <row r="248" customFormat="false" ht="15" hidden="false" customHeight="false" outlineLevel="0" collapsed="false">
      <c r="A248" s="20" t="n">
        <v>4413054</v>
      </c>
      <c r="B248" s="20" t="str">
        <f aca="false">IFERROR(INDEX('Catalog'!$B:$B,MATCH($A248,'Catalog'!$A:$A,0)),"")</f>
        <v>35C M מגן קרסול חום</v>
      </c>
      <c r="C248" s="20" t="str">
        <f aca="false">IFERROR(INDEX('TRANS'!$A:$A,MATCH($A248,'TRANS'!$B:$B,0)),"")</f>
        <v>35C M</v>
      </c>
      <c r="D248" s="21" t="n">
        <f aca="false">SUMIFS('CEMI Raw'!$C$6:$C$1018,'CEMI Raw'!$E$6:$E$1018,$A248,'CEMI Raw'!$B$6:$B$1018,2025)</f>
        <v>376</v>
      </c>
      <c r="E248" s="22" t="n">
        <f aca="false">SUMIFS('CEMI Raw'!$D$6:$D$1018,'CEMI Raw'!$E$6:$E$1018,$A248,'CEMI Raw'!$B$6:$B$1018,2025)</f>
        <v>11213</v>
      </c>
      <c r="F248" s="21" t="n">
        <f aca="false">SUMIFS('CEMI Raw'!$C$6:$C$1018,'CEMI Raw'!$E$6:$E$1018,$A248,'CEMI Raw'!$B$6:$B$1018,2026)</f>
        <v>294</v>
      </c>
      <c r="G248" s="22" t="n">
        <f aca="false">SUMIFS('CEMI Raw'!$D$6:$D$1018,'CEMI Raw'!$E$6:$E$1018,$A248,'CEMI Raw'!$B$6:$B$1018,2026)</f>
        <v>8792.9</v>
      </c>
      <c r="H248" s="21" t="n">
        <f aca="false">SUMIFS('SALES Raw'!$C$6:$C$603,'SALES Raw'!$E$6:$E$603,$A248,'SALES Raw'!$B$6:$B$603,2025)</f>
        <v>11</v>
      </c>
      <c r="I248" s="22" t="n">
        <f aca="false">SUMIFS('SALES Raw'!$D$6:$D$603,'SALES Raw'!$E$6:$E$603,$A248,'SALES Raw'!$B$6:$B$603,2025)</f>
        <v>338.64</v>
      </c>
      <c r="J248" s="21" t="n">
        <f aca="false">SUMIFS('SALES Raw'!$C$6:$C$603,'SALES Raw'!$E$6:$E$603,$A248,'SALES Raw'!$B$6:$B$603,2026)</f>
        <v>4</v>
      </c>
      <c r="K248" s="22" t="n">
        <f aca="false">SUMIFS('SALES Raw'!$D$6:$D$603,'SALES Raw'!$E$6:$E$603,$A248,'SALES Raw'!$B$6:$B$603,2026)</f>
        <v>123.57</v>
      </c>
      <c r="L248" s="21" t="n">
        <f aca="false">D248+H248</f>
        <v>387</v>
      </c>
      <c r="M248" s="22" t="n">
        <f aca="false">E248+I248</f>
        <v>11551.64</v>
      </c>
      <c r="N248" s="21" t="n">
        <f aca="false">F248+J248</f>
        <v>298</v>
      </c>
      <c r="O248" s="22" t="n">
        <f aca="false">G248+K248</f>
        <v>8916.47</v>
      </c>
    </row>
    <row r="249" customFormat="false" ht="15" hidden="false" customHeight="false" outlineLevel="0" collapsed="false">
      <c r="A249" s="20" t="n">
        <v>4413055</v>
      </c>
      <c r="B249" s="20" t="str">
        <f aca="false">IFERROR(INDEX('Catalog'!$B:$B,MATCH($A249,'Catalog'!$A:$A,0)),"")</f>
        <v>35C XL מגן קרסול חום</v>
      </c>
      <c r="C249" s="20" t="str">
        <f aca="false">IFERROR(INDEX('TRANS'!$A:$A,MATCH($A249,'TRANS'!$B:$B,0)),"")</f>
        <v>35C XL</v>
      </c>
      <c r="D249" s="21" t="n">
        <f aca="false">SUMIFS('CEMI Raw'!$C$6:$C$1018,'CEMI Raw'!$E$6:$E$1018,$A249,'CEMI Raw'!$B$6:$B$1018,2025)</f>
        <v>242</v>
      </c>
      <c r="E249" s="22" t="n">
        <f aca="false">SUMIFS('CEMI Raw'!$D$6:$D$1018,'CEMI Raw'!$E$6:$E$1018,$A249,'CEMI Raw'!$B$6:$B$1018,2025)</f>
        <v>7230.6</v>
      </c>
      <c r="F249" s="21" t="n">
        <f aca="false">SUMIFS('CEMI Raw'!$C$6:$C$1018,'CEMI Raw'!$E$6:$E$1018,$A249,'CEMI Raw'!$B$6:$B$1018,2026)</f>
        <v>160</v>
      </c>
      <c r="G249" s="22" t="n">
        <f aca="false">SUMIFS('CEMI Raw'!$D$6:$D$1018,'CEMI Raw'!$E$6:$E$1018,$A249,'CEMI Raw'!$B$6:$B$1018,2026)</f>
        <v>4767.1</v>
      </c>
      <c r="H249" s="21" t="n">
        <f aca="false">SUMIFS('SALES Raw'!$C$6:$C$603,'SALES Raw'!$E$6:$E$603,$A249,'SALES Raw'!$B$6:$B$603,2025)</f>
        <v>3</v>
      </c>
      <c r="I249" s="22" t="n">
        <f aca="false">SUMIFS('SALES Raw'!$D$6:$D$603,'SALES Raw'!$E$6:$E$603,$A249,'SALES Raw'!$B$6:$B$603,2025)</f>
        <v>92.68</v>
      </c>
      <c r="J249" s="21" t="n">
        <f aca="false">SUMIFS('SALES Raw'!$C$6:$C$603,'SALES Raw'!$E$6:$E$603,$A249,'SALES Raw'!$B$6:$B$603,2026)</f>
        <v>3</v>
      </c>
      <c r="K249" s="22" t="n">
        <f aca="false">SUMIFS('SALES Raw'!$D$6:$D$603,'SALES Raw'!$E$6:$E$603,$A249,'SALES Raw'!$B$6:$B$603,2026)</f>
        <v>92.67</v>
      </c>
      <c r="L249" s="21" t="n">
        <f aca="false">D249+H249</f>
        <v>245</v>
      </c>
      <c r="M249" s="22" t="n">
        <f aca="false">E249+I249</f>
        <v>7323.28</v>
      </c>
      <c r="N249" s="21" t="n">
        <f aca="false">F249+J249</f>
        <v>163</v>
      </c>
      <c r="O249" s="22" t="n">
        <f aca="false">G249+K249</f>
        <v>4859.77</v>
      </c>
    </row>
    <row r="250" customFormat="false" ht="15" hidden="false" customHeight="false" outlineLevel="0" collapsed="false">
      <c r="A250" s="20" t="n">
        <v>4413056</v>
      </c>
      <c r="B250" s="20" t="str">
        <f aca="false">IFERROR(INDEX('Catalog'!$B:$B,MATCH($A250,'Catalog'!$A:$A,0)),"")</f>
        <v>LF360 מדרס מטטרזלי לנעלי עקב</v>
      </c>
      <c r="C250" s="20" t="str">
        <f aca="false">IFERROR(INDEX('TRANS'!$A:$A,MATCH($A250,'TRANS'!$B:$B,0)),"")</f>
        <v>LF360 0</v>
      </c>
      <c r="D250" s="21" t="n">
        <f aca="false">SUMIFS('CEMI Raw'!$C$6:$C$1018,'CEMI Raw'!$E$6:$E$1018,$A250,'CEMI Raw'!$B$6:$B$1018,2025)</f>
        <v>78</v>
      </c>
      <c r="E250" s="22" t="n">
        <f aca="false">SUMIFS('CEMI Raw'!$D$6:$D$1018,'CEMI Raw'!$E$6:$E$1018,$A250,'CEMI Raw'!$B$6:$B$1018,2025)</f>
        <v>1748.1</v>
      </c>
      <c r="F250" s="21" t="n">
        <f aca="false">SUMIFS('CEMI Raw'!$C$6:$C$1018,'CEMI Raw'!$E$6:$E$1018,$A250,'CEMI Raw'!$B$6:$B$1018,2026)</f>
        <v>35</v>
      </c>
      <c r="G250" s="22" t="n">
        <f aca="false">SUMIFS('CEMI Raw'!$D$6:$D$1018,'CEMI Raw'!$E$6:$E$1018,$A250,'CEMI Raw'!$B$6:$B$1018,2026)</f>
        <v>788.8</v>
      </c>
      <c r="H250" s="21" t="n">
        <f aca="false">SUMIFS('SALES Raw'!$C$6:$C$603,'SALES Raw'!$E$6:$E$603,$A250,'SALES Raw'!$B$6:$B$603,2025)</f>
        <v>4</v>
      </c>
      <c r="I250" s="22" t="n">
        <f aca="false">SUMIFS('SALES Raw'!$D$6:$D$603,'SALES Raw'!$E$6:$E$603,$A250,'SALES Raw'!$B$6:$B$603,2025)</f>
        <v>94.62</v>
      </c>
      <c r="J250" s="21" t="n">
        <f aca="false">SUMIFS('SALES Raw'!$C$6:$C$603,'SALES Raw'!$E$6:$E$603,$A250,'SALES Raw'!$B$6:$B$603,2026)</f>
        <v>9</v>
      </c>
      <c r="K250" s="22" t="n">
        <f aca="false">SUMIFS('SALES Raw'!$D$6:$D$603,'SALES Raw'!$E$6:$E$603,$A250,'SALES Raw'!$B$6:$B$603,2026)</f>
        <v>214.73</v>
      </c>
      <c r="L250" s="21" t="n">
        <f aca="false">D250+H250</f>
        <v>82</v>
      </c>
      <c r="M250" s="22" t="n">
        <f aca="false">E250+I250</f>
        <v>1842.72</v>
      </c>
      <c r="N250" s="21" t="n">
        <f aca="false">F250+J250</f>
        <v>44</v>
      </c>
      <c r="O250" s="22" t="n">
        <f aca="false">G250+K250</f>
        <v>1003.53</v>
      </c>
    </row>
    <row r="251" customFormat="false" ht="15" hidden="false" customHeight="false" outlineLevel="0" collapsed="false">
      <c r="A251" s="20" t="n">
        <v>4413058</v>
      </c>
      <c r="B251" s="20" t="str">
        <f aca="false">IFERROR(INDEX('Catalog'!$B:$B,MATCH($A251,'Catalog'!$A:$A,0)),"")</f>
        <v>3622S מדבקה לשחרור לחץ 2 יח</v>
      </c>
      <c r="C251" s="20" t="str">
        <f aca="false">IFERROR(INDEX('TRANS'!$A:$A,MATCH($A251,'TRANS'!$B:$B,0)),"")</f>
        <v>3622S 0</v>
      </c>
      <c r="D251" s="21" t="n">
        <f aca="false">SUMIFS('CEMI Raw'!$C$6:$C$1018,'CEMI Raw'!$E$6:$E$1018,$A251,'CEMI Raw'!$B$6:$B$1018,2025)</f>
        <v>113</v>
      </c>
      <c r="E251" s="22" t="n">
        <f aca="false">SUMIFS('CEMI Raw'!$D$6:$D$1018,'CEMI Raw'!$E$6:$E$1018,$A251,'CEMI Raw'!$B$6:$B$1018,2025)</f>
        <v>3446.7</v>
      </c>
      <c r="F251" s="21" t="n">
        <f aca="false">SUMIFS('CEMI Raw'!$C$6:$C$1018,'CEMI Raw'!$E$6:$E$1018,$A251,'CEMI Raw'!$B$6:$B$1018,2026)</f>
        <v>83</v>
      </c>
      <c r="G251" s="22" t="n">
        <f aca="false">SUMIFS('CEMI Raw'!$D$6:$D$1018,'CEMI Raw'!$E$6:$E$1018,$A251,'CEMI Raw'!$B$6:$B$1018,2026)</f>
        <v>2495.4</v>
      </c>
      <c r="H251" s="21" t="n">
        <f aca="false">SUMIFS('SALES Raw'!$C$6:$C$603,'SALES Raw'!$E$6:$E$603,$A251,'SALES Raw'!$B$6:$B$603,2025)</f>
        <v>0</v>
      </c>
      <c r="I251" s="22" t="n">
        <f aca="false">SUMIFS('SALES Raw'!$D$6:$D$603,'SALES Raw'!$E$6:$E$603,$A251,'SALES Raw'!$B$6:$B$603,2025)</f>
        <v>0</v>
      </c>
      <c r="J251" s="21" t="n">
        <f aca="false">SUMIFS('SALES Raw'!$C$6:$C$603,'SALES Raw'!$E$6:$E$603,$A251,'SALES Raw'!$B$6:$B$603,2026)</f>
        <v>4</v>
      </c>
      <c r="K251" s="22" t="n">
        <f aca="false">SUMIFS('SALES Raw'!$D$6:$D$603,'SALES Raw'!$E$6:$E$603,$A251,'SALES Raw'!$B$6:$B$603,2026)</f>
        <v>131.1</v>
      </c>
      <c r="L251" s="21" t="n">
        <f aca="false">D251+H251</f>
        <v>113</v>
      </c>
      <c r="M251" s="22" t="n">
        <f aca="false">E251+I251</f>
        <v>3446.7</v>
      </c>
      <c r="N251" s="21" t="n">
        <f aca="false">F251+J251</f>
        <v>87</v>
      </c>
      <c r="O251" s="22" t="n">
        <f aca="false">G251+K251</f>
        <v>2626.5</v>
      </c>
    </row>
    <row r="252" customFormat="false" ht="15" hidden="false" customHeight="false" outlineLevel="0" collapsed="false">
      <c r="A252" s="20" t="n">
        <v>4413059</v>
      </c>
      <c r="B252" s="20" t="str">
        <f aca="false">IFERROR(INDEX('Catalog'!$B:$B,MATCH($A252,'Catalog'!$A:$A,0)),"")</f>
        <v>364S Lמפר.אצבע סיליק. ליבל.זוג</v>
      </c>
      <c r="C252" s="20" t="str">
        <f aca="false">IFERROR(INDEX('TRANS'!$A:$A,MATCH($A252,'TRANS'!$B:$B,0)),"")</f>
        <v>364-S-L</v>
      </c>
      <c r="D252" s="21" t="n">
        <f aca="false">SUMIFS('CEMI Raw'!$C$6:$C$1018,'CEMI Raw'!$E$6:$E$1018,$A252,'CEMI Raw'!$B$6:$B$1018,2025)</f>
        <v>1030</v>
      </c>
      <c r="E252" s="22" t="n">
        <f aca="false">SUMIFS('CEMI Raw'!$D$6:$D$1018,'CEMI Raw'!$E$6:$E$1018,$A252,'CEMI Raw'!$B$6:$B$1018,2025)</f>
        <v>14055.4</v>
      </c>
      <c r="F252" s="21" t="n">
        <f aca="false">SUMIFS('CEMI Raw'!$C$6:$C$1018,'CEMI Raw'!$E$6:$E$1018,$A252,'CEMI Raw'!$B$6:$B$1018,2026)</f>
        <v>663</v>
      </c>
      <c r="G252" s="22" t="n">
        <f aca="false">SUMIFS('CEMI Raw'!$D$6:$D$1018,'CEMI Raw'!$E$6:$E$1018,$A252,'CEMI Raw'!$B$6:$B$1018,2026)</f>
        <v>9084.2</v>
      </c>
      <c r="H252" s="21" t="n">
        <f aca="false">SUMIFS('SALES Raw'!$C$6:$C$603,'SALES Raw'!$E$6:$E$603,$A252,'SALES Raw'!$B$6:$B$603,2025)</f>
        <v>35</v>
      </c>
      <c r="I252" s="22" t="n">
        <f aca="false">SUMIFS('SALES Raw'!$D$6:$D$603,'SALES Raw'!$E$6:$E$603,$A252,'SALES Raw'!$B$6:$B$603,2025)</f>
        <v>486.18</v>
      </c>
      <c r="J252" s="21" t="n">
        <f aca="false">SUMIFS('SALES Raw'!$C$6:$C$603,'SALES Raw'!$E$6:$E$603,$A252,'SALES Raw'!$B$6:$B$603,2026)</f>
        <v>12</v>
      </c>
      <c r="K252" s="22" t="n">
        <f aca="false">SUMIFS('SALES Raw'!$D$6:$D$603,'SALES Raw'!$E$6:$E$603,$A252,'SALES Raw'!$B$6:$B$603,2026)</f>
        <v>173.78</v>
      </c>
      <c r="L252" s="21" t="n">
        <f aca="false">D252+H252</f>
        <v>1065</v>
      </c>
      <c r="M252" s="22" t="n">
        <f aca="false">E252+I252</f>
        <v>14541.58</v>
      </c>
      <c r="N252" s="21" t="n">
        <f aca="false">F252+J252</f>
        <v>675</v>
      </c>
      <c r="O252" s="22" t="n">
        <f aca="false">G252+K252</f>
        <v>9257.98</v>
      </c>
    </row>
    <row r="253" customFormat="false" ht="15" hidden="false" customHeight="false" outlineLevel="0" collapsed="false">
      <c r="A253" s="20" t="n">
        <v>4413060</v>
      </c>
      <c r="B253" s="20" t="str">
        <f aca="false">IFERROR(INDEX('Catalog'!$B:$B,MATCH($A253,'Catalog'!$A:$A,0)),"")</f>
        <v>364 XLמפריד אצבע סיליקון ליבלת</v>
      </c>
      <c r="C253" s="20" t="str">
        <f aca="false">IFERROR(INDEX('TRANS'!$A:$A,MATCH($A253,'TRANS'!$B:$B,0)),"")</f>
        <v>364 XL</v>
      </c>
      <c r="D253" s="21" t="n">
        <f aca="false">SUMIFS('CEMI Raw'!$C$6:$C$1018,'CEMI Raw'!$E$6:$E$1018,$A253,'CEMI Raw'!$B$6:$B$1018,2025)</f>
        <v>521</v>
      </c>
      <c r="E253" s="22" t="n">
        <f aca="false">SUMIFS('CEMI Raw'!$D$6:$D$1018,'CEMI Raw'!$E$6:$E$1018,$A253,'CEMI Raw'!$B$6:$B$1018,2025)</f>
        <v>7118.4</v>
      </c>
      <c r="F253" s="21" t="n">
        <f aca="false">SUMIFS('CEMI Raw'!$C$6:$C$1018,'CEMI Raw'!$E$6:$E$1018,$A253,'CEMI Raw'!$B$6:$B$1018,2026)</f>
        <v>438</v>
      </c>
      <c r="G253" s="22" t="n">
        <f aca="false">SUMIFS('CEMI Raw'!$D$6:$D$1018,'CEMI Raw'!$E$6:$E$1018,$A253,'CEMI Raw'!$B$6:$B$1018,2026)</f>
        <v>5988.1</v>
      </c>
      <c r="H253" s="21" t="n">
        <f aca="false">SUMIFS('SALES Raw'!$C$6:$C$603,'SALES Raw'!$E$6:$E$603,$A253,'SALES Raw'!$B$6:$B$603,2025)</f>
        <v>12</v>
      </c>
      <c r="I253" s="22" t="n">
        <f aca="false">SUMIFS('SALES Raw'!$D$6:$D$603,'SALES Raw'!$E$6:$E$603,$A253,'SALES Raw'!$B$6:$B$603,2025)</f>
        <v>173.78</v>
      </c>
      <c r="J253" s="21" t="n">
        <f aca="false">SUMIFS('SALES Raw'!$C$6:$C$603,'SALES Raw'!$E$6:$E$603,$A253,'SALES Raw'!$B$6:$B$603,2026)</f>
        <v>9</v>
      </c>
      <c r="K253" s="22" t="n">
        <f aca="false">SUMIFS('SALES Raw'!$D$6:$D$603,'SALES Raw'!$E$6:$E$603,$A253,'SALES Raw'!$B$6:$B$603,2026)</f>
        <v>130.33</v>
      </c>
      <c r="L253" s="21" t="n">
        <f aca="false">D253+H253</f>
        <v>533</v>
      </c>
      <c r="M253" s="22" t="n">
        <f aca="false">E253+I253</f>
        <v>7292.18</v>
      </c>
      <c r="N253" s="21" t="n">
        <f aca="false">F253+J253</f>
        <v>447</v>
      </c>
      <c r="O253" s="22" t="n">
        <f aca="false">G253+K253</f>
        <v>6118.43</v>
      </c>
    </row>
    <row r="254" customFormat="false" ht="15" hidden="false" customHeight="false" outlineLevel="0" collapsed="false">
      <c r="A254" s="20" t="n">
        <v>4413061</v>
      </c>
      <c r="B254" s="20" t="str">
        <f aca="false">IFERROR(INDEX('Catalog'!$B:$B,MATCH($A254,'Catalog'!$A:$A,0)),"")</f>
        <v>3641-מיישר בוהן סיליקון קשיח</v>
      </c>
      <c r="C254" s="20" t="str">
        <f aca="false">IFERROR(INDEX('TRANS'!$A:$A,MATCH($A254,'TRANS'!$B:$B,0)),"")</f>
        <v>3641 0</v>
      </c>
      <c r="D254" s="21" t="n">
        <f aca="false">SUMIFS('CEMI Raw'!$C$6:$C$1018,'CEMI Raw'!$E$6:$E$1018,$A254,'CEMI Raw'!$B$6:$B$1018,2025)</f>
        <v>167</v>
      </c>
      <c r="E254" s="22" t="n">
        <f aca="false">SUMIFS('CEMI Raw'!$D$6:$D$1018,'CEMI Raw'!$E$6:$E$1018,$A254,'CEMI Raw'!$B$6:$B$1018,2025)</f>
        <v>3307.6</v>
      </c>
      <c r="F254" s="21" t="n">
        <f aca="false">SUMIFS('CEMI Raw'!$C$6:$C$1018,'CEMI Raw'!$E$6:$E$1018,$A254,'CEMI Raw'!$B$6:$B$1018,2026)</f>
        <v>46</v>
      </c>
      <c r="G254" s="22" t="n">
        <f aca="false">SUMIFS('CEMI Raw'!$D$6:$D$1018,'CEMI Raw'!$E$6:$E$1018,$A254,'CEMI Raw'!$B$6:$B$1018,2026)</f>
        <v>913.3</v>
      </c>
      <c r="H254" s="21" t="n">
        <f aca="false">SUMIFS('SALES Raw'!$C$6:$C$603,'SALES Raw'!$E$6:$E$603,$A254,'SALES Raw'!$B$6:$B$603,2025)</f>
        <v>14</v>
      </c>
      <c r="I254" s="22" t="n">
        <f aca="false">SUMIFS('SALES Raw'!$D$6:$D$603,'SALES Raw'!$E$6:$E$603,$A254,'SALES Raw'!$B$6:$B$603,2025)</f>
        <v>292</v>
      </c>
      <c r="J254" s="21" t="n">
        <f aca="false">SUMIFS('SALES Raw'!$C$6:$C$603,'SALES Raw'!$E$6:$E$603,$A254,'SALES Raw'!$B$6:$B$603,2026)</f>
        <v>1</v>
      </c>
      <c r="K254" s="22" t="n">
        <f aca="false">SUMIFS('SALES Raw'!$D$6:$D$603,'SALES Raw'!$E$6:$E$603,$A254,'SALES Raw'!$B$6:$B$603,2026)</f>
        <v>21.04</v>
      </c>
      <c r="L254" s="21" t="n">
        <f aca="false">D254+H254</f>
        <v>181</v>
      </c>
      <c r="M254" s="22" t="n">
        <f aca="false">E254+I254</f>
        <v>3599.6</v>
      </c>
      <c r="N254" s="21" t="n">
        <f aca="false">F254+J254</f>
        <v>47</v>
      </c>
      <c r="O254" s="22" t="n">
        <f aca="false">G254+K254</f>
        <v>934.34</v>
      </c>
    </row>
    <row r="255" customFormat="false" ht="15" hidden="false" customHeight="false" outlineLevel="0" collapsed="false">
      <c r="A255" s="20" t="n">
        <v>4413063</v>
      </c>
      <c r="B255" s="20" t="str">
        <f aca="false">IFERROR(INDEX('Catalog'!$B:$B,MATCH($A255,'Catalog'!$A:$A,0)),"")</f>
        <v>366S-'מדבק.לשחרור לחץ מיבלת2יח</v>
      </c>
      <c r="C255" s="20" t="str">
        <f aca="false">IFERROR(INDEX('TRANS'!$A:$A,MATCH($A255,'TRANS'!$B:$B,0)),"")</f>
        <v>366S 0</v>
      </c>
      <c r="D255" s="21" t="n">
        <f aca="false">SUMIFS('CEMI Raw'!$C$6:$C$1018,'CEMI Raw'!$E$6:$E$1018,$A255,'CEMI Raw'!$B$6:$B$1018,2025)</f>
        <v>260</v>
      </c>
      <c r="E255" s="22" t="n">
        <f aca="false">SUMIFS('CEMI Raw'!$D$6:$D$1018,'CEMI Raw'!$E$6:$E$1018,$A255,'CEMI Raw'!$B$6:$B$1018,2025)</f>
        <v>4077.9</v>
      </c>
      <c r="F255" s="21" t="n">
        <f aca="false">SUMIFS('CEMI Raw'!$C$6:$C$1018,'CEMI Raw'!$E$6:$E$1018,$A255,'CEMI Raw'!$B$6:$B$1018,2026)</f>
        <v>185</v>
      </c>
      <c r="G255" s="22" t="n">
        <f aca="false">SUMIFS('CEMI Raw'!$D$6:$D$1018,'CEMI Raw'!$E$6:$E$1018,$A255,'CEMI Raw'!$B$6:$B$1018,2026)</f>
        <v>2821.7</v>
      </c>
      <c r="H255" s="21" t="n">
        <f aca="false">SUMIFS('SALES Raw'!$C$6:$C$603,'SALES Raw'!$E$6:$E$603,$A255,'SALES Raw'!$B$6:$B$603,2025)</f>
        <v>0</v>
      </c>
      <c r="I255" s="22" t="n">
        <f aca="false">SUMIFS('SALES Raw'!$D$6:$D$603,'SALES Raw'!$E$6:$E$603,$A255,'SALES Raw'!$B$6:$B$603,2025)</f>
        <v>0</v>
      </c>
      <c r="J255" s="21" t="n">
        <f aca="false">SUMIFS('SALES Raw'!$C$6:$C$603,'SALES Raw'!$E$6:$E$603,$A255,'SALES Raw'!$B$6:$B$603,2026)</f>
        <v>6</v>
      </c>
      <c r="K255" s="22" t="n">
        <f aca="false">SUMIFS('SALES Raw'!$D$6:$D$603,'SALES Raw'!$E$6:$E$603,$A255,'SALES Raw'!$B$6:$B$603,2026)</f>
        <v>100.93</v>
      </c>
      <c r="L255" s="21" t="n">
        <f aca="false">D255+H255</f>
        <v>260</v>
      </c>
      <c r="M255" s="22" t="n">
        <f aca="false">E255+I255</f>
        <v>4077.9</v>
      </c>
      <c r="N255" s="21" t="n">
        <f aca="false">F255+J255</f>
        <v>191</v>
      </c>
      <c r="O255" s="22" t="n">
        <f aca="false">G255+K255</f>
        <v>2922.63</v>
      </c>
    </row>
    <row r="256" customFormat="false" ht="15" hidden="false" customHeight="false" outlineLevel="0" collapsed="false">
      <c r="A256" s="20" t="n">
        <v>4413066</v>
      </c>
      <c r="B256" s="20" t="str">
        <f aca="false">IFERROR(INDEX('Catalog'!$B:$B,MATCH($A256,'Catalog'!$A:$A,0)),"")</f>
        <v>3677S-מד.לשחרור לחץ א.הבוניון</v>
      </c>
      <c r="C256" s="20" t="str">
        <f aca="false">IFERROR(INDEX('TRANS'!$A:$A,MATCH($A256,'TRANS'!$B:$B,0)),"")</f>
        <v>3677S 0</v>
      </c>
      <c r="D256" s="21" t="n">
        <f aca="false">SUMIFS('CEMI Raw'!$C$6:$C$1018,'CEMI Raw'!$E$6:$E$1018,$A256,'CEMI Raw'!$B$6:$B$1018,2025)</f>
        <v>149</v>
      </c>
      <c r="E256" s="22" t="n">
        <f aca="false">SUMIFS('CEMI Raw'!$D$6:$D$1018,'CEMI Raw'!$E$6:$E$1018,$A256,'CEMI Raw'!$B$6:$B$1018,2025)</f>
        <v>2810.7</v>
      </c>
      <c r="F256" s="21" t="n">
        <f aca="false">SUMIFS('CEMI Raw'!$C$6:$C$1018,'CEMI Raw'!$E$6:$E$1018,$A256,'CEMI Raw'!$B$6:$B$1018,2026)</f>
        <v>68</v>
      </c>
      <c r="G256" s="22" t="n">
        <f aca="false">SUMIFS('CEMI Raw'!$D$6:$D$1018,'CEMI Raw'!$E$6:$E$1018,$A256,'CEMI Raw'!$B$6:$B$1018,2026)</f>
        <v>1349.9</v>
      </c>
      <c r="H256" s="21" t="n">
        <f aca="false">SUMIFS('SALES Raw'!$C$6:$C$603,'SALES Raw'!$E$6:$E$603,$A256,'SALES Raw'!$B$6:$B$603,2025)</f>
        <v>7</v>
      </c>
      <c r="I256" s="22" t="n">
        <f aca="false">SUMIFS('SALES Raw'!$D$6:$D$603,'SALES Raw'!$E$6:$E$603,$A256,'SALES Raw'!$B$6:$B$603,2025)</f>
        <v>143.17</v>
      </c>
      <c r="J256" s="21" t="n">
        <f aca="false">SUMIFS('SALES Raw'!$C$6:$C$603,'SALES Raw'!$E$6:$E$603,$A256,'SALES Raw'!$B$6:$B$603,2026)</f>
        <v>2</v>
      </c>
      <c r="K256" s="22" t="n">
        <f aca="false">SUMIFS('SALES Raw'!$D$6:$D$603,'SALES Raw'!$E$6:$E$603,$A256,'SALES Raw'!$B$6:$B$603,2026)</f>
        <v>41.14</v>
      </c>
      <c r="L256" s="21" t="n">
        <f aca="false">D256+H256</f>
        <v>156</v>
      </c>
      <c r="M256" s="22" t="n">
        <f aca="false">E256+I256</f>
        <v>2953.87</v>
      </c>
      <c r="N256" s="21" t="n">
        <f aca="false">F256+J256</f>
        <v>70</v>
      </c>
      <c r="O256" s="22" t="n">
        <f aca="false">G256+K256</f>
        <v>1391.04</v>
      </c>
    </row>
    <row r="257" customFormat="false" ht="15" hidden="false" customHeight="false" outlineLevel="0" collapsed="false">
      <c r="A257" s="20" t="n">
        <v>4413069</v>
      </c>
      <c r="B257" s="20" t="str">
        <f aca="false">IFERROR(INDEX('Catalog'!$B:$B,MATCH($A257,'Catalog'!$A:$A,0)),"")</f>
        <v>388L סד לילה לבוהן</v>
      </c>
      <c r="C257" s="20" t="str">
        <f aca="false">IFERROR(INDEX('TRANS'!$A:$A,MATCH($A257,'TRANS'!$B:$B,0)),"")</f>
        <v/>
      </c>
      <c r="D257" s="21" t="n">
        <f aca="false">SUMIFS('CEMI Raw'!$C$6:$C$1018,'CEMI Raw'!$E$6:$E$1018,$A257,'CEMI Raw'!$B$6:$B$1018,2025)</f>
        <v>-2</v>
      </c>
      <c r="E257" s="22" t="n">
        <f aca="false">SUMIFS('CEMI Raw'!$D$6:$D$1018,'CEMI Raw'!$E$6:$E$1018,$A257,'CEMI Raw'!$B$6:$B$1018,2025)</f>
        <v>-152.1</v>
      </c>
      <c r="F257" s="21" t="n">
        <f aca="false">SUMIFS('CEMI Raw'!$C$6:$C$1018,'CEMI Raw'!$E$6:$E$1018,$A257,'CEMI Raw'!$B$6:$B$1018,2026)</f>
        <v>0</v>
      </c>
      <c r="G257" s="22" t="n">
        <f aca="false">SUMIFS('CEMI Raw'!$D$6:$D$1018,'CEMI Raw'!$E$6:$E$1018,$A257,'CEMI Raw'!$B$6:$B$1018,2026)</f>
        <v>0</v>
      </c>
      <c r="H257" s="21" t="n">
        <f aca="false">SUMIFS('SALES Raw'!$C$6:$C$603,'SALES Raw'!$E$6:$E$603,$A257,'SALES Raw'!$B$6:$B$603,2025)</f>
        <v>0</v>
      </c>
      <c r="I257" s="22" t="n">
        <f aca="false">SUMIFS('SALES Raw'!$D$6:$D$603,'SALES Raw'!$E$6:$E$603,$A257,'SALES Raw'!$B$6:$B$603,2025)</f>
        <v>0</v>
      </c>
      <c r="J257" s="21" t="n">
        <f aca="false">SUMIFS('SALES Raw'!$C$6:$C$603,'SALES Raw'!$E$6:$E$603,$A257,'SALES Raw'!$B$6:$B$603,2026)</f>
        <v>0</v>
      </c>
      <c r="K257" s="22" t="n">
        <f aca="false">SUMIFS('SALES Raw'!$D$6:$D$603,'SALES Raw'!$E$6:$E$603,$A257,'SALES Raw'!$B$6:$B$603,2026)</f>
        <v>0</v>
      </c>
      <c r="L257" s="21" t="n">
        <f aca="false">D257+H257</f>
        <v>-2</v>
      </c>
      <c r="M257" s="22" t="n">
        <f aca="false">E257+I257</f>
        <v>-152.1</v>
      </c>
      <c r="N257" s="21" t="n">
        <f aca="false">F257+J257</f>
        <v>0</v>
      </c>
      <c r="O257" s="22" t="n">
        <f aca="false">G257+K257</f>
        <v>0</v>
      </c>
    </row>
    <row r="258" customFormat="false" ht="15" hidden="false" customHeight="false" outlineLevel="0" collapsed="false">
      <c r="A258" s="20" t="n">
        <v>4413070</v>
      </c>
      <c r="B258" s="20" t="str">
        <f aca="false">IFERROR(INDEX('Catalog'!$B:$B,MATCH($A258,'Catalog'!$A:$A,0)),"")</f>
        <v>388R סד לילה לבוהן</v>
      </c>
      <c r="C258" s="20" t="str">
        <f aca="false">IFERROR(INDEX('TRANS'!$A:$A,MATCH($A258,'TRANS'!$B:$B,0)),"")</f>
        <v/>
      </c>
      <c r="D258" s="21" t="n">
        <f aca="false">SUMIFS('CEMI Raw'!$C$6:$C$1018,'CEMI Raw'!$E$6:$E$1018,$A258,'CEMI Raw'!$B$6:$B$1018,2025)</f>
        <v>-1</v>
      </c>
      <c r="E258" s="22" t="n">
        <f aca="false">SUMIFS('CEMI Raw'!$D$6:$D$1018,'CEMI Raw'!$E$6:$E$1018,$A258,'CEMI Raw'!$B$6:$B$1018,2025)</f>
        <v>-74</v>
      </c>
      <c r="F258" s="21" t="n">
        <f aca="false">SUMIFS('CEMI Raw'!$C$6:$C$1018,'CEMI Raw'!$E$6:$E$1018,$A258,'CEMI Raw'!$B$6:$B$1018,2026)</f>
        <v>0</v>
      </c>
      <c r="G258" s="22" t="n">
        <f aca="false">SUMIFS('CEMI Raw'!$D$6:$D$1018,'CEMI Raw'!$E$6:$E$1018,$A258,'CEMI Raw'!$B$6:$B$1018,2026)</f>
        <v>0</v>
      </c>
      <c r="H258" s="21" t="n">
        <f aca="false">SUMIFS('SALES Raw'!$C$6:$C$603,'SALES Raw'!$E$6:$E$603,$A258,'SALES Raw'!$B$6:$B$603,2025)</f>
        <v>0</v>
      </c>
      <c r="I258" s="22" t="n">
        <f aca="false">SUMIFS('SALES Raw'!$D$6:$D$603,'SALES Raw'!$E$6:$E$603,$A258,'SALES Raw'!$B$6:$B$603,2025)</f>
        <v>0</v>
      </c>
      <c r="J258" s="21" t="n">
        <f aca="false">SUMIFS('SALES Raw'!$C$6:$C$603,'SALES Raw'!$E$6:$E$603,$A258,'SALES Raw'!$B$6:$B$603,2026)</f>
        <v>0</v>
      </c>
      <c r="K258" s="22" t="n">
        <f aca="false">SUMIFS('SALES Raw'!$D$6:$D$603,'SALES Raw'!$E$6:$E$603,$A258,'SALES Raw'!$B$6:$B$603,2026)</f>
        <v>0</v>
      </c>
      <c r="L258" s="21" t="n">
        <f aca="false">D258+H258</f>
        <v>-1</v>
      </c>
      <c r="M258" s="22" t="n">
        <f aca="false">E258+I258</f>
        <v>-74</v>
      </c>
      <c r="N258" s="21" t="n">
        <f aca="false">F258+J258</f>
        <v>0</v>
      </c>
      <c r="O258" s="22" t="n">
        <f aca="false">G258+K258</f>
        <v>0</v>
      </c>
    </row>
    <row r="259" customFormat="false" ht="15" hidden="false" customHeight="false" outlineLevel="0" collapsed="false">
      <c r="A259" s="20" t="n">
        <v>4413071</v>
      </c>
      <c r="B259" s="20" t="str">
        <f aca="false">IFERROR(INDEX('Catalog'!$B:$B,MATCH($A259,'Catalog'!$A:$A,0)),"")</f>
        <v>41 Sמ.ברך מוצלב+ספירלות בצדדים</v>
      </c>
      <c r="C259" s="20" t="str">
        <f aca="false">IFERROR(INDEX('TRANS'!$A:$A,MATCH($A259,'TRANS'!$B:$B,0)),"")</f>
        <v>41 S</v>
      </c>
      <c r="D259" s="21" t="n">
        <f aca="false">SUMIFS('CEMI Raw'!$C$6:$C$1018,'CEMI Raw'!$E$6:$E$1018,$A259,'CEMI Raw'!$B$6:$B$1018,2025)</f>
        <v>1</v>
      </c>
      <c r="E259" s="22" t="n">
        <f aca="false">SUMIFS('CEMI Raw'!$D$6:$D$1018,'CEMI Raw'!$E$6:$E$1018,$A259,'CEMI Raw'!$B$6:$B$1018,2025)</f>
        <v>118.1</v>
      </c>
      <c r="F259" s="21" t="n">
        <f aca="false">SUMIFS('CEMI Raw'!$C$6:$C$1018,'CEMI Raw'!$E$6:$E$1018,$A259,'CEMI Raw'!$B$6:$B$1018,2026)</f>
        <v>0</v>
      </c>
      <c r="G259" s="22" t="n">
        <f aca="false">SUMIFS('CEMI Raw'!$D$6:$D$1018,'CEMI Raw'!$E$6:$E$1018,$A259,'CEMI Raw'!$B$6:$B$1018,2026)</f>
        <v>0</v>
      </c>
      <c r="H259" s="21" t="n">
        <f aca="false">SUMIFS('SALES Raw'!$C$6:$C$603,'SALES Raw'!$E$6:$E$603,$A259,'SALES Raw'!$B$6:$B$603,2025)</f>
        <v>0</v>
      </c>
      <c r="I259" s="22" t="n">
        <f aca="false">SUMIFS('SALES Raw'!$D$6:$D$603,'SALES Raw'!$E$6:$E$603,$A259,'SALES Raw'!$B$6:$B$603,2025)</f>
        <v>0</v>
      </c>
      <c r="J259" s="21" t="n">
        <f aca="false">SUMIFS('SALES Raw'!$C$6:$C$603,'SALES Raw'!$E$6:$E$603,$A259,'SALES Raw'!$B$6:$B$603,2026)</f>
        <v>0</v>
      </c>
      <c r="K259" s="22" t="n">
        <f aca="false">SUMIFS('SALES Raw'!$D$6:$D$603,'SALES Raw'!$E$6:$E$603,$A259,'SALES Raw'!$B$6:$B$603,2026)</f>
        <v>0</v>
      </c>
      <c r="L259" s="21" t="n">
        <f aca="false">D259+H259</f>
        <v>1</v>
      </c>
      <c r="M259" s="22" t="n">
        <f aca="false">E259+I259</f>
        <v>118.1</v>
      </c>
      <c r="N259" s="21" t="n">
        <f aca="false">F259+J259</f>
        <v>0</v>
      </c>
      <c r="O259" s="22" t="n">
        <f aca="false">G259+K259</f>
        <v>0</v>
      </c>
    </row>
    <row r="260" customFormat="false" ht="15" hidden="false" customHeight="false" outlineLevel="0" collapsed="false">
      <c r="A260" s="20" t="n">
        <v>4413072</v>
      </c>
      <c r="B260" s="20" t="str">
        <f aca="false">IFERROR(INDEX('Catalog'!$B:$B,MATCH($A260,'Catalog'!$A:$A,0)),"")</f>
        <v>41 Lמ.ברך מוצלב+ספירלות בצדדים</v>
      </c>
      <c r="C260" s="20" t="str">
        <f aca="false">IFERROR(INDEX('TRANS'!$A:$A,MATCH($A260,'TRANS'!$B:$B,0)),"")</f>
        <v>41 L</v>
      </c>
      <c r="D260" s="21" t="n">
        <f aca="false">SUMIFS('CEMI Raw'!$C$6:$C$1018,'CEMI Raw'!$E$6:$E$1018,$A260,'CEMI Raw'!$B$6:$B$1018,2025)</f>
        <v>13</v>
      </c>
      <c r="E260" s="22" t="n">
        <f aca="false">SUMIFS('CEMI Raw'!$D$6:$D$1018,'CEMI Raw'!$E$6:$E$1018,$A260,'CEMI Raw'!$B$6:$B$1018,2025)</f>
        <v>1545.1</v>
      </c>
      <c r="F260" s="21" t="n">
        <f aca="false">SUMIFS('CEMI Raw'!$C$6:$C$1018,'CEMI Raw'!$E$6:$E$1018,$A260,'CEMI Raw'!$B$6:$B$1018,2026)</f>
        <v>7</v>
      </c>
      <c r="G260" s="22" t="n">
        <f aca="false">SUMIFS('CEMI Raw'!$D$6:$D$1018,'CEMI Raw'!$E$6:$E$1018,$A260,'CEMI Raw'!$B$6:$B$1018,2026)</f>
        <v>834.9</v>
      </c>
      <c r="H260" s="21" t="n">
        <f aca="false">SUMIFS('SALES Raw'!$C$6:$C$603,'SALES Raw'!$E$6:$E$603,$A260,'SALES Raw'!$B$6:$B$603,2025)</f>
        <v>3</v>
      </c>
      <c r="I260" s="22" t="n">
        <f aca="false">SUMIFS('SALES Raw'!$D$6:$D$603,'SALES Raw'!$E$6:$E$603,$A260,'SALES Raw'!$B$6:$B$603,2025)</f>
        <v>379.53</v>
      </c>
      <c r="J260" s="21" t="n">
        <f aca="false">SUMIFS('SALES Raw'!$C$6:$C$603,'SALES Raw'!$E$6:$E$603,$A260,'SALES Raw'!$B$6:$B$603,2026)</f>
        <v>0</v>
      </c>
      <c r="K260" s="22" t="n">
        <f aca="false">SUMIFS('SALES Raw'!$D$6:$D$603,'SALES Raw'!$E$6:$E$603,$A260,'SALES Raw'!$B$6:$B$603,2026)</f>
        <v>0</v>
      </c>
      <c r="L260" s="21" t="n">
        <f aca="false">D260+H260</f>
        <v>16</v>
      </c>
      <c r="M260" s="22" t="n">
        <f aca="false">E260+I260</f>
        <v>1924.63</v>
      </c>
      <c r="N260" s="21" t="n">
        <f aca="false">F260+J260</f>
        <v>7</v>
      </c>
      <c r="O260" s="22" t="n">
        <f aca="false">G260+K260</f>
        <v>834.9</v>
      </c>
    </row>
    <row r="261" customFormat="false" ht="15" hidden="false" customHeight="false" outlineLevel="0" collapsed="false">
      <c r="A261" s="20" t="n">
        <v>4413073</v>
      </c>
      <c r="B261" s="20" t="str">
        <f aca="false">IFERROR(INDEX('Catalog'!$B:$B,MATCH($A261,'Catalog'!$A:$A,0)),"")</f>
        <v>41 Mמ.ברך מוצלב+ספירלות בצדדים</v>
      </c>
      <c r="C261" s="20" t="str">
        <f aca="false">IFERROR(INDEX('TRANS'!$A:$A,MATCH($A261,'TRANS'!$B:$B,0)),"")</f>
        <v>41 M</v>
      </c>
      <c r="D261" s="21" t="n">
        <f aca="false">SUMIFS('CEMI Raw'!$C$6:$C$1018,'CEMI Raw'!$E$6:$E$1018,$A261,'CEMI Raw'!$B$6:$B$1018,2025)</f>
        <v>4</v>
      </c>
      <c r="E261" s="22" t="n">
        <f aca="false">SUMIFS('CEMI Raw'!$D$6:$D$1018,'CEMI Raw'!$E$6:$E$1018,$A261,'CEMI Raw'!$B$6:$B$1018,2025)</f>
        <v>412.1</v>
      </c>
      <c r="F261" s="21" t="n">
        <f aca="false">SUMIFS('CEMI Raw'!$C$6:$C$1018,'CEMI Raw'!$E$6:$E$1018,$A261,'CEMI Raw'!$B$6:$B$1018,2026)</f>
        <v>6</v>
      </c>
      <c r="G261" s="22" t="n">
        <f aca="false">SUMIFS('CEMI Raw'!$D$6:$D$1018,'CEMI Raw'!$E$6:$E$1018,$A261,'CEMI Raw'!$B$6:$B$1018,2026)</f>
        <v>742.2</v>
      </c>
      <c r="H261" s="21" t="n">
        <f aca="false">SUMIFS('SALES Raw'!$C$6:$C$603,'SALES Raw'!$E$6:$E$603,$A261,'SALES Raw'!$B$6:$B$603,2025)</f>
        <v>0</v>
      </c>
      <c r="I261" s="22" t="n">
        <f aca="false">SUMIFS('SALES Raw'!$D$6:$D$603,'SALES Raw'!$E$6:$E$603,$A261,'SALES Raw'!$B$6:$B$603,2025)</f>
        <v>0</v>
      </c>
      <c r="J261" s="21" t="n">
        <f aca="false">SUMIFS('SALES Raw'!$C$6:$C$603,'SALES Raw'!$E$6:$E$603,$A261,'SALES Raw'!$B$6:$B$603,2026)</f>
        <v>1</v>
      </c>
      <c r="K261" s="22" t="n">
        <f aca="false">SUMIFS('SALES Raw'!$D$6:$D$603,'SALES Raw'!$E$6:$E$603,$A261,'SALES Raw'!$B$6:$B$603,2026)</f>
        <v>126.51</v>
      </c>
      <c r="L261" s="21" t="n">
        <f aca="false">D261+H261</f>
        <v>4</v>
      </c>
      <c r="M261" s="22" t="n">
        <f aca="false">E261+I261</f>
        <v>412.1</v>
      </c>
      <c r="N261" s="21" t="n">
        <f aca="false">F261+J261</f>
        <v>7</v>
      </c>
      <c r="O261" s="22" t="n">
        <f aca="false">G261+K261</f>
        <v>868.71</v>
      </c>
    </row>
    <row r="262" customFormat="false" ht="15" hidden="false" customHeight="false" outlineLevel="0" collapsed="false">
      <c r="A262" s="20" t="n">
        <v>4413074</v>
      </c>
      <c r="B262" s="20" t="str">
        <f aca="false">IFERROR(INDEX('Catalog'!$B:$B,MATCH($A262,'Catalog'!$A:$A,0)),"")</f>
        <v>41  XL.מ.ברך מוצלב+ספירלות בצד</v>
      </c>
      <c r="C262" s="20" t="str">
        <f aca="false">IFERROR(INDEX('TRANS'!$A:$A,MATCH($A262,'TRANS'!$B:$B,0)),"")</f>
        <v>41 XL</v>
      </c>
      <c r="D262" s="21" t="n">
        <f aca="false">SUMIFS('CEMI Raw'!$C$6:$C$1018,'CEMI Raw'!$E$6:$E$1018,$A262,'CEMI Raw'!$B$6:$B$1018,2025)</f>
        <v>11</v>
      </c>
      <c r="E262" s="22" t="n">
        <f aca="false">SUMIFS('CEMI Raw'!$D$6:$D$1018,'CEMI Raw'!$E$6:$E$1018,$A262,'CEMI Raw'!$B$6:$B$1018,2025)</f>
        <v>1301.8</v>
      </c>
      <c r="F262" s="21" t="n">
        <f aca="false">SUMIFS('CEMI Raw'!$C$6:$C$1018,'CEMI Raw'!$E$6:$E$1018,$A262,'CEMI Raw'!$B$6:$B$1018,2026)</f>
        <v>6</v>
      </c>
      <c r="G262" s="22" t="n">
        <f aca="false">SUMIFS('CEMI Raw'!$D$6:$D$1018,'CEMI Raw'!$E$6:$E$1018,$A262,'CEMI Raw'!$B$6:$B$1018,2026)</f>
        <v>649.4</v>
      </c>
      <c r="H262" s="21" t="n">
        <f aca="false">SUMIFS('SALES Raw'!$C$6:$C$603,'SALES Raw'!$E$6:$E$603,$A262,'SALES Raw'!$B$6:$B$603,2025)</f>
        <v>0</v>
      </c>
      <c r="I262" s="22" t="n">
        <f aca="false">SUMIFS('SALES Raw'!$D$6:$D$603,'SALES Raw'!$E$6:$E$603,$A262,'SALES Raw'!$B$6:$B$603,2025)</f>
        <v>0</v>
      </c>
      <c r="J262" s="21" t="n">
        <f aca="false">SUMIFS('SALES Raw'!$C$6:$C$603,'SALES Raw'!$E$6:$E$603,$A262,'SALES Raw'!$B$6:$B$603,2026)</f>
        <v>1</v>
      </c>
      <c r="K262" s="22" t="n">
        <f aca="false">SUMIFS('SALES Raw'!$D$6:$D$603,'SALES Raw'!$E$6:$E$603,$A262,'SALES Raw'!$B$6:$B$603,2026)</f>
        <v>126.51</v>
      </c>
      <c r="L262" s="21" t="n">
        <f aca="false">D262+H262</f>
        <v>11</v>
      </c>
      <c r="M262" s="22" t="n">
        <f aca="false">E262+I262</f>
        <v>1301.8</v>
      </c>
      <c r="N262" s="21" t="n">
        <f aca="false">F262+J262</f>
        <v>7</v>
      </c>
      <c r="O262" s="22" t="n">
        <f aca="false">G262+K262</f>
        <v>775.91</v>
      </c>
    </row>
    <row r="263" customFormat="false" ht="15" hidden="false" customHeight="false" outlineLevel="0" collapsed="false">
      <c r="A263" s="20" t="n">
        <v>4413076</v>
      </c>
      <c r="B263" s="20" t="str">
        <f aca="false">IFERROR(INDEX('Catalog'!$B:$B,MATCH($A263,'Catalog'!$A:$A,0)),"")</f>
        <v>41X L מגן ברך מוצלב+מוט</v>
      </c>
      <c r="C263" s="20" t="str">
        <f aca="false">IFERROR(INDEX('TRANS'!$A:$A,MATCH($A263,'TRANS'!$B:$B,0)),"")</f>
        <v>41X L</v>
      </c>
      <c r="D263" s="21" t="n">
        <f aca="false">SUMIFS('CEMI Raw'!$C$6:$C$1018,'CEMI Raw'!$E$6:$E$1018,$A263,'CEMI Raw'!$B$6:$B$1018,2025)</f>
        <v>7</v>
      </c>
      <c r="E263" s="22" t="n">
        <f aca="false">SUMIFS('CEMI Raw'!$D$6:$D$1018,'CEMI Raw'!$E$6:$E$1018,$A263,'CEMI Raw'!$B$6:$B$1018,2025)</f>
        <v>942.1</v>
      </c>
      <c r="F263" s="21" t="n">
        <f aca="false">SUMIFS('CEMI Raw'!$C$6:$C$1018,'CEMI Raw'!$E$6:$E$1018,$A263,'CEMI Raw'!$B$6:$B$1018,2026)</f>
        <v>3</v>
      </c>
      <c r="G263" s="22" t="n">
        <f aca="false">SUMIFS('CEMI Raw'!$D$6:$D$1018,'CEMI Raw'!$E$6:$E$1018,$A263,'CEMI Raw'!$B$6:$B$1018,2026)</f>
        <v>398.6</v>
      </c>
      <c r="H263" s="21" t="n">
        <f aca="false">SUMIFS('SALES Raw'!$C$6:$C$603,'SALES Raw'!$E$6:$E$603,$A263,'SALES Raw'!$B$6:$B$603,2025)</f>
        <v>2</v>
      </c>
      <c r="I263" s="22" t="n">
        <f aca="false">SUMIFS('SALES Raw'!$D$6:$D$603,'SALES Raw'!$E$6:$E$603,$A263,'SALES Raw'!$B$6:$B$603,2025)</f>
        <v>271.77</v>
      </c>
      <c r="J263" s="21" t="n">
        <f aca="false">SUMIFS('SALES Raw'!$C$6:$C$603,'SALES Raw'!$E$6:$E$603,$A263,'SALES Raw'!$B$6:$B$603,2026)</f>
        <v>0</v>
      </c>
      <c r="K263" s="22" t="n">
        <f aca="false">SUMIFS('SALES Raw'!$D$6:$D$603,'SALES Raw'!$E$6:$E$603,$A263,'SALES Raw'!$B$6:$B$603,2026)</f>
        <v>0</v>
      </c>
      <c r="L263" s="21" t="n">
        <f aca="false">D263+H263</f>
        <v>9</v>
      </c>
      <c r="M263" s="22" t="n">
        <f aca="false">E263+I263</f>
        <v>1213.87</v>
      </c>
      <c r="N263" s="21" t="n">
        <f aca="false">F263+J263</f>
        <v>3</v>
      </c>
      <c r="O263" s="22" t="n">
        <f aca="false">G263+K263</f>
        <v>398.6</v>
      </c>
    </row>
    <row r="264" customFormat="false" ht="15" hidden="false" customHeight="false" outlineLevel="0" collapsed="false">
      <c r="A264" s="20" t="n">
        <v>4413077</v>
      </c>
      <c r="B264" s="20" t="str">
        <f aca="false">IFERROR(INDEX('Catalog'!$B:$B,MATCH($A264,'Catalog'!$A:$A,0)),"")</f>
        <v>41X M מגן ברך מוצלב+מוט</v>
      </c>
      <c r="C264" s="20" t="str">
        <f aca="false">IFERROR(INDEX('TRANS'!$A:$A,MATCH($A264,'TRANS'!$B:$B,0)),"")</f>
        <v/>
      </c>
      <c r="D264" s="21" t="n">
        <f aca="false">SUMIFS('CEMI Raw'!$C$6:$C$1018,'CEMI Raw'!$E$6:$E$1018,$A264,'CEMI Raw'!$B$6:$B$1018,2025)</f>
        <v>0</v>
      </c>
      <c r="E264" s="22" t="n">
        <f aca="false">SUMIFS('CEMI Raw'!$D$6:$D$1018,'CEMI Raw'!$E$6:$E$1018,$A264,'CEMI Raw'!$B$6:$B$1018,2025)</f>
        <v>0</v>
      </c>
      <c r="F264" s="21" t="n">
        <f aca="false">SUMIFS('CEMI Raw'!$C$6:$C$1018,'CEMI Raw'!$E$6:$E$1018,$A264,'CEMI Raw'!$B$6:$B$1018,2026)</f>
        <v>1</v>
      </c>
      <c r="G264" s="22" t="n">
        <f aca="false">SUMIFS('CEMI Raw'!$D$6:$D$1018,'CEMI Raw'!$E$6:$E$1018,$A264,'CEMI Raw'!$B$6:$B$1018,2026)</f>
        <v>135.9</v>
      </c>
      <c r="H264" s="21" t="n">
        <f aca="false">SUMIFS('SALES Raw'!$C$6:$C$603,'SALES Raw'!$E$6:$E$603,$A264,'SALES Raw'!$B$6:$B$603,2025)</f>
        <v>0</v>
      </c>
      <c r="I264" s="22" t="n">
        <f aca="false">SUMIFS('SALES Raw'!$D$6:$D$603,'SALES Raw'!$E$6:$E$603,$A264,'SALES Raw'!$B$6:$B$603,2025)</f>
        <v>0</v>
      </c>
      <c r="J264" s="21" t="n">
        <f aca="false">SUMIFS('SALES Raw'!$C$6:$C$603,'SALES Raw'!$E$6:$E$603,$A264,'SALES Raw'!$B$6:$B$603,2026)</f>
        <v>0</v>
      </c>
      <c r="K264" s="22" t="n">
        <f aca="false">SUMIFS('SALES Raw'!$D$6:$D$603,'SALES Raw'!$E$6:$E$603,$A264,'SALES Raw'!$B$6:$B$603,2026)</f>
        <v>0</v>
      </c>
      <c r="L264" s="21" t="n">
        <f aca="false">D264+H264</f>
        <v>0</v>
      </c>
      <c r="M264" s="22" t="n">
        <f aca="false">E264+I264</f>
        <v>0</v>
      </c>
      <c r="N264" s="21" t="n">
        <f aca="false">F264+J264</f>
        <v>1</v>
      </c>
      <c r="O264" s="22" t="n">
        <f aca="false">G264+K264</f>
        <v>135.9</v>
      </c>
    </row>
    <row r="265" customFormat="false" ht="15" hidden="false" customHeight="false" outlineLevel="0" collapsed="false">
      <c r="A265" s="20" t="n">
        <v>4413079</v>
      </c>
      <c r="B265" s="20" t="str">
        <f aca="false">IFERROR(INDEX('Catalog'!$B:$B,MATCH($A265,'Catalog'!$A:$A,0)),"")</f>
        <v>41X XL מגן ברך מוצלב+מוט</v>
      </c>
      <c r="C265" s="20" t="str">
        <f aca="false">IFERROR(INDEX('TRANS'!$A:$A,MATCH($A265,'TRANS'!$B:$B,0)),"")</f>
        <v>41X XL</v>
      </c>
      <c r="D265" s="21" t="n">
        <f aca="false">SUMIFS('CEMI Raw'!$C$6:$C$1018,'CEMI Raw'!$E$6:$E$1018,$A265,'CEMI Raw'!$B$6:$B$1018,2025)</f>
        <v>1</v>
      </c>
      <c r="E265" s="22" t="n">
        <f aca="false">SUMIFS('CEMI Raw'!$D$6:$D$1018,'CEMI Raw'!$E$6:$E$1018,$A265,'CEMI Raw'!$B$6:$B$1018,2025)</f>
        <v>135.9</v>
      </c>
      <c r="F265" s="21" t="n">
        <f aca="false">SUMIFS('CEMI Raw'!$C$6:$C$1018,'CEMI Raw'!$E$6:$E$1018,$A265,'CEMI Raw'!$B$6:$B$1018,2026)</f>
        <v>2</v>
      </c>
      <c r="G265" s="22" t="n">
        <f aca="false">SUMIFS('CEMI Raw'!$D$6:$D$1018,'CEMI Raw'!$E$6:$E$1018,$A265,'CEMI Raw'!$B$6:$B$1018,2026)</f>
        <v>262.7</v>
      </c>
      <c r="H265" s="21" t="n">
        <f aca="false">SUMIFS('SALES Raw'!$C$6:$C$603,'SALES Raw'!$E$6:$E$603,$A265,'SALES Raw'!$B$6:$B$603,2025)</f>
        <v>0</v>
      </c>
      <c r="I265" s="22" t="n">
        <f aca="false">SUMIFS('SALES Raw'!$D$6:$D$603,'SALES Raw'!$E$6:$E$603,$A265,'SALES Raw'!$B$6:$B$603,2025)</f>
        <v>0</v>
      </c>
      <c r="J265" s="21" t="n">
        <f aca="false">SUMIFS('SALES Raw'!$C$6:$C$603,'SALES Raw'!$E$6:$E$603,$A265,'SALES Raw'!$B$6:$B$603,2026)</f>
        <v>0</v>
      </c>
      <c r="K265" s="22" t="n">
        <f aca="false">SUMIFS('SALES Raw'!$D$6:$D$603,'SALES Raw'!$E$6:$E$603,$A265,'SALES Raw'!$B$6:$B$603,2026)</f>
        <v>0</v>
      </c>
      <c r="L265" s="21" t="n">
        <f aca="false">D265+H265</f>
        <v>1</v>
      </c>
      <c r="M265" s="22" t="n">
        <f aca="false">E265+I265</f>
        <v>135.9</v>
      </c>
      <c r="N265" s="21" t="n">
        <f aca="false">F265+J265</f>
        <v>2</v>
      </c>
      <c r="O265" s="22" t="n">
        <f aca="false">G265+K265</f>
        <v>262.7</v>
      </c>
    </row>
    <row r="266" customFormat="false" ht="15" hidden="false" customHeight="false" outlineLevel="0" collapsed="false">
      <c r="A266" s="20" t="n">
        <v>4413087</v>
      </c>
      <c r="B266" s="20" t="str">
        <f aca="false">IFERROR(INDEX('Catalog'!$B:$B,MATCH($A266,'Catalog'!$A:$A,0)),"")</f>
        <v>422 Lמ.ברך+כרית סיל.סביב לפיקה</v>
      </c>
      <c r="C266" s="20" t="str">
        <f aca="false">IFERROR(INDEX('TRANS'!$A:$A,MATCH($A266,'TRANS'!$B:$B,0)),"")</f>
        <v/>
      </c>
      <c r="D266" s="21" t="n">
        <f aca="false">SUMIFS('CEMI Raw'!$C$6:$C$1018,'CEMI Raw'!$E$6:$E$1018,$A266,'CEMI Raw'!$B$6:$B$1018,2025)</f>
        <v>5</v>
      </c>
      <c r="E266" s="22" t="n">
        <f aca="false">SUMIFS('CEMI Raw'!$D$6:$D$1018,'CEMI Raw'!$E$6:$E$1018,$A266,'CEMI Raw'!$B$6:$B$1018,2025)</f>
        <v>899.5</v>
      </c>
      <c r="F266" s="21" t="n">
        <f aca="false">SUMIFS('CEMI Raw'!$C$6:$C$1018,'CEMI Raw'!$E$6:$E$1018,$A266,'CEMI Raw'!$B$6:$B$1018,2026)</f>
        <v>0</v>
      </c>
      <c r="G266" s="22" t="n">
        <f aca="false">SUMIFS('CEMI Raw'!$D$6:$D$1018,'CEMI Raw'!$E$6:$E$1018,$A266,'CEMI Raw'!$B$6:$B$1018,2026)</f>
        <v>0</v>
      </c>
      <c r="H266" s="21" t="n">
        <f aca="false">SUMIFS('SALES Raw'!$C$6:$C$603,'SALES Raw'!$E$6:$E$603,$A266,'SALES Raw'!$B$6:$B$603,2025)</f>
        <v>0</v>
      </c>
      <c r="I266" s="22" t="n">
        <f aca="false">SUMIFS('SALES Raw'!$D$6:$D$603,'SALES Raw'!$E$6:$E$603,$A266,'SALES Raw'!$B$6:$B$603,2025)</f>
        <v>0</v>
      </c>
      <c r="J266" s="21" t="n">
        <f aca="false">SUMIFS('SALES Raw'!$C$6:$C$603,'SALES Raw'!$E$6:$E$603,$A266,'SALES Raw'!$B$6:$B$603,2026)</f>
        <v>0</v>
      </c>
      <c r="K266" s="22" t="n">
        <f aca="false">SUMIFS('SALES Raw'!$D$6:$D$603,'SALES Raw'!$E$6:$E$603,$A266,'SALES Raw'!$B$6:$B$603,2026)</f>
        <v>0</v>
      </c>
      <c r="L266" s="21" t="n">
        <f aca="false">D266+H266</f>
        <v>5</v>
      </c>
      <c r="M266" s="22" t="n">
        <f aca="false">E266+I266</f>
        <v>899.5</v>
      </c>
      <c r="N266" s="21" t="n">
        <f aca="false">F266+J266</f>
        <v>0</v>
      </c>
      <c r="O266" s="22" t="n">
        <f aca="false">G266+K266</f>
        <v>0</v>
      </c>
    </row>
    <row r="267" customFormat="false" ht="15" hidden="false" customHeight="false" outlineLevel="0" collapsed="false">
      <c r="A267" s="20" t="n">
        <v>4413088</v>
      </c>
      <c r="B267" s="20" t="str">
        <f aca="false">IFERROR(INDEX('Catalog'!$B:$B,MATCH($A267,'Catalog'!$A:$A,0)),"")</f>
        <v>422 Mמ.ברך+כרית סיל.סביב לפיקה</v>
      </c>
      <c r="C267" s="20" t="str">
        <f aca="false">IFERROR(INDEX('TRANS'!$A:$A,MATCH($A267,'TRANS'!$B:$B,0)),"")</f>
        <v/>
      </c>
      <c r="D267" s="21" t="n">
        <f aca="false">SUMIFS('CEMI Raw'!$C$6:$C$1018,'CEMI Raw'!$E$6:$E$1018,$A267,'CEMI Raw'!$B$6:$B$1018,2025)</f>
        <v>2</v>
      </c>
      <c r="E267" s="22" t="n">
        <f aca="false">SUMIFS('CEMI Raw'!$D$6:$D$1018,'CEMI Raw'!$E$6:$E$1018,$A267,'CEMI Raw'!$B$6:$B$1018,2025)</f>
        <v>349.7</v>
      </c>
      <c r="F267" s="21" t="n">
        <f aca="false">SUMIFS('CEMI Raw'!$C$6:$C$1018,'CEMI Raw'!$E$6:$E$1018,$A267,'CEMI Raw'!$B$6:$B$1018,2026)</f>
        <v>0</v>
      </c>
      <c r="G267" s="22" t="n">
        <f aca="false">SUMIFS('CEMI Raw'!$D$6:$D$1018,'CEMI Raw'!$E$6:$E$1018,$A267,'CEMI Raw'!$B$6:$B$1018,2026)</f>
        <v>0</v>
      </c>
      <c r="H267" s="21" t="n">
        <f aca="false">SUMIFS('SALES Raw'!$C$6:$C$603,'SALES Raw'!$E$6:$E$603,$A267,'SALES Raw'!$B$6:$B$603,2025)</f>
        <v>0</v>
      </c>
      <c r="I267" s="22" t="n">
        <f aca="false">SUMIFS('SALES Raw'!$D$6:$D$603,'SALES Raw'!$E$6:$E$603,$A267,'SALES Raw'!$B$6:$B$603,2025)</f>
        <v>0</v>
      </c>
      <c r="J267" s="21" t="n">
        <f aca="false">SUMIFS('SALES Raw'!$C$6:$C$603,'SALES Raw'!$E$6:$E$603,$A267,'SALES Raw'!$B$6:$B$603,2026)</f>
        <v>0</v>
      </c>
      <c r="K267" s="22" t="n">
        <f aca="false">SUMIFS('SALES Raw'!$D$6:$D$603,'SALES Raw'!$E$6:$E$603,$A267,'SALES Raw'!$B$6:$B$603,2026)</f>
        <v>0</v>
      </c>
      <c r="L267" s="21" t="n">
        <f aca="false">D267+H267</f>
        <v>2</v>
      </c>
      <c r="M267" s="22" t="n">
        <f aca="false">E267+I267</f>
        <v>349.7</v>
      </c>
      <c r="N267" s="21" t="n">
        <f aca="false">F267+J267</f>
        <v>0</v>
      </c>
      <c r="O267" s="22" t="n">
        <f aca="false">G267+K267</f>
        <v>0</v>
      </c>
    </row>
    <row r="268" customFormat="false" ht="15" hidden="false" customHeight="false" outlineLevel="0" collapsed="false">
      <c r="A268" s="20" t="n">
        <v>4413089</v>
      </c>
      <c r="B268" s="20" t="str">
        <f aca="false">IFERROR(INDEX('Catalog'!$B:$B,MATCH($A268,'Catalog'!$A:$A,0)),"")</f>
        <v>422 Sמ.ברך+כרית סיל.סביב לפיקה</v>
      </c>
      <c r="C268" s="20" t="str">
        <f aca="false">IFERROR(INDEX('TRANS'!$A:$A,MATCH($A268,'TRANS'!$B:$B,0)),"")</f>
        <v>422 S</v>
      </c>
      <c r="D268" s="21" t="n">
        <f aca="false">SUMIFS('CEMI Raw'!$C$6:$C$1018,'CEMI Raw'!$E$6:$E$1018,$A268,'CEMI Raw'!$B$6:$B$1018,2025)</f>
        <v>0</v>
      </c>
      <c r="E268" s="22" t="n">
        <f aca="false">SUMIFS('CEMI Raw'!$D$6:$D$1018,'CEMI Raw'!$E$6:$E$1018,$A268,'CEMI Raw'!$B$6:$B$1018,2025)</f>
        <v>0</v>
      </c>
      <c r="F268" s="21" t="n">
        <f aca="false">SUMIFS('CEMI Raw'!$C$6:$C$1018,'CEMI Raw'!$E$6:$E$1018,$A268,'CEMI Raw'!$B$6:$B$1018,2026)</f>
        <v>2</v>
      </c>
      <c r="G268" s="22" t="n">
        <f aca="false">SUMIFS('CEMI Raw'!$D$6:$D$1018,'CEMI Raw'!$E$6:$E$1018,$A268,'CEMI Raw'!$B$6:$B$1018,2026)</f>
        <v>349.9</v>
      </c>
      <c r="H268" s="21" t="n">
        <f aca="false">SUMIFS('SALES Raw'!$C$6:$C$603,'SALES Raw'!$E$6:$E$603,$A268,'SALES Raw'!$B$6:$B$603,2025)</f>
        <v>0</v>
      </c>
      <c r="I268" s="22" t="n">
        <f aca="false">SUMIFS('SALES Raw'!$D$6:$D$603,'SALES Raw'!$E$6:$E$603,$A268,'SALES Raw'!$B$6:$B$603,2025)</f>
        <v>0</v>
      </c>
      <c r="J268" s="21" t="n">
        <f aca="false">SUMIFS('SALES Raw'!$C$6:$C$603,'SALES Raw'!$E$6:$E$603,$A268,'SALES Raw'!$B$6:$B$603,2026)</f>
        <v>0</v>
      </c>
      <c r="K268" s="22" t="n">
        <f aca="false">SUMIFS('SALES Raw'!$D$6:$D$603,'SALES Raw'!$E$6:$E$603,$A268,'SALES Raw'!$B$6:$B$603,2026)</f>
        <v>0</v>
      </c>
      <c r="L268" s="21" t="n">
        <f aca="false">D268+H268</f>
        <v>0</v>
      </c>
      <c r="M268" s="22" t="n">
        <f aca="false">E268+I268</f>
        <v>0</v>
      </c>
      <c r="N268" s="21" t="n">
        <f aca="false">F268+J268</f>
        <v>2</v>
      </c>
      <c r="O268" s="22" t="n">
        <f aca="false">G268+K268</f>
        <v>349.9</v>
      </c>
    </row>
    <row r="269" customFormat="false" ht="15" hidden="false" customHeight="false" outlineLevel="0" collapsed="false">
      <c r="A269" s="20" t="n">
        <v>4413090</v>
      </c>
      <c r="B269" s="20" t="str">
        <f aca="false">IFERROR(INDEX('Catalog'!$B:$B,MATCH($A269,'Catalog'!$A:$A,0)),"")</f>
        <v>422 XLמ.ברך+כרית סיל.סביב לפיק</v>
      </c>
      <c r="C269" s="20" t="str">
        <f aca="false">IFERROR(INDEX('TRANS'!$A:$A,MATCH($A269,'TRANS'!$B:$B,0)),"")</f>
        <v/>
      </c>
      <c r="D269" s="21" t="n">
        <f aca="false">SUMIFS('CEMI Raw'!$C$6:$C$1018,'CEMI Raw'!$E$6:$E$1018,$A269,'CEMI Raw'!$B$6:$B$1018,2025)</f>
        <v>8</v>
      </c>
      <c r="E269" s="22" t="n">
        <f aca="false">SUMIFS('CEMI Raw'!$D$6:$D$1018,'CEMI Raw'!$E$6:$E$1018,$A269,'CEMI Raw'!$B$6:$B$1018,2025)</f>
        <v>1449.2</v>
      </c>
      <c r="F269" s="21" t="n">
        <f aca="false">SUMIFS('CEMI Raw'!$C$6:$C$1018,'CEMI Raw'!$E$6:$E$1018,$A269,'CEMI Raw'!$B$6:$B$1018,2026)</f>
        <v>0</v>
      </c>
      <c r="G269" s="22" t="n">
        <f aca="false">SUMIFS('CEMI Raw'!$D$6:$D$1018,'CEMI Raw'!$E$6:$E$1018,$A269,'CEMI Raw'!$B$6:$B$1018,2026)</f>
        <v>0</v>
      </c>
      <c r="H269" s="21" t="n">
        <f aca="false">SUMIFS('SALES Raw'!$C$6:$C$603,'SALES Raw'!$E$6:$E$603,$A269,'SALES Raw'!$B$6:$B$603,2025)</f>
        <v>0</v>
      </c>
      <c r="I269" s="22" t="n">
        <f aca="false">SUMIFS('SALES Raw'!$D$6:$D$603,'SALES Raw'!$E$6:$E$603,$A269,'SALES Raw'!$B$6:$B$603,2025)</f>
        <v>0</v>
      </c>
      <c r="J269" s="21" t="n">
        <f aca="false">SUMIFS('SALES Raw'!$C$6:$C$603,'SALES Raw'!$E$6:$E$603,$A269,'SALES Raw'!$B$6:$B$603,2026)</f>
        <v>0</v>
      </c>
      <c r="K269" s="22" t="n">
        <f aca="false">SUMIFS('SALES Raw'!$D$6:$D$603,'SALES Raw'!$E$6:$E$603,$A269,'SALES Raw'!$B$6:$B$603,2026)</f>
        <v>0</v>
      </c>
      <c r="L269" s="21" t="n">
        <f aca="false">D269+H269</f>
        <v>8</v>
      </c>
      <c r="M269" s="22" t="n">
        <f aca="false">E269+I269</f>
        <v>1449.2</v>
      </c>
      <c r="N269" s="21" t="n">
        <f aca="false">F269+J269</f>
        <v>0</v>
      </c>
      <c r="O269" s="22" t="n">
        <f aca="false">G269+K269</f>
        <v>0</v>
      </c>
    </row>
    <row r="270" customFormat="false" ht="15" hidden="false" customHeight="false" outlineLevel="0" collapsed="false">
      <c r="A270" s="20" t="n">
        <v>4413091</v>
      </c>
      <c r="B270" s="20" t="str">
        <f aca="false">IFERROR(INDEX('Catalog'!$B:$B,MATCH($A270,'Catalog'!$A:$A,0)),"")</f>
        <v>422 XXLמ.ברך+כרית סיל.סב. פיקה</v>
      </c>
      <c r="C270" s="20" t="str">
        <f aca="false">IFERROR(INDEX('TRANS'!$A:$A,MATCH($A270,'TRANS'!$B:$B,0)),"")</f>
        <v/>
      </c>
      <c r="D270" s="21" t="n">
        <f aca="false">SUMIFS('CEMI Raw'!$C$6:$C$1018,'CEMI Raw'!$E$6:$E$1018,$A270,'CEMI Raw'!$B$6:$B$1018,2025)</f>
        <v>2</v>
      </c>
      <c r="E270" s="22" t="n">
        <f aca="false">SUMIFS('CEMI Raw'!$D$6:$D$1018,'CEMI Raw'!$E$6:$E$1018,$A270,'CEMI Raw'!$B$6:$B$1018,2025)</f>
        <v>374.9</v>
      </c>
      <c r="F270" s="21" t="n">
        <f aca="false">SUMIFS('CEMI Raw'!$C$6:$C$1018,'CEMI Raw'!$E$6:$E$1018,$A270,'CEMI Raw'!$B$6:$B$1018,2026)</f>
        <v>0</v>
      </c>
      <c r="G270" s="22" t="n">
        <f aca="false">SUMIFS('CEMI Raw'!$D$6:$D$1018,'CEMI Raw'!$E$6:$E$1018,$A270,'CEMI Raw'!$B$6:$B$1018,2026)</f>
        <v>0</v>
      </c>
      <c r="H270" s="21" t="n">
        <f aca="false">SUMIFS('SALES Raw'!$C$6:$C$603,'SALES Raw'!$E$6:$E$603,$A270,'SALES Raw'!$B$6:$B$603,2025)</f>
        <v>0</v>
      </c>
      <c r="I270" s="22" t="n">
        <f aca="false">SUMIFS('SALES Raw'!$D$6:$D$603,'SALES Raw'!$E$6:$E$603,$A270,'SALES Raw'!$B$6:$B$603,2025)</f>
        <v>0</v>
      </c>
      <c r="J270" s="21" t="n">
        <f aca="false">SUMIFS('SALES Raw'!$C$6:$C$603,'SALES Raw'!$E$6:$E$603,$A270,'SALES Raw'!$B$6:$B$603,2026)</f>
        <v>0</v>
      </c>
      <c r="K270" s="22" t="n">
        <f aca="false">SUMIFS('SALES Raw'!$D$6:$D$603,'SALES Raw'!$E$6:$E$603,$A270,'SALES Raw'!$B$6:$B$603,2026)</f>
        <v>0</v>
      </c>
      <c r="L270" s="21" t="n">
        <f aca="false">D270+H270</f>
        <v>2</v>
      </c>
      <c r="M270" s="22" t="n">
        <f aca="false">E270+I270</f>
        <v>374.9</v>
      </c>
      <c r="N270" s="21" t="n">
        <f aca="false">F270+J270</f>
        <v>0</v>
      </c>
      <c r="O270" s="22" t="n">
        <f aca="false">G270+K270</f>
        <v>0</v>
      </c>
    </row>
    <row r="271" customFormat="false" ht="15" hidden="false" customHeight="false" outlineLevel="0" collapsed="false">
      <c r="A271" s="20" t="n">
        <v>4413092</v>
      </c>
      <c r="B271" s="20" t="str">
        <f aca="false">IFERROR(INDEX('Catalog'!$B:$B,MATCH($A271,'Catalog'!$A:$A,0)),"")</f>
        <v>45 L מגן ברך לבן</v>
      </c>
      <c r="C271" s="20" t="str">
        <f aca="false">IFERROR(INDEX('TRANS'!$A:$A,MATCH($A271,'TRANS'!$B:$B,0)),"")</f>
        <v>45 L</v>
      </c>
      <c r="D271" s="21" t="n">
        <f aca="false">SUMIFS('CEMI Raw'!$C$6:$C$1018,'CEMI Raw'!$E$6:$E$1018,$A271,'CEMI Raw'!$B$6:$B$1018,2025)</f>
        <v>319</v>
      </c>
      <c r="E271" s="22" t="n">
        <f aca="false">SUMIFS('CEMI Raw'!$D$6:$D$1018,'CEMI Raw'!$E$6:$E$1018,$A271,'CEMI Raw'!$B$6:$B$1018,2025)</f>
        <v>9500.5</v>
      </c>
      <c r="F271" s="21" t="n">
        <f aca="false">SUMIFS('CEMI Raw'!$C$6:$C$1018,'CEMI Raw'!$E$6:$E$1018,$A271,'CEMI Raw'!$B$6:$B$1018,2026)</f>
        <v>240</v>
      </c>
      <c r="G271" s="22" t="n">
        <f aca="false">SUMIFS('CEMI Raw'!$D$6:$D$1018,'CEMI Raw'!$E$6:$E$1018,$A271,'CEMI Raw'!$B$6:$B$1018,2026)</f>
        <v>7170.2</v>
      </c>
      <c r="H271" s="21" t="n">
        <f aca="false">SUMIFS('SALES Raw'!$C$6:$C$603,'SALES Raw'!$E$6:$E$603,$A271,'SALES Raw'!$B$6:$B$603,2025)</f>
        <v>17</v>
      </c>
      <c r="I271" s="22" t="n">
        <f aca="false">SUMIFS('SALES Raw'!$D$6:$D$603,'SALES Raw'!$E$6:$E$603,$A271,'SALES Raw'!$B$6:$B$603,2025)</f>
        <v>523.99</v>
      </c>
      <c r="J271" s="21" t="n">
        <f aca="false">SUMIFS('SALES Raw'!$C$6:$C$603,'SALES Raw'!$E$6:$E$603,$A271,'SALES Raw'!$B$6:$B$603,2026)</f>
        <v>8</v>
      </c>
      <c r="K271" s="22" t="n">
        <f aca="false">SUMIFS('SALES Raw'!$D$6:$D$603,'SALES Raw'!$E$6:$E$603,$A271,'SALES Raw'!$B$6:$B$603,2026)</f>
        <v>247.13</v>
      </c>
      <c r="L271" s="21" t="n">
        <f aca="false">D271+H271</f>
        <v>336</v>
      </c>
      <c r="M271" s="22" t="n">
        <f aca="false">E271+I271</f>
        <v>10024.49</v>
      </c>
      <c r="N271" s="21" t="n">
        <f aca="false">F271+J271</f>
        <v>248</v>
      </c>
      <c r="O271" s="22" t="n">
        <f aca="false">G271+K271</f>
        <v>7417.33</v>
      </c>
    </row>
    <row r="272" customFormat="false" ht="15" hidden="false" customHeight="false" outlineLevel="0" collapsed="false">
      <c r="A272" s="20" t="n">
        <v>4413093</v>
      </c>
      <c r="B272" s="20" t="str">
        <f aca="false">IFERROR(INDEX('Catalog'!$B:$B,MATCH($A272,'Catalog'!$A:$A,0)),"")</f>
        <v>45 M מגן ברך לבן</v>
      </c>
      <c r="C272" s="20" t="str">
        <f aca="false">IFERROR(INDEX('TRANS'!$A:$A,MATCH($A272,'TRANS'!$B:$B,0)),"")</f>
        <v>45 M</v>
      </c>
      <c r="D272" s="21" t="n">
        <f aca="false">SUMIFS('CEMI Raw'!$C$6:$C$1018,'CEMI Raw'!$E$6:$E$1018,$A272,'CEMI Raw'!$B$6:$B$1018,2025)</f>
        <v>285</v>
      </c>
      <c r="E272" s="22" t="n">
        <f aca="false">SUMIFS('CEMI Raw'!$D$6:$D$1018,'CEMI Raw'!$E$6:$E$1018,$A272,'CEMI Raw'!$B$6:$B$1018,2025)</f>
        <v>8439</v>
      </c>
      <c r="F272" s="21" t="n">
        <f aca="false">SUMIFS('CEMI Raw'!$C$6:$C$1018,'CEMI Raw'!$E$6:$E$1018,$A272,'CEMI Raw'!$B$6:$B$1018,2026)</f>
        <v>185</v>
      </c>
      <c r="G272" s="22" t="n">
        <f aca="false">SUMIFS('CEMI Raw'!$D$6:$D$1018,'CEMI Raw'!$E$6:$E$1018,$A272,'CEMI Raw'!$B$6:$B$1018,2026)</f>
        <v>5513.1</v>
      </c>
      <c r="H272" s="21" t="n">
        <f aca="false">SUMIFS('SALES Raw'!$C$6:$C$603,'SALES Raw'!$E$6:$E$603,$A272,'SALES Raw'!$B$6:$B$603,2025)</f>
        <v>12</v>
      </c>
      <c r="I272" s="22" t="n">
        <f aca="false">SUMIFS('SALES Raw'!$D$6:$D$603,'SALES Raw'!$E$6:$E$603,$A272,'SALES Raw'!$B$6:$B$603,2025)</f>
        <v>367.25</v>
      </c>
      <c r="J272" s="21" t="n">
        <f aca="false">SUMIFS('SALES Raw'!$C$6:$C$603,'SALES Raw'!$E$6:$E$603,$A272,'SALES Raw'!$B$6:$B$603,2026)</f>
        <v>5</v>
      </c>
      <c r="K272" s="22" t="n">
        <f aca="false">SUMIFS('SALES Raw'!$D$6:$D$603,'SALES Raw'!$E$6:$E$603,$A272,'SALES Raw'!$B$6:$B$603,2026)</f>
        <v>154.45</v>
      </c>
      <c r="L272" s="21" t="n">
        <f aca="false">D272+H272</f>
        <v>297</v>
      </c>
      <c r="M272" s="22" t="n">
        <f aca="false">E272+I272</f>
        <v>8806.25</v>
      </c>
      <c r="N272" s="21" t="n">
        <f aca="false">F272+J272</f>
        <v>190</v>
      </c>
      <c r="O272" s="22" t="n">
        <f aca="false">G272+K272</f>
        <v>5667.55</v>
      </c>
    </row>
    <row r="273" customFormat="false" ht="15" hidden="false" customHeight="false" outlineLevel="0" collapsed="false">
      <c r="A273" s="20" t="n">
        <v>4413094</v>
      </c>
      <c r="B273" s="20" t="str">
        <f aca="false">IFERROR(INDEX('Catalog'!$B:$B,MATCH($A273,'Catalog'!$A:$A,0)),"")</f>
        <v>45 S מגן ברך לבן</v>
      </c>
      <c r="C273" s="20" t="str">
        <f aca="false">IFERROR(INDEX('TRANS'!$A:$A,MATCH($A273,'TRANS'!$B:$B,0)),"")</f>
        <v>45 S</v>
      </c>
      <c r="D273" s="21" t="n">
        <f aca="false">SUMIFS('CEMI Raw'!$C$6:$C$1018,'CEMI Raw'!$E$6:$E$1018,$A273,'CEMI Raw'!$B$6:$B$1018,2025)</f>
        <v>120</v>
      </c>
      <c r="E273" s="22" t="n">
        <f aca="false">SUMIFS('CEMI Raw'!$D$6:$D$1018,'CEMI Raw'!$E$6:$E$1018,$A273,'CEMI Raw'!$B$6:$B$1018,2025)</f>
        <v>3533.1</v>
      </c>
      <c r="F273" s="21" t="n">
        <f aca="false">SUMIFS('CEMI Raw'!$C$6:$C$1018,'CEMI Raw'!$E$6:$E$1018,$A273,'CEMI Raw'!$B$6:$B$1018,2026)</f>
        <v>72</v>
      </c>
      <c r="G273" s="22" t="n">
        <f aca="false">SUMIFS('CEMI Raw'!$D$6:$D$1018,'CEMI Raw'!$E$6:$E$1018,$A273,'CEMI Raw'!$B$6:$B$1018,2026)</f>
        <v>2154.1</v>
      </c>
      <c r="H273" s="21" t="n">
        <f aca="false">SUMIFS('SALES Raw'!$C$6:$C$603,'SALES Raw'!$E$6:$E$603,$A273,'SALES Raw'!$B$6:$B$603,2025)</f>
        <v>3</v>
      </c>
      <c r="I273" s="22" t="n">
        <f aca="false">SUMIFS('SALES Raw'!$D$6:$D$603,'SALES Raw'!$E$6:$E$603,$A273,'SALES Raw'!$B$6:$B$603,2025)</f>
        <v>91.52</v>
      </c>
      <c r="J273" s="21" t="n">
        <f aca="false">SUMIFS('SALES Raw'!$C$6:$C$603,'SALES Raw'!$E$6:$E$603,$A273,'SALES Raw'!$B$6:$B$603,2026)</f>
        <v>1</v>
      </c>
      <c r="K273" s="22" t="n">
        <f aca="false">SUMIFS('SALES Raw'!$D$6:$D$603,'SALES Raw'!$E$6:$E$603,$A273,'SALES Raw'!$B$6:$B$603,2026)</f>
        <v>30.89</v>
      </c>
      <c r="L273" s="21" t="n">
        <f aca="false">D273+H273</f>
        <v>123</v>
      </c>
      <c r="M273" s="22" t="n">
        <f aca="false">E273+I273</f>
        <v>3624.62</v>
      </c>
      <c r="N273" s="21" t="n">
        <f aca="false">F273+J273</f>
        <v>73</v>
      </c>
      <c r="O273" s="22" t="n">
        <f aca="false">G273+K273</f>
        <v>2184.99</v>
      </c>
    </row>
    <row r="274" customFormat="false" ht="15" hidden="false" customHeight="false" outlineLevel="0" collapsed="false">
      <c r="A274" s="20" t="n">
        <v>4413095</v>
      </c>
      <c r="B274" s="20" t="str">
        <f aca="false">IFERROR(INDEX('Catalog'!$B:$B,MATCH($A274,'Catalog'!$A:$A,0)),"")</f>
        <v>45 XL מגן ברך לבן</v>
      </c>
      <c r="C274" s="20" t="str">
        <f aca="false">IFERROR(INDEX('TRANS'!$A:$A,MATCH($A274,'TRANS'!$B:$B,0)),"")</f>
        <v>45 XL</v>
      </c>
      <c r="D274" s="21" t="n">
        <f aca="false">SUMIFS('CEMI Raw'!$C$6:$C$1018,'CEMI Raw'!$E$6:$E$1018,$A274,'CEMI Raw'!$B$6:$B$1018,2025)</f>
        <v>241</v>
      </c>
      <c r="E274" s="22" t="n">
        <f aca="false">SUMIFS('CEMI Raw'!$D$6:$D$1018,'CEMI Raw'!$E$6:$E$1018,$A274,'CEMI Raw'!$B$6:$B$1018,2025)</f>
        <v>7175.7</v>
      </c>
      <c r="F274" s="21" t="n">
        <f aca="false">SUMIFS('CEMI Raw'!$C$6:$C$1018,'CEMI Raw'!$E$6:$E$1018,$A274,'CEMI Raw'!$B$6:$B$1018,2026)</f>
        <v>173</v>
      </c>
      <c r="G274" s="22" t="n">
        <f aca="false">SUMIFS('CEMI Raw'!$D$6:$D$1018,'CEMI Raw'!$E$6:$E$1018,$A274,'CEMI Raw'!$B$6:$B$1018,2026)</f>
        <v>5164.4</v>
      </c>
      <c r="H274" s="21" t="n">
        <f aca="false">SUMIFS('SALES Raw'!$C$6:$C$603,'SALES Raw'!$E$6:$E$603,$A274,'SALES Raw'!$B$6:$B$603,2025)</f>
        <v>5</v>
      </c>
      <c r="I274" s="22" t="n">
        <f aca="false">SUMIFS('SALES Raw'!$D$6:$D$603,'SALES Raw'!$E$6:$E$603,$A274,'SALES Raw'!$B$6:$B$603,2025)</f>
        <v>153.3</v>
      </c>
      <c r="J274" s="21" t="n">
        <f aca="false">SUMIFS('SALES Raw'!$C$6:$C$603,'SALES Raw'!$E$6:$E$603,$A274,'SALES Raw'!$B$6:$B$603,2026)</f>
        <v>2</v>
      </c>
      <c r="K274" s="22" t="n">
        <f aca="false">SUMIFS('SALES Raw'!$D$6:$D$603,'SALES Raw'!$E$6:$E$603,$A274,'SALES Raw'!$B$6:$B$603,2026)</f>
        <v>61.78</v>
      </c>
      <c r="L274" s="21" t="n">
        <f aca="false">D274+H274</f>
        <v>246</v>
      </c>
      <c r="M274" s="22" t="n">
        <f aca="false">E274+I274</f>
        <v>7329</v>
      </c>
      <c r="N274" s="21" t="n">
        <f aca="false">F274+J274</f>
        <v>175</v>
      </c>
      <c r="O274" s="22" t="n">
        <f aca="false">G274+K274</f>
        <v>5226.18</v>
      </c>
    </row>
    <row r="275" customFormat="false" ht="15" hidden="false" customHeight="false" outlineLevel="0" collapsed="false">
      <c r="A275" s="20" t="n">
        <v>4413096</v>
      </c>
      <c r="B275" s="20" t="str">
        <f aca="false">IFERROR(INDEX('Catalog'!$B:$B,MATCH($A275,'Catalog'!$A:$A,0)),"")</f>
        <v>45 XXL מגן ברך לבן</v>
      </c>
      <c r="C275" s="20" t="str">
        <f aca="false">IFERROR(INDEX('TRANS'!$A:$A,MATCH($A275,'TRANS'!$B:$B,0)),"")</f>
        <v>45 XXL</v>
      </c>
      <c r="D275" s="21" t="n">
        <f aca="false">SUMIFS('CEMI Raw'!$C$6:$C$1018,'CEMI Raw'!$E$6:$E$1018,$A275,'CEMI Raw'!$B$6:$B$1018,2025)</f>
        <v>121</v>
      </c>
      <c r="E275" s="22" t="n">
        <f aca="false">SUMIFS('CEMI Raw'!$D$6:$D$1018,'CEMI Raw'!$E$6:$E$1018,$A275,'CEMI Raw'!$B$6:$B$1018,2025)</f>
        <v>3635.4</v>
      </c>
      <c r="F275" s="21" t="n">
        <f aca="false">SUMIFS('CEMI Raw'!$C$6:$C$1018,'CEMI Raw'!$E$6:$E$1018,$A275,'CEMI Raw'!$B$6:$B$1018,2026)</f>
        <v>81</v>
      </c>
      <c r="G275" s="22" t="n">
        <f aca="false">SUMIFS('CEMI Raw'!$D$6:$D$1018,'CEMI Raw'!$E$6:$E$1018,$A275,'CEMI Raw'!$B$6:$B$1018,2026)</f>
        <v>2415.6</v>
      </c>
      <c r="H275" s="21" t="n">
        <f aca="false">SUMIFS('SALES Raw'!$C$6:$C$603,'SALES Raw'!$E$6:$E$603,$A275,'SALES Raw'!$B$6:$B$603,2025)</f>
        <v>3</v>
      </c>
      <c r="I275" s="22" t="n">
        <f aca="false">SUMIFS('SALES Raw'!$D$6:$D$603,'SALES Raw'!$E$6:$E$603,$A275,'SALES Raw'!$B$6:$B$603,2025)</f>
        <v>90.37</v>
      </c>
      <c r="J275" s="21" t="n">
        <f aca="false">SUMIFS('SALES Raw'!$C$6:$C$603,'SALES Raw'!$E$6:$E$603,$A275,'SALES Raw'!$B$6:$B$603,2026)</f>
        <v>2</v>
      </c>
      <c r="K275" s="22" t="n">
        <f aca="false">SUMIFS('SALES Raw'!$D$6:$D$603,'SALES Raw'!$E$6:$E$603,$A275,'SALES Raw'!$B$6:$B$603,2026)</f>
        <v>61.79</v>
      </c>
      <c r="L275" s="21" t="n">
        <f aca="false">D275+H275</f>
        <v>124</v>
      </c>
      <c r="M275" s="22" t="n">
        <f aca="false">E275+I275</f>
        <v>3725.77</v>
      </c>
      <c r="N275" s="21" t="n">
        <f aca="false">F275+J275</f>
        <v>83</v>
      </c>
      <c r="O275" s="22" t="n">
        <f aca="false">G275+K275</f>
        <v>2477.39</v>
      </c>
    </row>
    <row r="276" customFormat="false" ht="15" hidden="false" customHeight="false" outlineLevel="0" collapsed="false">
      <c r="A276" s="20" t="n">
        <v>4413097</v>
      </c>
      <c r="B276" s="20" t="str">
        <f aca="false">IFERROR(INDEX('Catalog'!$B:$B,MATCH($A276,'Catalog'!$A:$A,0)),"")</f>
        <v>45C S מגן ברך חום</v>
      </c>
      <c r="C276" s="20" t="str">
        <f aca="false">IFERROR(INDEX('TRANS'!$A:$A,MATCH($A276,'TRANS'!$B:$B,0)),"")</f>
        <v>45C S</v>
      </c>
      <c r="D276" s="21" t="n">
        <f aca="false">SUMIFS('CEMI Raw'!$C$6:$C$1018,'CEMI Raw'!$E$6:$E$1018,$A276,'CEMI Raw'!$B$6:$B$1018,2025)</f>
        <v>158</v>
      </c>
      <c r="E276" s="22" t="n">
        <f aca="false">SUMIFS('CEMI Raw'!$D$6:$D$1018,'CEMI Raw'!$E$6:$E$1018,$A276,'CEMI Raw'!$B$6:$B$1018,2025)</f>
        <v>4737.2</v>
      </c>
      <c r="F276" s="21" t="n">
        <f aca="false">SUMIFS('CEMI Raw'!$C$6:$C$1018,'CEMI Raw'!$E$6:$E$1018,$A276,'CEMI Raw'!$B$6:$B$1018,2026)</f>
        <v>103</v>
      </c>
      <c r="G276" s="22" t="n">
        <f aca="false">SUMIFS('CEMI Raw'!$D$6:$D$1018,'CEMI Raw'!$E$6:$E$1018,$A276,'CEMI Raw'!$B$6:$B$1018,2026)</f>
        <v>3118.6</v>
      </c>
      <c r="H276" s="21" t="n">
        <f aca="false">SUMIFS('SALES Raw'!$C$6:$C$603,'SALES Raw'!$E$6:$E$603,$A276,'SALES Raw'!$B$6:$B$603,2025)</f>
        <v>5</v>
      </c>
      <c r="I276" s="22" t="n">
        <f aca="false">SUMIFS('SALES Raw'!$D$6:$D$603,'SALES Raw'!$E$6:$E$603,$A276,'SALES Raw'!$B$6:$B$603,2025)</f>
        <v>154.45</v>
      </c>
      <c r="J276" s="21" t="n">
        <f aca="false">SUMIFS('SALES Raw'!$C$6:$C$603,'SALES Raw'!$E$6:$E$603,$A276,'SALES Raw'!$B$6:$B$603,2026)</f>
        <v>4</v>
      </c>
      <c r="K276" s="22" t="n">
        <f aca="false">SUMIFS('SALES Raw'!$D$6:$D$603,'SALES Raw'!$E$6:$E$603,$A276,'SALES Raw'!$B$6:$B$603,2026)</f>
        <v>123.56</v>
      </c>
      <c r="L276" s="21" t="n">
        <f aca="false">D276+H276</f>
        <v>163</v>
      </c>
      <c r="M276" s="22" t="n">
        <f aca="false">E276+I276</f>
        <v>4891.65</v>
      </c>
      <c r="N276" s="21" t="n">
        <f aca="false">F276+J276</f>
        <v>107</v>
      </c>
      <c r="O276" s="22" t="n">
        <f aca="false">G276+K276</f>
        <v>3242.16</v>
      </c>
    </row>
    <row r="277" customFormat="false" ht="15" hidden="false" customHeight="false" outlineLevel="0" collapsed="false">
      <c r="A277" s="20" t="n">
        <v>4413098</v>
      </c>
      <c r="B277" s="20" t="str">
        <f aca="false">IFERROR(INDEX('Catalog'!$B:$B,MATCH($A277,'Catalog'!$A:$A,0)),"")</f>
        <v>45C L מגן ברך חום</v>
      </c>
      <c r="C277" s="20" t="str">
        <f aca="false">IFERROR(INDEX('TRANS'!$A:$A,MATCH($A277,'TRANS'!$B:$B,0)),"")</f>
        <v>45C L</v>
      </c>
      <c r="D277" s="21" t="n">
        <f aca="false">SUMIFS('CEMI Raw'!$C$6:$C$1018,'CEMI Raw'!$E$6:$E$1018,$A277,'CEMI Raw'!$B$6:$B$1018,2025)</f>
        <v>465</v>
      </c>
      <c r="E277" s="22" t="n">
        <f aca="false">SUMIFS('CEMI Raw'!$D$6:$D$1018,'CEMI Raw'!$E$6:$E$1018,$A277,'CEMI Raw'!$B$6:$B$1018,2025)</f>
        <v>13964.7</v>
      </c>
      <c r="F277" s="21" t="n">
        <f aca="false">SUMIFS('CEMI Raw'!$C$6:$C$1018,'CEMI Raw'!$E$6:$E$1018,$A277,'CEMI Raw'!$B$6:$B$1018,2026)</f>
        <v>284</v>
      </c>
      <c r="G277" s="22" t="n">
        <f aca="false">SUMIFS('CEMI Raw'!$D$6:$D$1018,'CEMI Raw'!$E$6:$E$1018,$A277,'CEMI Raw'!$B$6:$B$1018,2026)</f>
        <v>8558.2</v>
      </c>
      <c r="H277" s="21" t="n">
        <f aca="false">SUMIFS('SALES Raw'!$C$6:$C$603,'SALES Raw'!$E$6:$E$603,$A277,'SALES Raw'!$B$6:$B$603,2025)</f>
        <v>15</v>
      </c>
      <c r="I277" s="22" t="n">
        <f aca="false">SUMIFS('SALES Raw'!$D$6:$D$603,'SALES Raw'!$E$6:$E$603,$A277,'SALES Raw'!$B$6:$B$603,2025)</f>
        <v>461.08</v>
      </c>
      <c r="J277" s="21" t="n">
        <f aca="false">SUMIFS('SALES Raw'!$C$6:$C$603,'SALES Raw'!$E$6:$E$603,$A277,'SALES Raw'!$B$6:$B$603,2026)</f>
        <v>10</v>
      </c>
      <c r="K277" s="22" t="n">
        <f aca="false">SUMIFS('SALES Raw'!$D$6:$D$603,'SALES Raw'!$E$6:$E$603,$A277,'SALES Raw'!$B$6:$B$603,2026)</f>
        <v>308.91</v>
      </c>
      <c r="L277" s="21" t="n">
        <f aca="false">D277+H277</f>
        <v>480</v>
      </c>
      <c r="M277" s="22" t="n">
        <f aca="false">E277+I277</f>
        <v>14425.78</v>
      </c>
      <c r="N277" s="21" t="n">
        <f aca="false">F277+J277</f>
        <v>294</v>
      </c>
      <c r="O277" s="22" t="n">
        <f aca="false">G277+K277</f>
        <v>8867.11</v>
      </c>
    </row>
    <row r="278" customFormat="false" ht="15" hidden="false" customHeight="false" outlineLevel="0" collapsed="false">
      <c r="A278" s="20" t="n">
        <v>4413099</v>
      </c>
      <c r="B278" s="20" t="str">
        <f aca="false">IFERROR(INDEX('Catalog'!$B:$B,MATCH($A278,'Catalog'!$A:$A,0)),"")</f>
        <v>45C M מגן ברך חום</v>
      </c>
      <c r="C278" s="20" t="str">
        <f aca="false">IFERROR(INDEX('TRANS'!$A:$A,MATCH($A278,'TRANS'!$B:$B,0)),"")</f>
        <v>45C M</v>
      </c>
      <c r="D278" s="21" t="n">
        <f aca="false">SUMIFS('CEMI Raw'!$C$6:$C$1018,'CEMI Raw'!$E$6:$E$1018,$A278,'CEMI Raw'!$B$6:$B$1018,2025)</f>
        <v>371</v>
      </c>
      <c r="E278" s="22" t="n">
        <f aca="false">SUMIFS('CEMI Raw'!$D$6:$D$1018,'CEMI Raw'!$E$6:$E$1018,$A278,'CEMI Raw'!$B$6:$B$1018,2025)</f>
        <v>11145.9</v>
      </c>
      <c r="F278" s="21" t="n">
        <f aca="false">SUMIFS('CEMI Raw'!$C$6:$C$1018,'CEMI Raw'!$E$6:$E$1018,$A278,'CEMI Raw'!$B$6:$B$1018,2026)</f>
        <v>241</v>
      </c>
      <c r="G278" s="22" t="n">
        <f aca="false">SUMIFS('CEMI Raw'!$D$6:$D$1018,'CEMI Raw'!$E$6:$E$1018,$A278,'CEMI Raw'!$B$6:$B$1018,2026)</f>
        <v>7267.8</v>
      </c>
      <c r="H278" s="21" t="n">
        <f aca="false">SUMIFS('SALES Raw'!$C$6:$C$603,'SALES Raw'!$E$6:$E$603,$A278,'SALES Raw'!$B$6:$B$603,2025)</f>
        <v>3</v>
      </c>
      <c r="I278" s="22" t="n">
        <f aca="false">SUMIFS('SALES Raw'!$D$6:$D$603,'SALES Raw'!$E$6:$E$603,$A278,'SALES Raw'!$B$6:$B$603,2025)</f>
        <v>92.67</v>
      </c>
      <c r="J278" s="21" t="n">
        <f aca="false">SUMIFS('SALES Raw'!$C$6:$C$603,'SALES Raw'!$E$6:$E$603,$A278,'SALES Raw'!$B$6:$B$603,2026)</f>
        <v>8</v>
      </c>
      <c r="K278" s="22" t="n">
        <f aca="false">SUMIFS('SALES Raw'!$D$6:$D$603,'SALES Raw'!$E$6:$E$603,$A278,'SALES Raw'!$B$6:$B$603,2026)</f>
        <v>247.13</v>
      </c>
      <c r="L278" s="21" t="n">
        <f aca="false">D278+H278</f>
        <v>374</v>
      </c>
      <c r="M278" s="22" t="n">
        <f aca="false">E278+I278</f>
        <v>11238.57</v>
      </c>
      <c r="N278" s="21" t="n">
        <f aca="false">F278+J278</f>
        <v>249</v>
      </c>
      <c r="O278" s="22" t="n">
        <f aca="false">G278+K278</f>
        <v>7514.93</v>
      </c>
    </row>
    <row r="279" customFormat="false" ht="15" hidden="false" customHeight="false" outlineLevel="0" collapsed="false">
      <c r="A279" s="20" t="n">
        <v>4413100</v>
      </c>
      <c r="B279" s="20" t="str">
        <f aca="false">IFERROR(INDEX('Catalog'!$B:$B,MATCH($A279,'Catalog'!$A:$A,0)),"")</f>
        <v>45C XL מגן ברך חום</v>
      </c>
      <c r="C279" s="20" t="str">
        <f aca="false">IFERROR(INDEX('TRANS'!$A:$A,MATCH($A279,'TRANS'!$B:$B,0)),"")</f>
        <v>45C XL</v>
      </c>
      <c r="D279" s="21" t="n">
        <f aca="false">SUMIFS('CEMI Raw'!$C$6:$C$1018,'CEMI Raw'!$E$6:$E$1018,$A279,'CEMI Raw'!$B$6:$B$1018,2025)</f>
        <v>331</v>
      </c>
      <c r="E279" s="22" t="n">
        <f aca="false">SUMIFS('CEMI Raw'!$D$6:$D$1018,'CEMI Raw'!$E$6:$E$1018,$A279,'CEMI Raw'!$B$6:$B$1018,2025)</f>
        <v>9904.8</v>
      </c>
      <c r="F279" s="21" t="n">
        <f aca="false">SUMIFS('CEMI Raw'!$C$6:$C$1018,'CEMI Raw'!$E$6:$E$1018,$A279,'CEMI Raw'!$B$6:$B$1018,2026)</f>
        <v>260</v>
      </c>
      <c r="G279" s="22" t="n">
        <f aca="false">SUMIFS('CEMI Raw'!$D$6:$D$1018,'CEMI Raw'!$E$6:$E$1018,$A279,'CEMI Raw'!$B$6:$B$1018,2026)</f>
        <v>7867.9</v>
      </c>
      <c r="H279" s="21" t="n">
        <f aca="false">SUMIFS('SALES Raw'!$C$6:$C$603,'SALES Raw'!$E$6:$E$603,$A279,'SALES Raw'!$B$6:$B$603,2025)</f>
        <v>1</v>
      </c>
      <c r="I279" s="22" t="n">
        <f aca="false">SUMIFS('SALES Raw'!$D$6:$D$603,'SALES Raw'!$E$6:$E$603,$A279,'SALES Raw'!$B$6:$B$603,2025)</f>
        <v>30.89</v>
      </c>
      <c r="J279" s="21" t="n">
        <f aca="false">SUMIFS('SALES Raw'!$C$6:$C$603,'SALES Raw'!$E$6:$E$603,$A279,'SALES Raw'!$B$6:$B$603,2026)</f>
        <v>7</v>
      </c>
      <c r="K279" s="22" t="n">
        <f aca="false">SUMIFS('SALES Raw'!$D$6:$D$603,'SALES Raw'!$E$6:$E$603,$A279,'SALES Raw'!$B$6:$B$603,2026)</f>
        <v>216.24</v>
      </c>
      <c r="L279" s="21" t="n">
        <f aca="false">D279+H279</f>
        <v>332</v>
      </c>
      <c r="M279" s="22" t="n">
        <f aca="false">E279+I279</f>
        <v>9935.69</v>
      </c>
      <c r="N279" s="21" t="n">
        <f aca="false">F279+J279</f>
        <v>267</v>
      </c>
      <c r="O279" s="22" t="n">
        <f aca="false">G279+K279</f>
        <v>8084.14</v>
      </c>
    </row>
    <row r="280" customFormat="false" ht="15" hidden="false" customHeight="false" outlineLevel="0" collapsed="false">
      <c r="A280" s="20" t="n">
        <v>4413101</v>
      </c>
      <c r="B280" s="20" t="str">
        <f aca="false">IFERROR(INDEX('Catalog'!$B:$B,MATCH($A280,'Catalog'!$A:$A,0)),"")</f>
        <v>45E Sמגן ברך ארוך לבן</v>
      </c>
      <c r="C280" s="20" t="str">
        <f aca="false">IFERROR(INDEX('TRANS'!$A:$A,MATCH($A280,'TRANS'!$B:$B,0)),"")</f>
        <v>45E S</v>
      </c>
      <c r="D280" s="21" t="n">
        <f aca="false">SUMIFS('CEMI Raw'!$C$6:$C$1018,'CEMI Raw'!$E$6:$E$1018,$A280,'CEMI Raw'!$B$6:$B$1018,2025)</f>
        <v>36</v>
      </c>
      <c r="E280" s="22" t="n">
        <f aca="false">SUMIFS('CEMI Raw'!$D$6:$D$1018,'CEMI Raw'!$E$6:$E$1018,$A280,'CEMI Raw'!$B$6:$B$1018,2025)</f>
        <v>1319.1</v>
      </c>
      <c r="F280" s="21" t="n">
        <f aca="false">SUMIFS('CEMI Raw'!$C$6:$C$1018,'CEMI Raw'!$E$6:$E$1018,$A280,'CEMI Raw'!$B$6:$B$1018,2026)</f>
        <v>28</v>
      </c>
      <c r="G280" s="22" t="n">
        <f aca="false">SUMIFS('CEMI Raw'!$D$6:$D$1018,'CEMI Raw'!$E$6:$E$1018,$A280,'CEMI Raw'!$B$6:$B$1018,2026)</f>
        <v>1008.7</v>
      </c>
      <c r="H280" s="21" t="n">
        <f aca="false">SUMIFS('SALES Raw'!$C$6:$C$603,'SALES Raw'!$E$6:$E$603,$A280,'SALES Raw'!$B$6:$B$603,2025)</f>
        <v>0</v>
      </c>
      <c r="I280" s="22" t="n">
        <f aca="false">SUMIFS('SALES Raw'!$D$6:$D$603,'SALES Raw'!$E$6:$E$603,$A280,'SALES Raw'!$B$6:$B$603,2025)</f>
        <v>0</v>
      </c>
      <c r="J280" s="21" t="n">
        <f aca="false">SUMIFS('SALES Raw'!$C$6:$C$603,'SALES Raw'!$E$6:$E$603,$A280,'SALES Raw'!$B$6:$B$603,2026)</f>
        <v>1</v>
      </c>
      <c r="K280" s="22" t="n">
        <f aca="false">SUMIFS('SALES Raw'!$D$6:$D$603,'SALES Raw'!$E$6:$E$603,$A280,'SALES Raw'!$B$6:$B$603,2026)</f>
        <v>37.45</v>
      </c>
      <c r="L280" s="21" t="n">
        <f aca="false">D280+H280</f>
        <v>36</v>
      </c>
      <c r="M280" s="22" t="n">
        <f aca="false">E280+I280</f>
        <v>1319.1</v>
      </c>
      <c r="N280" s="21" t="n">
        <f aca="false">F280+J280</f>
        <v>29</v>
      </c>
      <c r="O280" s="22" t="n">
        <f aca="false">G280+K280</f>
        <v>1046.15</v>
      </c>
    </row>
    <row r="281" customFormat="false" ht="15" hidden="false" customHeight="false" outlineLevel="0" collapsed="false">
      <c r="A281" s="20" t="n">
        <v>4413102</v>
      </c>
      <c r="B281" s="20" t="str">
        <f aca="false">IFERROR(INDEX('Catalog'!$B:$B,MATCH($A281,'Catalog'!$A:$A,0)),"")</f>
        <v>45E  L        מגן ברך ארוך לבן</v>
      </c>
      <c r="C281" s="20" t="str">
        <f aca="false">IFERROR(INDEX('TRANS'!$A:$A,MATCH($A281,'TRANS'!$B:$B,0)),"")</f>
        <v>45E L</v>
      </c>
      <c r="D281" s="21" t="n">
        <f aca="false">SUMIFS('CEMI Raw'!$C$6:$C$1018,'CEMI Raw'!$E$6:$E$1018,$A281,'CEMI Raw'!$B$6:$B$1018,2025)</f>
        <v>142</v>
      </c>
      <c r="E281" s="22" t="n">
        <f aca="false">SUMIFS('CEMI Raw'!$D$6:$D$1018,'CEMI Raw'!$E$6:$E$1018,$A281,'CEMI Raw'!$B$6:$B$1018,2025)</f>
        <v>5108.9</v>
      </c>
      <c r="F281" s="21" t="n">
        <f aca="false">SUMIFS('CEMI Raw'!$C$6:$C$1018,'CEMI Raw'!$E$6:$E$1018,$A281,'CEMI Raw'!$B$6:$B$1018,2026)</f>
        <v>90</v>
      </c>
      <c r="G281" s="22" t="n">
        <f aca="false">SUMIFS('CEMI Raw'!$D$6:$D$1018,'CEMI Raw'!$E$6:$E$1018,$A281,'CEMI Raw'!$B$6:$B$1018,2026)</f>
        <v>3242.9</v>
      </c>
      <c r="H281" s="21" t="n">
        <f aca="false">SUMIFS('SALES Raw'!$C$6:$C$603,'SALES Raw'!$E$6:$E$603,$A281,'SALES Raw'!$B$6:$B$603,2025)</f>
        <v>9</v>
      </c>
      <c r="I281" s="22" t="n">
        <f aca="false">SUMIFS('SALES Raw'!$D$6:$D$603,'SALES Raw'!$E$6:$E$603,$A281,'SALES Raw'!$B$6:$B$603,2025)</f>
        <v>337.09</v>
      </c>
      <c r="J281" s="21" t="n">
        <f aca="false">SUMIFS('SALES Raw'!$C$6:$C$603,'SALES Raw'!$E$6:$E$603,$A281,'SALES Raw'!$B$6:$B$603,2026)</f>
        <v>2</v>
      </c>
      <c r="K281" s="22" t="n">
        <f aca="false">SUMIFS('SALES Raw'!$D$6:$D$603,'SALES Raw'!$E$6:$E$603,$A281,'SALES Raw'!$B$6:$B$603,2026)</f>
        <v>74.91</v>
      </c>
      <c r="L281" s="21" t="n">
        <f aca="false">D281+H281</f>
        <v>151</v>
      </c>
      <c r="M281" s="22" t="n">
        <f aca="false">E281+I281</f>
        <v>5445.99</v>
      </c>
      <c r="N281" s="21" t="n">
        <f aca="false">F281+J281</f>
        <v>92</v>
      </c>
      <c r="O281" s="22" t="n">
        <f aca="false">G281+K281</f>
        <v>3317.81</v>
      </c>
    </row>
    <row r="282" customFormat="false" ht="15" hidden="false" customHeight="false" outlineLevel="0" collapsed="false">
      <c r="A282" s="20" t="n">
        <v>4413103</v>
      </c>
      <c r="B282" s="20" t="str">
        <f aca="false">IFERROR(INDEX('Catalog'!$B:$B,MATCH($A282,'Catalog'!$A:$A,0)),"")</f>
        <v>45E Mמגן ברך ארוך לבן</v>
      </c>
      <c r="C282" s="20" t="str">
        <f aca="false">IFERROR(INDEX('TRANS'!$A:$A,MATCH($A282,'TRANS'!$B:$B,0)),"")</f>
        <v>45E M</v>
      </c>
      <c r="D282" s="21" t="n">
        <f aca="false">SUMIFS('CEMI Raw'!$C$6:$C$1018,'CEMI Raw'!$E$6:$E$1018,$A282,'CEMI Raw'!$B$6:$B$1018,2025)</f>
        <v>139</v>
      </c>
      <c r="E282" s="22" t="n">
        <f aca="false">SUMIFS('CEMI Raw'!$D$6:$D$1018,'CEMI Raw'!$E$6:$E$1018,$A282,'CEMI Raw'!$B$6:$B$1018,2025)</f>
        <v>4952.2</v>
      </c>
      <c r="F282" s="21" t="n">
        <f aca="false">SUMIFS('CEMI Raw'!$C$6:$C$1018,'CEMI Raw'!$E$6:$E$1018,$A282,'CEMI Raw'!$B$6:$B$1018,2026)</f>
        <v>67</v>
      </c>
      <c r="G282" s="22" t="n">
        <f aca="false">SUMIFS('CEMI Raw'!$D$6:$D$1018,'CEMI Raw'!$E$6:$E$1018,$A282,'CEMI Raw'!$B$6:$B$1018,2026)</f>
        <v>2369.5</v>
      </c>
      <c r="H282" s="21" t="n">
        <f aca="false">SUMIFS('SALES Raw'!$C$6:$C$603,'SALES Raw'!$E$6:$E$603,$A282,'SALES Raw'!$B$6:$B$603,2025)</f>
        <v>4</v>
      </c>
      <c r="I282" s="22" t="n">
        <f aca="false">SUMIFS('SALES Raw'!$D$6:$D$603,'SALES Raw'!$E$6:$E$603,$A282,'SALES Raw'!$B$6:$B$603,2025)</f>
        <v>146.67</v>
      </c>
      <c r="J282" s="21" t="n">
        <f aca="false">SUMIFS('SALES Raw'!$C$6:$C$603,'SALES Raw'!$E$6:$E$603,$A282,'SALES Raw'!$B$6:$B$603,2026)</f>
        <v>10</v>
      </c>
      <c r="K282" s="22" t="n">
        <f aca="false">SUMIFS('SALES Raw'!$D$6:$D$603,'SALES Raw'!$E$6:$E$603,$A282,'SALES Raw'!$B$6:$B$603,2026)</f>
        <v>374.55</v>
      </c>
      <c r="L282" s="21" t="n">
        <f aca="false">D282+H282</f>
        <v>143</v>
      </c>
      <c r="M282" s="22" t="n">
        <f aca="false">E282+I282</f>
        <v>5098.87</v>
      </c>
      <c r="N282" s="21" t="n">
        <f aca="false">F282+J282</f>
        <v>77</v>
      </c>
      <c r="O282" s="22" t="n">
        <f aca="false">G282+K282</f>
        <v>2744.05</v>
      </c>
    </row>
    <row r="283" customFormat="false" ht="15" hidden="false" customHeight="false" outlineLevel="0" collapsed="false">
      <c r="A283" s="20" t="n">
        <v>4413104</v>
      </c>
      <c r="B283" s="20" t="str">
        <f aca="false">IFERROR(INDEX('Catalog'!$B:$B,MATCH($A283,'Catalog'!$A:$A,0)),"")</f>
        <v>45E XLמגן ברך ארוך לבן</v>
      </c>
      <c r="C283" s="20" t="str">
        <f aca="false">IFERROR(INDEX('TRANS'!$A:$A,MATCH($A283,'TRANS'!$B:$B,0)),"")</f>
        <v>45E XL</v>
      </c>
      <c r="D283" s="21" t="n">
        <f aca="false">SUMIFS('CEMI Raw'!$C$6:$C$1018,'CEMI Raw'!$E$6:$E$1018,$A283,'CEMI Raw'!$B$6:$B$1018,2025)</f>
        <v>124</v>
      </c>
      <c r="E283" s="22" t="n">
        <f aca="false">SUMIFS('CEMI Raw'!$D$6:$D$1018,'CEMI Raw'!$E$6:$E$1018,$A283,'CEMI Raw'!$B$6:$B$1018,2025)</f>
        <v>4474.2</v>
      </c>
      <c r="F283" s="21" t="n">
        <f aca="false">SUMIFS('CEMI Raw'!$C$6:$C$1018,'CEMI Raw'!$E$6:$E$1018,$A283,'CEMI Raw'!$B$6:$B$1018,2026)</f>
        <v>67</v>
      </c>
      <c r="G283" s="22" t="n">
        <f aca="false">SUMIFS('CEMI Raw'!$D$6:$D$1018,'CEMI Raw'!$E$6:$E$1018,$A283,'CEMI Raw'!$B$6:$B$1018,2026)</f>
        <v>2438.9</v>
      </c>
      <c r="H283" s="21" t="n">
        <f aca="false">SUMIFS('SALES Raw'!$C$6:$C$603,'SALES Raw'!$E$6:$E$603,$A283,'SALES Raw'!$B$6:$B$603,2025)</f>
        <v>2</v>
      </c>
      <c r="I283" s="22" t="n">
        <f aca="false">SUMIFS('SALES Raw'!$D$6:$D$603,'SALES Raw'!$E$6:$E$603,$A283,'SALES Raw'!$B$6:$B$603,2025)</f>
        <v>74.9</v>
      </c>
      <c r="J283" s="21" t="n">
        <f aca="false">SUMIFS('SALES Raw'!$C$6:$C$603,'SALES Raw'!$E$6:$E$603,$A283,'SALES Raw'!$B$6:$B$603,2026)</f>
        <v>4</v>
      </c>
      <c r="K283" s="22" t="n">
        <f aca="false">SUMIFS('SALES Raw'!$D$6:$D$603,'SALES Raw'!$E$6:$E$603,$A283,'SALES Raw'!$B$6:$B$603,2026)</f>
        <v>149.83</v>
      </c>
      <c r="L283" s="21" t="n">
        <f aca="false">D283+H283</f>
        <v>126</v>
      </c>
      <c r="M283" s="22" t="n">
        <f aca="false">E283+I283</f>
        <v>4549.1</v>
      </c>
      <c r="N283" s="21" t="n">
        <f aca="false">F283+J283</f>
        <v>71</v>
      </c>
      <c r="O283" s="22" t="n">
        <f aca="false">G283+K283</f>
        <v>2588.73</v>
      </c>
    </row>
    <row r="284" customFormat="false" ht="15" hidden="false" customHeight="false" outlineLevel="0" collapsed="false">
      <c r="A284" s="20" t="n">
        <v>4413105</v>
      </c>
      <c r="B284" s="20" t="str">
        <f aca="false">IFERROR(INDEX('Catalog'!$B:$B,MATCH($A284,'Catalog'!$A:$A,0)),"")</f>
        <v>45E XXLמגן ברך ארוך לבן</v>
      </c>
      <c r="C284" s="20" t="str">
        <f aca="false">IFERROR(INDEX('TRANS'!$A:$A,MATCH($A284,'TRANS'!$B:$B,0)),"")</f>
        <v>45E XXL</v>
      </c>
      <c r="D284" s="21" t="n">
        <f aca="false">SUMIFS('CEMI Raw'!$C$6:$C$1018,'CEMI Raw'!$E$6:$E$1018,$A284,'CEMI Raw'!$B$6:$B$1018,2025)</f>
        <v>41</v>
      </c>
      <c r="E284" s="22" t="n">
        <f aca="false">SUMIFS('CEMI Raw'!$D$6:$D$1018,'CEMI Raw'!$E$6:$E$1018,$A284,'CEMI Raw'!$B$6:$B$1018,2025)</f>
        <v>1476.1</v>
      </c>
      <c r="F284" s="21" t="n">
        <f aca="false">SUMIFS('CEMI Raw'!$C$6:$C$1018,'CEMI Raw'!$E$6:$E$1018,$A284,'CEMI Raw'!$B$6:$B$1018,2026)</f>
        <v>31</v>
      </c>
      <c r="G284" s="22" t="n">
        <f aca="false">SUMIFS('CEMI Raw'!$D$6:$D$1018,'CEMI Raw'!$E$6:$E$1018,$A284,'CEMI Raw'!$B$6:$B$1018,2026)</f>
        <v>1131.1</v>
      </c>
      <c r="H284" s="21" t="n">
        <f aca="false">SUMIFS('SALES Raw'!$C$6:$C$603,'SALES Raw'!$E$6:$E$603,$A284,'SALES Raw'!$B$6:$B$603,2025)</f>
        <v>9</v>
      </c>
      <c r="I284" s="22" t="n">
        <f aca="false">SUMIFS('SALES Raw'!$D$6:$D$603,'SALES Raw'!$E$6:$E$603,$A284,'SALES Raw'!$B$6:$B$603,2025)</f>
        <v>326.06</v>
      </c>
      <c r="J284" s="21" t="n">
        <f aca="false">SUMIFS('SALES Raw'!$C$6:$C$603,'SALES Raw'!$E$6:$E$603,$A284,'SALES Raw'!$B$6:$B$603,2026)</f>
        <v>0</v>
      </c>
      <c r="K284" s="22" t="n">
        <f aca="false">SUMIFS('SALES Raw'!$D$6:$D$603,'SALES Raw'!$E$6:$E$603,$A284,'SALES Raw'!$B$6:$B$603,2026)</f>
        <v>0</v>
      </c>
      <c r="L284" s="21" t="n">
        <f aca="false">D284+H284</f>
        <v>50</v>
      </c>
      <c r="M284" s="22" t="n">
        <f aca="false">E284+I284</f>
        <v>1802.16</v>
      </c>
      <c r="N284" s="21" t="n">
        <f aca="false">F284+J284</f>
        <v>31</v>
      </c>
      <c r="O284" s="22" t="n">
        <f aca="false">G284+K284</f>
        <v>1131.1</v>
      </c>
    </row>
    <row r="285" customFormat="false" ht="15" hidden="false" customHeight="false" outlineLevel="0" collapsed="false">
      <c r="A285" s="20" t="n">
        <v>4413106</v>
      </c>
      <c r="B285" s="20" t="str">
        <f aca="false">IFERROR(INDEX('Catalog'!$B:$B,MATCH($A285,'Catalog'!$A:$A,0)),"")</f>
        <v>48 S מגן ברך מחמם</v>
      </c>
      <c r="C285" s="20" t="str">
        <f aca="false">IFERROR(INDEX('TRANS'!$A:$A,MATCH($A285,'TRANS'!$B:$B,0)),"")</f>
        <v/>
      </c>
      <c r="D285" s="21" t="n">
        <f aca="false">SUMIFS('CEMI Raw'!$C$6:$C$1018,'CEMI Raw'!$E$6:$E$1018,$A285,'CEMI Raw'!$B$6:$B$1018,2025)</f>
        <v>3</v>
      </c>
      <c r="E285" s="22" t="n">
        <f aca="false">SUMIFS('CEMI Raw'!$D$6:$D$1018,'CEMI Raw'!$E$6:$E$1018,$A285,'CEMI Raw'!$B$6:$B$1018,2025)</f>
        <v>170</v>
      </c>
      <c r="F285" s="21" t="n">
        <f aca="false">SUMIFS('CEMI Raw'!$C$6:$C$1018,'CEMI Raw'!$E$6:$E$1018,$A285,'CEMI Raw'!$B$6:$B$1018,2026)</f>
        <v>1</v>
      </c>
      <c r="G285" s="22" t="n">
        <f aca="false">SUMIFS('CEMI Raw'!$D$6:$D$1018,'CEMI Raw'!$E$6:$E$1018,$A285,'CEMI Raw'!$B$6:$B$1018,2026)</f>
        <v>56.7</v>
      </c>
      <c r="H285" s="21" t="n">
        <f aca="false">SUMIFS('SALES Raw'!$C$6:$C$603,'SALES Raw'!$E$6:$E$603,$A285,'SALES Raw'!$B$6:$B$603,2025)</f>
        <v>0</v>
      </c>
      <c r="I285" s="22" t="n">
        <f aca="false">SUMIFS('SALES Raw'!$D$6:$D$603,'SALES Raw'!$E$6:$E$603,$A285,'SALES Raw'!$B$6:$B$603,2025)</f>
        <v>0</v>
      </c>
      <c r="J285" s="21" t="n">
        <f aca="false">SUMIFS('SALES Raw'!$C$6:$C$603,'SALES Raw'!$E$6:$E$603,$A285,'SALES Raw'!$B$6:$B$603,2026)</f>
        <v>0</v>
      </c>
      <c r="K285" s="22" t="n">
        <f aca="false">SUMIFS('SALES Raw'!$D$6:$D$603,'SALES Raw'!$E$6:$E$603,$A285,'SALES Raw'!$B$6:$B$603,2026)</f>
        <v>0</v>
      </c>
      <c r="L285" s="21" t="n">
        <f aca="false">D285+H285</f>
        <v>3</v>
      </c>
      <c r="M285" s="22" t="n">
        <f aca="false">E285+I285</f>
        <v>170</v>
      </c>
      <c r="N285" s="21" t="n">
        <f aca="false">F285+J285</f>
        <v>1</v>
      </c>
      <c r="O285" s="22" t="n">
        <f aca="false">G285+K285</f>
        <v>56.7</v>
      </c>
    </row>
    <row r="286" customFormat="false" ht="15" hidden="false" customHeight="false" outlineLevel="0" collapsed="false">
      <c r="A286" s="20" t="n">
        <v>4413107</v>
      </c>
      <c r="B286" s="20" t="str">
        <f aca="false">IFERROR(INDEX('Catalog'!$B:$B,MATCH($A286,'Catalog'!$A:$A,0)),"")</f>
        <v>48 L מגן ברך מחמם</v>
      </c>
      <c r="C286" s="20" t="str">
        <f aca="false">IFERROR(INDEX('TRANS'!$A:$A,MATCH($A286,'TRANS'!$B:$B,0)),"")</f>
        <v>48 L</v>
      </c>
      <c r="D286" s="21" t="n">
        <f aca="false">SUMIFS('CEMI Raw'!$C$6:$C$1018,'CEMI Raw'!$E$6:$E$1018,$A286,'CEMI Raw'!$B$6:$B$1018,2025)</f>
        <v>15</v>
      </c>
      <c r="E286" s="22" t="n">
        <f aca="false">SUMIFS('CEMI Raw'!$D$6:$D$1018,'CEMI Raw'!$E$6:$E$1018,$A286,'CEMI Raw'!$B$6:$B$1018,2025)</f>
        <v>827.4</v>
      </c>
      <c r="F286" s="21" t="n">
        <f aca="false">SUMIFS('CEMI Raw'!$C$6:$C$1018,'CEMI Raw'!$E$6:$E$1018,$A286,'CEMI Raw'!$B$6:$B$1018,2026)</f>
        <v>3</v>
      </c>
      <c r="G286" s="22" t="n">
        <f aca="false">SUMIFS('CEMI Raw'!$D$6:$D$1018,'CEMI Raw'!$E$6:$E$1018,$A286,'CEMI Raw'!$B$6:$B$1018,2026)</f>
        <v>170</v>
      </c>
      <c r="H286" s="21" t="n">
        <f aca="false">SUMIFS('SALES Raw'!$C$6:$C$603,'SALES Raw'!$E$6:$E$603,$A286,'SALES Raw'!$B$6:$B$603,2025)</f>
        <v>2</v>
      </c>
      <c r="I286" s="22" t="n">
        <f aca="false">SUMIFS('SALES Raw'!$D$6:$D$603,'SALES Raw'!$E$6:$E$603,$A286,'SALES Raw'!$B$6:$B$603,2025)</f>
        <v>113.35</v>
      </c>
      <c r="J286" s="21" t="n">
        <f aca="false">SUMIFS('SALES Raw'!$C$6:$C$603,'SALES Raw'!$E$6:$E$603,$A286,'SALES Raw'!$B$6:$B$603,2026)</f>
        <v>1</v>
      </c>
      <c r="K286" s="22" t="n">
        <f aca="false">SUMIFS('SALES Raw'!$D$6:$D$603,'SALES Raw'!$E$6:$E$603,$A286,'SALES Raw'!$B$6:$B$603,2026)</f>
        <v>56.67</v>
      </c>
      <c r="L286" s="21" t="n">
        <f aca="false">D286+H286</f>
        <v>17</v>
      </c>
      <c r="M286" s="22" t="n">
        <f aca="false">E286+I286</f>
        <v>940.75</v>
      </c>
      <c r="N286" s="21" t="n">
        <f aca="false">F286+J286</f>
        <v>4</v>
      </c>
      <c r="O286" s="22" t="n">
        <f aca="false">G286+K286</f>
        <v>226.67</v>
      </c>
    </row>
    <row r="287" customFormat="false" ht="15" hidden="false" customHeight="false" outlineLevel="0" collapsed="false">
      <c r="A287" s="20" t="n">
        <v>4413108</v>
      </c>
      <c r="B287" s="20" t="str">
        <f aca="false">IFERROR(INDEX('Catalog'!$B:$B,MATCH($A287,'Catalog'!$A:$A,0)),"")</f>
        <v>48 M מגן ברך מחמם</v>
      </c>
      <c r="C287" s="20" t="str">
        <f aca="false">IFERROR(INDEX('TRANS'!$A:$A,MATCH($A287,'TRANS'!$B:$B,0)),"")</f>
        <v>48 M</v>
      </c>
      <c r="D287" s="21" t="n">
        <f aca="false">SUMIFS('CEMI Raw'!$C$6:$C$1018,'CEMI Raw'!$E$6:$E$1018,$A287,'CEMI Raw'!$B$6:$B$1018,2025)</f>
        <v>13</v>
      </c>
      <c r="E287" s="22" t="n">
        <f aca="false">SUMIFS('CEMI Raw'!$D$6:$D$1018,'CEMI Raw'!$E$6:$E$1018,$A287,'CEMI Raw'!$B$6:$B$1018,2025)</f>
        <v>721.6</v>
      </c>
      <c r="F287" s="21" t="n">
        <f aca="false">SUMIFS('CEMI Raw'!$C$6:$C$1018,'CEMI Raw'!$E$6:$E$1018,$A287,'CEMI Raw'!$B$6:$B$1018,2026)</f>
        <v>2</v>
      </c>
      <c r="G287" s="22" t="n">
        <f aca="false">SUMIFS('CEMI Raw'!$D$6:$D$1018,'CEMI Raw'!$E$6:$E$1018,$A287,'CEMI Raw'!$B$6:$B$1018,2026)</f>
        <v>113.3</v>
      </c>
      <c r="H287" s="21" t="n">
        <f aca="false">SUMIFS('SALES Raw'!$C$6:$C$603,'SALES Raw'!$E$6:$E$603,$A287,'SALES Raw'!$B$6:$B$603,2025)</f>
        <v>1</v>
      </c>
      <c r="I287" s="22" t="n">
        <f aca="false">SUMIFS('SALES Raw'!$D$6:$D$603,'SALES Raw'!$E$6:$E$603,$A287,'SALES Raw'!$B$6:$B$603,2025)</f>
        <v>56.67</v>
      </c>
      <c r="J287" s="21" t="n">
        <f aca="false">SUMIFS('SALES Raw'!$C$6:$C$603,'SALES Raw'!$E$6:$E$603,$A287,'SALES Raw'!$B$6:$B$603,2026)</f>
        <v>0</v>
      </c>
      <c r="K287" s="22" t="n">
        <f aca="false">SUMIFS('SALES Raw'!$D$6:$D$603,'SALES Raw'!$E$6:$E$603,$A287,'SALES Raw'!$B$6:$B$603,2026)</f>
        <v>0</v>
      </c>
      <c r="L287" s="21" t="n">
        <f aca="false">D287+H287</f>
        <v>14</v>
      </c>
      <c r="M287" s="22" t="n">
        <f aca="false">E287+I287</f>
        <v>778.27</v>
      </c>
      <c r="N287" s="21" t="n">
        <f aca="false">F287+J287</f>
        <v>2</v>
      </c>
      <c r="O287" s="22" t="n">
        <f aca="false">G287+K287</f>
        <v>113.3</v>
      </c>
    </row>
    <row r="288" customFormat="false" ht="15" hidden="false" customHeight="false" outlineLevel="0" collapsed="false">
      <c r="A288" s="20" t="n">
        <v>4413109</v>
      </c>
      <c r="B288" s="20" t="str">
        <f aca="false">IFERROR(INDEX('Catalog'!$B:$B,MATCH($A288,'Catalog'!$A:$A,0)),"")</f>
        <v>48 XL מגן ברך מחמם</v>
      </c>
      <c r="C288" s="20" t="str">
        <f aca="false">IFERROR(INDEX('TRANS'!$A:$A,MATCH($A288,'TRANS'!$B:$B,0)),"")</f>
        <v/>
      </c>
      <c r="D288" s="21" t="n">
        <f aca="false">SUMIFS('CEMI Raw'!$C$6:$C$1018,'CEMI Raw'!$E$6:$E$1018,$A288,'CEMI Raw'!$B$6:$B$1018,2025)</f>
        <v>3</v>
      </c>
      <c r="E288" s="22" t="n">
        <f aca="false">SUMIFS('CEMI Raw'!$D$6:$D$1018,'CEMI Raw'!$E$6:$E$1018,$A288,'CEMI Raw'!$B$6:$B$1018,2025)</f>
        <v>162.5</v>
      </c>
      <c r="F288" s="21" t="n">
        <f aca="false">SUMIFS('CEMI Raw'!$C$6:$C$1018,'CEMI Raw'!$E$6:$E$1018,$A288,'CEMI Raw'!$B$6:$B$1018,2026)</f>
        <v>1</v>
      </c>
      <c r="G288" s="22" t="n">
        <f aca="false">SUMIFS('CEMI Raw'!$D$6:$D$1018,'CEMI Raw'!$E$6:$E$1018,$A288,'CEMI Raw'!$B$6:$B$1018,2026)</f>
        <v>56.7</v>
      </c>
      <c r="H288" s="21" t="n">
        <f aca="false">SUMIFS('SALES Raw'!$C$6:$C$603,'SALES Raw'!$E$6:$E$603,$A288,'SALES Raw'!$B$6:$B$603,2025)</f>
        <v>0</v>
      </c>
      <c r="I288" s="22" t="n">
        <f aca="false">SUMIFS('SALES Raw'!$D$6:$D$603,'SALES Raw'!$E$6:$E$603,$A288,'SALES Raw'!$B$6:$B$603,2025)</f>
        <v>0</v>
      </c>
      <c r="J288" s="21" t="n">
        <f aca="false">SUMIFS('SALES Raw'!$C$6:$C$603,'SALES Raw'!$E$6:$E$603,$A288,'SALES Raw'!$B$6:$B$603,2026)</f>
        <v>0</v>
      </c>
      <c r="K288" s="22" t="n">
        <f aca="false">SUMIFS('SALES Raw'!$D$6:$D$603,'SALES Raw'!$E$6:$E$603,$A288,'SALES Raw'!$B$6:$B$603,2026)</f>
        <v>0</v>
      </c>
      <c r="L288" s="21" t="n">
        <f aca="false">D288+H288</f>
        <v>3</v>
      </c>
      <c r="M288" s="22" t="n">
        <f aca="false">E288+I288</f>
        <v>162.5</v>
      </c>
      <c r="N288" s="21" t="n">
        <f aca="false">F288+J288</f>
        <v>1</v>
      </c>
      <c r="O288" s="22" t="n">
        <f aca="false">G288+K288</f>
        <v>56.7</v>
      </c>
    </row>
    <row r="289" customFormat="false" ht="15" hidden="false" customHeight="false" outlineLevel="0" collapsed="false">
      <c r="A289" s="20" t="n">
        <v>4413110</v>
      </c>
      <c r="B289" s="20" t="str">
        <f aca="false">IFERROR(INDEX('Catalog'!$B:$B,MATCH($A289,'Catalog'!$A:$A,0)),"")</f>
        <v>48 XXL מגן ברך מחמם</v>
      </c>
      <c r="C289" s="20" t="str">
        <f aca="false">IFERROR(INDEX('TRANS'!$A:$A,MATCH($A289,'TRANS'!$B:$B,0)),"")</f>
        <v/>
      </c>
      <c r="D289" s="21" t="n">
        <f aca="false">SUMIFS('CEMI Raw'!$C$6:$C$1018,'CEMI Raw'!$E$6:$E$1018,$A289,'CEMI Raw'!$B$6:$B$1018,2025)</f>
        <v>2</v>
      </c>
      <c r="E289" s="22" t="n">
        <f aca="false">SUMIFS('CEMI Raw'!$D$6:$D$1018,'CEMI Raw'!$E$6:$E$1018,$A289,'CEMI Raw'!$B$6:$B$1018,2025)</f>
        <v>105.8</v>
      </c>
      <c r="F289" s="21" t="n">
        <f aca="false">SUMIFS('CEMI Raw'!$C$6:$C$1018,'CEMI Raw'!$E$6:$E$1018,$A289,'CEMI Raw'!$B$6:$B$1018,2026)</f>
        <v>0</v>
      </c>
      <c r="G289" s="22" t="n">
        <f aca="false">SUMIFS('CEMI Raw'!$D$6:$D$1018,'CEMI Raw'!$E$6:$E$1018,$A289,'CEMI Raw'!$B$6:$B$1018,2026)</f>
        <v>0</v>
      </c>
      <c r="H289" s="21" t="n">
        <f aca="false">SUMIFS('SALES Raw'!$C$6:$C$603,'SALES Raw'!$E$6:$E$603,$A289,'SALES Raw'!$B$6:$B$603,2025)</f>
        <v>0</v>
      </c>
      <c r="I289" s="22" t="n">
        <f aca="false">SUMIFS('SALES Raw'!$D$6:$D$603,'SALES Raw'!$E$6:$E$603,$A289,'SALES Raw'!$B$6:$B$603,2025)</f>
        <v>0</v>
      </c>
      <c r="J289" s="21" t="n">
        <f aca="false">SUMIFS('SALES Raw'!$C$6:$C$603,'SALES Raw'!$E$6:$E$603,$A289,'SALES Raw'!$B$6:$B$603,2026)</f>
        <v>0</v>
      </c>
      <c r="K289" s="22" t="n">
        <f aca="false">SUMIFS('SALES Raw'!$D$6:$D$603,'SALES Raw'!$E$6:$E$603,$A289,'SALES Raw'!$B$6:$B$603,2026)</f>
        <v>0</v>
      </c>
      <c r="L289" s="21" t="n">
        <f aca="false">D289+H289</f>
        <v>2</v>
      </c>
      <c r="M289" s="22" t="n">
        <f aca="false">E289+I289</f>
        <v>105.8</v>
      </c>
      <c r="N289" s="21" t="n">
        <f aca="false">F289+J289</f>
        <v>0</v>
      </c>
      <c r="O289" s="22" t="n">
        <f aca="false">G289+K289</f>
        <v>0</v>
      </c>
    </row>
    <row r="290" customFormat="false" ht="15" hidden="false" customHeight="false" outlineLevel="0" collapsed="false">
      <c r="A290" s="20" t="n">
        <v>4413111</v>
      </c>
      <c r="B290" s="20" t="str">
        <f aca="false">IFERROR(INDEX('Catalog'!$B:$B,MATCH($A290,'Catalog'!$A:$A,0)),"")</f>
        <v>49  S מגן ירך</v>
      </c>
      <c r="C290" s="20" t="str">
        <f aca="false">IFERROR(INDEX('TRANS'!$A:$A,MATCH($A290,'TRANS'!$B:$B,0)),"")</f>
        <v>49 S</v>
      </c>
      <c r="D290" s="21" t="n">
        <f aca="false">SUMIFS('CEMI Raw'!$C$6:$C$1018,'CEMI Raw'!$E$6:$E$1018,$A290,'CEMI Raw'!$B$6:$B$1018,2025)</f>
        <v>22</v>
      </c>
      <c r="E290" s="22" t="n">
        <f aca="false">SUMIFS('CEMI Raw'!$D$6:$D$1018,'CEMI Raw'!$E$6:$E$1018,$A290,'CEMI Raw'!$B$6:$B$1018,2025)</f>
        <v>749.4</v>
      </c>
      <c r="F290" s="21" t="n">
        <f aca="false">SUMIFS('CEMI Raw'!$C$6:$C$1018,'CEMI Raw'!$E$6:$E$1018,$A290,'CEMI Raw'!$B$6:$B$1018,2026)</f>
        <v>6</v>
      </c>
      <c r="G290" s="22" t="n">
        <f aca="false">SUMIFS('CEMI Raw'!$D$6:$D$1018,'CEMI Raw'!$E$6:$E$1018,$A290,'CEMI Raw'!$B$6:$B$1018,2026)</f>
        <v>194.6</v>
      </c>
      <c r="H290" s="21" t="n">
        <f aca="false">SUMIFS('SALES Raw'!$C$6:$C$603,'SALES Raw'!$E$6:$E$603,$A290,'SALES Raw'!$B$6:$B$603,2025)</f>
        <v>0</v>
      </c>
      <c r="I290" s="22" t="n">
        <f aca="false">SUMIFS('SALES Raw'!$D$6:$D$603,'SALES Raw'!$E$6:$E$603,$A290,'SALES Raw'!$B$6:$B$603,2025)</f>
        <v>0</v>
      </c>
      <c r="J290" s="21" t="n">
        <f aca="false">SUMIFS('SALES Raw'!$C$6:$C$603,'SALES Raw'!$E$6:$E$603,$A290,'SALES Raw'!$B$6:$B$603,2026)</f>
        <v>0</v>
      </c>
      <c r="K290" s="22" t="n">
        <f aca="false">SUMIFS('SALES Raw'!$D$6:$D$603,'SALES Raw'!$E$6:$E$603,$A290,'SALES Raw'!$B$6:$B$603,2026)</f>
        <v>0</v>
      </c>
      <c r="L290" s="21" t="n">
        <f aca="false">D290+H290</f>
        <v>22</v>
      </c>
      <c r="M290" s="22" t="n">
        <f aca="false">E290+I290</f>
        <v>749.4</v>
      </c>
      <c r="N290" s="21" t="n">
        <f aca="false">F290+J290</f>
        <v>6</v>
      </c>
      <c r="O290" s="22" t="n">
        <f aca="false">G290+K290</f>
        <v>194.6</v>
      </c>
    </row>
    <row r="291" customFormat="false" ht="15" hidden="false" customHeight="false" outlineLevel="0" collapsed="false">
      <c r="A291" s="20" t="n">
        <v>4413112</v>
      </c>
      <c r="B291" s="20" t="str">
        <f aca="false">IFERROR(INDEX('Catalog'!$B:$B,MATCH($A291,'Catalog'!$A:$A,0)),"")</f>
        <v>49  L מגן ירך</v>
      </c>
      <c r="C291" s="20" t="str">
        <f aca="false">IFERROR(INDEX('TRANS'!$A:$A,MATCH($A291,'TRANS'!$B:$B,0)),"")</f>
        <v>49 L</v>
      </c>
      <c r="D291" s="21" t="n">
        <f aca="false">SUMIFS('CEMI Raw'!$C$6:$C$1018,'CEMI Raw'!$E$6:$E$1018,$A291,'CEMI Raw'!$B$6:$B$1018,2025)</f>
        <v>35</v>
      </c>
      <c r="E291" s="22" t="n">
        <f aca="false">SUMIFS('CEMI Raw'!$D$6:$D$1018,'CEMI Raw'!$E$6:$E$1018,$A291,'CEMI Raw'!$B$6:$B$1018,2025)</f>
        <v>1129.3</v>
      </c>
      <c r="F291" s="21" t="n">
        <f aca="false">SUMIFS('CEMI Raw'!$C$6:$C$1018,'CEMI Raw'!$E$6:$E$1018,$A291,'CEMI Raw'!$B$6:$B$1018,2026)</f>
        <v>23</v>
      </c>
      <c r="G291" s="22" t="n">
        <f aca="false">SUMIFS('CEMI Raw'!$D$6:$D$1018,'CEMI Raw'!$E$6:$E$1018,$A291,'CEMI Raw'!$B$6:$B$1018,2026)</f>
        <v>798</v>
      </c>
      <c r="H291" s="21" t="n">
        <f aca="false">SUMIFS('SALES Raw'!$C$6:$C$603,'SALES Raw'!$E$6:$E$603,$A291,'SALES Raw'!$B$6:$B$603,2025)</f>
        <v>0</v>
      </c>
      <c r="I291" s="22" t="n">
        <f aca="false">SUMIFS('SALES Raw'!$D$6:$D$603,'SALES Raw'!$E$6:$E$603,$A291,'SALES Raw'!$B$6:$B$603,2025)</f>
        <v>0</v>
      </c>
      <c r="J291" s="21" t="n">
        <f aca="false">SUMIFS('SALES Raw'!$C$6:$C$603,'SALES Raw'!$E$6:$E$603,$A291,'SALES Raw'!$B$6:$B$603,2026)</f>
        <v>3</v>
      </c>
      <c r="K291" s="22" t="n">
        <f aca="false">SUMIFS('SALES Raw'!$D$6:$D$603,'SALES Raw'!$E$6:$E$603,$A291,'SALES Raw'!$B$6:$B$603,2026)</f>
        <v>105.32</v>
      </c>
      <c r="L291" s="21" t="n">
        <f aca="false">D291+H291</f>
        <v>35</v>
      </c>
      <c r="M291" s="22" t="n">
        <f aca="false">E291+I291</f>
        <v>1129.3</v>
      </c>
      <c r="N291" s="21" t="n">
        <f aca="false">F291+J291</f>
        <v>26</v>
      </c>
      <c r="O291" s="22" t="n">
        <f aca="false">G291+K291</f>
        <v>903.32</v>
      </c>
    </row>
    <row r="292" customFormat="false" ht="15" hidden="false" customHeight="false" outlineLevel="0" collapsed="false">
      <c r="A292" s="20" t="n">
        <v>4413113</v>
      </c>
      <c r="B292" s="20" t="str">
        <f aca="false">IFERROR(INDEX('Catalog'!$B:$B,MATCH($A292,'Catalog'!$A:$A,0)),"")</f>
        <v>49  M מגן ירך</v>
      </c>
      <c r="C292" s="20" t="str">
        <f aca="false">IFERROR(INDEX('TRANS'!$A:$A,MATCH($A292,'TRANS'!$B:$B,0)),"")</f>
        <v>49 M</v>
      </c>
      <c r="D292" s="21" t="n">
        <f aca="false">SUMIFS('CEMI Raw'!$C$6:$C$1018,'CEMI Raw'!$E$6:$E$1018,$A292,'CEMI Raw'!$B$6:$B$1018,2025)</f>
        <v>25</v>
      </c>
      <c r="E292" s="22" t="n">
        <f aca="false">SUMIFS('CEMI Raw'!$D$6:$D$1018,'CEMI Raw'!$E$6:$E$1018,$A292,'CEMI Raw'!$B$6:$B$1018,2025)</f>
        <v>826.3</v>
      </c>
      <c r="F292" s="21" t="n">
        <f aca="false">SUMIFS('CEMI Raw'!$C$6:$C$1018,'CEMI Raw'!$E$6:$E$1018,$A292,'CEMI Raw'!$B$6:$B$1018,2026)</f>
        <v>7</v>
      </c>
      <c r="G292" s="22" t="n">
        <f aca="false">SUMIFS('CEMI Raw'!$D$6:$D$1018,'CEMI Raw'!$E$6:$E$1018,$A292,'CEMI Raw'!$B$6:$B$1018,2026)</f>
        <v>242.6</v>
      </c>
      <c r="H292" s="21" t="n">
        <f aca="false">SUMIFS('SALES Raw'!$C$6:$C$603,'SALES Raw'!$E$6:$E$603,$A292,'SALES Raw'!$B$6:$B$603,2025)</f>
        <v>0</v>
      </c>
      <c r="I292" s="22" t="n">
        <f aca="false">SUMIFS('SALES Raw'!$D$6:$D$603,'SALES Raw'!$E$6:$E$603,$A292,'SALES Raw'!$B$6:$B$603,2025)</f>
        <v>0</v>
      </c>
      <c r="J292" s="21" t="n">
        <f aca="false">SUMIFS('SALES Raw'!$C$6:$C$603,'SALES Raw'!$E$6:$E$603,$A292,'SALES Raw'!$B$6:$B$603,2026)</f>
        <v>0</v>
      </c>
      <c r="K292" s="22" t="n">
        <f aca="false">SUMIFS('SALES Raw'!$D$6:$D$603,'SALES Raw'!$E$6:$E$603,$A292,'SALES Raw'!$B$6:$B$603,2026)</f>
        <v>0</v>
      </c>
      <c r="L292" s="21" t="n">
        <f aca="false">D292+H292</f>
        <v>25</v>
      </c>
      <c r="M292" s="22" t="n">
        <f aca="false">E292+I292</f>
        <v>826.3</v>
      </c>
      <c r="N292" s="21" t="n">
        <f aca="false">F292+J292</f>
        <v>7</v>
      </c>
      <c r="O292" s="22" t="n">
        <f aca="false">G292+K292</f>
        <v>242.6</v>
      </c>
    </row>
    <row r="293" customFormat="false" ht="15" hidden="false" customHeight="false" outlineLevel="0" collapsed="false">
      <c r="A293" s="20" t="n">
        <v>4413114</v>
      </c>
      <c r="B293" s="20" t="str">
        <f aca="false">IFERROR(INDEX('Catalog'!$B:$B,MATCH($A293,'Catalog'!$A:$A,0)),"")</f>
        <v>49 XL מגן ירך</v>
      </c>
      <c r="C293" s="20" t="str">
        <f aca="false">IFERROR(INDEX('TRANS'!$A:$A,MATCH($A293,'TRANS'!$B:$B,0)),"")</f>
        <v>49 XL</v>
      </c>
      <c r="D293" s="21" t="n">
        <f aca="false">SUMIFS('CEMI Raw'!$C$6:$C$1018,'CEMI Raw'!$E$6:$E$1018,$A293,'CEMI Raw'!$B$6:$B$1018,2025)</f>
        <v>36</v>
      </c>
      <c r="E293" s="22" t="n">
        <f aca="false">SUMIFS('CEMI Raw'!$D$6:$D$1018,'CEMI Raw'!$E$6:$E$1018,$A293,'CEMI Raw'!$B$6:$B$1018,2025)</f>
        <v>1195.3</v>
      </c>
      <c r="F293" s="21" t="n">
        <f aca="false">SUMIFS('CEMI Raw'!$C$6:$C$1018,'CEMI Raw'!$E$6:$E$1018,$A293,'CEMI Raw'!$B$6:$B$1018,2026)</f>
        <v>12</v>
      </c>
      <c r="G293" s="22" t="n">
        <f aca="false">SUMIFS('CEMI Raw'!$D$6:$D$1018,'CEMI Raw'!$E$6:$E$1018,$A293,'CEMI Raw'!$B$6:$B$1018,2026)</f>
        <v>416.9</v>
      </c>
      <c r="H293" s="21" t="n">
        <f aca="false">SUMIFS('SALES Raw'!$C$6:$C$603,'SALES Raw'!$E$6:$E$603,$A293,'SALES Raw'!$B$6:$B$603,2025)</f>
        <v>0</v>
      </c>
      <c r="I293" s="22" t="n">
        <f aca="false">SUMIFS('SALES Raw'!$D$6:$D$603,'SALES Raw'!$E$6:$E$603,$A293,'SALES Raw'!$B$6:$B$603,2025)</f>
        <v>0</v>
      </c>
      <c r="J293" s="21" t="n">
        <f aca="false">SUMIFS('SALES Raw'!$C$6:$C$603,'SALES Raw'!$E$6:$E$603,$A293,'SALES Raw'!$B$6:$B$603,2026)</f>
        <v>0</v>
      </c>
      <c r="K293" s="22" t="n">
        <f aca="false">SUMIFS('SALES Raw'!$D$6:$D$603,'SALES Raw'!$E$6:$E$603,$A293,'SALES Raw'!$B$6:$B$603,2026)</f>
        <v>0</v>
      </c>
      <c r="L293" s="21" t="n">
        <f aca="false">D293+H293</f>
        <v>36</v>
      </c>
      <c r="M293" s="22" t="n">
        <f aca="false">E293+I293</f>
        <v>1195.3</v>
      </c>
      <c r="N293" s="21" t="n">
        <f aca="false">F293+J293</f>
        <v>12</v>
      </c>
      <c r="O293" s="22" t="n">
        <f aca="false">G293+K293</f>
        <v>416.9</v>
      </c>
    </row>
    <row r="294" customFormat="false" ht="15" hidden="false" customHeight="false" outlineLevel="0" collapsed="false">
      <c r="A294" s="20" t="n">
        <v>4413115</v>
      </c>
      <c r="B294" s="20" t="str">
        <f aca="false">IFERROR(INDEX('Catalog'!$B:$B,MATCH($A294,'Catalog'!$A:$A,0)),"")</f>
        <v>49 XXL מגן ירך</v>
      </c>
      <c r="C294" s="20" t="str">
        <f aca="false">IFERROR(INDEX('TRANS'!$A:$A,MATCH($A294,'TRANS'!$B:$B,0)),"")</f>
        <v>49 XXL</v>
      </c>
      <c r="D294" s="21" t="n">
        <f aca="false">SUMIFS('CEMI Raw'!$C$6:$C$1018,'CEMI Raw'!$E$6:$E$1018,$A294,'CEMI Raw'!$B$6:$B$1018,2025)</f>
        <v>4</v>
      </c>
      <c r="E294" s="22" t="n">
        <f aca="false">SUMIFS('CEMI Raw'!$D$6:$D$1018,'CEMI Raw'!$E$6:$E$1018,$A294,'CEMI Raw'!$B$6:$B$1018,2025)</f>
        <v>138.3</v>
      </c>
      <c r="F294" s="21" t="n">
        <f aca="false">SUMIFS('CEMI Raw'!$C$6:$C$1018,'CEMI Raw'!$E$6:$E$1018,$A294,'CEMI Raw'!$B$6:$B$1018,2026)</f>
        <v>5</v>
      </c>
      <c r="G294" s="22" t="n">
        <f aca="false">SUMIFS('CEMI Raw'!$D$6:$D$1018,'CEMI Raw'!$E$6:$E$1018,$A294,'CEMI Raw'!$B$6:$B$1018,2026)</f>
        <v>175.5</v>
      </c>
      <c r="H294" s="21" t="n">
        <f aca="false">SUMIFS('SALES Raw'!$C$6:$C$603,'SALES Raw'!$E$6:$E$603,$A294,'SALES Raw'!$B$6:$B$603,2025)</f>
        <v>0</v>
      </c>
      <c r="I294" s="22" t="n">
        <f aca="false">SUMIFS('SALES Raw'!$D$6:$D$603,'SALES Raw'!$E$6:$E$603,$A294,'SALES Raw'!$B$6:$B$603,2025)</f>
        <v>0</v>
      </c>
      <c r="J294" s="21" t="n">
        <f aca="false">SUMIFS('SALES Raw'!$C$6:$C$603,'SALES Raw'!$E$6:$E$603,$A294,'SALES Raw'!$B$6:$B$603,2026)</f>
        <v>0</v>
      </c>
      <c r="K294" s="22" t="n">
        <f aca="false">SUMIFS('SALES Raw'!$D$6:$D$603,'SALES Raw'!$E$6:$E$603,$A294,'SALES Raw'!$B$6:$B$603,2026)</f>
        <v>0</v>
      </c>
      <c r="L294" s="21" t="n">
        <f aca="false">D294+H294</f>
        <v>4</v>
      </c>
      <c r="M294" s="22" t="n">
        <f aca="false">E294+I294</f>
        <v>138.3</v>
      </c>
      <c r="N294" s="21" t="n">
        <f aca="false">F294+J294</f>
        <v>5</v>
      </c>
      <c r="O294" s="22" t="n">
        <f aca="false">G294+K294</f>
        <v>175.5</v>
      </c>
    </row>
    <row r="295" customFormat="false" ht="15" hidden="false" customHeight="false" outlineLevel="0" collapsed="false">
      <c r="A295" s="20" t="n">
        <v>4413116</v>
      </c>
      <c r="B295" s="20" t="str">
        <f aca="false">IFERROR(INDEX('Catalog'!$B:$B,MATCH($A295,'Catalog'!$A:$A,0)),"")</f>
        <v>50 S מתלה אשכים לאחר ניתוח</v>
      </c>
      <c r="C295" s="20" t="str">
        <f aca="false">IFERROR(INDEX('TRANS'!$A:$A,MATCH($A295,'TRANS'!$B:$B,0)),"")</f>
        <v/>
      </c>
      <c r="D295" s="21" t="n">
        <f aca="false">SUMIFS('CEMI Raw'!$C$6:$C$1018,'CEMI Raw'!$E$6:$E$1018,$A295,'CEMI Raw'!$B$6:$B$1018,2025)</f>
        <v>0</v>
      </c>
      <c r="E295" s="22" t="n">
        <f aca="false">SUMIFS('CEMI Raw'!$D$6:$D$1018,'CEMI Raw'!$E$6:$E$1018,$A295,'CEMI Raw'!$B$6:$B$1018,2025)</f>
        <v>0</v>
      </c>
      <c r="F295" s="21" t="n">
        <f aca="false">SUMIFS('CEMI Raw'!$C$6:$C$1018,'CEMI Raw'!$E$6:$E$1018,$A295,'CEMI Raw'!$B$6:$B$1018,2026)</f>
        <v>-1</v>
      </c>
      <c r="G295" s="22" t="n">
        <f aca="false">SUMIFS('CEMI Raw'!$D$6:$D$1018,'CEMI Raw'!$E$6:$E$1018,$A295,'CEMI Raw'!$B$6:$B$1018,2026)</f>
        <v>-88.8</v>
      </c>
      <c r="H295" s="21" t="n">
        <f aca="false">SUMIFS('SALES Raw'!$C$6:$C$603,'SALES Raw'!$E$6:$E$603,$A295,'SALES Raw'!$B$6:$B$603,2025)</f>
        <v>0</v>
      </c>
      <c r="I295" s="22" t="n">
        <f aca="false">SUMIFS('SALES Raw'!$D$6:$D$603,'SALES Raw'!$E$6:$E$603,$A295,'SALES Raw'!$B$6:$B$603,2025)</f>
        <v>0</v>
      </c>
      <c r="J295" s="21" t="n">
        <f aca="false">SUMIFS('SALES Raw'!$C$6:$C$603,'SALES Raw'!$E$6:$E$603,$A295,'SALES Raw'!$B$6:$B$603,2026)</f>
        <v>0</v>
      </c>
      <c r="K295" s="22" t="n">
        <f aca="false">SUMIFS('SALES Raw'!$D$6:$D$603,'SALES Raw'!$E$6:$E$603,$A295,'SALES Raw'!$B$6:$B$603,2026)</f>
        <v>0</v>
      </c>
      <c r="L295" s="21" t="n">
        <f aca="false">D295+H295</f>
        <v>0</v>
      </c>
      <c r="M295" s="22" t="n">
        <f aca="false">E295+I295</f>
        <v>0</v>
      </c>
      <c r="N295" s="21" t="n">
        <f aca="false">F295+J295</f>
        <v>-1</v>
      </c>
      <c r="O295" s="22" t="n">
        <f aca="false">G295+K295</f>
        <v>-88.8</v>
      </c>
    </row>
    <row r="296" customFormat="false" ht="15" hidden="false" customHeight="false" outlineLevel="0" collapsed="false">
      <c r="A296" s="20" t="n">
        <v>4413117</v>
      </c>
      <c r="B296" s="20" t="str">
        <f aca="false">IFERROR(INDEX('Catalog'!$B:$B,MATCH($A296,'Catalog'!$A:$A,0)),"")</f>
        <v>50 L מתלה אשכים לאחר ניתוח</v>
      </c>
      <c r="C296" s="20" t="str">
        <f aca="false">IFERROR(INDEX('TRANS'!$A:$A,MATCH($A296,'TRANS'!$B:$B,0)),"")</f>
        <v>50 L</v>
      </c>
      <c r="D296" s="21" t="n">
        <f aca="false">SUMIFS('CEMI Raw'!$C$6:$C$1018,'CEMI Raw'!$E$6:$E$1018,$A296,'CEMI Raw'!$B$6:$B$1018,2025)</f>
        <v>4</v>
      </c>
      <c r="E296" s="22" t="n">
        <f aca="false">SUMIFS('CEMI Raw'!$D$6:$D$1018,'CEMI Raw'!$E$6:$E$1018,$A296,'CEMI Raw'!$B$6:$B$1018,2025)</f>
        <v>414.5</v>
      </c>
      <c r="F296" s="21" t="n">
        <f aca="false">SUMIFS('CEMI Raw'!$C$6:$C$1018,'CEMI Raw'!$E$6:$E$1018,$A296,'CEMI Raw'!$B$6:$B$1018,2026)</f>
        <v>4</v>
      </c>
      <c r="G296" s="22" t="n">
        <f aca="false">SUMIFS('CEMI Raw'!$D$6:$D$1018,'CEMI Raw'!$E$6:$E$1018,$A296,'CEMI Raw'!$B$6:$B$1018,2026)</f>
        <v>444.1</v>
      </c>
      <c r="H296" s="21" t="n">
        <f aca="false">SUMIFS('SALES Raw'!$C$6:$C$603,'SALES Raw'!$E$6:$E$603,$A296,'SALES Raw'!$B$6:$B$603,2025)</f>
        <v>12</v>
      </c>
      <c r="I296" s="22" t="n">
        <f aca="false">SUMIFS('SALES Raw'!$D$6:$D$603,'SALES Raw'!$E$6:$E$603,$A296,'SALES Raw'!$B$6:$B$603,2025)</f>
        <v>1122.26</v>
      </c>
      <c r="J296" s="21" t="n">
        <f aca="false">SUMIFS('SALES Raw'!$C$6:$C$603,'SALES Raw'!$E$6:$E$603,$A296,'SALES Raw'!$B$6:$B$603,2026)</f>
        <v>14</v>
      </c>
      <c r="K296" s="22" t="n">
        <f aca="false">SUMIFS('SALES Raw'!$D$6:$D$603,'SALES Raw'!$E$6:$E$603,$A296,'SALES Raw'!$B$6:$B$603,2026)</f>
        <v>1554.52</v>
      </c>
      <c r="L296" s="21" t="n">
        <f aca="false">D296+H296</f>
        <v>16</v>
      </c>
      <c r="M296" s="22" t="n">
        <f aca="false">E296+I296</f>
        <v>1536.76</v>
      </c>
      <c r="N296" s="21" t="n">
        <f aca="false">F296+J296</f>
        <v>18</v>
      </c>
      <c r="O296" s="22" t="n">
        <f aca="false">G296+K296</f>
        <v>1998.62</v>
      </c>
    </row>
    <row r="297" customFormat="false" ht="15" hidden="false" customHeight="false" outlineLevel="0" collapsed="false">
      <c r="A297" s="20" t="n">
        <v>4413118</v>
      </c>
      <c r="B297" s="20" t="str">
        <f aca="false">IFERROR(INDEX('Catalog'!$B:$B,MATCH($A297,'Catalog'!$A:$A,0)),"")</f>
        <v>50 M מתלה אשכים לאחר ניתוח</v>
      </c>
      <c r="C297" s="20" t="str">
        <f aca="false">IFERROR(INDEX('TRANS'!$A:$A,MATCH($A297,'TRANS'!$B:$B,0)),"")</f>
        <v>50 M</v>
      </c>
      <c r="D297" s="21" t="n">
        <f aca="false">SUMIFS('CEMI Raw'!$C$6:$C$1018,'CEMI Raw'!$E$6:$E$1018,$A297,'CEMI Raw'!$B$6:$B$1018,2025)</f>
        <v>2</v>
      </c>
      <c r="E297" s="22" t="n">
        <f aca="false">SUMIFS('CEMI Raw'!$D$6:$D$1018,'CEMI Raw'!$E$6:$E$1018,$A297,'CEMI Raw'!$B$6:$B$1018,2025)</f>
        <v>207.2</v>
      </c>
      <c r="F297" s="21" t="n">
        <f aca="false">SUMIFS('CEMI Raw'!$C$6:$C$1018,'CEMI Raw'!$E$6:$E$1018,$A297,'CEMI Raw'!$B$6:$B$1018,2026)</f>
        <v>1</v>
      </c>
      <c r="G297" s="22" t="n">
        <f aca="false">SUMIFS('CEMI Raw'!$D$6:$D$1018,'CEMI Raw'!$E$6:$E$1018,$A297,'CEMI Raw'!$B$6:$B$1018,2026)</f>
        <v>111</v>
      </c>
      <c r="H297" s="21" t="n">
        <f aca="false">SUMIFS('SALES Raw'!$C$6:$C$603,'SALES Raw'!$E$6:$E$603,$A297,'SALES Raw'!$B$6:$B$603,2025)</f>
        <v>8</v>
      </c>
      <c r="I297" s="22" t="n">
        <f aca="false">SUMIFS('SALES Raw'!$D$6:$D$603,'SALES Raw'!$E$6:$E$603,$A297,'SALES Raw'!$B$6:$B$603,2025)</f>
        <v>762.18</v>
      </c>
      <c r="J297" s="21" t="n">
        <f aca="false">SUMIFS('SALES Raw'!$C$6:$C$603,'SALES Raw'!$E$6:$E$603,$A297,'SALES Raw'!$B$6:$B$603,2026)</f>
        <v>6</v>
      </c>
      <c r="K297" s="22" t="n">
        <f aca="false">SUMIFS('SALES Raw'!$D$6:$D$603,'SALES Raw'!$E$6:$E$603,$A297,'SALES Raw'!$B$6:$B$603,2026)</f>
        <v>666.23</v>
      </c>
      <c r="L297" s="21" t="n">
        <f aca="false">D297+H297</f>
        <v>10</v>
      </c>
      <c r="M297" s="22" t="n">
        <f aca="false">E297+I297</f>
        <v>969.38</v>
      </c>
      <c r="N297" s="21" t="n">
        <f aca="false">F297+J297</f>
        <v>7</v>
      </c>
      <c r="O297" s="22" t="n">
        <f aca="false">G297+K297</f>
        <v>777.23</v>
      </c>
    </row>
    <row r="298" customFormat="false" ht="15" hidden="false" customHeight="false" outlineLevel="0" collapsed="false">
      <c r="A298" s="20" t="n">
        <v>4413119</v>
      </c>
      <c r="B298" s="20" t="str">
        <f aca="false">IFERROR(INDEX('Catalog'!$B:$B,MATCH($A298,'Catalog'!$A:$A,0)),"")</f>
        <v>50 XL מתלה אשכים לאחר ניתוח</v>
      </c>
      <c r="C298" s="20" t="str">
        <f aca="false">IFERROR(INDEX('TRANS'!$A:$A,MATCH($A298,'TRANS'!$B:$B,0)),"")</f>
        <v>50 XL</v>
      </c>
      <c r="D298" s="21" t="n">
        <f aca="false">SUMIFS('CEMI Raw'!$C$6:$C$1018,'CEMI Raw'!$E$6:$E$1018,$A298,'CEMI Raw'!$B$6:$B$1018,2025)</f>
        <v>6</v>
      </c>
      <c r="E298" s="22" t="n">
        <f aca="false">SUMIFS('CEMI Raw'!$D$6:$D$1018,'CEMI Raw'!$E$6:$E$1018,$A298,'CEMI Raw'!$B$6:$B$1018,2025)</f>
        <v>651.4</v>
      </c>
      <c r="F298" s="21" t="n">
        <f aca="false">SUMIFS('CEMI Raw'!$C$6:$C$1018,'CEMI Raw'!$E$6:$E$1018,$A298,'CEMI Raw'!$B$6:$B$1018,2026)</f>
        <v>1</v>
      </c>
      <c r="G298" s="22" t="n">
        <f aca="false">SUMIFS('CEMI Raw'!$D$6:$D$1018,'CEMI Raw'!$E$6:$E$1018,$A298,'CEMI Raw'!$B$6:$B$1018,2026)</f>
        <v>111</v>
      </c>
      <c r="H298" s="21" t="n">
        <f aca="false">SUMIFS('SALES Raw'!$C$6:$C$603,'SALES Raw'!$E$6:$E$603,$A298,'SALES Raw'!$B$6:$B$603,2025)</f>
        <v>6</v>
      </c>
      <c r="I298" s="22" t="n">
        <f aca="false">SUMIFS('SALES Raw'!$D$6:$D$603,'SALES Raw'!$E$6:$E$603,$A298,'SALES Raw'!$B$6:$B$603,2025)</f>
        <v>540.12</v>
      </c>
      <c r="J298" s="21" t="n">
        <f aca="false">SUMIFS('SALES Raw'!$C$6:$C$603,'SALES Raw'!$E$6:$E$603,$A298,'SALES Raw'!$B$6:$B$603,2026)</f>
        <v>13</v>
      </c>
      <c r="K298" s="22" t="n">
        <f aca="false">SUMIFS('SALES Raw'!$D$6:$D$603,'SALES Raw'!$E$6:$E$603,$A298,'SALES Raw'!$B$6:$B$603,2026)</f>
        <v>1443.48</v>
      </c>
      <c r="L298" s="21" t="n">
        <f aca="false">D298+H298</f>
        <v>12</v>
      </c>
      <c r="M298" s="22" t="n">
        <f aca="false">E298+I298</f>
        <v>1191.52</v>
      </c>
      <c r="N298" s="21" t="n">
        <f aca="false">F298+J298</f>
        <v>14</v>
      </c>
      <c r="O298" s="22" t="n">
        <f aca="false">G298+K298</f>
        <v>1554.48</v>
      </c>
    </row>
    <row r="299" customFormat="false" ht="15" hidden="false" customHeight="false" outlineLevel="0" collapsed="false">
      <c r="A299" s="20" t="n">
        <v>4413120</v>
      </c>
      <c r="B299" s="20" t="str">
        <f aca="false">IFERROR(INDEX('Catalog'!$B:$B,MATCH($A299,'Catalog'!$A:$A,0)),"")</f>
        <v>50 XXL מתלה אשכים לאחר ניתוח</v>
      </c>
      <c r="C299" s="20" t="str">
        <f aca="false">IFERROR(INDEX('TRANS'!$A:$A,MATCH($A299,'TRANS'!$B:$B,0)),"")</f>
        <v/>
      </c>
      <c r="D299" s="21" t="n">
        <f aca="false">SUMIFS('CEMI Raw'!$C$6:$C$1018,'CEMI Raw'!$E$6:$E$1018,$A299,'CEMI Raw'!$B$6:$B$1018,2025)</f>
        <v>5</v>
      </c>
      <c r="E299" s="22" t="n">
        <f aca="false">SUMIFS('CEMI Raw'!$D$6:$D$1018,'CEMI Raw'!$E$6:$E$1018,$A299,'CEMI Raw'!$B$6:$B$1018,2025)</f>
        <v>488.6</v>
      </c>
      <c r="F299" s="21" t="n">
        <f aca="false">SUMIFS('CEMI Raw'!$C$6:$C$1018,'CEMI Raw'!$E$6:$E$1018,$A299,'CEMI Raw'!$B$6:$B$1018,2026)</f>
        <v>0</v>
      </c>
      <c r="G299" s="22" t="n">
        <f aca="false">SUMIFS('CEMI Raw'!$D$6:$D$1018,'CEMI Raw'!$E$6:$E$1018,$A299,'CEMI Raw'!$B$6:$B$1018,2026)</f>
        <v>0</v>
      </c>
      <c r="H299" s="21" t="n">
        <f aca="false">SUMIFS('SALES Raw'!$C$6:$C$603,'SALES Raw'!$E$6:$E$603,$A299,'SALES Raw'!$B$6:$B$603,2025)</f>
        <v>0</v>
      </c>
      <c r="I299" s="22" t="n">
        <f aca="false">SUMIFS('SALES Raw'!$D$6:$D$603,'SALES Raw'!$E$6:$E$603,$A299,'SALES Raw'!$B$6:$B$603,2025)</f>
        <v>0</v>
      </c>
      <c r="J299" s="21" t="n">
        <f aca="false">SUMIFS('SALES Raw'!$C$6:$C$603,'SALES Raw'!$E$6:$E$603,$A299,'SALES Raw'!$B$6:$B$603,2026)</f>
        <v>0</v>
      </c>
      <c r="K299" s="22" t="n">
        <f aca="false">SUMIFS('SALES Raw'!$D$6:$D$603,'SALES Raw'!$E$6:$E$603,$A299,'SALES Raw'!$B$6:$B$603,2026)</f>
        <v>0</v>
      </c>
      <c r="L299" s="21" t="n">
        <f aca="false">D299+H299</f>
        <v>5</v>
      </c>
      <c r="M299" s="22" t="n">
        <f aca="false">E299+I299</f>
        <v>488.6</v>
      </c>
      <c r="N299" s="21" t="n">
        <f aca="false">F299+J299</f>
        <v>0</v>
      </c>
      <c r="O299" s="22" t="n">
        <f aca="false">G299+K299</f>
        <v>0</v>
      </c>
    </row>
    <row r="300" customFormat="false" ht="15" hidden="false" customHeight="false" outlineLevel="0" collapsed="false">
      <c r="A300" s="20" t="n">
        <v>4413122</v>
      </c>
      <c r="B300" s="20" t="str">
        <f aca="false">IFERROR(INDEX('Catalog'!$B:$B,MATCH($A300,'Catalog'!$A:$A,0)),"")</f>
        <v>55 L מתלה אשכים לספורטאים</v>
      </c>
      <c r="C300" s="20" t="str">
        <f aca="false">IFERROR(INDEX('TRANS'!$A:$A,MATCH($A300,'TRANS'!$B:$B,0)),"")</f>
        <v>55 L</v>
      </c>
      <c r="D300" s="21" t="n">
        <f aca="false">SUMIFS('CEMI Raw'!$C$6:$C$1018,'CEMI Raw'!$E$6:$E$1018,$A300,'CEMI Raw'!$B$6:$B$1018,2025)</f>
        <v>3</v>
      </c>
      <c r="E300" s="22" t="n">
        <f aca="false">SUMIFS('CEMI Raw'!$D$6:$D$1018,'CEMI Raw'!$E$6:$E$1018,$A300,'CEMI Raw'!$B$6:$B$1018,2025)</f>
        <v>241.7</v>
      </c>
      <c r="F300" s="21" t="n">
        <f aca="false">SUMIFS('CEMI Raw'!$C$6:$C$1018,'CEMI Raw'!$E$6:$E$1018,$A300,'CEMI Raw'!$B$6:$B$1018,2026)</f>
        <v>3</v>
      </c>
      <c r="G300" s="22" t="n">
        <f aca="false">SUMIFS('CEMI Raw'!$D$6:$D$1018,'CEMI Raw'!$E$6:$E$1018,$A300,'CEMI Raw'!$B$6:$B$1018,2026)</f>
        <v>241.7</v>
      </c>
      <c r="H300" s="21" t="n">
        <f aca="false">SUMIFS('SALES Raw'!$C$6:$C$603,'SALES Raw'!$E$6:$E$603,$A300,'SALES Raw'!$B$6:$B$603,2025)</f>
        <v>1</v>
      </c>
      <c r="I300" s="22" t="n">
        <f aca="false">SUMIFS('SALES Raw'!$D$6:$D$603,'SALES Raw'!$E$6:$E$603,$A300,'SALES Raw'!$B$6:$B$603,2025)</f>
        <v>84.32</v>
      </c>
      <c r="J300" s="21" t="n">
        <f aca="false">SUMIFS('SALES Raw'!$C$6:$C$603,'SALES Raw'!$E$6:$E$603,$A300,'SALES Raw'!$B$6:$B$603,2026)</f>
        <v>4</v>
      </c>
      <c r="K300" s="22" t="n">
        <f aca="false">SUMIFS('SALES Raw'!$D$6:$D$603,'SALES Raw'!$E$6:$E$603,$A300,'SALES Raw'!$B$6:$B$603,2026)</f>
        <v>337.29</v>
      </c>
      <c r="L300" s="21" t="n">
        <f aca="false">D300+H300</f>
        <v>4</v>
      </c>
      <c r="M300" s="22" t="n">
        <f aca="false">E300+I300</f>
        <v>326.02</v>
      </c>
      <c r="N300" s="21" t="n">
        <f aca="false">F300+J300</f>
        <v>7</v>
      </c>
      <c r="O300" s="22" t="n">
        <f aca="false">G300+K300</f>
        <v>578.99</v>
      </c>
    </row>
    <row r="301" customFormat="false" ht="15" hidden="false" customHeight="false" outlineLevel="0" collapsed="false">
      <c r="A301" s="20" t="n">
        <v>4413123</v>
      </c>
      <c r="B301" s="20" t="str">
        <f aca="false">IFERROR(INDEX('Catalog'!$B:$B,MATCH($A301,'Catalog'!$A:$A,0)),"")</f>
        <v>55 M מתלה אשכים לספורטאים</v>
      </c>
      <c r="C301" s="20" t="str">
        <f aca="false">IFERROR(INDEX('TRANS'!$A:$A,MATCH($A301,'TRANS'!$B:$B,0)),"")</f>
        <v/>
      </c>
      <c r="D301" s="21" t="n">
        <f aca="false">SUMIFS('CEMI Raw'!$C$6:$C$1018,'CEMI Raw'!$E$6:$E$1018,$A301,'CEMI Raw'!$B$6:$B$1018,2025)</f>
        <v>2</v>
      </c>
      <c r="E301" s="22" t="n">
        <f aca="false">SUMIFS('CEMI Raw'!$D$6:$D$1018,'CEMI Raw'!$E$6:$E$1018,$A301,'CEMI Raw'!$B$6:$B$1018,2025)</f>
        <v>160.6</v>
      </c>
      <c r="F301" s="21" t="n">
        <f aca="false">SUMIFS('CEMI Raw'!$C$6:$C$1018,'CEMI Raw'!$E$6:$E$1018,$A301,'CEMI Raw'!$B$6:$B$1018,2026)</f>
        <v>-1</v>
      </c>
      <c r="G301" s="22" t="n">
        <f aca="false">SUMIFS('CEMI Raw'!$D$6:$D$1018,'CEMI Raw'!$E$6:$E$1018,$A301,'CEMI Raw'!$B$6:$B$1018,2026)</f>
        <v>-80.3</v>
      </c>
      <c r="H301" s="21" t="n">
        <f aca="false">SUMIFS('SALES Raw'!$C$6:$C$603,'SALES Raw'!$E$6:$E$603,$A301,'SALES Raw'!$B$6:$B$603,2025)</f>
        <v>0</v>
      </c>
      <c r="I301" s="22" t="n">
        <f aca="false">SUMIFS('SALES Raw'!$D$6:$D$603,'SALES Raw'!$E$6:$E$603,$A301,'SALES Raw'!$B$6:$B$603,2025)</f>
        <v>0</v>
      </c>
      <c r="J301" s="21" t="n">
        <f aca="false">SUMIFS('SALES Raw'!$C$6:$C$603,'SALES Raw'!$E$6:$E$603,$A301,'SALES Raw'!$B$6:$B$603,2026)</f>
        <v>0</v>
      </c>
      <c r="K301" s="22" t="n">
        <f aca="false">SUMIFS('SALES Raw'!$D$6:$D$603,'SALES Raw'!$E$6:$E$603,$A301,'SALES Raw'!$B$6:$B$603,2026)</f>
        <v>0</v>
      </c>
      <c r="L301" s="21" t="n">
        <f aca="false">D301+H301</f>
        <v>2</v>
      </c>
      <c r="M301" s="22" t="n">
        <f aca="false">E301+I301</f>
        <v>160.6</v>
      </c>
      <c r="N301" s="21" t="n">
        <f aca="false">F301+J301</f>
        <v>-1</v>
      </c>
      <c r="O301" s="22" t="n">
        <f aca="false">G301+K301</f>
        <v>-80.3</v>
      </c>
    </row>
    <row r="302" customFormat="false" ht="15" hidden="false" customHeight="false" outlineLevel="0" collapsed="false">
      <c r="A302" s="20" t="n">
        <v>4413124</v>
      </c>
      <c r="B302" s="20" t="str">
        <f aca="false">IFERROR(INDEX('Catalog'!$B:$B,MATCH($A302,'Catalog'!$A:$A,0)),"")</f>
        <v>55 XL מתלה אשכים לספורטאים</v>
      </c>
      <c r="C302" s="20" t="str">
        <f aca="false">IFERROR(INDEX('TRANS'!$A:$A,MATCH($A302,'TRANS'!$B:$B,0)),"")</f>
        <v>55 XL</v>
      </c>
      <c r="D302" s="21" t="n">
        <f aca="false">SUMIFS('CEMI Raw'!$C$6:$C$1018,'CEMI Raw'!$E$6:$E$1018,$A302,'CEMI Raw'!$B$6:$B$1018,2025)</f>
        <v>0</v>
      </c>
      <c r="E302" s="22" t="n">
        <f aca="false">SUMIFS('CEMI Raw'!$D$6:$D$1018,'CEMI Raw'!$E$6:$E$1018,$A302,'CEMI Raw'!$B$6:$B$1018,2025)</f>
        <v>0</v>
      </c>
      <c r="F302" s="21" t="n">
        <f aca="false">SUMIFS('CEMI Raw'!$C$6:$C$1018,'CEMI Raw'!$E$6:$E$1018,$A302,'CEMI Raw'!$B$6:$B$1018,2026)</f>
        <v>1</v>
      </c>
      <c r="G302" s="22" t="n">
        <f aca="false">SUMIFS('CEMI Raw'!$D$6:$D$1018,'CEMI Raw'!$E$6:$E$1018,$A302,'CEMI Raw'!$B$6:$B$1018,2026)</f>
        <v>84.3</v>
      </c>
      <c r="H302" s="21" t="n">
        <f aca="false">SUMIFS('SALES Raw'!$C$6:$C$603,'SALES Raw'!$E$6:$E$603,$A302,'SALES Raw'!$B$6:$B$603,2025)</f>
        <v>1</v>
      </c>
      <c r="I302" s="22" t="n">
        <f aca="false">SUMIFS('SALES Raw'!$D$6:$D$603,'SALES Raw'!$E$6:$E$603,$A302,'SALES Raw'!$B$6:$B$603,2025)</f>
        <v>84.32</v>
      </c>
      <c r="J302" s="21" t="n">
        <f aca="false">SUMIFS('SALES Raw'!$C$6:$C$603,'SALES Raw'!$E$6:$E$603,$A302,'SALES Raw'!$B$6:$B$603,2026)</f>
        <v>1</v>
      </c>
      <c r="K302" s="22" t="n">
        <f aca="false">SUMIFS('SALES Raw'!$D$6:$D$603,'SALES Raw'!$E$6:$E$603,$A302,'SALES Raw'!$B$6:$B$603,2026)</f>
        <v>84.32</v>
      </c>
      <c r="L302" s="21" t="n">
        <f aca="false">D302+H302</f>
        <v>1</v>
      </c>
      <c r="M302" s="22" t="n">
        <f aca="false">E302+I302</f>
        <v>84.32</v>
      </c>
      <c r="N302" s="21" t="n">
        <f aca="false">F302+J302</f>
        <v>2</v>
      </c>
      <c r="O302" s="22" t="n">
        <f aca="false">G302+K302</f>
        <v>168.62</v>
      </c>
    </row>
    <row r="303" customFormat="false" ht="15" hidden="false" customHeight="false" outlineLevel="0" collapsed="false">
      <c r="A303" s="20" t="n">
        <v>4413126</v>
      </c>
      <c r="B303" s="20" t="str">
        <f aca="false">IFERROR(INDEX('Catalog'!$B:$B,MATCH($A303,'Catalog'!$A:$A,0)),"")</f>
        <v>75 Sמיישר כתף יציב יישור גב צר</v>
      </c>
      <c r="C303" s="20" t="str">
        <f aca="false">IFERROR(INDEX('TRANS'!$A:$A,MATCH($A303,'TRANS'!$B:$B,0)),"")</f>
        <v>75 S</v>
      </c>
      <c r="D303" s="21" t="n">
        <f aca="false">SUMIFS('CEMI Raw'!$C$6:$C$1018,'CEMI Raw'!$E$6:$E$1018,$A303,'CEMI Raw'!$B$6:$B$1018,2025)</f>
        <v>4</v>
      </c>
      <c r="E303" s="22" t="n">
        <f aca="false">SUMIFS('CEMI Raw'!$D$6:$D$1018,'CEMI Raw'!$E$6:$E$1018,$A303,'CEMI Raw'!$B$6:$B$1018,2025)</f>
        <v>701.8</v>
      </c>
      <c r="F303" s="21" t="n">
        <f aca="false">SUMIFS('CEMI Raw'!$C$6:$C$1018,'CEMI Raw'!$E$6:$E$1018,$A303,'CEMI Raw'!$B$6:$B$1018,2026)</f>
        <v>5</v>
      </c>
      <c r="G303" s="22" t="n">
        <f aca="false">SUMIFS('CEMI Raw'!$D$6:$D$1018,'CEMI Raw'!$E$6:$E$1018,$A303,'CEMI Raw'!$B$6:$B$1018,2026)</f>
        <v>820.1</v>
      </c>
      <c r="H303" s="21" t="n">
        <f aca="false">SUMIFS('SALES Raw'!$C$6:$C$603,'SALES Raw'!$E$6:$E$603,$A303,'SALES Raw'!$B$6:$B$603,2025)</f>
        <v>0</v>
      </c>
      <c r="I303" s="22" t="n">
        <f aca="false">SUMIFS('SALES Raw'!$D$6:$D$603,'SALES Raw'!$E$6:$E$603,$A303,'SALES Raw'!$B$6:$B$603,2025)</f>
        <v>0</v>
      </c>
      <c r="J303" s="21" t="n">
        <f aca="false">SUMIFS('SALES Raw'!$C$6:$C$603,'SALES Raw'!$E$6:$E$603,$A303,'SALES Raw'!$B$6:$B$603,2026)</f>
        <v>0</v>
      </c>
      <c r="K303" s="22" t="n">
        <f aca="false">SUMIFS('SALES Raw'!$D$6:$D$603,'SALES Raw'!$E$6:$E$603,$A303,'SALES Raw'!$B$6:$B$603,2026)</f>
        <v>0</v>
      </c>
      <c r="L303" s="21" t="n">
        <f aca="false">D303+H303</f>
        <v>4</v>
      </c>
      <c r="M303" s="22" t="n">
        <f aca="false">E303+I303</f>
        <v>701.8</v>
      </c>
      <c r="N303" s="21" t="n">
        <f aca="false">F303+J303</f>
        <v>5</v>
      </c>
      <c r="O303" s="22" t="n">
        <f aca="false">G303+K303</f>
        <v>820.1</v>
      </c>
    </row>
    <row r="304" customFormat="false" ht="15" hidden="false" customHeight="false" outlineLevel="0" collapsed="false">
      <c r="A304" s="20" t="n">
        <v>4413127</v>
      </c>
      <c r="B304" s="20" t="str">
        <f aca="false">IFERROR(INDEX('Catalog'!$B:$B,MATCH($A304,'Catalog'!$A:$A,0)),"")</f>
        <v>75 Lמיישר כתף יציב יישור גב צר</v>
      </c>
      <c r="C304" s="20" t="str">
        <f aca="false">IFERROR(INDEX('TRANS'!$A:$A,MATCH($A304,'TRANS'!$B:$B,0)),"")</f>
        <v>75 L</v>
      </c>
      <c r="D304" s="21" t="n">
        <f aca="false">SUMIFS('CEMI Raw'!$C$6:$C$1018,'CEMI Raw'!$E$6:$E$1018,$A304,'CEMI Raw'!$B$6:$B$1018,2025)</f>
        <v>19</v>
      </c>
      <c r="E304" s="22" t="n">
        <f aca="false">SUMIFS('CEMI Raw'!$D$6:$D$1018,'CEMI Raw'!$E$6:$E$1018,$A304,'CEMI Raw'!$B$6:$B$1018,2025)</f>
        <v>3000.5</v>
      </c>
      <c r="F304" s="21" t="n">
        <f aca="false">SUMIFS('CEMI Raw'!$C$6:$C$1018,'CEMI Raw'!$E$6:$E$1018,$A304,'CEMI Raw'!$B$6:$B$1018,2026)</f>
        <v>16</v>
      </c>
      <c r="G304" s="22" t="n">
        <f aca="false">SUMIFS('CEMI Raw'!$D$6:$D$1018,'CEMI Raw'!$E$6:$E$1018,$A304,'CEMI Raw'!$B$6:$B$1018,2026)</f>
        <v>2547.6</v>
      </c>
      <c r="H304" s="21" t="n">
        <f aca="false">SUMIFS('SALES Raw'!$C$6:$C$603,'SALES Raw'!$E$6:$E$603,$A304,'SALES Raw'!$B$6:$B$603,2025)</f>
        <v>0</v>
      </c>
      <c r="I304" s="22" t="n">
        <f aca="false">SUMIFS('SALES Raw'!$D$6:$D$603,'SALES Raw'!$E$6:$E$603,$A304,'SALES Raw'!$B$6:$B$603,2025)</f>
        <v>0</v>
      </c>
      <c r="J304" s="21" t="n">
        <f aca="false">SUMIFS('SALES Raw'!$C$6:$C$603,'SALES Raw'!$E$6:$E$603,$A304,'SALES Raw'!$B$6:$B$603,2026)</f>
        <v>1</v>
      </c>
      <c r="K304" s="22" t="n">
        <f aca="false">SUMIFS('SALES Raw'!$D$6:$D$603,'SALES Raw'!$E$6:$E$603,$A304,'SALES Raw'!$B$6:$B$603,2026)</f>
        <v>164.01</v>
      </c>
      <c r="L304" s="21" t="n">
        <f aca="false">D304+H304</f>
        <v>19</v>
      </c>
      <c r="M304" s="22" t="n">
        <f aca="false">E304+I304</f>
        <v>3000.5</v>
      </c>
      <c r="N304" s="21" t="n">
        <f aca="false">F304+J304</f>
        <v>17</v>
      </c>
      <c r="O304" s="22" t="n">
        <f aca="false">G304+K304</f>
        <v>2711.61</v>
      </c>
    </row>
    <row r="305" customFormat="false" ht="15" hidden="false" customHeight="false" outlineLevel="0" collapsed="false">
      <c r="A305" s="20" t="n">
        <v>4413128</v>
      </c>
      <c r="B305" s="20" t="str">
        <f aca="false">IFERROR(INDEX('Catalog'!$B:$B,MATCH($A305,'Catalog'!$A:$A,0)),"")</f>
        <v>75 Mמיישר כתף יציב יישור גב צר</v>
      </c>
      <c r="C305" s="20" t="str">
        <f aca="false">IFERROR(INDEX('TRANS'!$A:$A,MATCH($A305,'TRANS'!$B:$B,0)),"")</f>
        <v>75 M</v>
      </c>
      <c r="D305" s="21" t="n">
        <f aca="false">SUMIFS('CEMI Raw'!$C$6:$C$1018,'CEMI Raw'!$E$6:$E$1018,$A305,'CEMI Raw'!$B$6:$B$1018,2025)</f>
        <v>21</v>
      </c>
      <c r="E305" s="22" t="n">
        <f aca="false">SUMIFS('CEMI Raw'!$D$6:$D$1018,'CEMI Raw'!$E$6:$E$1018,$A305,'CEMI Raw'!$B$6:$B$1018,2025)</f>
        <v>3344.9</v>
      </c>
      <c r="F305" s="21" t="n">
        <f aca="false">SUMIFS('CEMI Raw'!$C$6:$C$1018,'CEMI Raw'!$E$6:$E$1018,$A305,'CEMI Raw'!$B$6:$B$1018,2026)</f>
        <v>7</v>
      </c>
      <c r="G305" s="22" t="n">
        <f aca="false">SUMIFS('CEMI Raw'!$D$6:$D$1018,'CEMI Raw'!$E$6:$E$1018,$A305,'CEMI Raw'!$B$6:$B$1018,2026)</f>
        <v>1060.5</v>
      </c>
      <c r="H305" s="21" t="n">
        <f aca="false">SUMIFS('SALES Raw'!$C$6:$C$603,'SALES Raw'!$E$6:$E$603,$A305,'SALES Raw'!$B$6:$B$603,2025)</f>
        <v>0</v>
      </c>
      <c r="I305" s="22" t="n">
        <f aca="false">SUMIFS('SALES Raw'!$D$6:$D$603,'SALES Raw'!$E$6:$E$603,$A305,'SALES Raw'!$B$6:$B$603,2025)</f>
        <v>0</v>
      </c>
      <c r="J305" s="21" t="n">
        <f aca="false">SUMIFS('SALES Raw'!$C$6:$C$603,'SALES Raw'!$E$6:$E$603,$A305,'SALES Raw'!$B$6:$B$603,2026)</f>
        <v>0</v>
      </c>
      <c r="K305" s="22" t="n">
        <f aca="false">SUMIFS('SALES Raw'!$D$6:$D$603,'SALES Raw'!$E$6:$E$603,$A305,'SALES Raw'!$B$6:$B$603,2026)</f>
        <v>0</v>
      </c>
      <c r="L305" s="21" t="n">
        <f aca="false">D305+H305</f>
        <v>21</v>
      </c>
      <c r="M305" s="22" t="n">
        <f aca="false">E305+I305</f>
        <v>3344.9</v>
      </c>
      <c r="N305" s="21" t="n">
        <f aca="false">F305+J305</f>
        <v>7</v>
      </c>
      <c r="O305" s="22" t="n">
        <f aca="false">G305+K305</f>
        <v>1060.5</v>
      </c>
    </row>
    <row r="306" customFormat="false" ht="15" hidden="false" customHeight="false" outlineLevel="0" collapsed="false">
      <c r="A306" s="20" t="n">
        <v>4413129</v>
      </c>
      <c r="B306" s="20" t="str">
        <f aca="false">IFERROR(INDEX('Catalog'!$B:$B,MATCH($A306,'Catalog'!$A:$A,0)),"")</f>
        <v>75 XLמיישר כתף יציב יישור ג.צר</v>
      </c>
      <c r="C306" s="20" t="str">
        <f aca="false">IFERROR(INDEX('TRANS'!$A:$A,MATCH($A306,'TRANS'!$B:$B,0)),"")</f>
        <v>75 XL</v>
      </c>
      <c r="D306" s="21" t="n">
        <f aca="false">SUMIFS('CEMI Raw'!$C$6:$C$1018,'CEMI Raw'!$E$6:$E$1018,$A306,'CEMI Raw'!$B$6:$B$1018,2025)</f>
        <v>15</v>
      </c>
      <c r="E306" s="22" t="n">
        <f aca="false">SUMIFS('CEMI Raw'!$D$6:$D$1018,'CEMI Raw'!$E$6:$E$1018,$A306,'CEMI Raw'!$B$6:$B$1018,2025)</f>
        <v>2465.8</v>
      </c>
      <c r="F306" s="21" t="n">
        <f aca="false">SUMIFS('CEMI Raw'!$C$6:$C$1018,'CEMI Raw'!$E$6:$E$1018,$A306,'CEMI Raw'!$B$6:$B$1018,2026)</f>
        <v>2</v>
      </c>
      <c r="G306" s="22" t="n">
        <f aca="false">SUMIFS('CEMI Raw'!$D$6:$D$1018,'CEMI Raw'!$E$6:$E$1018,$A306,'CEMI Raw'!$B$6:$B$1018,2026)</f>
        <v>320.8</v>
      </c>
      <c r="H306" s="21" t="n">
        <f aca="false">SUMIFS('SALES Raw'!$C$6:$C$603,'SALES Raw'!$E$6:$E$603,$A306,'SALES Raw'!$B$6:$B$603,2025)</f>
        <v>0</v>
      </c>
      <c r="I306" s="22" t="n">
        <f aca="false">SUMIFS('SALES Raw'!$D$6:$D$603,'SALES Raw'!$E$6:$E$603,$A306,'SALES Raw'!$B$6:$B$603,2025)</f>
        <v>0</v>
      </c>
      <c r="J306" s="21" t="n">
        <f aca="false">SUMIFS('SALES Raw'!$C$6:$C$603,'SALES Raw'!$E$6:$E$603,$A306,'SALES Raw'!$B$6:$B$603,2026)</f>
        <v>0</v>
      </c>
      <c r="K306" s="22" t="n">
        <f aca="false">SUMIFS('SALES Raw'!$D$6:$D$603,'SALES Raw'!$E$6:$E$603,$A306,'SALES Raw'!$B$6:$B$603,2026)</f>
        <v>0</v>
      </c>
      <c r="L306" s="21" t="n">
        <f aca="false">D306+H306</f>
        <v>15</v>
      </c>
      <c r="M306" s="22" t="n">
        <f aca="false">E306+I306</f>
        <v>2465.8</v>
      </c>
      <c r="N306" s="21" t="n">
        <f aca="false">F306+J306</f>
        <v>2</v>
      </c>
      <c r="O306" s="22" t="n">
        <f aca="false">G306+K306</f>
        <v>320.8</v>
      </c>
    </row>
    <row r="307" customFormat="false" ht="15" hidden="false" customHeight="false" outlineLevel="0" collapsed="false">
      <c r="A307" s="20" t="n">
        <v>4413130</v>
      </c>
      <c r="B307" s="20" t="str">
        <f aca="false">IFERROR(INDEX('Catalog'!$B:$B,MATCH($A307,'Catalog'!$A:$A,0)),"")</f>
        <v>75  XXL מיישר כתף יציב ישור צר</v>
      </c>
      <c r="C307" s="20" t="str">
        <f aca="false">IFERROR(INDEX('TRANS'!$A:$A,MATCH($A307,'TRANS'!$B:$B,0)),"")</f>
        <v>75 XXL</v>
      </c>
      <c r="D307" s="21" t="n">
        <f aca="false">SUMIFS('CEMI Raw'!$C$6:$C$1018,'CEMI Raw'!$E$6:$E$1018,$A307,'CEMI Raw'!$B$6:$B$1018,2025)</f>
        <v>9</v>
      </c>
      <c r="E307" s="22" t="n">
        <f aca="false">SUMIFS('CEMI Raw'!$D$6:$D$1018,'CEMI Raw'!$E$6:$E$1018,$A307,'CEMI Raw'!$B$6:$B$1018,2025)</f>
        <v>1366.5</v>
      </c>
      <c r="F307" s="21" t="n">
        <f aca="false">SUMIFS('CEMI Raw'!$C$6:$C$1018,'CEMI Raw'!$E$6:$E$1018,$A307,'CEMI Raw'!$B$6:$B$1018,2026)</f>
        <v>2</v>
      </c>
      <c r="G307" s="22" t="n">
        <f aca="false">SUMIFS('CEMI Raw'!$D$6:$D$1018,'CEMI Raw'!$E$6:$E$1018,$A307,'CEMI Raw'!$B$6:$B$1018,2026)</f>
        <v>371.8</v>
      </c>
      <c r="H307" s="21" t="n">
        <f aca="false">SUMIFS('SALES Raw'!$C$6:$C$603,'SALES Raw'!$E$6:$E$603,$A307,'SALES Raw'!$B$6:$B$603,2025)</f>
        <v>1</v>
      </c>
      <c r="I307" s="22" t="n">
        <f aca="false">SUMIFS('SALES Raw'!$D$6:$D$603,'SALES Raw'!$E$6:$E$603,$A307,'SALES Raw'!$B$6:$B$603,2025)</f>
        <v>164.01</v>
      </c>
      <c r="J307" s="21" t="n">
        <f aca="false">SUMIFS('SALES Raw'!$C$6:$C$603,'SALES Raw'!$E$6:$E$603,$A307,'SALES Raw'!$B$6:$B$603,2026)</f>
        <v>0</v>
      </c>
      <c r="K307" s="22" t="n">
        <f aca="false">SUMIFS('SALES Raw'!$D$6:$D$603,'SALES Raw'!$E$6:$E$603,$A307,'SALES Raw'!$B$6:$B$603,2026)</f>
        <v>0</v>
      </c>
      <c r="L307" s="21" t="n">
        <f aca="false">D307+H307</f>
        <v>10</v>
      </c>
      <c r="M307" s="22" t="n">
        <f aca="false">E307+I307</f>
        <v>1530.51</v>
      </c>
      <c r="N307" s="21" t="n">
        <f aca="false">F307+J307</f>
        <v>2</v>
      </c>
      <c r="O307" s="22" t="n">
        <f aca="false">G307+K307</f>
        <v>371.8</v>
      </c>
    </row>
    <row r="308" customFormat="false" ht="15" hidden="false" customHeight="false" outlineLevel="0" collapsed="false">
      <c r="A308" s="20" t="n">
        <v>4413131</v>
      </c>
      <c r="B308" s="20" t="str">
        <f aca="false">IFERROR(INDEX('Catalog'!$B:$B,MATCH($A308,'Catalog'!$A:$A,0)),"")</f>
        <v>76 Sמיישר כתף יציב יישור ג.רחב</v>
      </c>
      <c r="C308" s="20" t="str">
        <f aca="false">IFERROR(INDEX('TRANS'!$A:$A,MATCH($A308,'TRANS'!$B:$B,0)),"")</f>
        <v>76 S</v>
      </c>
      <c r="D308" s="21" t="n">
        <f aca="false">SUMIFS('CEMI Raw'!$C$6:$C$1018,'CEMI Raw'!$E$6:$E$1018,$A308,'CEMI Raw'!$B$6:$B$1018,2025)</f>
        <v>9</v>
      </c>
      <c r="E308" s="22" t="n">
        <f aca="false">SUMIFS('CEMI Raw'!$D$6:$D$1018,'CEMI Raw'!$E$6:$E$1018,$A308,'CEMI Raw'!$B$6:$B$1018,2025)</f>
        <v>1841.6</v>
      </c>
      <c r="F308" s="21" t="n">
        <f aca="false">SUMIFS('CEMI Raw'!$C$6:$C$1018,'CEMI Raw'!$E$6:$E$1018,$A308,'CEMI Raw'!$B$6:$B$1018,2026)</f>
        <v>9</v>
      </c>
      <c r="G308" s="22" t="n">
        <f aca="false">SUMIFS('CEMI Raw'!$D$6:$D$1018,'CEMI Raw'!$E$6:$E$1018,$A308,'CEMI Raw'!$B$6:$B$1018,2026)</f>
        <v>1869.7</v>
      </c>
      <c r="H308" s="21" t="n">
        <f aca="false">SUMIFS('SALES Raw'!$C$6:$C$603,'SALES Raw'!$E$6:$E$603,$A308,'SALES Raw'!$B$6:$B$603,2025)</f>
        <v>0</v>
      </c>
      <c r="I308" s="22" t="n">
        <f aca="false">SUMIFS('SALES Raw'!$D$6:$D$603,'SALES Raw'!$E$6:$E$603,$A308,'SALES Raw'!$B$6:$B$603,2025)</f>
        <v>0</v>
      </c>
      <c r="J308" s="21" t="n">
        <f aca="false">SUMIFS('SALES Raw'!$C$6:$C$603,'SALES Raw'!$E$6:$E$603,$A308,'SALES Raw'!$B$6:$B$603,2026)</f>
        <v>1</v>
      </c>
      <c r="K308" s="22" t="n">
        <f aca="false">SUMIFS('SALES Raw'!$D$6:$D$603,'SALES Raw'!$E$6:$E$603,$A308,'SALES Raw'!$B$6:$B$603,2026)</f>
        <v>210.88</v>
      </c>
      <c r="L308" s="21" t="n">
        <f aca="false">D308+H308</f>
        <v>9</v>
      </c>
      <c r="M308" s="22" t="n">
        <f aca="false">E308+I308</f>
        <v>1841.6</v>
      </c>
      <c r="N308" s="21" t="n">
        <f aca="false">F308+J308</f>
        <v>10</v>
      </c>
      <c r="O308" s="22" t="n">
        <f aca="false">G308+K308</f>
        <v>2080.58</v>
      </c>
    </row>
    <row r="309" customFormat="false" ht="15" hidden="false" customHeight="false" outlineLevel="0" collapsed="false">
      <c r="A309" s="20" t="n">
        <v>4413132</v>
      </c>
      <c r="B309" s="20" t="str">
        <f aca="false">IFERROR(INDEX('Catalog'!$B:$B,MATCH($A309,'Catalog'!$A:$A,0)),"")</f>
        <v>76 Lמיישר כתף יציב יישור רחב</v>
      </c>
      <c r="C309" s="20" t="str">
        <f aca="false">IFERROR(INDEX('TRANS'!$A:$A,MATCH($A309,'TRANS'!$B:$B,0)),"")</f>
        <v>76 L</v>
      </c>
      <c r="D309" s="21" t="n">
        <f aca="false">SUMIFS('CEMI Raw'!$C$6:$C$1018,'CEMI Raw'!$E$6:$E$1018,$A309,'CEMI Raw'!$B$6:$B$1018,2025)</f>
        <v>27</v>
      </c>
      <c r="E309" s="22" t="n">
        <f aca="false">SUMIFS('CEMI Raw'!$D$6:$D$1018,'CEMI Raw'!$E$6:$E$1018,$A309,'CEMI Raw'!$B$6:$B$1018,2025)</f>
        <v>5426.3</v>
      </c>
      <c r="F309" s="21" t="n">
        <f aca="false">SUMIFS('CEMI Raw'!$C$6:$C$1018,'CEMI Raw'!$E$6:$E$1018,$A309,'CEMI Raw'!$B$6:$B$1018,2026)</f>
        <v>20</v>
      </c>
      <c r="G309" s="22" t="n">
        <f aca="false">SUMIFS('CEMI Raw'!$D$6:$D$1018,'CEMI Raw'!$E$6:$E$1018,$A309,'CEMI Raw'!$B$6:$B$1018,2026)</f>
        <v>4146.3</v>
      </c>
      <c r="H309" s="21" t="n">
        <f aca="false">SUMIFS('SALES Raw'!$C$6:$C$603,'SALES Raw'!$E$6:$E$603,$A309,'SALES Raw'!$B$6:$B$603,2025)</f>
        <v>1</v>
      </c>
      <c r="I309" s="22" t="n">
        <f aca="false">SUMIFS('SALES Raw'!$D$6:$D$603,'SALES Raw'!$E$6:$E$603,$A309,'SALES Raw'!$B$6:$B$603,2025)</f>
        <v>160</v>
      </c>
      <c r="J309" s="21" t="n">
        <f aca="false">SUMIFS('SALES Raw'!$C$6:$C$603,'SALES Raw'!$E$6:$E$603,$A309,'SALES Raw'!$B$6:$B$603,2026)</f>
        <v>2</v>
      </c>
      <c r="K309" s="22" t="n">
        <f aca="false">SUMIFS('SALES Raw'!$D$6:$D$603,'SALES Raw'!$E$6:$E$603,$A309,'SALES Raw'!$B$6:$B$603,2026)</f>
        <v>370.88</v>
      </c>
      <c r="L309" s="21" t="n">
        <f aca="false">D309+H309</f>
        <v>28</v>
      </c>
      <c r="M309" s="22" t="n">
        <f aca="false">E309+I309</f>
        <v>5586.3</v>
      </c>
      <c r="N309" s="21" t="n">
        <f aca="false">F309+J309</f>
        <v>22</v>
      </c>
      <c r="O309" s="22" t="n">
        <f aca="false">G309+K309</f>
        <v>4517.18</v>
      </c>
    </row>
    <row r="310" customFormat="false" ht="15" hidden="false" customHeight="false" outlineLevel="0" collapsed="false">
      <c r="A310" s="20" t="n">
        <v>4413133</v>
      </c>
      <c r="B310" s="20" t="str">
        <f aca="false">IFERROR(INDEX('Catalog'!$B:$B,MATCH($A310,'Catalog'!$A:$A,0)),"")</f>
        <v>76 Mמיישר כתף יציב,יישור רחב</v>
      </c>
      <c r="C310" s="20" t="str">
        <f aca="false">IFERROR(INDEX('TRANS'!$A:$A,MATCH($A310,'TRANS'!$B:$B,0)),"")</f>
        <v>76 M</v>
      </c>
      <c r="D310" s="21" t="n">
        <f aca="false">SUMIFS('CEMI Raw'!$C$6:$C$1018,'CEMI Raw'!$E$6:$E$1018,$A310,'CEMI Raw'!$B$6:$B$1018,2025)</f>
        <v>30</v>
      </c>
      <c r="E310" s="22" t="n">
        <f aca="false">SUMIFS('CEMI Raw'!$D$6:$D$1018,'CEMI Raw'!$E$6:$E$1018,$A310,'CEMI Raw'!$B$6:$B$1018,2025)</f>
        <v>6039.6</v>
      </c>
      <c r="F310" s="21" t="n">
        <f aca="false">SUMIFS('CEMI Raw'!$C$6:$C$1018,'CEMI Raw'!$E$6:$E$1018,$A310,'CEMI Raw'!$B$6:$B$1018,2026)</f>
        <v>17</v>
      </c>
      <c r="G310" s="22" t="n">
        <f aca="false">SUMIFS('CEMI Raw'!$D$6:$D$1018,'CEMI Raw'!$E$6:$E$1018,$A310,'CEMI Raw'!$B$6:$B$1018,2026)</f>
        <v>3514.6</v>
      </c>
      <c r="H310" s="21" t="n">
        <f aca="false">SUMIFS('SALES Raw'!$C$6:$C$603,'SALES Raw'!$E$6:$E$603,$A310,'SALES Raw'!$B$6:$B$603,2025)</f>
        <v>1</v>
      </c>
      <c r="I310" s="22" t="n">
        <f aca="false">SUMIFS('SALES Raw'!$D$6:$D$603,'SALES Raw'!$E$6:$E$603,$A310,'SALES Raw'!$B$6:$B$603,2025)</f>
        <v>210.88</v>
      </c>
      <c r="J310" s="21" t="n">
        <f aca="false">SUMIFS('SALES Raw'!$C$6:$C$603,'SALES Raw'!$E$6:$E$603,$A310,'SALES Raw'!$B$6:$B$603,2026)</f>
        <v>1</v>
      </c>
      <c r="K310" s="22" t="n">
        <f aca="false">SUMIFS('SALES Raw'!$D$6:$D$603,'SALES Raw'!$E$6:$E$603,$A310,'SALES Raw'!$B$6:$B$603,2026)</f>
        <v>160</v>
      </c>
      <c r="L310" s="21" t="n">
        <f aca="false">D310+H310</f>
        <v>31</v>
      </c>
      <c r="M310" s="22" t="n">
        <f aca="false">E310+I310</f>
        <v>6250.48</v>
      </c>
      <c r="N310" s="21" t="n">
        <f aca="false">F310+J310</f>
        <v>18</v>
      </c>
      <c r="O310" s="22" t="n">
        <f aca="false">G310+K310</f>
        <v>3674.6</v>
      </c>
    </row>
    <row r="311" customFormat="false" ht="15" hidden="false" customHeight="false" outlineLevel="0" collapsed="false">
      <c r="A311" s="20" t="n">
        <v>4413134</v>
      </c>
      <c r="B311" s="20" t="str">
        <f aca="false">IFERROR(INDEX('Catalog'!$B:$B,MATCH($A311,'Catalog'!$A:$A,0)),"")</f>
        <v>76 XLמיישר כתף יציב יישור רחב</v>
      </c>
      <c r="C311" s="20" t="str">
        <f aca="false">IFERROR(INDEX('TRANS'!$A:$A,MATCH($A311,'TRANS'!$B:$B,0)),"")</f>
        <v>76 XL</v>
      </c>
      <c r="D311" s="21" t="n">
        <f aca="false">SUMIFS('CEMI Raw'!$C$6:$C$1018,'CEMI Raw'!$E$6:$E$1018,$A311,'CEMI Raw'!$B$6:$B$1018,2025)</f>
        <v>22</v>
      </c>
      <c r="E311" s="22" t="n">
        <f aca="false">SUMIFS('CEMI Raw'!$D$6:$D$1018,'CEMI Raw'!$E$6:$E$1018,$A311,'CEMI Raw'!$B$6:$B$1018,2025)</f>
        <v>4426</v>
      </c>
      <c r="F311" s="21" t="n">
        <f aca="false">SUMIFS('CEMI Raw'!$C$6:$C$1018,'CEMI Raw'!$E$6:$E$1018,$A311,'CEMI Raw'!$B$6:$B$1018,2026)</f>
        <v>14</v>
      </c>
      <c r="G311" s="22" t="n">
        <f aca="false">SUMIFS('CEMI Raw'!$D$6:$D$1018,'CEMI Raw'!$E$6:$E$1018,$A311,'CEMI Raw'!$B$6:$B$1018,2026)</f>
        <v>2910</v>
      </c>
      <c r="H311" s="21" t="n">
        <f aca="false">SUMIFS('SALES Raw'!$C$6:$C$603,'SALES Raw'!$E$6:$E$603,$A311,'SALES Raw'!$B$6:$B$603,2025)</f>
        <v>0</v>
      </c>
      <c r="I311" s="22" t="n">
        <f aca="false">SUMIFS('SALES Raw'!$D$6:$D$603,'SALES Raw'!$E$6:$E$603,$A311,'SALES Raw'!$B$6:$B$603,2025)</f>
        <v>0</v>
      </c>
      <c r="J311" s="21" t="n">
        <f aca="false">SUMIFS('SALES Raw'!$C$6:$C$603,'SALES Raw'!$E$6:$E$603,$A311,'SALES Raw'!$B$6:$B$603,2026)</f>
        <v>1</v>
      </c>
      <c r="K311" s="22" t="n">
        <f aca="false">SUMIFS('SALES Raw'!$D$6:$D$603,'SALES Raw'!$E$6:$E$603,$A311,'SALES Raw'!$B$6:$B$603,2026)</f>
        <v>160</v>
      </c>
      <c r="L311" s="21" t="n">
        <f aca="false">D311+H311</f>
        <v>22</v>
      </c>
      <c r="M311" s="22" t="n">
        <f aca="false">E311+I311</f>
        <v>4426</v>
      </c>
      <c r="N311" s="21" t="n">
        <f aca="false">F311+J311</f>
        <v>15</v>
      </c>
      <c r="O311" s="22" t="n">
        <f aca="false">G311+K311</f>
        <v>3070</v>
      </c>
    </row>
    <row r="312" customFormat="false" ht="15" hidden="false" customHeight="false" outlineLevel="0" collapsed="false">
      <c r="A312" s="20" t="n">
        <v>4413135</v>
      </c>
      <c r="B312" s="20" t="str">
        <f aca="false">IFERROR(INDEX('Catalog'!$B:$B,MATCH($A312,'Catalog'!$A:$A,0)),"")</f>
        <v>85 L (מתלה ליד )כיס</v>
      </c>
      <c r="C312" s="20" t="str">
        <f aca="false">IFERROR(INDEX('TRANS'!$A:$A,MATCH($A312,'TRANS'!$B:$B,0)),"")</f>
        <v>85 L</v>
      </c>
      <c r="D312" s="21" t="n">
        <f aca="false">SUMIFS('CEMI Raw'!$C$6:$C$1018,'CEMI Raw'!$E$6:$E$1018,$A312,'CEMI Raw'!$B$6:$B$1018,2025)</f>
        <v>200</v>
      </c>
      <c r="E312" s="22" t="n">
        <f aca="false">SUMIFS('CEMI Raw'!$D$6:$D$1018,'CEMI Raw'!$E$6:$E$1018,$A312,'CEMI Raw'!$B$6:$B$1018,2025)</f>
        <v>10830.8</v>
      </c>
      <c r="F312" s="21" t="n">
        <f aca="false">SUMIFS('CEMI Raw'!$C$6:$C$1018,'CEMI Raw'!$E$6:$E$1018,$A312,'CEMI Raw'!$B$6:$B$1018,2026)</f>
        <v>136</v>
      </c>
      <c r="G312" s="22" t="n">
        <f aca="false">SUMIFS('CEMI Raw'!$D$6:$D$1018,'CEMI Raw'!$E$6:$E$1018,$A312,'CEMI Raw'!$B$6:$B$1018,2026)</f>
        <v>7468.9</v>
      </c>
      <c r="H312" s="21" t="n">
        <f aca="false">SUMIFS('SALES Raw'!$C$6:$C$603,'SALES Raw'!$E$6:$E$603,$A312,'SALES Raw'!$B$6:$B$603,2025)</f>
        <v>20</v>
      </c>
      <c r="I312" s="22" t="n">
        <f aca="false">SUMIFS('SALES Raw'!$D$6:$D$603,'SALES Raw'!$E$6:$E$603,$A312,'SALES Raw'!$B$6:$B$603,2025)</f>
        <v>1125.71</v>
      </c>
      <c r="J312" s="21" t="n">
        <f aca="false">SUMIFS('SALES Raw'!$C$6:$C$603,'SALES Raw'!$E$6:$E$603,$A312,'SALES Raw'!$B$6:$B$603,2026)</f>
        <v>14</v>
      </c>
      <c r="K312" s="22" t="n">
        <f aca="false">SUMIFS('SALES Raw'!$D$6:$D$603,'SALES Raw'!$E$6:$E$603,$A312,'SALES Raw'!$B$6:$B$603,2026)</f>
        <v>785.7</v>
      </c>
      <c r="L312" s="21" t="n">
        <f aca="false">D312+H312</f>
        <v>220</v>
      </c>
      <c r="M312" s="22" t="n">
        <f aca="false">E312+I312</f>
        <v>11956.51</v>
      </c>
      <c r="N312" s="21" t="n">
        <f aca="false">F312+J312</f>
        <v>150</v>
      </c>
      <c r="O312" s="22" t="n">
        <f aca="false">G312+K312</f>
        <v>8254.6</v>
      </c>
    </row>
    <row r="313" customFormat="false" ht="15" hidden="false" customHeight="false" outlineLevel="0" collapsed="false">
      <c r="A313" s="20" t="n">
        <v>4413136</v>
      </c>
      <c r="B313" s="20" t="str">
        <f aca="false">IFERROR(INDEX('Catalog'!$B:$B,MATCH($A313,'Catalog'!$A:$A,0)),"")</f>
        <v>85 M (מתלה ליד )כיס</v>
      </c>
      <c r="C313" s="20" t="str">
        <f aca="false">IFERROR(INDEX('TRANS'!$A:$A,MATCH($A313,'TRANS'!$B:$B,0)),"")</f>
        <v>85 M</v>
      </c>
      <c r="D313" s="21" t="n">
        <f aca="false">SUMIFS('CEMI Raw'!$C$6:$C$1018,'CEMI Raw'!$E$6:$E$1018,$A313,'CEMI Raw'!$B$6:$B$1018,2025)</f>
        <v>192</v>
      </c>
      <c r="E313" s="22" t="n">
        <f aca="false">SUMIFS('CEMI Raw'!$D$6:$D$1018,'CEMI Raw'!$E$6:$E$1018,$A313,'CEMI Raw'!$B$6:$B$1018,2025)</f>
        <v>10424.5</v>
      </c>
      <c r="F313" s="21" t="n">
        <f aca="false">SUMIFS('CEMI Raw'!$C$6:$C$1018,'CEMI Raw'!$E$6:$E$1018,$A313,'CEMI Raw'!$B$6:$B$1018,2026)</f>
        <v>104</v>
      </c>
      <c r="G313" s="22" t="n">
        <f aca="false">SUMIFS('CEMI Raw'!$D$6:$D$1018,'CEMI Raw'!$E$6:$E$1018,$A313,'CEMI Raw'!$B$6:$B$1018,2026)</f>
        <v>5678.2</v>
      </c>
      <c r="H313" s="21" t="n">
        <f aca="false">SUMIFS('SALES Raw'!$C$6:$C$603,'SALES Raw'!$E$6:$E$603,$A313,'SALES Raw'!$B$6:$B$603,2025)</f>
        <v>14</v>
      </c>
      <c r="I313" s="22" t="n">
        <f aca="false">SUMIFS('SALES Raw'!$D$6:$D$603,'SALES Raw'!$E$6:$E$603,$A313,'SALES Raw'!$B$6:$B$603,2025)</f>
        <v>785.71</v>
      </c>
      <c r="J313" s="21" t="n">
        <f aca="false">SUMIFS('SALES Raw'!$C$6:$C$603,'SALES Raw'!$E$6:$E$603,$A313,'SALES Raw'!$B$6:$B$603,2026)</f>
        <v>11</v>
      </c>
      <c r="K313" s="22" t="n">
        <f aca="false">SUMIFS('SALES Raw'!$D$6:$D$603,'SALES Raw'!$E$6:$E$603,$A313,'SALES Raw'!$B$6:$B$603,2026)</f>
        <v>615.7</v>
      </c>
      <c r="L313" s="21" t="n">
        <f aca="false">D313+H313</f>
        <v>206</v>
      </c>
      <c r="M313" s="22" t="n">
        <f aca="false">E313+I313</f>
        <v>11210.21</v>
      </c>
      <c r="N313" s="21" t="n">
        <f aca="false">F313+J313</f>
        <v>115</v>
      </c>
      <c r="O313" s="22" t="n">
        <f aca="false">G313+K313</f>
        <v>6293.9</v>
      </c>
    </row>
    <row r="314" customFormat="false" ht="15" hidden="false" customHeight="false" outlineLevel="0" collapsed="false">
      <c r="A314" s="20" t="n">
        <v>4413137</v>
      </c>
      <c r="B314" s="20" t="str">
        <f aca="false">IFERROR(INDEX('Catalog'!$B:$B,MATCH($A314,'Catalog'!$A:$A,0)),"")</f>
        <v>85 S (מתלה ליד )כיס</v>
      </c>
      <c r="C314" s="20" t="str">
        <f aca="false">IFERROR(INDEX('TRANS'!$A:$A,MATCH($A314,'TRANS'!$B:$B,0)),"")</f>
        <v>85 S</v>
      </c>
      <c r="D314" s="21" t="n">
        <f aca="false">SUMIFS('CEMI Raw'!$C$6:$C$1018,'CEMI Raw'!$E$6:$E$1018,$A314,'CEMI Raw'!$B$6:$B$1018,2025)</f>
        <v>78</v>
      </c>
      <c r="E314" s="22" t="n">
        <f aca="false">SUMIFS('CEMI Raw'!$D$6:$D$1018,'CEMI Raw'!$E$6:$E$1018,$A314,'CEMI Raw'!$B$6:$B$1018,2025)</f>
        <v>4312.8</v>
      </c>
      <c r="F314" s="21" t="n">
        <f aca="false">SUMIFS('CEMI Raw'!$C$6:$C$1018,'CEMI Raw'!$E$6:$E$1018,$A314,'CEMI Raw'!$B$6:$B$1018,2026)</f>
        <v>37</v>
      </c>
      <c r="G314" s="22" t="n">
        <f aca="false">SUMIFS('CEMI Raw'!$D$6:$D$1018,'CEMI Raw'!$E$6:$E$1018,$A314,'CEMI Raw'!$B$6:$B$1018,2026)</f>
        <v>1939.5</v>
      </c>
      <c r="H314" s="21" t="n">
        <f aca="false">SUMIFS('SALES Raw'!$C$6:$C$603,'SALES Raw'!$E$6:$E$603,$A314,'SALES Raw'!$B$6:$B$603,2025)</f>
        <v>1</v>
      </c>
      <c r="I314" s="22" t="n">
        <f aca="false">SUMIFS('SALES Raw'!$D$6:$D$603,'SALES Raw'!$E$6:$E$603,$A314,'SALES Raw'!$B$6:$B$603,2025)</f>
        <v>49</v>
      </c>
      <c r="J314" s="21" t="n">
        <f aca="false">SUMIFS('SALES Raw'!$C$6:$C$603,'SALES Raw'!$E$6:$E$603,$A314,'SALES Raw'!$B$6:$B$603,2026)</f>
        <v>8</v>
      </c>
      <c r="K314" s="22" t="n">
        <f aca="false">SUMIFS('SALES Raw'!$D$6:$D$603,'SALES Raw'!$E$6:$E$603,$A314,'SALES Raw'!$B$6:$B$603,2026)</f>
        <v>453.36</v>
      </c>
      <c r="L314" s="21" t="n">
        <f aca="false">D314+H314</f>
        <v>79</v>
      </c>
      <c r="M314" s="22" t="n">
        <f aca="false">E314+I314</f>
        <v>4361.8</v>
      </c>
      <c r="N314" s="21" t="n">
        <f aca="false">F314+J314</f>
        <v>45</v>
      </c>
      <c r="O314" s="22" t="n">
        <f aca="false">G314+K314</f>
        <v>2392.86</v>
      </c>
    </row>
    <row r="315" customFormat="false" ht="15" hidden="false" customHeight="false" outlineLevel="0" collapsed="false">
      <c r="A315" s="20" t="n">
        <v>4413138</v>
      </c>
      <c r="B315" s="20" t="str">
        <f aca="false">IFERROR(INDEX('Catalog'!$B:$B,MATCH($A315,'Catalog'!$A:$A,0)),"")</f>
        <v>85 XL (מתלה ליד )כיס</v>
      </c>
      <c r="C315" s="20" t="str">
        <f aca="false">IFERROR(INDEX('TRANS'!$A:$A,MATCH($A315,'TRANS'!$B:$B,0)),"")</f>
        <v>85 XL</v>
      </c>
      <c r="D315" s="21" t="n">
        <f aca="false">SUMIFS('CEMI Raw'!$C$6:$C$1018,'CEMI Raw'!$E$6:$E$1018,$A315,'CEMI Raw'!$B$6:$B$1018,2025)</f>
        <v>93</v>
      </c>
      <c r="E315" s="22" t="n">
        <f aca="false">SUMIFS('CEMI Raw'!$D$6:$D$1018,'CEMI Raw'!$E$6:$E$1018,$A315,'CEMI Raw'!$B$6:$B$1018,2025)</f>
        <v>5067.2</v>
      </c>
      <c r="F315" s="21" t="n">
        <f aca="false">SUMIFS('CEMI Raw'!$C$6:$C$1018,'CEMI Raw'!$E$6:$E$1018,$A315,'CEMI Raw'!$B$6:$B$1018,2026)</f>
        <v>66</v>
      </c>
      <c r="G315" s="22" t="n">
        <f aca="false">SUMIFS('CEMI Raw'!$D$6:$D$1018,'CEMI Raw'!$E$6:$E$1018,$A315,'CEMI Raw'!$B$6:$B$1018,2026)</f>
        <v>3615.5</v>
      </c>
      <c r="H315" s="21" t="n">
        <f aca="false">SUMIFS('SALES Raw'!$C$6:$C$603,'SALES Raw'!$E$6:$E$603,$A315,'SALES Raw'!$B$6:$B$603,2025)</f>
        <v>2</v>
      </c>
      <c r="I315" s="22" t="n">
        <f aca="false">SUMIFS('SALES Raw'!$D$6:$D$603,'SALES Raw'!$E$6:$E$603,$A315,'SALES Raw'!$B$6:$B$603,2025)</f>
        <v>105.67</v>
      </c>
      <c r="J315" s="21" t="n">
        <f aca="false">SUMIFS('SALES Raw'!$C$6:$C$603,'SALES Raw'!$E$6:$E$603,$A315,'SALES Raw'!$B$6:$B$603,2026)</f>
        <v>9</v>
      </c>
      <c r="K315" s="22" t="n">
        <f aca="false">SUMIFS('SALES Raw'!$D$6:$D$603,'SALES Raw'!$E$6:$E$603,$A315,'SALES Raw'!$B$6:$B$603,2026)</f>
        <v>502.37</v>
      </c>
      <c r="L315" s="21" t="n">
        <f aca="false">D315+H315</f>
        <v>95</v>
      </c>
      <c r="M315" s="22" t="n">
        <f aca="false">E315+I315</f>
        <v>5172.87</v>
      </c>
      <c r="N315" s="21" t="n">
        <f aca="false">F315+J315</f>
        <v>75</v>
      </c>
      <c r="O315" s="22" t="n">
        <f aca="false">G315+K315</f>
        <v>4117.87</v>
      </c>
    </row>
    <row r="316" customFormat="false" ht="15" hidden="false" customHeight="false" outlineLevel="0" collapsed="false">
      <c r="A316" s="20" t="n">
        <v>4413139</v>
      </c>
      <c r="B316" s="20" t="str">
        <f aca="false">IFERROR(INDEX('Catalog'!$B:$B,MATCH($A316,'Catalog'!$A:$A,0)),"")</f>
        <v>95 L מגן מרפק רגיל לבן</v>
      </c>
      <c r="C316" s="20" t="str">
        <f aca="false">IFERROR(INDEX('TRANS'!$A:$A,MATCH($A316,'TRANS'!$B:$B,0)),"")</f>
        <v>95 L</v>
      </c>
      <c r="D316" s="21" t="n">
        <f aca="false">SUMIFS('CEMI Raw'!$C$6:$C$1018,'CEMI Raw'!$E$6:$E$1018,$A316,'CEMI Raw'!$B$6:$B$1018,2025)</f>
        <v>105</v>
      </c>
      <c r="E316" s="22" t="n">
        <f aca="false">SUMIFS('CEMI Raw'!$D$6:$D$1018,'CEMI Raw'!$E$6:$E$1018,$A316,'CEMI Raw'!$B$6:$B$1018,2025)</f>
        <v>3135.3</v>
      </c>
      <c r="F316" s="21" t="n">
        <f aca="false">SUMIFS('CEMI Raw'!$C$6:$C$1018,'CEMI Raw'!$E$6:$E$1018,$A316,'CEMI Raw'!$B$6:$B$1018,2026)</f>
        <v>97</v>
      </c>
      <c r="G316" s="22" t="n">
        <f aca="false">SUMIFS('CEMI Raw'!$D$6:$D$1018,'CEMI Raw'!$E$6:$E$1018,$A316,'CEMI Raw'!$B$6:$B$1018,2026)</f>
        <v>2909.9</v>
      </c>
      <c r="H316" s="21" t="n">
        <f aca="false">SUMIFS('SALES Raw'!$C$6:$C$603,'SALES Raw'!$E$6:$E$603,$A316,'SALES Raw'!$B$6:$B$603,2025)</f>
        <v>7</v>
      </c>
      <c r="I316" s="22" t="n">
        <f aca="false">SUMIFS('SALES Raw'!$D$6:$D$603,'SALES Raw'!$E$6:$E$603,$A316,'SALES Raw'!$B$6:$B$603,2025)</f>
        <v>212.79</v>
      </c>
      <c r="J316" s="21" t="n">
        <f aca="false">SUMIFS('SALES Raw'!$C$6:$C$603,'SALES Raw'!$E$6:$E$603,$A316,'SALES Raw'!$B$6:$B$603,2026)</f>
        <v>2</v>
      </c>
      <c r="K316" s="22" t="n">
        <f aca="false">SUMIFS('SALES Raw'!$D$6:$D$603,'SALES Raw'!$E$6:$E$603,$A316,'SALES Raw'!$B$6:$B$603,2026)</f>
        <v>61.78</v>
      </c>
      <c r="L316" s="21" t="n">
        <f aca="false">D316+H316</f>
        <v>112</v>
      </c>
      <c r="M316" s="22" t="n">
        <f aca="false">E316+I316</f>
        <v>3348.09</v>
      </c>
      <c r="N316" s="21" t="n">
        <f aca="false">F316+J316</f>
        <v>99</v>
      </c>
      <c r="O316" s="22" t="n">
        <f aca="false">G316+K316</f>
        <v>2971.68</v>
      </c>
    </row>
    <row r="317" customFormat="false" ht="15" hidden="false" customHeight="false" outlineLevel="0" collapsed="false">
      <c r="A317" s="20" t="n">
        <v>4413140</v>
      </c>
      <c r="B317" s="20" t="str">
        <f aca="false">IFERROR(INDEX('Catalog'!$B:$B,MATCH($A317,'Catalog'!$A:$A,0)),"")</f>
        <v>95 M מגן מרפק רגיל לבן</v>
      </c>
      <c r="C317" s="20" t="str">
        <f aca="false">IFERROR(INDEX('TRANS'!$A:$A,MATCH($A317,'TRANS'!$B:$B,0)),"")</f>
        <v>95 M</v>
      </c>
      <c r="D317" s="21" t="n">
        <f aca="false">SUMIFS('CEMI Raw'!$C$6:$C$1018,'CEMI Raw'!$E$6:$E$1018,$A317,'CEMI Raw'!$B$6:$B$1018,2025)</f>
        <v>157</v>
      </c>
      <c r="E317" s="22" t="n">
        <f aca="false">SUMIFS('CEMI Raw'!$D$6:$D$1018,'CEMI Raw'!$E$6:$E$1018,$A317,'CEMI Raw'!$B$6:$B$1018,2025)</f>
        <v>4651.3</v>
      </c>
      <c r="F317" s="21" t="n">
        <f aca="false">SUMIFS('CEMI Raw'!$C$6:$C$1018,'CEMI Raw'!$E$6:$E$1018,$A317,'CEMI Raw'!$B$6:$B$1018,2026)</f>
        <v>109</v>
      </c>
      <c r="G317" s="22" t="n">
        <f aca="false">SUMIFS('CEMI Raw'!$D$6:$D$1018,'CEMI Raw'!$E$6:$E$1018,$A317,'CEMI Raw'!$B$6:$B$1018,2026)</f>
        <v>3234</v>
      </c>
      <c r="H317" s="21" t="n">
        <f aca="false">SUMIFS('SALES Raw'!$C$6:$C$603,'SALES Raw'!$E$6:$E$603,$A317,'SALES Raw'!$B$6:$B$603,2025)</f>
        <v>0</v>
      </c>
      <c r="I317" s="22" t="n">
        <f aca="false">SUMIFS('SALES Raw'!$D$6:$D$603,'SALES Raw'!$E$6:$E$603,$A317,'SALES Raw'!$B$6:$B$603,2025)</f>
        <v>0</v>
      </c>
      <c r="J317" s="21" t="n">
        <f aca="false">SUMIFS('SALES Raw'!$C$6:$C$603,'SALES Raw'!$E$6:$E$603,$A317,'SALES Raw'!$B$6:$B$603,2026)</f>
        <v>3</v>
      </c>
      <c r="K317" s="22" t="n">
        <f aca="false">SUMIFS('SALES Raw'!$D$6:$D$603,'SALES Raw'!$E$6:$E$603,$A317,'SALES Raw'!$B$6:$B$603,2026)</f>
        <v>92.66</v>
      </c>
      <c r="L317" s="21" t="n">
        <f aca="false">D317+H317</f>
        <v>157</v>
      </c>
      <c r="M317" s="22" t="n">
        <f aca="false">E317+I317</f>
        <v>4651.3</v>
      </c>
      <c r="N317" s="21" t="n">
        <f aca="false">F317+J317</f>
        <v>112</v>
      </c>
      <c r="O317" s="22" t="n">
        <f aca="false">G317+K317</f>
        <v>3326.66</v>
      </c>
    </row>
    <row r="318" customFormat="false" ht="15" hidden="false" customHeight="false" outlineLevel="0" collapsed="false">
      <c r="A318" s="20" t="n">
        <v>4413141</v>
      </c>
      <c r="B318" s="20" t="str">
        <f aca="false">IFERROR(INDEX('Catalog'!$B:$B,MATCH($A318,'Catalog'!$A:$A,0)),"")</f>
        <v>95 S מגן מרפק רגיל לבן</v>
      </c>
      <c r="C318" s="20" t="str">
        <f aca="false">IFERROR(INDEX('TRANS'!$A:$A,MATCH($A318,'TRANS'!$B:$B,0)),"")</f>
        <v>95 S</v>
      </c>
      <c r="D318" s="21" t="n">
        <f aca="false">SUMIFS('CEMI Raw'!$C$6:$C$1018,'CEMI Raw'!$E$6:$E$1018,$A318,'CEMI Raw'!$B$6:$B$1018,2025)</f>
        <v>134</v>
      </c>
      <c r="E318" s="22" t="n">
        <f aca="false">SUMIFS('CEMI Raw'!$D$6:$D$1018,'CEMI Raw'!$E$6:$E$1018,$A318,'CEMI Raw'!$B$6:$B$1018,2025)</f>
        <v>3972.6</v>
      </c>
      <c r="F318" s="21" t="n">
        <f aca="false">SUMIFS('CEMI Raw'!$C$6:$C$1018,'CEMI Raw'!$E$6:$E$1018,$A318,'CEMI Raw'!$B$6:$B$1018,2026)</f>
        <v>64</v>
      </c>
      <c r="G318" s="22" t="n">
        <f aca="false">SUMIFS('CEMI Raw'!$D$6:$D$1018,'CEMI Raw'!$E$6:$E$1018,$A318,'CEMI Raw'!$B$6:$B$1018,2026)</f>
        <v>1701.8</v>
      </c>
      <c r="H318" s="21" t="n">
        <f aca="false">SUMIFS('SALES Raw'!$C$6:$C$603,'SALES Raw'!$E$6:$E$603,$A318,'SALES Raw'!$B$6:$B$603,2025)</f>
        <v>0</v>
      </c>
      <c r="I318" s="22" t="n">
        <f aca="false">SUMIFS('SALES Raw'!$D$6:$D$603,'SALES Raw'!$E$6:$E$603,$A318,'SALES Raw'!$B$6:$B$603,2025)</f>
        <v>0</v>
      </c>
      <c r="J318" s="21" t="n">
        <f aca="false">SUMIFS('SALES Raw'!$C$6:$C$603,'SALES Raw'!$E$6:$E$603,$A318,'SALES Raw'!$B$6:$B$603,2026)</f>
        <v>0</v>
      </c>
      <c r="K318" s="22" t="n">
        <f aca="false">SUMIFS('SALES Raw'!$D$6:$D$603,'SALES Raw'!$E$6:$E$603,$A318,'SALES Raw'!$B$6:$B$603,2026)</f>
        <v>0</v>
      </c>
      <c r="L318" s="21" t="n">
        <f aca="false">D318+H318</f>
        <v>134</v>
      </c>
      <c r="M318" s="22" t="n">
        <f aca="false">E318+I318</f>
        <v>3972.6</v>
      </c>
      <c r="N318" s="21" t="n">
        <f aca="false">F318+J318</f>
        <v>64</v>
      </c>
      <c r="O318" s="22" t="n">
        <f aca="false">G318+K318</f>
        <v>1701.8</v>
      </c>
    </row>
    <row r="319" customFormat="false" ht="15" hidden="false" customHeight="false" outlineLevel="0" collapsed="false">
      <c r="A319" s="20" t="n">
        <v>4413142</v>
      </c>
      <c r="B319" s="20" t="str">
        <f aca="false">IFERROR(INDEX('Catalog'!$B:$B,MATCH($A319,'Catalog'!$A:$A,0)),"")</f>
        <v>95 XL מגן מרפק רגיל לבן</v>
      </c>
      <c r="C319" s="20" t="str">
        <f aca="false">IFERROR(INDEX('TRANS'!$A:$A,MATCH($A319,'TRANS'!$B:$B,0)),"")</f>
        <v>95 XL</v>
      </c>
      <c r="D319" s="21" t="n">
        <f aca="false">SUMIFS('CEMI Raw'!$C$6:$C$1018,'CEMI Raw'!$E$6:$E$1018,$A319,'CEMI Raw'!$B$6:$B$1018,2025)</f>
        <v>49</v>
      </c>
      <c r="E319" s="22" t="n">
        <f aca="false">SUMIFS('CEMI Raw'!$D$6:$D$1018,'CEMI Raw'!$E$6:$E$1018,$A319,'CEMI Raw'!$B$6:$B$1018,2025)</f>
        <v>1440.1</v>
      </c>
      <c r="F319" s="21" t="n">
        <f aca="false">SUMIFS('CEMI Raw'!$C$6:$C$1018,'CEMI Raw'!$E$6:$E$1018,$A319,'CEMI Raw'!$B$6:$B$1018,2026)</f>
        <v>32</v>
      </c>
      <c r="G319" s="22" t="n">
        <f aca="false">SUMIFS('CEMI Raw'!$D$6:$D$1018,'CEMI Raw'!$E$6:$E$1018,$A319,'CEMI Raw'!$B$6:$B$1018,2026)</f>
        <v>953.5</v>
      </c>
      <c r="H319" s="21" t="n">
        <f aca="false">SUMIFS('SALES Raw'!$C$6:$C$603,'SALES Raw'!$E$6:$E$603,$A319,'SALES Raw'!$B$6:$B$603,2025)</f>
        <v>1</v>
      </c>
      <c r="I319" s="22" t="n">
        <f aca="false">SUMIFS('SALES Raw'!$D$6:$D$603,'SALES Raw'!$E$6:$E$603,$A319,'SALES Raw'!$B$6:$B$603,2025)</f>
        <v>30.89</v>
      </c>
      <c r="J319" s="21" t="n">
        <f aca="false">SUMIFS('SALES Raw'!$C$6:$C$603,'SALES Raw'!$E$6:$E$603,$A319,'SALES Raw'!$B$6:$B$603,2026)</f>
        <v>0</v>
      </c>
      <c r="K319" s="22" t="n">
        <f aca="false">SUMIFS('SALES Raw'!$D$6:$D$603,'SALES Raw'!$E$6:$E$603,$A319,'SALES Raw'!$B$6:$B$603,2026)</f>
        <v>0</v>
      </c>
      <c r="L319" s="21" t="n">
        <f aca="false">D319+H319</f>
        <v>50</v>
      </c>
      <c r="M319" s="22" t="n">
        <f aca="false">E319+I319</f>
        <v>1470.99</v>
      </c>
      <c r="N319" s="21" t="n">
        <f aca="false">F319+J319</f>
        <v>32</v>
      </c>
      <c r="O319" s="22" t="n">
        <f aca="false">G319+K319</f>
        <v>953.5</v>
      </c>
    </row>
    <row r="320" customFormat="false" ht="15" hidden="false" customHeight="false" outlineLevel="0" collapsed="false">
      <c r="A320" s="20" t="n">
        <v>4413143</v>
      </c>
      <c r="B320" s="20" t="str">
        <f aca="false">IFERROR(INDEX('Catalog'!$B:$B,MATCH($A320,'Catalog'!$A:$A,0)),"")</f>
        <v>95 XS מגן מרפק רגיל לבן</v>
      </c>
      <c r="C320" s="20" t="str">
        <f aca="false">IFERROR(INDEX('TRANS'!$A:$A,MATCH($A320,'TRANS'!$B:$B,0)),"")</f>
        <v>95 XS</v>
      </c>
      <c r="D320" s="21" t="n">
        <f aca="false">SUMIFS('CEMI Raw'!$C$6:$C$1018,'CEMI Raw'!$E$6:$E$1018,$A320,'CEMI Raw'!$B$6:$B$1018,2025)</f>
        <v>25</v>
      </c>
      <c r="E320" s="22" t="n">
        <f aca="false">SUMIFS('CEMI Raw'!$D$6:$D$1018,'CEMI Raw'!$E$6:$E$1018,$A320,'CEMI Raw'!$B$6:$B$1018,2025)</f>
        <v>753.5</v>
      </c>
      <c r="F320" s="21" t="n">
        <f aca="false">SUMIFS('CEMI Raw'!$C$6:$C$1018,'CEMI Raw'!$E$6:$E$1018,$A320,'CEMI Raw'!$B$6:$B$1018,2026)</f>
        <v>23</v>
      </c>
      <c r="G320" s="22" t="n">
        <f aca="false">SUMIFS('CEMI Raw'!$D$6:$D$1018,'CEMI Raw'!$E$6:$E$1018,$A320,'CEMI Raw'!$B$6:$B$1018,2026)</f>
        <v>691.9</v>
      </c>
      <c r="H320" s="21" t="n">
        <f aca="false">SUMIFS('SALES Raw'!$C$6:$C$603,'SALES Raw'!$E$6:$E$603,$A320,'SALES Raw'!$B$6:$B$603,2025)</f>
        <v>0</v>
      </c>
      <c r="I320" s="22" t="n">
        <f aca="false">SUMIFS('SALES Raw'!$D$6:$D$603,'SALES Raw'!$E$6:$E$603,$A320,'SALES Raw'!$B$6:$B$603,2025)</f>
        <v>0</v>
      </c>
      <c r="J320" s="21" t="n">
        <f aca="false">SUMIFS('SALES Raw'!$C$6:$C$603,'SALES Raw'!$E$6:$E$603,$A320,'SALES Raw'!$B$6:$B$603,2026)</f>
        <v>3</v>
      </c>
      <c r="K320" s="22" t="n">
        <f aca="false">SUMIFS('SALES Raw'!$D$6:$D$603,'SALES Raw'!$E$6:$E$603,$A320,'SALES Raw'!$B$6:$B$603,2026)</f>
        <v>92.67</v>
      </c>
      <c r="L320" s="21" t="n">
        <f aca="false">D320+H320</f>
        <v>25</v>
      </c>
      <c r="M320" s="22" t="n">
        <f aca="false">E320+I320</f>
        <v>753.5</v>
      </c>
      <c r="N320" s="21" t="n">
        <f aca="false">F320+J320</f>
        <v>26</v>
      </c>
      <c r="O320" s="22" t="n">
        <f aca="false">G320+K320</f>
        <v>784.57</v>
      </c>
    </row>
    <row r="321" customFormat="false" ht="15" hidden="false" customHeight="false" outlineLevel="0" collapsed="false">
      <c r="A321" s="20" t="n">
        <v>4413144</v>
      </c>
      <c r="B321" s="20" t="str">
        <f aca="false">IFERROR(INDEX('Catalog'!$B:$B,MATCH($A321,'Catalog'!$A:$A,0)),"")</f>
        <v>95 XXL מגן מרפק רגיל לבן</v>
      </c>
      <c r="C321" s="20" t="str">
        <f aca="false">IFERROR(INDEX('TRANS'!$A:$A,MATCH($A321,'TRANS'!$B:$B,0)),"")</f>
        <v>95 XXL</v>
      </c>
      <c r="D321" s="21" t="n">
        <f aca="false">SUMIFS('CEMI Raw'!$C$6:$C$1018,'CEMI Raw'!$E$6:$E$1018,$A321,'CEMI Raw'!$B$6:$B$1018,2025)</f>
        <v>2</v>
      </c>
      <c r="E321" s="22" t="n">
        <f aca="false">SUMIFS('CEMI Raw'!$D$6:$D$1018,'CEMI Raw'!$E$6:$E$1018,$A321,'CEMI Raw'!$B$6:$B$1018,2025)</f>
        <v>61.8</v>
      </c>
      <c r="F321" s="21" t="n">
        <f aca="false">SUMIFS('CEMI Raw'!$C$6:$C$1018,'CEMI Raw'!$E$6:$E$1018,$A321,'CEMI Raw'!$B$6:$B$1018,2026)</f>
        <v>5</v>
      </c>
      <c r="G321" s="22" t="n">
        <f aca="false">SUMIFS('CEMI Raw'!$D$6:$D$1018,'CEMI Raw'!$E$6:$E$1018,$A321,'CEMI Raw'!$B$6:$B$1018,2026)</f>
        <v>146.2</v>
      </c>
      <c r="H321" s="21" t="n">
        <f aca="false">SUMIFS('SALES Raw'!$C$6:$C$603,'SALES Raw'!$E$6:$E$603,$A321,'SALES Raw'!$B$6:$B$603,2025)</f>
        <v>0</v>
      </c>
      <c r="I321" s="22" t="n">
        <f aca="false">SUMIFS('SALES Raw'!$D$6:$D$603,'SALES Raw'!$E$6:$E$603,$A321,'SALES Raw'!$B$6:$B$603,2025)</f>
        <v>0</v>
      </c>
      <c r="J321" s="21" t="n">
        <f aca="false">SUMIFS('SALES Raw'!$C$6:$C$603,'SALES Raw'!$E$6:$E$603,$A321,'SALES Raw'!$B$6:$B$603,2026)</f>
        <v>0</v>
      </c>
      <c r="K321" s="22" t="n">
        <f aca="false">SUMIFS('SALES Raw'!$D$6:$D$603,'SALES Raw'!$E$6:$E$603,$A321,'SALES Raw'!$B$6:$B$603,2026)</f>
        <v>0</v>
      </c>
      <c r="L321" s="21" t="n">
        <f aca="false">D321+H321</f>
        <v>2</v>
      </c>
      <c r="M321" s="22" t="n">
        <f aca="false">E321+I321</f>
        <v>61.8</v>
      </c>
      <c r="N321" s="21" t="n">
        <f aca="false">F321+J321</f>
        <v>5</v>
      </c>
      <c r="O321" s="22" t="n">
        <f aca="false">G321+K321</f>
        <v>146.2</v>
      </c>
    </row>
    <row r="322" customFormat="false" ht="15" hidden="false" customHeight="false" outlineLevel="0" collapsed="false">
      <c r="A322" s="20" t="n">
        <v>4413149</v>
      </c>
      <c r="B322" s="20" t="str">
        <f aca="false">IFERROR(INDEX('Catalog'!$B:$B,MATCH($A322,'Catalog'!$A:$A,0)),"")</f>
        <v>FC321-מלח אמבט לכף הרגל</v>
      </c>
      <c r="C322" s="20" t="str">
        <f aca="false">IFERROR(INDEX('TRANS'!$A:$A,MATCH($A322,'TRANS'!$B:$B,0)),"")</f>
        <v>FC321 0</v>
      </c>
      <c r="D322" s="21" t="n">
        <f aca="false">SUMIFS('CEMI Raw'!$C$6:$C$1018,'CEMI Raw'!$E$6:$E$1018,$A322,'CEMI Raw'!$B$6:$B$1018,2025)</f>
        <v>390</v>
      </c>
      <c r="E322" s="22" t="n">
        <f aca="false">SUMIFS('CEMI Raw'!$D$6:$D$1018,'CEMI Raw'!$E$6:$E$1018,$A322,'CEMI Raw'!$B$6:$B$1018,2025)</f>
        <v>5137.1</v>
      </c>
      <c r="F322" s="21" t="n">
        <f aca="false">SUMIFS('CEMI Raw'!$C$6:$C$1018,'CEMI Raw'!$E$6:$E$1018,$A322,'CEMI Raw'!$B$6:$B$1018,2026)</f>
        <v>95</v>
      </c>
      <c r="G322" s="22" t="n">
        <f aca="false">SUMIFS('CEMI Raw'!$D$6:$D$1018,'CEMI Raw'!$E$6:$E$1018,$A322,'CEMI Raw'!$B$6:$B$1018,2026)</f>
        <v>1292.3</v>
      </c>
      <c r="H322" s="21" t="n">
        <f aca="false">SUMIFS('SALES Raw'!$C$6:$C$603,'SALES Raw'!$E$6:$E$603,$A322,'SALES Raw'!$B$6:$B$603,2025)</f>
        <v>5</v>
      </c>
      <c r="I322" s="22" t="n">
        <f aca="false">SUMIFS('SALES Raw'!$D$6:$D$603,'SALES Raw'!$E$6:$E$603,$A322,'SALES Raw'!$B$6:$B$603,2025)</f>
        <v>67.49</v>
      </c>
      <c r="J322" s="21" t="n">
        <f aca="false">SUMIFS('SALES Raw'!$C$6:$C$603,'SALES Raw'!$E$6:$E$603,$A322,'SALES Raw'!$B$6:$B$603,2026)</f>
        <v>4</v>
      </c>
      <c r="K322" s="22" t="n">
        <f aca="false">SUMIFS('SALES Raw'!$D$6:$D$603,'SALES Raw'!$E$6:$E$603,$A322,'SALES Raw'!$B$6:$B$603,2026)</f>
        <v>56.08</v>
      </c>
      <c r="L322" s="21" t="n">
        <f aca="false">D322+H322</f>
        <v>395</v>
      </c>
      <c r="M322" s="22" t="n">
        <f aca="false">E322+I322</f>
        <v>5204.59</v>
      </c>
      <c r="N322" s="21" t="n">
        <f aca="false">F322+J322</f>
        <v>99</v>
      </c>
      <c r="O322" s="22" t="n">
        <f aca="false">G322+K322</f>
        <v>1348.38</v>
      </c>
    </row>
    <row r="323" customFormat="false" ht="15" hidden="false" customHeight="false" outlineLevel="0" collapsed="false">
      <c r="A323" s="20" t="n">
        <v>4413150</v>
      </c>
      <c r="B323" s="20" t="str">
        <f aca="false">IFERROR(INDEX('Catalog'!$B:$B,MATCH($A323,'Catalog'!$A:$A,0)),"")</f>
        <v>PD341-מקצוע להסרת עור קשה</v>
      </c>
      <c r="C323" s="20" t="str">
        <f aca="false">IFERROR(INDEX('TRANS'!$A:$A,MATCH($A323,'TRANS'!$B:$B,0)),"")</f>
        <v>PD341 0</v>
      </c>
      <c r="D323" s="21" t="n">
        <f aca="false">SUMIFS('CEMI Raw'!$C$6:$C$1018,'CEMI Raw'!$E$6:$E$1018,$A323,'CEMI Raw'!$B$6:$B$1018,2025)</f>
        <v>49</v>
      </c>
      <c r="E323" s="22" t="n">
        <f aca="false">SUMIFS('CEMI Raw'!$D$6:$D$1018,'CEMI Raw'!$E$6:$E$1018,$A323,'CEMI Raw'!$B$6:$B$1018,2025)</f>
        <v>1383.8</v>
      </c>
      <c r="F323" s="21" t="n">
        <f aca="false">SUMIFS('CEMI Raw'!$C$6:$C$1018,'CEMI Raw'!$E$6:$E$1018,$A323,'CEMI Raw'!$B$6:$B$1018,2026)</f>
        <v>73</v>
      </c>
      <c r="G323" s="22" t="n">
        <f aca="false">SUMIFS('CEMI Raw'!$D$6:$D$1018,'CEMI Raw'!$E$6:$E$1018,$A323,'CEMI Raw'!$B$6:$B$1018,2026)</f>
        <v>2097.1</v>
      </c>
      <c r="H323" s="21" t="n">
        <f aca="false">SUMIFS('SALES Raw'!$C$6:$C$603,'SALES Raw'!$E$6:$E$603,$A323,'SALES Raw'!$B$6:$B$603,2025)</f>
        <v>4</v>
      </c>
      <c r="I323" s="22" t="n">
        <f aca="false">SUMIFS('SALES Raw'!$D$6:$D$603,'SALES Raw'!$E$6:$E$603,$A323,'SALES Raw'!$B$6:$B$603,2025)</f>
        <v>117.92</v>
      </c>
      <c r="J323" s="21" t="n">
        <f aca="false">SUMIFS('SALES Raw'!$C$6:$C$603,'SALES Raw'!$E$6:$E$603,$A323,'SALES Raw'!$B$6:$B$603,2026)</f>
        <v>5</v>
      </c>
      <c r="K323" s="22" t="n">
        <f aca="false">SUMIFS('SALES Raw'!$D$6:$D$603,'SALES Raw'!$E$6:$E$603,$A323,'SALES Raw'!$B$6:$B$603,2026)</f>
        <v>147.41</v>
      </c>
      <c r="L323" s="21" t="n">
        <f aca="false">D323+H323</f>
        <v>53</v>
      </c>
      <c r="M323" s="22" t="n">
        <f aca="false">E323+I323</f>
        <v>1501.72</v>
      </c>
      <c r="N323" s="21" t="n">
        <f aca="false">F323+J323</f>
        <v>78</v>
      </c>
      <c r="O323" s="22" t="n">
        <f aca="false">G323+K323</f>
        <v>2244.51</v>
      </c>
    </row>
    <row r="324" customFormat="false" ht="15" hidden="false" customHeight="false" outlineLevel="0" collapsed="false">
      <c r="A324" s="20" t="n">
        <v>4413153</v>
      </c>
      <c r="B324" s="20" t="str">
        <f aca="false">IFERROR(INDEX('Catalog'!$B:$B,MATCH($A324,'Catalog'!$A:$A,0)),"")</f>
        <v>305GA מדרס אורטופ.מתכוון35-36</v>
      </c>
      <c r="C324" s="20" t="str">
        <f aca="false">IFERROR(INDEX('TRANS'!$A:$A,MATCH($A324,'TRANS'!$B:$B,0)),"")</f>
        <v/>
      </c>
      <c r="D324" s="21" t="n">
        <f aca="false">SUMIFS('CEMI Raw'!$C$6:$C$1018,'CEMI Raw'!$E$6:$E$1018,$A324,'CEMI Raw'!$B$6:$B$1018,2025)</f>
        <v>6</v>
      </c>
      <c r="E324" s="22" t="n">
        <f aca="false">SUMIFS('CEMI Raw'!$D$6:$D$1018,'CEMI Raw'!$E$6:$E$1018,$A324,'CEMI Raw'!$B$6:$B$1018,2025)</f>
        <v>418.7</v>
      </c>
      <c r="F324" s="21" t="n">
        <f aca="false">SUMIFS('CEMI Raw'!$C$6:$C$1018,'CEMI Raw'!$E$6:$E$1018,$A324,'CEMI Raw'!$B$6:$B$1018,2026)</f>
        <v>-2</v>
      </c>
      <c r="G324" s="22" t="n">
        <f aca="false">SUMIFS('CEMI Raw'!$D$6:$D$1018,'CEMI Raw'!$E$6:$E$1018,$A324,'CEMI Raw'!$B$6:$B$1018,2026)</f>
        <v>-184.3</v>
      </c>
      <c r="H324" s="21" t="n">
        <f aca="false">SUMIFS('SALES Raw'!$C$6:$C$603,'SALES Raw'!$E$6:$E$603,$A324,'SALES Raw'!$B$6:$B$603,2025)</f>
        <v>0</v>
      </c>
      <c r="I324" s="22" t="n">
        <f aca="false">SUMIFS('SALES Raw'!$D$6:$D$603,'SALES Raw'!$E$6:$E$603,$A324,'SALES Raw'!$B$6:$B$603,2025)</f>
        <v>0</v>
      </c>
      <c r="J324" s="21" t="n">
        <f aca="false">SUMIFS('SALES Raw'!$C$6:$C$603,'SALES Raw'!$E$6:$E$603,$A324,'SALES Raw'!$B$6:$B$603,2026)</f>
        <v>0</v>
      </c>
      <c r="K324" s="22" t="n">
        <f aca="false">SUMIFS('SALES Raw'!$D$6:$D$603,'SALES Raw'!$E$6:$E$603,$A324,'SALES Raw'!$B$6:$B$603,2026)</f>
        <v>0</v>
      </c>
      <c r="L324" s="21" t="n">
        <f aca="false">D324+H324</f>
        <v>6</v>
      </c>
      <c r="M324" s="22" t="n">
        <f aca="false">E324+I324</f>
        <v>418.7</v>
      </c>
      <c r="N324" s="21" t="n">
        <f aca="false">F324+J324</f>
        <v>-2</v>
      </c>
      <c r="O324" s="22" t="n">
        <f aca="false">G324+K324</f>
        <v>-184.3</v>
      </c>
    </row>
    <row r="325" customFormat="false" ht="15" hidden="false" customHeight="false" outlineLevel="0" collapsed="false">
      <c r="A325" s="20" t="n">
        <v>4413154</v>
      </c>
      <c r="B325" s="20" t="str">
        <f aca="false">IFERROR(INDEX('Catalog'!$B:$B,MATCH($A325,'Catalog'!$A:$A,0)),"")</f>
        <v>305GA מדרס אורטופ.מתכוון37-38</v>
      </c>
      <c r="C325" s="20" t="str">
        <f aca="false">IFERROR(INDEX('TRANS'!$A:$A,MATCH($A325,'TRANS'!$B:$B,0)),"")</f>
        <v>305GA-37-38</v>
      </c>
      <c r="D325" s="21" t="n">
        <f aca="false">SUMIFS('CEMI Raw'!$C$6:$C$1018,'CEMI Raw'!$E$6:$E$1018,$A325,'CEMI Raw'!$B$6:$B$1018,2025)</f>
        <v>6</v>
      </c>
      <c r="E325" s="22" t="n">
        <f aca="false">SUMIFS('CEMI Raw'!$D$6:$D$1018,'CEMI Raw'!$E$6:$E$1018,$A325,'CEMI Raw'!$B$6:$B$1018,2025)</f>
        <v>542.6</v>
      </c>
      <c r="F325" s="21" t="n">
        <f aca="false">SUMIFS('CEMI Raw'!$C$6:$C$1018,'CEMI Raw'!$E$6:$E$1018,$A325,'CEMI Raw'!$B$6:$B$1018,2026)</f>
        <v>3</v>
      </c>
      <c r="G325" s="22" t="n">
        <f aca="false">SUMIFS('CEMI Raw'!$D$6:$D$1018,'CEMI Raw'!$E$6:$E$1018,$A325,'CEMI Raw'!$B$6:$B$1018,2026)</f>
        <v>281.1</v>
      </c>
      <c r="H325" s="21" t="n">
        <f aca="false">SUMIFS('SALES Raw'!$C$6:$C$603,'SALES Raw'!$E$6:$E$603,$A325,'SALES Raw'!$B$6:$B$603,2025)</f>
        <v>0</v>
      </c>
      <c r="I325" s="22" t="n">
        <f aca="false">SUMIFS('SALES Raw'!$D$6:$D$603,'SALES Raw'!$E$6:$E$603,$A325,'SALES Raw'!$B$6:$B$603,2025)</f>
        <v>0</v>
      </c>
      <c r="J325" s="21" t="n">
        <f aca="false">SUMIFS('SALES Raw'!$C$6:$C$603,'SALES Raw'!$E$6:$E$603,$A325,'SALES Raw'!$B$6:$B$603,2026)</f>
        <v>0</v>
      </c>
      <c r="K325" s="22" t="n">
        <f aca="false">SUMIFS('SALES Raw'!$D$6:$D$603,'SALES Raw'!$E$6:$E$603,$A325,'SALES Raw'!$B$6:$B$603,2026)</f>
        <v>0</v>
      </c>
      <c r="L325" s="21" t="n">
        <f aca="false">D325+H325</f>
        <v>6</v>
      </c>
      <c r="M325" s="22" t="n">
        <f aca="false">E325+I325</f>
        <v>542.6</v>
      </c>
      <c r="N325" s="21" t="n">
        <f aca="false">F325+J325</f>
        <v>3</v>
      </c>
      <c r="O325" s="22" t="n">
        <f aca="false">G325+K325</f>
        <v>281.1</v>
      </c>
    </row>
    <row r="326" customFormat="false" ht="15" hidden="false" customHeight="false" outlineLevel="0" collapsed="false">
      <c r="A326" s="20" t="n">
        <v>4413155</v>
      </c>
      <c r="B326" s="20" t="str">
        <f aca="false">IFERROR(INDEX('Catalog'!$B:$B,MATCH($A326,'Catalog'!$A:$A,0)),"")</f>
        <v>305GA מדרס אורטופ.מתכוון39-40</v>
      </c>
      <c r="C326" s="20" t="str">
        <f aca="false">IFERROR(INDEX('TRANS'!$A:$A,MATCH($A326,'TRANS'!$B:$B,0)),"")</f>
        <v>305GA-39-40</v>
      </c>
      <c r="D326" s="21" t="n">
        <f aca="false">SUMIFS('CEMI Raw'!$C$6:$C$1018,'CEMI Raw'!$E$6:$E$1018,$A326,'CEMI Raw'!$B$6:$B$1018,2025)</f>
        <v>19</v>
      </c>
      <c r="E326" s="22" t="n">
        <f aca="false">SUMIFS('CEMI Raw'!$D$6:$D$1018,'CEMI Raw'!$E$6:$E$1018,$A326,'CEMI Raw'!$B$6:$B$1018,2025)</f>
        <v>1616.2</v>
      </c>
      <c r="F326" s="21" t="n">
        <f aca="false">SUMIFS('CEMI Raw'!$C$6:$C$1018,'CEMI Raw'!$E$6:$E$1018,$A326,'CEMI Raw'!$B$6:$B$1018,2026)</f>
        <v>2</v>
      </c>
      <c r="G326" s="22" t="n">
        <f aca="false">SUMIFS('CEMI Raw'!$D$6:$D$1018,'CEMI Raw'!$E$6:$E$1018,$A326,'CEMI Raw'!$B$6:$B$1018,2026)</f>
        <v>187.4</v>
      </c>
      <c r="H326" s="21" t="n">
        <f aca="false">SUMIFS('SALES Raw'!$C$6:$C$603,'SALES Raw'!$E$6:$E$603,$A326,'SALES Raw'!$B$6:$B$603,2025)</f>
        <v>0</v>
      </c>
      <c r="I326" s="22" t="n">
        <f aca="false">SUMIFS('SALES Raw'!$D$6:$D$603,'SALES Raw'!$E$6:$E$603,$A326,'SALES Raw'!$B$6:$B$603,2025)</f>
        <v>0</v>
      </c>
      <c r="J326" s="21" t="n">
        <f aca="false">SUMIFS('SALES Raw'!$C$6:$C$603,'SALES Raw'!$E$6:$E$603,$A326,'SALES Raw'!$B$6:$B$603,2026)</f>
        <v>3</v>
      </c>
      <c r="K326" s="22" t="n">
        <f aca="false">SUMIFS('SALES Raw'!$D$6:$D$603,'SALES Raw'!$E$6:$E$603,$A326,'SALES Raw'!$B$6:$B$603,2026)</f>
        <v>281.09</v>
      </c>
      <c r="L326" s="21" t="n">
        <f aca="false">D326+H326</f>
        <v>19</v>
      </c>
      <c r="M326" s="22" t="n">
        <f aca="false">E326+I326</f>
        <v>1616.2</v>
      </c>
      <c r="N326" s="21" t="n">
        <f aca="false">F326+J326</f>
        <v>5</v>
      </c>
      <c r="O326" s="22" t="n">
        <f aca="false">G326+K326</f>
        <v>468.49</v>
      </c>
    </row>
    <row r="327" customFormat="false" ht="15" hidden="false" customHeight="false" outlineLevel="0" collapsed="false">
      <c r="A327" s="20" t="n">
        <v>4413156</v>
      </c>
      <c r="B327" s="20" t="str">
        <f aca="false">IFERROR(INDEX('Catalog'!$B:$B,MATCH($A327,'Catalog'!$A:$A,0)),"")</f>
        <v>305GA מדרס אורטופ.מתכוון41-42</v>
      </c>
      <c r="C327" s="20" t="str">
        <f aca="false">IFERROR(INDEX('TRANS'!$A:$A,MATCH($A327,'TRANS'!$B:$B,0)),"")</f>
        <v>305GA-41-42</v>
      </c>
      <c r="D327" s="21" t="n">
        <f aca="false">SUMIFS('CEMI Raw'!$C$6:$C$1018,'CEMI Raw'!$E$6:$E$1018,$A327,'CEMI Raw'!$B$6:$B$1018,2025)</f>
        <v>36</v>
      </c>
      <c r="E327" s="22" t="n">
        <f aca="false">SUMIFS('CEMI Raw'!$D$6:$D$1018,'CEMI Raw'!$E$6:$E$1018,$A327,'CEMI Raw'!$B$6:$B$1018,2025)</f>
        <v>3080.1</v>
      </c>
      <c r="F327" s="21" t="n">
        <f aca="false">SUMIFS('CEMI Raw'!$C$6:$C$1018,'CEMI Raw'!$E$6:$E$1018,$A327,'CEMI Raw'!$B$6:$B$1018,2026)</f>
        <v>16</v>
      </c>
      <c r="G327" s="22" t="n">
        <f aca="false">SUMIFS('CEMI Raw'!$D$6:$D$1018,'CEMI Raw'!$E$6:$E$1018,$A327,'CEMI Raw'!$B$6:$B$1018,2026)</f>
        <v>1554</v>
      </c>
      <c r="H327" s="21" t="n">
        <f aca="false">SUMIFS('SALES Raw'!$C$6:$C$603,'SALES Raw'!$E$6:$E$603,$A327,'SALES Raw'!$B$6:$B$603,2025)</f>
        <v>8</v>
      </c>
      <c r="I327" s="22" t="n">
        <f aca="false">SUMIFS('SALES Raw'!$D$6:$D$603,'SALES Raw'!$E$6:$E$603,$A327,'SALES Raw'!$B$6:$B$603,2025)</f>
        <v>741.79</v>
      </c>
      <c r="J327" s="21" t="n">
        <f aca="false">SUMIFS('SALES Raw'!$C$6:$C$603,'SALES Raw'!$E$6:$E$603,$A327,'SALES Raw'!$B$6:$B$603,2026)</f>
        <v>0</v>
      </c>
      <c r="K327" s="22" t="n">
        <f aca="false">SUMIFS('SALES Raw'!$D$6:$D$603,'SALES Raw'!$E$6:$E$603,$A327,'SALES Raw'!$B$6:$B$603,2026)</f>
        <v>0</v>
      </c>
      <c r="L327" s="21" t="n">
        <f aca="false">D327+H327</f>
        <v>44</v>
      </c>
      <c r="M327" s="22" t="n">
        <f aca="false">E327+I327</f>
        <v>3821.89</v>
      </c>
      <c r="N327" s="21" t="n">
        <f aca="false">F327+J327</f>
        <v>16</v>
      </c>
      <c r="O327" s="22" t="n">
        <f aca="false">G327+K327</f>
        <v>1554</v>
      </c>
    </row>
    <row r="328" customFormat="false" ht="15" hidden="false" customHeight="false" outlineLevel="0" collapsed="false">
      <c r="A328" s="20" t="n">
        <v>4413157</v>
      </c>
      <c r="B328" s="20" t="str">
        <f aca="false">IFERROR(INDEX('Catalog'!$B:$B,MATCH($A328,'Catalog'!$A:$A,0)),"")</f>
        <v>305GA מדרס אורטופ.מתכוון43-44</v>
      </c>
      <c r="C328" s="20" t="str">
        <f aca="false">IFERROR(INDEX('TRANS'!$A:$A,MATCH($A328,'TRANS'!$B:$B,0)),"")</f>
        <v>305GA-43-44</v>
      </c>
      <c r="D328" s="21" t="n">
        <f aca="false">SUMIFS('CEMI Raw'!$C$6:$C$1018,'CEMI Raw'!$E$6:$E$1018,$A328,'CEMI Raw'!$B$6:$B$1018,2025)</f>
        <v>54</v>
      </c>
      <c r="E328" s="22" t="n">
        <f aca="false">SUMIFS('CEMI Raw'!$D$6:$D$1018,'CEMI Raw'!$E$6:$E$1018,$A328,'CEMI Raw'!$B$6:$B$1018,2025)</f>
        <v>4652.8</v>
      </c>
      <c r="F328" s="21" t="n">
        <f aca="false">SUMIFS('CEMI Raw'!$C$6:$C$1018,'CEMI Raw'!$E$6:$E$1018,$A328,'CEMI Raw'!$B$6:$B$1018,2026)</f>
        <v>18</v>
      </c>
      <c r="G328" s="22" t="n">
        <f aca="false">SUMIFS('CEMI Raw'!$D$6:$D$1018,'CEMI Raw'!$E$6:$E$1018,$A328,'CEMI Raw'!$B$6:$B$1018,2026)</f>
        <v>1770</v>
      </c>
      <c r="H328" s="21" t="n">
        <f aca="false">SUMIFS('SALES Raw'!$C$6:$C$603,'SALES Raw'!$E$6:$E$603,$A328,'SALES Raw'!$B$6:$B$603,2025)</f>
        <v>6</v>
      </c>
      <c r="I328" s="22" t="n">
        <f aca="false">SUMIFS('SALES Raw'!$D$6:$D$603,'SALES Raw'!$E$6:$E$603,$A328,'SALES Raw'!$B$6:$B$603,2025)</f>
        <v>560.63</v>
      </c>
      <c r="J328" s="21" t="n">
        <f aca="false">SUMIFS('SALES Raw'!$C$6:$C$603,'SALES Raw'!$E$6:$E$603,$A328,'SALES Raw'!$B$6:$B$603,2026)</f>
        <v>0</v>
      </c>
      <c r="K328" s="22" t="n">
        <f aca="false">SUMIFS('SALES Raw'!$D$6:$D$603,'SALES Raw'!$E$6:$E$603,$A328,'SALES Raw'!$B$6:$B$603,2026)</f>
        <v>0</v>
      </c>
      <c r="L328" s="21" t="n">
        <f aca="false">D328+H328</f>
        <v>60</v>
      </c>
      <c r="M328" s="22" t="n">
        <f aca="false">E328+I328</f>
        <v>5213.43</v>
      </c>
      <c r="N328" s="21" t="n">
        <f aca="false">F328+J328</f>
        <v>18</v>
      </c>
      <c r="O328" s="22" t="n">
        <f aca="false">G328+K328</f>
        <v>1770</v>
      </c>
    </row>
    <row r="329" customFormat="false" ht="15" hidden="false" customHeight="false" outlineLevel="0" collapsed="false">
      <c r="A329" s="20" t="n">
        <v>4413158</v>
      </c>
      <c r="B329" s="20" t="str">
        <f aca="false">IFERROR(INDEX('Catalog'!$B:$B,MATCH($A329,'Catalog'!$A:$A,0)),"")</f>
        <v>305GA מדרס אורטופ.מתכוון45-46</v>
      </c>
      <c r="C329" s="20" t="str">
        <f aca="false">IFERROR(INDEX('TRANS'!$A:$A,MATCH($A329,'TRANS'!$B:$B,0)),"")</f>
        <v>305GA-45-46</v>
      </c>
      <c r="D329" s="21" t="n">
        <f aca="false">SUMIFS('CEMI Raw'!$C$6:$C$1018,'CEMI Raw'!$E$6:$E$1018,$A329,'CEMI Raw'!$B$6:$B$1018,2025)</f>
        <v>33</v>
      </c>
      <c r="E329" s="22" t="n">
        <f aca="false">SUMIFS('CEMI Raw'!$D$6:$D$1018,'CEMI Raw'!$E$6:$E$1018,$A329,'CEMI Raw'!$B$6:$B$1018,2025)</f>
        <v>2838.9</v>
      </c>
      <c r="F329" s="21" t="n">
        <f aca="false">SUMIFS('CEMI Raw'!$C$6:$C$1018,'CEMI Raw'!$E$6:$E$1018,$A329,'CEMI Raw'!$B$6:$B$1018,2026)</f>
        <v>19</v>
      </c>
      <c r="G329" s="22" t="n">
        <f aca="false">SUMIFS('CEMI Raw'!$D$6:$D$1018,'CEMI Raw'!$E$6:$E$1018,$A329,'CEMI Raw'!$B$6:$B$1018,2026)</f>
        <v>1761.4</v>
      </c>
      <c r="H329" s="21" t="n">
        <f aca="false">SUMIFS('SALES Raw'!$C$6:$C$603,'SALES Raw'!$E$6:$E$603,$A329,'SALES Raw'!$B$6:$B$603,2025)</f>
        <v>0</v>
      </c>
      <c r="I329" s="22" t="n">
        <f aca="false">SUMIFS('SALES Raw'!$D$6:$D$603,'SALES Raw'!$E$6:$E$603,$A329,'SALES Raw'!$B$6:$B$603,2025)</f>
        <v>0</v>
      </c>
      <c r="J329" s="21" t="n">
        <f aca="false">SUMIFS('SALES Raw'!$C$6:$C$603,'SALES Raw'!$E$6:$E$603,$A329,'SALES Raw'!$B$6:$B$603,2026)</f>
        <v>2</v>
      </c>
      <c r="K329" s="22" t="n">
        <f aca="false">SUMIFS('SALES Raw'!$D$6:$D$603,'SALES Raw'!$E$6:$E$603,$A329,'SALES Raw'!$B$6:$B$603,2026)</f>
        <v>187.4</v>
      </c>
      <c r="L329" s="21" t="n">
        <f aca="false">D329+H329</f>
        <v>33</v>
      </c>
      <c r="M329" s="22" t="n">
        <f aca="false">E329+I329</f>
        <v>2838.9</v>
      </c>
      <c r="N329" s="21" t="n">
        <f aca="false">F329+J329</f>
        <v>21</v>
      </c>
      <c r="O329" s="22" t="n">
        <f aca="false">G329+K329</f>
        <v>1948.8</v>
      </c>
    </row>
    <row r="330" customFormat="false" ht="15" hidden="false" customHeight="false" outlineLevel="0" collapsed="false">
      <c r="A330" s="20" t="n">
        <v>4413159</v>
      </c>
      <c r="B330" s="20" t="str">
        <f aca="false">IFERROR(INDEX('Catalog'!$B:$B,MATCH($A330,'Catalog'!$A:$A,0)),"")</f>
        <v>34+ S מגן קרסול עקב סגור+רצוע</v>
      </c>
      <c r="C330" s="20" t="str">
        <f aca="false">IFERROR(INDEX('TRANS'!$A:$A,MATCH($A330,'TRANS'!$B:$B,0)),"")</f>
        <v>34+ S</v>
      </c>
      <c r="D330" s="21" t="n">
        <f aca="false">SUMIFS('CEMI Raw'!$C$6:$C$1018,'CEMI Raw'!$E$6:$E$1018,$A330,'CEMI Raw'!$B$6:$B$1018,2025)</f>
        <v>29</v>
      </c>
      <c r="E330" s="22" t="n">
        <f aca="false">SUMIFS('CEMI Raw'!$D$6:$D$1018,'CEMI Raw'!$E$6:$E$1018,$A330,'CEMI Raw'!$B$6:$B$1018,2025)</f>
        <v>1987.6</v>
      </c>
      <c r="F330" s="21" t="n">
        <f aca="false">SUMIFS('CEMI Raw'!$C$6:$C$1018,'CEMI Raw'!$E$6:$E$1018,$A330,'CEMI Raw'!$B$6:$B$1018,2026)</f>
        <v>12</v>
      </c>
      <c r="G330" s="22" t="n">
        <f aca="false">SUMIFS('CEMI Raw'!$D$6:$D$1018,'CEMI Raw'!$E$6:$E$1018,$A330,'CEMI Raw'!$B$6:$B$1018,2026)</f>
        <v>796.2</v>
      </c>
      <c r="H330" s="21" t="n">
        <f aca="false">SUMIFS('SALES Raw'!$C$6:$C$603,'SALES Raw'!$E$6:$E$603,$A330,'SALES Raw'!$B$6:$B$603,2025)</f>
        <v>0</v>
      </c>
      <c r="I330" s="22" t="n">
        <f aca="false">SUMIFS('SALES Raw'!$D$6:$D$603,'SALES Raw'!$E$6:$E$603,$A330,'SALES Raw'!$B$6:$B$603,2025)</f>
        <v>0</v>
      </c>
      <c r="J330" s="21" t="n">
        <f aca="false">SUMIFS('SALES Raw'!$C$6:$C$603,'SALES Raw'!$E$6:$E$603,$A330,'SALES Raw'!$B$6:$B$603,2026)</f>
        <v>0</v>
      </c>
      <c r="K330" s="22" t="n">
        <f aca="false">SUMIFS('SALES Raw'!$D$6:$D$603,'SALES Raw'!$E$6:$E$603,$A330,'SALES Raw'!$B$6:$B$603,2026)</f>
        <v>0</v>
      </c>
      <c r="L330" s="21" t="n">
        <f aca="false">D330+H330</f>
        <v>29</v>
      </c>
      <c r="M330" s="22" t="n">
        <f aca="false">E330+I330</f>
        <v>1987.6</v>
      </c>
      <c r="N330" s="21" t="n">
        <f aca="false">F330+J330</f>
        <v>12</v>
      </c>
      <c r="O330" s="22" t="n">
        <f aca="false">G330+K330</f>
        <v>796.2</v>
      </c>
    </row>
    <row r="331" customFormat="false" ht="15" hidden="false" customHeight="false" outlineLevel="0" collapsed="false">
      <c r="A331" s="20" t="n">
        <v>4413160</v>
      </c>
      <c r="B331" s="20" t="str">
        <f aca="false">IFERROR(INDEX('Catalog'!$B:$B,MATCH($A331,'Catalog'!$A:$A,0)),"")</f>
        <v>34+ M מגן קרסול עקב סגור+רצוע</v>
      </c>
      <c r="C331" s="20" t="str">
        <f aca="false">IFERROR(INDEX('TRANS'!$A:$A,MATCH($A331,'TRANS'!$B:$B,0)),"")</f>
        <v>34+ M</v>
      </c>
      <c r="D331" s="21" t="n">
        <f aca="false">SUMIFS('CEMI Raw'!$C$6:$C$1018,'CEMI Raw'!$E$6:$E$1018,$A331,'CEMI Raw'!$B$6:$B$1018,2025)</f>
        <v>62</v>
      </c>
      <c r="E331" s="22" t="n">
        <f aca="false">SUMIFS('CEMI Raw'!$D$6:$D$1018,'CEMI Raw'!$E$6:$E$1018,$A331,'CEMI Raw'!$B$6:$B$1018,2025)</f>
        <v>4069.3</v>
      </c>
      <c r="F331" s="21" t="n">
        <f aca="false">SUMIFS('CEMI Raw'!$C$6:$C$1018,'CEMI Raw'!$E$6:$E$1018,$A331,'CEMI Raw'!$B$6:$B$1018,2026)</f>
        <v>28</v>
      </c>
      <c r="G331" s="22" t="n">
        <f aca="false">SUMIFS('CEMI Raw'!$D$6:$D$1018,'CEMI Raw'!$E$6:$E$1018,$A331,'CEMI Raw'!$B$6:$B$1018,2026)</f>
        <v>1897</v>
      </c>
      <c r="H331" s="21" t="n">
        <f aca="false">SUMIFS('SALES Raw'!$C$6:$C$603,'SALES Raw'!$E$6:$E$603,$A331,'SALES Raw'!$B$6:$B$603,2025)</f>
        <v>1</v>
      </c>
      <c r="I331" s="22" t="n">
        <f aca="false">SUMIFS('SALES Raw'!$D$6:$D$603,'SALES Raw'!$E$6:$E$603,$A331,'SALES Raw'!$B$6:$B$603,2025)</f>
        <v>70.26</v>
      </c>
      <c r="J331" s="21" t="n">
        <f aca="false">SUMIFS('SALES Raw'!$C$6:$C$603,'SALES Raw'!$E$6:$E$603,$A331,'SALES Raw'!$B$6:$B$603,2026)</f>
        <v>0</v>
      </c>
      <c r="K331" s="22" t="n">
        <f aca="false">SUMIFS('SALES Raw'!$D$6:$D$603,'SALES Raw'!$E$6:$E$603,$A331,'SALES Raw'!$B$6:$B$603,2026)</f>
        <v>0</v>
      </c>
      <c r="L331" s="21" t="n">
        <f aca="false">D331+H331</f>
        <v>63</v>
      </c>
      <c r="M331" s="22" t="n">
        <f aca="false">E331+I331</f>
        <v>4139.56</v>
      </c>
      <c r="N331" s="21" t="n">
        <f aca="false">F331+J331</f>
        <v>28</v>
      </c>
      <c r="O331" s="22" t="n">
        <f aca="false">G331+K331</f>
        <v>1897</v>
      </c>
    </row>
    <row r="332" customFormat="false" ht="15" hidden="false" customHeight="false" outlineLevel="0" collapsed="false">
      <c r="A332" s="20" t="n">
        <v>4413161</v>
      </c>
      <c r="B332" s="20" t="str">
        <f aca="false">IFERROR(INDEX('Catalog'!$B:$B,MATCH($A332,'Catalog'!$A:$A,0)),"")</f>
        <v>34+ L מגן קרסול עקב סגור+רצוע</v>
      </c>
      <c r="C332" s="20" t="str">
        <f aca="false">IFERROR(INDEX('TRANS'!$A:$A,MATCH($A332,'TRANS'!$B:$B,0)),"")</f>
        <v>34+ L</v>
      </c>
      <c r="D332" s="21" t="n">
        <f aca="false">SUMIFS('CEMI Raw'!$C$6:$C$1018,'CEMI Raw'!$E$6:$E$1018,$A332,'CEMI Raw'!$B$6:$B$1018,2025)</f>
        <v>73</v>
      </c>
      <c r="E332" s="22" t="n">
        <f aca="false">SUMIFS('CEMI Raw'!$D$6:$D$1018,'CEMI Raw'!$E$6:$E$1018,$A332,'CEMI Raw'!$B$6:$B$1018,2025)</f>
        <v>4770.5</v>
      </c>
      <c r="F332" s="21" t="n">
        <f aca="false">SUMIFS('CEMI Raw'!$C$6:$C$1018,'CEMI Raw'!$E$6:$E$1018,$A332,'CEMI Raw'!$B$6:$B$1018,2026)</f>
        <v>59</v>
      </c>
      <c r="G332" s="22" t="n">
        <f aca="false">SUMIFS('CEMI Raw'!$D$6:$D$1018,'CEMI Raw'!$E$6:$E$1018,$A332,'CEMI Raw'!$B$6:$B$1018,2026)</f>
        <v>3859.5</v>
      </c>
      <c r="H332" s="21" t="n">
        <f aca="false">SUMIFS('SALES Raw'!$C$6:$C$603,'SALES Raw'!$E$6:$E$603,$A332,'SALES Raw'!$B$6:$B$603,2025)</f>
        <v>1</v>
      </c>
      <c r="I332" s="22" t="n">
        <f aca="false">SUMIFS('SALES Raw'!$D$6:$D$603,'SALES Raw'!$E$6:$E$603,$A332,'SALES Raw'!$B$6:$B$603,2025)</f>
        <v>70.26</v>
      </c>
      <c r="J332" s="21" t="n">
        <f aca="false">SUMIFS('SALES Raw'!$C$6:$C$603,'SALES Raw'!$E$6:$E$603,$A332,'SALES Raw'!$B$6:$B$603,2026)</f>
        <v>1</v>
      </c>
      <c r="K332" s="22" t="n">
        <f aca="false">SUMIFS('SALES Raw'!$D$6:$D$603,'SALES Raw'!$E$6:$E$603,$A332,'SALES Raw'!$B$6:$B$603,2026)</f>
        <v>70.26</v>
      </c>
      <c r="L332" s="21" t="n">
        <f aca="false">D332+H332</f>
        <v>74</v>
      </c>
      <c r="M332" s="22" t="n">
        <f aca="false">E332+I332</f>
        <v>4840.76</v>
      </c>
      <c r="N332" s="21" t="n">
        <f aca="false">F332+J332</f>
        <v>60</v>
      </c>
      <c r="O332" s="22" t="n">
        <f aca="false">G332+K332</f>
        <v>3929.76</v>
      </c>
    </row>
    <row r="333" customFormat="false" ht="15" hidden="false" customHeight="false" outlineLevel="0" collapsed="false">
      <c r="A333" s="20" t="n">
        <v>4413162</v>
      </c>
      <c r="B333" s="20" t="str">
        <f aca="false">IFERROR(INDEX('Catalog'!$B:$B,MATCH($A333,'Catalog'!$A:$A,0)),"")</f>
        <v>34+XL מגן קרסול עקב סגור+רצוע</v>
      </c>
      <c r="C333" s="20" t="str">
        <f aca="false">IFERROR(INDEX('TRANS'!$A:$A,MATCH($A333,'TRANS'!$B:$B,0)),"")</f>
        <v>34+ XL</v>
      </c>
      <c r="D333" s="21" t="n">
        <f aca="false">SUMIFS('CEMI Raw'!$C$6:$C$1018,'CEMI Raw'!$E$6:$E$1018,$A333,'CEMI Raw'!$B$6:$B$1018,2025)</f>
        <v>46</v>
      </c>
      <c r="E333" s="22" t="n">
        <f aca="false">SUMIFS('CEMI Raw'!$D$6:$D$1018,'CEMI Raw'!$E$6:$E$1018,$A333,'CEMI Raw'!$B$6:$B$1018,2025)</f>
        <v>3106.1</v>
      </c>
      <c r="F333" s="21" t="n">
        <f aca="false">SUMIFS('CEMI Raw'!$C$6:$C$1018,'CEMI Raw'!$E$6:$E$1018,$A333,'CEMI Raw'!$B$6:$B$1018,2026)</f>
        <v>24</v>
      </c>
      <c r="G333" s="22" t="n">
        <f aca="false">SUMIFS('CEMI Raw'!$D$6:$D$1018,'CEMI Raw'!$E$6:$E$1018,$A333,'CEMI Raw'!$B$6:$B$1018,2026)</f>
        <v>1601.9</v>
      </c>
      <c r="H333" s="21" t="n">
        <f aca="false">SUMIFS('SALES Raw'!$C$6:$C$603,'SALES Raw'!$E$6:$E$603,$A333,'SALES Raw'!$B$6:$B$603,2025)</f>
        <v>1</v>
      </c>
      <c r="I333" s="22" t="n">
        <f aca="false">SUMIFS('SALES Raw'!$D$6:$D$603,'SALES Raw'!$E$6:$E$603,$A333,'SALES Raw'!$B$6:$B$603,2025)</f>
        <v>70.26</v>
      </c>
      <c r="J333" s="21" t="n">
        <f aca="false">SUMIFS('SALES Raw'!$C$6:$C$603,'SALES Raw'!$E$6:$E$603,$A333,'SALES Raw'!$B$6:$B$603,2026)</f>
        <v>0</v>
      </c>
      <c r="K333" s="22" t="n">
        <f aca="false">SUMIFS('SALES Raw'!$D$6:$D$603,'SALES Raw'!$E$6:$E$603,$A333,'SALES Raw'!$B$6:$B$603,2026)</f>
        <v>0</v>
      </c>
      <c r="L333" s="21" t="n">
        <f aca="false">D333+H333</f>
        <v>47</v>
      </c>
      <c r="M333" s="22" t="n">
        <f aca="false">E333+I333</f>
        <v>3176.36</v>
      </c>
      <c r="N333" s="21" t="n">
        <f aca="false">F333+J333</f>
        <v>24</v>
      </c>
      <c r="O333" s="22" t="n">
        <f aca="false">G333+K333</f>
        <v>1601.9</v>
      </c>
    </row>
    <row r="334" customFormat="false" ht="15" hidden="false" customHeight="false" outlineLevel="0" collapsed="false">
      <c r="A334" s="20" t="n">
        <v>4413165</v>
      </c>
      <c r="B334" s="20" t="str">
        <f aca="false">IFERROR(INDEX('Catalog'!$B:$B,MATCH($A334,'Catalog'!$A:$A,0)),"")</f>
        <v>74 L-XL מיצב כתפיים</v>
      </c>
      <c r="C334" s="20" t="str">
        <f aca="false">IFERROR(INDEX('TRANS'!$A:$A,MATCH($A334,'TRANS'!$B:$B,0)),"")</f>
        <v>74-L-XL</v>
      </c>
      <c r="D334" s="21" t="n">
        <f aca="false">SUMIFS('CEMI Raw'!$C$6:$C$1018,'CEMI Raw'!$E$6:$E$1018,$A334,'CEMI Raw'!$B$6:$B$1018,2025)</f>
        <v>0</v>
      </c>
      <c r="E334" s="22" t="n">
        <f aca="false">SUMIFS('CEMI Raw'!$D$6:$D$1018,'CEMI Raw'!$E$6:$E$1018,$A334,'CEMI Raw'!$B$6:$B$1018,2025)</f>
        <v>0</v>
      </c>
      <c r="F334" s="21" t="n">
        <f aca="false">SUMIFS('CEMI Raw'!$C$6:$C$1018,'CEMI Raw'!$E$6:$E$1018,$A334,'CEMI Raw'!$B$6:$B$1018,2026)</f>
        <v>1</v>
      </c>
      <c r="G334" s="22" t="n">
        <f aca="false">SUMIFS('CEMI Raw'!$D$6:$D$1018,'CEMI Raw'!$E$6:$E$1018,$A334,'CEMI Raw'!$B$6:$B$1018,2026)</f>
        <v>168.5</v>
      </c>
      <c r="H334" s="21" t="n">
        <f aca="false">SUMIFS('SALES Raw'!$C$6:$C$603,'SALES Raw'!$E$6:$E$603,$A334,'SALES Raw'!$B$6:$B$603,2025)</f>
        <v>1</v>
      </c>
      <c r="I334" s="22" t="n">
        <f aca="false">SUMIFS('SALES Raw'!$D$6:$D$603,'SALES Raw'!$E$6:$E$603,$A334,'SALES Raw'!$B$6:$B$603,2025)</f>
        <v>130</v>
      </c>
      <c r="J334" s="21" t="n">
        <f aca="false">SUMIFS('SALES Raw'!$C$6:$C$603,'SALES Raw'!$E$6:$E$603,$A334,'SALES Raw'!$B$6:$B$603,2026)</f>
        <v>0</v>
      </c>
      <c r="K334" s="22" t="n">
        <f aca="false">SUMIFS('SALES Raw'!$D$6:$D$603,'SALES Raw'!$E$6:$E$603,$A334,'SALES Raw'!$B$6:$B$603,2026)</f>
        <v>0</v>
      </c>
      <c r="L334" s="21" t="n">
        <f aca="false">D334+H334</f>
        <v>1</v>
      </c>
      <c r="M334" s="22" t="n">
        <f aca="false">E334+I334</f>
        <v>130</v>
      </c>
      <c r="N334" s="21" t="n">
        <f aca="false">F334+J334</f>
        <v>1</v>
      </c>
      <c r="O334" s="22" t="n">
        <f aca="false">G334+K334</f>
        <v>168.5</v>
      </c>
    </row>
    <row r="335" customFormat="false" ht="15" hidden="false" customHeight="false" outlineLevel="0" collapsed="false">
      <c r="A335" s="20" t="n">
        <v>4413166</v>
      </c>
      <c r="B335" s="20" t="str">
        <f aca="false">IFERROR(INDEX('Catalog'!$B:$B,MATCH($A335,'Catalog'!$A:$A,0)),"")</f>
        <v>80 S תתמתלה ליד רצועה</v>
      </c>
      <c r="C335" s="20" t="str">
        <f aca="false">IFERROR(INDEX('TRANS'!$A:$A,MATCH($A335,'TRANS'!$B:$B,0)),"")</f>
        <v/>
      </c>
      <c r="D335" s="21" t="n">
        <f aca="false">SUMIFS('CEMI Raw'!$C$6:$C$1018,'CEMI Raw'!$E$6:$E$1018,$A335,'CEMI Raw'!$B$6:$B$1018,2025)</f>
        <v>-1</v>
      </c>
      <c r="E335" s="22" t="n">
        <f aca="false">SUMIFS('CEMI Raw'!$D$6:$D$1018,'CEMI Raw'!$E$6:$E$1018,$A335,'CEMI Raw'!$B$6:$B$1018,2025)</f>
        <v>-37.8</v>
      </c>
      <c r="F335" s="21" t="n">
        <f aca="false">SUMIFS('CEMI Raw'!$C$6:$C$1018,'CEMI Raw'!$E$6:$E$1018,$A335,'CEMI Raw'!$B$6:$B$1018,2026)</f>
        <v>0</v>
      </c>
      <c r="G335" s="22" t="n">
        <f aca="false">SUMIFS('CEMI Raw'!$D$6:$D$1018,'CEMI Raw'!$E$6:$E$1018,$A335,'CEMI Raw'!$B$6:$B$1018,2026)</f>
        <v>0</v>
      </c>
      <c r="H335" s="21" t="n">
        <f aca="false">SUMIFS('SALES Raw'!$C$6:$C$603,'SALES Raw'!$E$6:$E$603,$A335,'SALES Raw'!$B$6:$B$603,2025)</f>
        <v>0</v>
      </c>
      <c r="I335" s="22" t="n">
        <f aca="false">SUMIFS('SALES Raw'!$D$6:$D$603,'SALES Raw'!$E$6:$E$603,$A335,'SALES Raw'!$B$6:$B$603,2025)</f>
        <v>0</v>
      </c>
      <c r="J335" s="21" t="n">
        <f aca="false">SUMIFS('SALES Raw'!$C$6:$C$603,'SALES Raw'!$E$6:$E$603,$A335,'SALES Raw'!$B$6:$B$603,2026)</f>
        <v>0</v>
      </c>
      <c r="K335" s="22" t="n">
        <f aca="false">SUMIFS('SALES Raw'!$D$6:$D$603,'SALES Raw'!$E$6:$E$603,$A335,'SALES Raw'!$B$6:$B$603,2026)</f>
        <v>0</v>
      </c>
      <c r="L335" s="21" t="n">
        <f aca="false">D335+H335</f>
        <v>-1</v>
      </c>
      <c r="M335" s="22" t="n">
        <f aca="false">E335+I335</f>
        <v>-37.8</v>
      </c>
      <c r="N335" s="21" t="n">
        <f aca="false">F335+J335</f>
        <v>0</v>
      </c>
      <c r="O335" s="22" t="n">
        <f aca="false">G335+K335</f>
        <v>0</v>
      </c>
    </row>
    <row r="336" customFormat="false" ht="15" hidden="false" customHeight="false" outlineLevel="0" collapsed="false">
      <c r="A336" s="20" t="n">
        <v>4413169</v>
      </c>
      <c r="B336" s="20" t="str">
        <f aca="false">IFERROR(INDEX('Catalog'!$B:$B,MATCH($A336,'Catalog'!$A:$A,0)),"")</f>
        <v>T402 S מיצב פיקה</v>
      </c>
      <c r="C336" s="20" t="str">
        <f aca="false">IFERROR(INDEX('TRANS'!$A:$A,MATCH($A336,'TRANS'!$B:$B,0)),"")</f>
        <v/>
      </c>
      <c r="D336" s="21" t="n">
        <f aca="false">SUMIFS('CEMI Raw'!$C$6:$C$1018,'CEMI Raw'!$E$6:$E$1018,$A336,'CEMI Raw'!$B$6:$B$1018,2025)</f>
        <v>1</v>
      </c>
      <c r="E336" s="22" t="n">
        <f aca="false">SUMIFS('CEMI Raw'!$D$6:$D$1018,'CEMI Raw'!$E$6:$E$1018,$A336,'CEMI Raw'!$B$6:$B$1018,2025)</f>
        <v>94.6</v>
      </c>
      <c r="F336" s="21" t="n">
        <f aca="false">SUMIFS('CEMI Raw'!$C$6:$C$1018,'CEMI Raw'!$E$6:$E$1018,$A336,'CEMI Raw'!$B$6:$B$1018,2026)</f>
        <v>0</v>
      </c>
      <c r="G336" s="22" t="n">
        <f aca="false">SUMIFS('CEMI Raw'!$D$6:$D$1018,'CEMI Raw'!$E$6:$E$1018,$A336,'CEMI Raw'!$B$6:$B$1018,2026)</f>
        <v>0</v>
      </c>
      <c r="H336" s="21" t="n">
        <f aca="false">SUMIFS('SALES Raw'!$C$6:$C$603,'SALES Raw'!$E$6:$E$603,$A336,'SALES Raw'!$B$6:$B$603,2025)</f>
        <v>0</v>
      </c>
      <c r="I336" s="22" t="n">
        <f aca="false">SUMIFS('SALES Raw'!$D$6:$D$603,'SALES Raw'!$E$6:$E$603,$A336,'SALES Raw'!$B$6:$B$603,2025)</f>
        <v>0</v>
      </c>
      <c r="J336" s="21" t="n">
        <f aca="false">SUMIFS('SALES Raw'!$C$6:$C$603,'SALES Raw'!$E$6:$E$603,$A336,'SALES Raw'!$B$6:$B$603,2026)</f>
        <v>0</v>
      </c>
      <c r="K336" s="22" t="n">
        <f aca="false">SUMIFS('SALES Raw'!$D$6:$D$603,'SALES Raw'!$E$6:$E$603,$A336,'SALES Raw'!$B$6:$B$603,2026)</f>
        <v>0</v>
      </c>
      <c r="L336" s="21" t="n">
        <f aca="false">D336+H336</f>
        <v>1</v>
      </c>
      <c r="M336" s="22" t="n">
        <f aca="false">E336+I336</f>
        <v>94.6</v>
      </c>
      <c r="N336" s="21" t="n">
        <f aca="false">F336+J336</f>
        <v>0</v>
      </c>
      <c r="O336" s="22" t="n">
        <f aca="false">G336+K336</f>
        <v>0</v>
      </c>
    </row>
    <row r="337" customFormat="false" ht="15" hidden="false" customHeight="false" outlineLevel="0" collapsed="false">
      <c r="A337" s="20" t="n">
        <v>4413170</v>
      </c>
      <c r="B337" s="20" t="str">
        <f aca="false">IFERROR(INDEX('Catalog'!$B:$B,MATCH($A337,'Catalog'!$A:$A,0)),"")</f>
        <v>T402 M מיצב פיקה</v>
      </c>
      <c r="C337" s="20" t="str">
        <f aca="false">IFERROR(INDEX('TRANS'!$A:$A,MATCH($A337,'TRANS'!$B:$B,0)),"")</f>
        <v/>
      </c>
      <c r="D337" s="21" t="n">
        <f aca="false">SUMIFS('CEMI Raw'!$C$6:$C$1018,'CEMI Raw'!$E$6:$E$1018,$A337,'CEMI Raw'!$B$6:$B$1018,2025)</f>
        <v>1</v>
      </c>
      <c r="E337" s="22" t="n">
        <f aca="false">SUMIFS('CEMI Raw'!$D$6:$D$1018,'CEMI Raw'!$E$6:$E$1018,$A337,'CEMI Raw'!$B$6:$B$1018,2025)</f>
        <v>94.5</v>
      </c>
      <c r="F337" s="21" t="n">
        <f aca="false">SUMIFS('CEMI Raw'!$C$6:$C$1018,'CEMI Raw'!$E$6:$E$1018,$A337,'CEMI Raw'!$B$6:$B$1018,2026)</f>
        <v>0</v>
      </c>
      <c r="G337" s="22" t="n">
        <f aca="false">SUMIFS('CEMI Raw'!$D$6:$D$1018,'CEMI Raw'!$E$6:$E$1018,$A337,'CEMI Raw'!$B$6:$B$1018,2026)</f>
        <v>0</v>
      </c>
      <c r="H337" s="21" t="n">
        <f aca="false">SUMIFS('SALES Raw'!$C$6:$C$603,'SALES Raw'!$E$6:$E$603,$A337,'SALES Raw'!$B$6:$B$603,2025)</f>
        <v>0</v>
      </c>
      <c r="I337" s="22" t="n">
        <f aca="false">SUMIFS('SALES Raw'!$D$6:$D$603,'SALES Raw'!$E$6:$E$603,$A337,'SALES Raw'!$B$6:$B$603,2025)</f>
        <v>0</v>
      </c>
      <c r="J337" s="21" t="n">
        <f aca="false">SUMIFS('SALES Raw'!$C$6:$C$603,'SALES Raw'!$E$6:$E$603,$A337,'SALES Raw'!$B$6:$B$603,2026)</f>
        <v>0</v>
      </c>
      <c r="K337" s="22" t="n">
        <f aca="false">SUMIFS('SALES Raw'!$D$6:$D$603,'SALES Raw'!$E$6:$E$603,$A337,'SALES Raw'!$B$6:$B$603,2026)</f>
        <v>0</v>
      </c>
      <c r="L337" s="21" t="n">
        <f aca="false">D337+H337</f>
        <v>1</v>
      </c>
      <c r="M337" s="22" t="n">
        <f aca="false">E337+I337</f>
        <v>94.5</v>
      </c>
      <c r="N337" s="21" t="n">
        <f aca="false">F337+J337</f>
        <v>0</v>
      </c>
      <c r="O337" s="22" t="n">
        <f aca="false">G337+K337</f>
        <v>0</v>
      </c>
    </row>
    <row r="338" customFormat="false" ht="15" hidden="false" customHeight="false" outlineLevel="0" collapsed="false">
      <c r="A338" s="20" t="n">
        <v>4413171</v>
      </c>
      <c r="B338" s="20" t="str">
        <f aca="false">IFERROR(INDEX('Catalog'!$B:$B,MATCH($A338,'Catalog'!$A:$A,0)),"")</f>
        <v>T402 L מיצב פיקה</v>
      </c>
      <c r="C338" s="20" t="str">
        <f aca="false">IFERROR(INDEX('TRANS'!$A:$A,MATCH($A338,'TRANS'!$B:$B,0)),"")</f>
        <v/>
      </c>
      <c r="D338" s="21" t="n">
        <f aca="false">SUMIFS('CEMI Raw'!$C$6:$C$1018,'CEMI Raw'!$E$6:$E$1018,$A338,'CEMI Raw'!$B$6:$B$1018,2025)</f>
        <v>3</v>
      </c>
      <c r="E338" s="22" t="n">
        <f aca="false">SUMIFS('CEMI Raw'!$D$6:$D$1018,'CEMI Raw'!$E$6:$E$1018,$A338,'CEMI Raw'!$B$6:$B$1018,2025)</f>
        <v>271.1</v>
      </c>
      <c r="F338" s="21" t="n">
        <f aca="false">SUMIFS('CEMI Raw'!$C$6:$C$1018,'CEMI Raw'!$E$6:$E$1018,$A338,'CEMI Raw'!$B$6:$B$1018,2026)</f>
        <v>0</v>
      </c>
      <c r="G338" s="22" t="n">
        <f aca="false">SUMIFS('CEMI Raw'!$D$6:$D$1018,'CEMI Raw'!$E$6:$E$1018,$A338,'CEMI Raw'!$B$6:$B$1018,2026)</f>
        <v>0</v>
      </c>
      <c r="H338" s="21" t="n">
        <f aca="false">SUMIFS('SALES Raw'!$C$6:$C$603,'SALES Raw'!$E$6:$E$603,$A338,'SALES Raw'!$B$6:$B$603,2025)</f>
        <v>0</v>
      </c>
      <c r="I338" s="22" t="n">
        <f aca="false">SUMIFS('SALES Raw'!$D$6:$D$603,'SALES Raw'!$E$6:$E$603,$A338,'SALES Raw'!$B$6:$B$603,2025)</f>
        <v>0</v>
      </c>
      <c r="J338" s="21" t="n">
        <f aca="false">SUMIFS('SALES Raw'!$C$6:$C$603,'SALES Raw'!$E$6:$E$603,$A338,'SALES Raw'!$B$6:$B$603,2026)</f>
        <v>0</v>
      </c>
      <c r="K338" s="22" t="n">
        <f aca="false">SUMIFS('SALES Raw'!$D$6:$D$603,'SALES Raw'!$E$6:$E$603,$A338,'SALES Raw'!$B$6:$B$603,2026)</f>
        <v>0</v>
      </c>
      <c r="L338" s="21" t="n">
        <f aca="false">D338+H338</f>
        <v>3</v>
      </c>
      <c r="M338" s="22" t="n">
        <f aca="false">E338+I338</f>
        <v>271.1</v>
      </c>
      <c r="N338" s="21" t="n">
        <f aca="false">F338+J338</f>
        <v>0</v>
      </c>
      <c r="O338" s="22" t="n">
        <f aca="false">G338+K338</f>
        <v>0</v>
      </c>
    </row>
    <row r="339" customFormat="false" ht="15" hidden="false" customHeight="false" outlineLevel="0" collapsed="false">
      <c r="A339" s="20" t="n">
        <v>4413172</v>
      </c>
      <c r="B339" s="20" t="str">
        <f aca="false">IFERROR(INDEX('Catalog'!$B:$B,MATCH($A339,'Catalog'!$A:$A,0)),"")</f>
        <v>T402 XL מיצב פיקה</v>
      </c>
      <c r="C339" s="20" t="str">
        <f aca="false">IFERROR(INDEX('TRANS'!$A:$A,MATCH($A339,'TRANS'!$B:$B,0)),"")</f>
        <v/>
      </c>
      <c r="D339" s="21" t="n">
        <f aca="false">SUMIFS('CEMI Raw'!$C$6:$C$1018,'CEMI Raw'!$E$6:$E$1018,$A339,'CEMI Raw'!$B$6:$B$1018,2025)</f>
        <v>4</v>
      </c>
      <c r="E339" s="22" t="n">
        <f aca="false">SUMIFS('CEMI Raw'!$D$6:$D$1018,'CEMI Raw'!$E$6:$E$1018,$A339,'CEMI Raw'!$B$6:$B$1018,2025)</f>
        <v>365.6</v>
      </c>
      <c r="F339" s="21" t="n">
        <f aca="false">SUMIFS('CEMI Raw'!$C$6:$C$1018,'CEMI Raw'!$E$6:$E$1018,$A339,'CEMI Raw'!$B$6:$B$1018,2026)</f>
        <v>0</v>
      </c>
      <c r="G339" s="22" t="n">
        <f aca="false">SUMIFS('CEMI Raw'!$D$6:$D$1018,'CEMI Raw'!$E$6:$E$1018,$A339,'CEMI Raw'!$B$6:$B$1018,2026)</f>
        <v>0</v>
      </c>
      <c r="H339" s="21" t="n">
        <f aca="false">SUMIFS('SALES Raw'!$C$6:$C$603,'SALES Raw'!$E$6:$E$603,$A339,'SALES Raw'!$B$6:$B$603,2025)</f>
        <v>0</v>
      </c>
      <c r="I339" s="22" t="n">
        <f aca="false">SUMIFS('SALES Raw'!$D$6:$D$603,'SALES Raw'!$E$6:$E$603,$A339,'SALES Raw'!$B$6:$B$603,2025)</f>
        <v>0</v>
      </c>
      <c r="J339" s="21" t="n">
        <f aca="false">SUMIFS('SALES Raw'!$C$6:$C$603,'SALES Raw'!$E$6:$E$603,$A339,'SALES Raw'!$B$6:$B$603,2026)</f>
        <v>0</v>
      </c>
      <c r="K339" s="22" t="n">
        <f aca="false">SUMIFS('SALES Raw'!$D$6:$D$603,'SALES Raw'!$E$6:$E$603,$A339,'SALES Raw'!$B$6:$B$603,2026)</f>
        <v>0</v>
      </c>
      <c r="L339" s="21" t="n">
        <f aca="false">D339+H339</f>
        <v>4</v>
      </c>
      <c r="M339" s="22" t="n">
        <f aca="false">E339+I339</f>
        <v>365.6</v>
      </c>
      <c r="N339" s="21" t="n">
        <f aca="false">F339+J339</f>
        <v>0</v>
      </c>
      <c r="O339" s="22" t="n">
        <f aca="false">G339+K339</f>
        <v>0</v>
      </c>
    </row>
    <row r="340" customFormat="false" ht="15" hidden="false" customHeight="false" outlineLevel="0" collapsed="false">
      <c r="A340" s="20" t="n">
        <v>4413173</v>
      </c>
      <c r="B340" s="20" t="str">
        <f aca="false">IFERROR(INDEX('Catalog'!$B:$B,MATCH($A340,'Catalog'!$A:$A,0)),"")</f>
        <v>T402 XXL מיצב פיקה</v>
      </c>
      <c r="C340" s="20" t="str">
        <f aca="false">IFERROR(INDEX('TRANS'!$A:$A,MATCH($A340,'TRANS'!$B:$B,0)),"")</f>
        <v/>
      </c>
      <c r="D340" s="21" t="n">
        <f aca="false">SUMIFS('CEMI Raw'!$C$6:$C$1018,'CEMI Raw'!$E$6:$E$1018,$A340,'CEMI Raw'!$B$6:$B$1018,2025)</f>
        <v>1</v>
      </c>
      <c r="E340" s="22" t="n">
        <f aca="false">SUMIFS('CEMI Raw'!$D$6:$D$1018,'CEMI Raw'!$E$6:$E$1018,$A340,'CEMI Raw'!$B$6:$B$1018,2025)</f>
        <v>82</v>
      </c>
      <c r="F340" s="21" t="n">
        <f aca="false">SUMIFS('CEMI Raw'!$C$6:$C$1018,'CEMI Raw'!$E$6:$E$1018,$A340,'CEMI Raw'!$B$6:$B$1018,2026)</f>
        <v>0</v>
      </c>
      <c r="G340" s="22" t="n">
        <f aca="false">SUMIFS('CEMI Raw'!$D$6:$D$1018,'CEMI Raw'!$E$6:$E$1018,$A340,'CEMI Raw'!$B$6:$B$1018,2026)</f>
        <v>0</v>
      </c>
      <c r="H340" s="21" t="n">
        <f aca="false">SUMIFS('SALES Raw'!$C$6:$C$603,'SALES Raw'!$E$6:$E$603,$A340,'SALES Raw'!$B$6:$B$603,2025)</f>
        <v>0</v>
      </c>
      <c r="I340" s="22" t="n">
        <f aca="false">SUMIFS('SALES Raw'!$D$6:$D$603,'SALES Raw'!$E$6:$E$603,$A340,'SALES Raw'!$B$6:$B$603,2025)</f>
        <v>0</v>
      </c>
      <c r="J340" s="21" t="n">
        <f aca="false">SUMIFS('SALES Raw'!$C$6:$C$603,'SALES Raw'!$E$6:$E$603,$A340,'SALES Raw'!$B$6:$B$603,2026)</f>
        <v>0</v>
      </c>
      <c r="K340" s="22" t="n">
        <f aca="false">SUMIFS('SALES Raw'!$D$6:$D$603,'SALES Raw'!$E$6:$E$603,$A340,'SALES Raw'!$B$6:$B$603,2026)</f>
        <v>0</v>
      </c>
      <c r="L340" s="21" t="n">
        <f aca="false">D340+H340</f>
        <v>1</v>
      </c>
      <c r="M340" s="22" t="n">
        <f aca="false">E340+I340</f>
        <v>82</v>
      </c>
      <c r="N340" s="21" t="n">
        <f aca="false">F340+J340</f>
        <v>0</v>
      </c>
      <c r="O340" s="22" t="n">
        <f aca="false">G340+K340</f>
        <v>0</v>
      </c>
    </row>
    <row r="341" customFormat="false" ht="15" hidden="false" customHeight="false" outlineLevel="0" collapsed="false">
      <c r="A341" s="20" t="n">
        <v>4413174</v>
      </c>
      <c r="B341" s="20" t="str">
        <f aca="false">IFERROR(INDEX('Catalog'!$B:$B,MATCH($A341,'Catalog'!$A:$A,0)),"")</f>
        <v>85+ Sמתלה ליד)כיס(+רצועת חיזוק</v>
      </c>
      <c r="C341" s="20" t="str">
        <f aca="false">IFERROR(INDEX('TRANS'!$A:$A,MATCH($A341,'TRANS'!$B:$B,0)),"")</f>
        <v/>
      </c>
      <c r="D341" s="21" t="n">
        <f aca="false">SUMIFS('CEMI Raw'!$C$6:$C$1018,'CEMI Raw'!$E$6:$E$1018,$A341,'CEMI Raw'!$B$6:$B$1018,2025)</f>
        <v>1</v>
      </c>
      <c r="E341" s="22" t="n">
        <f aca="false">SUMIFS('CEMI Raw'!$D$6:$D$1018,'CEMI Raw'!$E$6:$E$1018,$A341,'CEMI Raw'!$B$6:$B$1018,2025)</f>
        <v>94.5</v>
      </c>
      <c r="F341" s="21" t="n">
        <f aca="false">SUMIFS('CEMI Raw'!$C$6:$C$1018,'CEMI Raw'!$E$6:$E$1018,$A341,'CEMI Raw'!$B$6:$B$1018,2026)</f>
        <v>0</v>
      </c>
      <c r="G341" s="22" t="n">
        <f aca="false">SUMIFS('CEMI Raw'!$D$6:$D$1018,'CEMI Raw'!$E$6:$E$1018,$A341,'CEMI Raw'!$B$6:$B$1018,2026)</f>
        <v>0</v>
      </c>
      <c r="H341" s="21" t="n">
        <f aca="false">SUMIFS('SALES Raw'!$C$6:$C$603,'SALES Raw'!$E$6:$E$603,$A341,'SALES Raw'!$B$6:$B$603,2025)</f>
        <v>0</v>
      </c>
      <c r="I341" s="22" t="n">
        <f aca="false">SUMIFS('SALES Raw'!$D$6:$D$603,'SALES Raw'!$E$6:$E$603,$A341,'SALES Raw'!$B$6:$B$603,2025)</f>
        <v>0</v>
      </c>
      <c r="J341" s="21" t="n">
        <f aca="false">SUMIFS('SALES Raw'!$C$6:$C$603,'SALES Raw'!$E$6:$E$603,$A341,'SALES Raw'!$B$6:$B$603,2026)</f>
        <v>0</v>
      </c>
      <c r="K341" s="22" t="n">
        <f aca="false">SUMIFS('SALES Raw'!$D$6:$D$603,'SALES Raw'!$E$6:$E$603,$A341,'SALES Raw'!$B$6:$B$603,2026)</f>
        <v>0</v>
      </c>
      <c r="L341" s="21" t="n">
        <f aca="false">D341+H341</f>
        <v>1</v>
      </c>
      <c r="M341" s="22" t="n">
        <f aca="false">E341+I341</f>
        <v>94.5</v>
      </c>
      <c r="N341" s="21" t="n">
        <f aca="false">F341+J341</f>
        <v>0</v>
      </c>
      <c r="O341" s="22" t="n">
        <f aca="false">G341+K341</f>
        <v>0</v>
      </c>
    </row>
    <row r="342" customFormat="false" ht="15" hidden="false" customHeight="false" outlineLevel="0" collapsed="false">
      <c r="A342" s="20" t="n">
        <v>4413175</v>
      </c>
      <c r="B342" s="20" t="str">
        <f aca="false">IFERROR(INDEX('Catalog'!$B:$B,MATCH($A342,'Catalog'!$A:$A,0)),"")</f>
        <v>85+ Mמתלה ליד)כיס(+רצועת חיזוק</v>
      </c>
      <c r="C342" s="20" t="str">
        <f aca="false">IFERROR(INDEX('TRANS'!$A:$A,MATCH($A342,'TRANS'!$B:$B,0)),"")</f>
        <v>85+ M</v>
      </c>
      <c r="D342" s="21" t="n">
        <f aca="false">SUMIFS('CEMI Raw'!$C$6:$C$1018,'CEMI Raw'!$E$6:$E$1018,$A342,'CEMI Raw'!$B$6:$B$1018,2025)</f>
        <v>2</v>
      </c>
      <c r="E342" s="22" t="n">
        <f aca="false">SUMIFS('CEMI Raw'!$D$6:$D$1018,'CEMI Raw'!$E$6:$E$1018,$A342,'CEMI Raw'!$B$6:$B$1018,2025)</f>
        <v>189.1</v>
      </c>
      <c r="F342" s="21" t="n">
        <f aca="false">SUMIFS('CEMI Raw'!$C$6:$C$1018,'CEMI Raw'!$E$6:$E$1018,$A342,'CEMI Raw'!$B$6:$B$1018,2026)</f>
        <v>1</v>
      </c>
      <c r="G342" s="22" t="n">
        <f aca="false">SUMIFS('CEMI Raw'!$D$6:$D$1018,'CEMI Raw'!$E$6:$E$1018,$A342,'CEMI Raw'!$B$6:$B$1018,2026)</f>
        <v>94.6</v>
      </c>
      <c r="H342" s="21" t="n">
        <f aca="false">SUMIFS('SALES Raw'!$C$6:$C$603,'SALES Raw'!$E$6:$E$603,$A342,'SALES Raw'!$B$6:$B$603,2025)</f>
        <v>0</v>
      </c>
      <c r="I342" s="22" t="n">
        <f aca="false">SUMIFS('SALES Raw'!$D$6:$D$603,'SALES Raw'!$E$6:$E$603,$A342,'SALES Raw'!$B$6:$B$603,2025)</f>
        <v>0</v>
      </c>
      <c r="J342" s="21" t="n">
        <f aca="false">SUMIFS('SALES Raw'!$C$6:$C$603,'SALES Raw'!$E$6:$E$603,$A342,'SALES Raw'!$B$6:$B$603,2026)</f>
        <v>0</v>
      </c>
      <c r="K342" s="22" t="n">
        <f aca="false">SUMIFS('SALES Raw'!$D$6:$D$603,'SALES Raw'!$E$6:$E$603,$A342,'SALES Raw'!$B$6:$B$603,2026)</f>
        <v>0</v>
      </c>
      <c r="L342" s="21" t="n">
        <f aca="false">D342+H342</f>
        <v>2</v>
      </c>
      <c r="M342" s="22" t="n">
        <f aca="false">E342+I342</f>
        <v>189.1</v>
      </c>
      <c r="N342" s="21" t="n">
        <f aca="false">F342+J342</f>
        <v>1</v>
      </c>
      <c r="O342" s="22" t="n">
        <f aca="false">G342+K342</f>
        <v>94.6</v>
      </c>
    </row>
    <row r="343" customFormat="false" ht="15" hidden="false" customHeight="false" outlineLevel="0" collapsed="false">
      <c r="A343" s="20" t="n">
        <v>4413176</v>
      </c>
      <c r="B343" s="20" t="str">
        <f aca="false">IFERROR(INDEX('Catalog'!$B:$B,MATCH($A343,'Catalog'!$A:$A,0)),"")</f>
        <v>85+ Lמתלה ליד)כיס(+רצועת חיזוק</v>
      </c>
      <c r="C343" s="20" t="str">
        <f aca="false">IFERROR(INDEX('TRANS'!$A:$A,MATCH($A343,'TRANS'!$B:$B,0)),"")</f>
        <v>85+ L</v>
      </c>
      <c r="D343" s="21" t="n">
        <f aca="false">SUMIFS('CEMI Raw'!$C$6:$C$1018,'CEMI Raw'!$E$6:$E$1018,$A343,'CEMI Raw'!$B$6:$B$1018,2025)</f>
        <v>3</v>
      </c>
      <c r="E343" s="22" t="n">
        <f aca="false">SUMIFS('CEMI Raw'!$D$6:$D$1018,'CEMI Raw'!$E$6:$E$1018,$A343,'CEMI Raw'!$B$6:$B$1018,2025)</f>
        <v>283.8</v>
      </c>
      <c r="F343" s="21" t="n">
        <f aca="false">SUMIFS('CEMI Raw'!$C$6:$C$1018,'CEMI Raw'!$E$6:$E$1018,$A343,'CEMI Raw'!$B$6:$B$1018,2026)</f>
        <v>1</v>
      </c>
      <c r="G343" s="22" t="n">
        <f aca="false">SUMIFS('CEMI Raw'!$D$6:$D$1018,'CEMI Raw'!$E$6:$E$1018,$A343,'CEMI Raw'!$B$6:$B$1018,2026)</f>
        <v>94.6</v>
      </c>
      <c r="H343" s="21" t="n">
        <f aca="false">SUMIFS('SALES Raw'!$C$6:$C$603,'SALES Raw'!$E$6:$E$603,$A343,'SALES Raw'!$B$6:$B$603,2025)</f>
        <v>2</v>
      </c>
      <c r="I343" s="22" t="n">
        <f aca="false">SUMIFS('SALES Raw'!$D$6:$D$603,'SALES Raw'!$E$6:$E$603,$A343,'SALES Raw'!$B$6:$B$603,2025)</f>
        <v>140.01</v>
      </c>
      <c r="J343" s="21" t="n">
        <f aca="false">SUMIFS('SALES Raw'!$C$6:$C$603,'SALES Raw'!$E$6:$E$603,$A343,'SALES Raw'!$B$6:$B$603,2026)</f>
        <v>0</v>
      </c>
      <c r="K343" s="22" t="n">
        <f aca="false">SUMIFS('SALES Raw'!$D$6:$D$603,'SALES Raw'!$E$6:$E$603,$A343,'SALES Raw'!$B$6:$B$603,2026)</f>
        <v>0</v>
      </c>
      <c r="L343" s="21" t="n">
        <f aca="false">D343+H343</f>
        <v>5</v>
      </c>
      <c r="M343" s="22" t="n">
        <f aca="false">E343+I343</f>
        <v>423.81</v>
      </c>
      <c r="N343" s="21" t="n">
        <f aca="false">F343+J343</f>
        <v>1</v>
      </c>
      <c r="O343" s="22" t="n">
        <f aca="false">G343+K343</f>
        <v>94.6</v>
      </c>
    </row>
    <row r="344" customFormat="false" ht="15" hidden="false" customHeight="false" outlineLevel="0" collapsed="false">
      <c r="A344" s="20" t="n">
        <v>4413177</v>
      </c>
      <c r="B344" s="20" t="str">
        <f aca="false">IFERROR(INDEX('Catalog'!$B:$B,MATCH($A344,'Catalog'!$A:$A,0)),"")</f>
        <v>85+ XLמתלה ליד)כיס(רצועת חיזוק</v>
      </c>
      <c r="C344" s="20" t="str">
        <f aca="false">IFERROR(INDEX('TRANS'!$A:$A,MATCH($A344,'TRANS'!$B:$B,0)),"")</f>
        <v>85+ XL</v>
      </c>
      <c r="D344" s="21" t="n">
        <f aca="false">SUMIFS('CEMI Raw'!$C$6:$C$1018,'CEMI Raw'!$E$6:$E$1018,$A344,'CEMI Raw'!$B$6:$B$1018,2025)</f>
        <v>1</v>
      </c>
      <c r="E344" s="22" t="n">
        <f aca="false">SUMIFS('CEMI Raw'!$D$6:$D$1018,'CEMI Raw'!$E$6:$E$1018,$A344,'CEMI Raw'!$B$6:$B$1018,2025)</f>
        <v>94.6</v>
      </c>
      <c r="F344" s="21" t="n">
        <f aca="false">SUMIFS('CEMI Raw'!$C$6:$C$1018,'CEMI Raw'!$E$6:$E$1018,$A344,'CEMI Raw'!$B$6:$B$1018,2026)</f>
        <v>2</v>
      </c>
      <c r="G344" s="22" t="n">
        <f aca="false">SUMIFS('CEMI Raw'!$D$6:$D$1018,'CEMI Raw'!$E$6:$E$1018,$A344,'CEMI Raw'!$B$6:$B$1018,2026)</f>
        <v>189.3</v>
      </c>
      <c r="H344" s="21" t="n">
        <f aca="false">SUMIFS('SALES Raw'!$C$6:$C$603,'SALES Raw'!$E$6:$E$603,$A344,'SALES Raw'!$B$6:$B$603,2025)</f>
        <v>3</v>
      </c>
      <c r="I344" s="22" t="n">
        <f aca="false">SUMIFS('SALES Raw'!$D$6:$D$603,'SALES Raw'!$E$6:$E$603,$A344,'SALES Raw'!$B$6:$B$603,2025)</f>
        <v>209.99</v>
      </c>
      <c r="J344" s="21" t="n">
        <f aca="false">SUMIFS('SALES Raw'!$C$6:$C$603,'SALES Raw'!$E$6:$E$603,$A344,'SALES Raw'!$B$6:$B$603,2026)</f>
        <v>0</v>
      </c>
      <c r="K344" s="22" t="n">
        <f aca="false">SUMIFS('SALES Raw'!$D$6:$D$603,'SALES Raw'!$E$6:$E$603,$A344,'SALES Raw'!$B$6:$B$603,2026)</f>
        <v>0</v>
      </c>
      <c r="L344" s="21" t="n">
        <f aca="false">D344+H344</f>
        <v>4</v>
      </c>
      <c r="M344" s="22" t="n">
        <f aca="false">E344+I344</f>
        <v>304.59</v>
      </c>
      <c r="N344" s="21" t="n">
        <f aca="false">F344+J344</f>
        <v>2</v>
      </c>
      <c r="O344" s="22" t="n">
        <f aca="false">G344+K344</f>
        <v>189.3</v>
      </c>
    </row>
    <row r="345" customFormat="false" ht="15" hidden="false" customHeight="false" outlineLevel="0" collapsed="false">
      <c r="A345" s="20" t="n">
        <v>4413178</v>
      </c>
      <c r="B345" s="20" t="str">
        <f aca="false">IFERROR(INDEX('Catalog'!$B:$B,MATCH($A345,'Catalog'!$A:$A,0)),"")</f>
        <v>T39 XL מגן שוק</v>
      </c>
      <c r="C345" s="20" t="str">
        <f aca="false">IFERROR(INDEX('TRANS'!$A:$A,MATCH($A345,'TRANS'!$B:$B,0)),"")</f>
        <v/>
      </c>
      <c r="D345" s="21" t="n">
        <f aca="false">SUMIFS('CEMI Raw'!$C$6:$C$1018,'CEMI Raw'!$E$6:$E$1018,$A345,'CEMI Raw'!$B$6:$B$1018,2025)</f>
        <v>1</v>
      </c>
      <c r="E345" s="22" t="n">
        <f aca="false">SUMIFS('CEMI Raw'!$D$6:$D$1018,'CEMI Raw'!$E$6:$E$1018,$A345,'CEMI Raw'!$B$6:$B$1018,2025)</f>
        <v>93.4</v>
      </c>
      <c r="F345" s="21" t="n">
        <f aca="false">SUMIFS('CEMI Raw'!$C$6:$C$1018,'CEMI Raw'!$E$6:$E$1018,$A345,'CEMI Raw'!$B$6:$B$1018,2026)</f>
        <v>0</v>
      </c>
      <c r="G345" s="22" t="n">
        <f aca="false">SUMIFS('CEMI Raw'!$D$6:$D$1018,'CEMI Raw'!$E$6:$E$1018,$A345,'CEMI Raw'!$B$6:$B$1018,2026)</f>
        <v>0</v>
      </c>
      <c r="H345" s="21" t="n">
        <f aca="false">SUMIFS('SALES Raw'!$C$6:$C$603,'SALES Raw'!$E$6:$E$603,$A345,'SALES Raw'!$B$6:$B$603,2025)</f>
        <v>0</v>
      </c>
      <c r="I345" s="22" t="n">
        <f aca="false">SUMIFS('SALES Raw'!$D$6:$D$603,'SALES Raw'!$E$6:$E$603,$A345,'SALES Raw'!$B$6:$B$603,2025)</f>
        <v>0</v>
      </c>
      <c r="J345" s="21" t="n">
        <f aca="false">SUMIFS('SALES Raw'!$C$6:$C$603,'SALES Raw'!$E$6:$E$603,$A345,'SALES Raw'!$B$6:$B$603,2026)</f>
        <v>0</v>
      </c>
      <c r="K345" s="22" t="n">
        <f aca="false">SUMIFS('SALES Raw'!$D$6:$D$603,'SALES Raw'!$E$6:$E$603,$A345,'SALES Raw'!$B$6:$B$603,2026)</f>
        <v>0</v>
      </c>
      <c r="L345" s="21" t="n">
        <f aca="false">D345+H345</f>
        <v>1</v>
      </c>
      <c r="M345" s="22" t="n">
        <f aca="false">E345+I345</f>
        <v>93.4</v>
      </c>
      <c r="N345" s="21" t="n">
        <f aca="false">F345+J345</f>
        <v>0</v>
      </c>
      <c r="O345" s="22" t="n">
        <f aca="false">G345+K345</f>
        <v>0</v>
      </c>
    </row>
    <row r="346" customFormat="false" ht="15" hidden="false" customHeight="false" outlineLevel="0" collapsed="false">
      <c r="A346" s="20" t="n">
        <v>4413179</v>
      </c>
      <c r="B346" s="20" t="str">
        <f aca="false">IFERROR(INDEX('Catalog'!$B:$B,MATCH($A346,'Catalog'!$A:$A,0)),"")</f>
        <v>T39  M מגן שוק</v>
      </c>
      <c r="C346" s="20" t="str">
        <f aca="false">IFERROR(INDEX('TRANS'!$A:$A,MATCH($A346,'TRANS'!$B:$B,0)),"")</f>
        <v/>
      </c>
      <c r="D346" s="21" t="n">
        <f aca="false">SUMIFS('CEMI Raw'!$C$6:$C$1018,'CEMI Raw'!$E$6:$E$1018,$A346,'CEMI Raw'!$B$6:$B$1018,2025)</f>
        <v>4</v>
      </c>
      <c r="E346" s="22" t="n">
        <f aca="false">SUMIFS('CEMI Raw'!$D$6:$D$1018,'CEMI Raw'!$E$6:$E$1018,$A346,'CEMI Raw'!$B$6:$B$1018,2025)</f>
        <v>402.3</v>
      </c>
      <c r="F346" s="21" t="n">
        <f aca="false">SUMIFS('CEMI Raw'!$C$6:$C$1018,'CEMI Raw'!$E$6:$E$1018,$A346,'CEMI Raw'!$B$6:$B$1018,2026)</f>
        <v>0</v>
      </c>
      <c r="G346" s="22" t="n">
        <f aca="false">SUMIFS('CEMI Raw'!$D$6:$D$1018,'CEMI Raw'!$E$6:$E$1018,$A346,'CEMI Raw'!$B$6:$B$1018,2026)</f>
        <v>0</v>
      </c>
      <c r="H346" s="21" t="n">
        <f aca="false">SUMIFS('SALES Raw'!$C$6:$C$603,'SALES Raw'!$E$6:$E$603,$A346,'SALES Raw'!$B$6:$B$603,2025)</f>
        <v>0</v>
      </c>
      <c r="I346" s="22" t="n">
        <f aca="false">SUMIFS('SALES Raw'!$D$6:$D$603,'SALES Raw'!$E$6:$E$603,$A346,'SALES Raw'!$B$6:$B$603,2025)</f>
        <v>0</v>
      </c>
      <c r="J346" s="21" t="n">
        <f aca="false">SUMIFS('SALES Raw'!$C$6:$C$603,'SALES Raw'!$E$6:$E$603,$A346,'SALES Raw'!$B$6:$B$603,2026)</f>
        <v>0</v>
      </c>
      <c r="K346" s="22" t="n">
        <f aca="false">SUMIFS('SALES Raw'!$D$6:$D$603,'SALES Raw'!$E$6:$E$603,$A346,'SALES Raw'!$B$6:$B$603,2026)</f>
        <v>0</v>
      </c>
      <c r="L346" s="21" t="n">
        <f aca="false">D346+H346</f>
        <v>4</v>
      </c>
      <c r="M346" s="22" t="n">
        <f aca="false">E346+I346</f>
        <v>402.3</v>
      </c>
      <c r="N346" s="21" t="n">
        <f aca="false">F346+J346</f>
        <v>0</v>
      </c>
      <c r="O346" s="22" t="n">
        <f aca="false">G346+K346</f>
        <v>0</v>
      </c>
    </row>
    <row r="347" customFormat="false" ht="15" hidden="false" customHeight="false" outlineLevel="0" collapsed="false">
      <c r="A347" s="20" t="n">
        <v>4413180</v>
      </c>
      <c r="B347" s="20" t="str">
        <f aca="false">IFERROR(INDEX('Catalog'!$B:$B,MATCH($A347,'Catalog'!$A:$A,0)),"")</f>
        <v>T39  S מגן שוק</v>
      </c>
      <c r="C347" s="20" t="str">
        <f aca="false">IFERROR(INDEX('TRANS'!$A:$A,MATCH($A347,'TRANS'!$B:$B,0)),"")</f>
        <v>T39 S</v>
      </c>
      <c r="D347" s="21" t="n">
        <f aca="false">SUMIFS('CEMI Raw'!$C$6:$C$1018,'CEMI Raw'!$E$6:$E$1018,$A347,'CEMI Raw'!$B$6:$B$1018,2025)</f>
        <v>0</v>
      </c>
      <c r="E347" s="22" t="n">
        <f aca="false">SUMIFS('CEMI Raw'!$D$6:$D$1018,'CEMI Raw'!$E$6:$E$1018,$A347,'CEMI Raw'!$B$6:$B$1018,2025)</f>
        <v>0</v>
      </c>
      <c r="F347" s="21" t="n">
        <f aca="false">SUMIFS('CEMI Raw'!$C$6:$C$1018,'CEMI Raw'!$E$6:$E$1018,$A347,'CEMI Raw'!$B$6:$B$1018,2026)</f>
        <v>0</v>
      </c>
      <c r="G347" s="22" t="n">
        <f aca="false">SUMIFS('CEMI Raw'!$D$6:$D$1018,'CEMI Raw'!$E$6:$E$1018,$A347,'CEMI Raw'!$B$6:$B$1018,2026)</f>
        <v>0</v>
      </c>
      <c r="H347" s="21" t="n">
        <f aca="false">SUMIFS('SALES Raw'!$C$6:$C$603,'SALES Raw'!$E$6:$E$603,$A347,'SALES Raw'!$B$6:$B$603,2025)</f>
        <v>2</v>
      </c>
      <c r="I347" s="22" t="n">
        <f aca="false">SUMIFS('SALES Raw'!$D$6:$D$603,'SALES Raw'!$E$6:$E$603,$A347,'SALES Raw'!$B$6:$B$603,2025)</f>
        <v>207.91</v>
      </c>
      <c r="J347" s="21" t="n">
        <f aca="false">SUMIFS('SALES Raw'!$C$6:$C$603,'SALES Raw'!$E$6:$E$603,$A347,'SALES Raw'!$B$6:$B$603,2026)</f>
        <v>0</v>
      </c>
      <c r="K347" s="22" t="n">
        <f aca="false">SUMIFS('SALES Raw'!$D$6:$D$603,'SALES Raw'!$E$6:$E$603,$A347,'SALES Raw'!$B$6:$B$603,2026)</f>
        <v>0</v>
      </c>
      <c r="L347" s="21" t="n">
        <f aca="false">D347+H347</f>
        <v>2</v>
      </c>
      <c r="M347" s="22" t="n">
        <f aca="false">E347+I347</f>
        <v>207.91</v>
      </c>
      <c r="N347" s="21" t="n">
        <f aca="false">F347+J347</f>
        <v>0</v>
      </c>
      <c r="O347" s="22" t="n">
        <f aca="false">G347+K347</f>
        <v>0</v>
      </c>
    </row>
    <row r="348" customFormat="false" ht="15" hidden="false" customHeight="false" outlineLevel="0" collapsed="false">
      <c r="A348" s="20" t="n">
        <v>4413181</v>
      </c>
      <c r="B348" s="20" t="str">
        <f aca="false">IFERROR(INDEX('Catalog'!$B:$B,MATCH($A348,'Catalog'!$A:$A,0)),"")</f>
        <v>T39  L מגן שוק</v>
      </c>
      <c r="C348" s="20" t="str">
        <f aca="false">IFERROR(INDEX('TRANS'!$A:$A,MATCH($A348,'TRANS'!$B:$B,0)),"")</f>
        <v/>
      </c>
      <c r="D348" s="21" t="n">
        <f aca="false">SUMIFS('CEMI Raw'!$C$6:$C$1018,'CEMI Raw'!$E$6:$E$1018,$A348,'CEMI Raw'!$B$6:$B$1018,2025)</f>
        <v>3</v>
      </c>
      <c r="E348" s="22" t="n">
        <f aca="false">SUMIFS('CEMI Raw'!$D$6:$D$1018,'CEMI Raw'!$E$6:$E$1018,$A348,'CEMI Raw'!$B$6:$B$1018,2025)</f>
        <v>308.9</v>
      </c>
      <c r="F348" s="21" t="n">
        <f aca="false">SUMIFS('CEMI Raw'!$C$6:$C$1018,'CEMI Raw'!$E$6:$E$1018,$A348,'CEMI Raw'!$B$6:$B$1018,2026)</f>
        <v>0</v>
      </c>
      <c r="G348" s="22" t="n">
        <f aca="false">SUMIFS('CEMI Raw'!$D$6:$D$1018,'CEMI Raw'!$E$6:$E$1018,$A348,'CEMI Raw'!$B$6:$B$1018,2026)</f>
        <v>0</v>
      </c>
      <c r="H348" s="21" t="n">
        <f aca="false">SUMIFS('SALES Raw'!$C$6:$C$603,'SALES Raw'!$E$6:$E$603,$A348,'SALES Raw'!$B$6:$B$603,2025)</f>
        <v>0</v>
      </c>
      <c r="I348" s="22" t="n">
        <f aca="false">SUMIFS('SALES Raw'!$D$6:$D$603,'SALES Raw'!$E$6:$E$603,$A348,'SALES Raw'!$B$6:$B$603,2025)</f>
        <v>0</v>
      </c>
      <c r="J348" s="21" t="n">
        <f aca="false">SUMIFS('SALES Raw'!$C$6:$C$603,'SALES Raw'!$E$6:$E$603,$A348,'SALES Raw'!$B$6:$B$603,2026)</f>
        <v>0</v>
      </c>
      <c r="K348" s="22" t="n">
        <f aca="false">SUMIFS('SALES Raw'!$D$6:$D$603,'SALES Raw'!$E$6:$E$603,$A348,'SALES Raw'!$B$6:$B$603,2026)</f>
        <v>0</v>
      </c>
      <c r="L348" s="21" t="n">
        <f aca="false">D348+H348</f>
        <v>3</v>
      </c>
      <c r="M348" s="22" t="n">
        <f aca="false">E348+I348</f>
        <v>308.9</v>
      </c>
      <c r="N348" s="21" t="n">
        <f aca="false">F348+J348</f>
        <v>0</v>
      </c>
      <c r="O348" s="22" t="n">
        <f aca="false">G348+K348</f>
        <v>0</v>
      </c>
    </row>
    <row r="349" customFormat="false" ht="15" hidden="false" customHeight="false" outlineLevel="0" collapsed="false">
      <c r="A349" s="20" t="n">
        <v>4413183</v>
      </c>
      <c r="B349" s="20" t="str">
        <f aca="false">IFERROR(INDEX('Catalog'!$B:$B,MATCH($A349,'Catalog'!$A:$A,0)),"")</f>
        <v>T 45 M מגן ברך רגיל</v>
      </c>
      <c r="C349" s="20" t="str">
        <f aca="false">IFERROR(INDEX('TRANS'!$A:$A,MATCH($A349,'TRANS'!$B:$B,0)),"")</f>
        <v>T45 M</v>
      </c>
      <c r="D349" s="21" t="n">
        <f aca="false">SUMIFS('CEMI Raw'!$C$6:$C$1018,'CEMI Raw'!$E$6:$E$1018,$A349,'CEMI Raw'!$B$6:$B$1018,2025)</f>
        <v>1</v>
      </c>
      <c r="E349" s="22" t="n">
        <f aca="false">SUMIFS('CEMI Raw'!$D$6:$D$1018,'CEMI Raw'!$E$6:$E$1018,$A349,'CEMI Raw'!$B$6:$B$1018,2025)</f>
        <v>104</v>
      </c>
      <c r="F349" s="21" t="n">
        <f aca="false">SUMIFS('CEMI Raw'!$C$6:$C$1018,'CEMI Raw'!$E$6:$E$1018,$A349,'CEMI Raw'!$B$6:$B$1018,2026)</f>
        <v>2</v>
      </c>
      <c r="G349" s="22" t="n">
        <f aca="false">SUMIFS('CEMI Raw'!$D$6:$D$1018,'CEMI Raw'!$E$6:$E$1018,$A349,'CEMI Raw'!$B$6:$B$1018,2026)</f>
        <v>210.8</v>
      </c>
      <c r="H349" s="21" t="n">
        <f aca="false">SUMIFS('SALES Raw'!$C$6:$C$603,'SALES Raw'!$E$6:$E$603,$A349,'SALES Raw'!$B$6:$B$603,2025)</f>
        <v>0</v>
      </c>
      <c r="I349" s="22" t="n">
        <f aca="false">SUMIFS('SALES Raw'!$D$6:$D$603,'SALES Raw'!$E$6:$E$603,$A349,'SALES Raw'!$B$6:$B$603,2025)</f>
        <v>0</v>
      </c>
      <c r="J349" s="21" t="n">
        <f aca="false">SUMIFS('SALES Raw'!$C$6:$C$603,'SALES Raw'!$E$6:$E$603,$A349,'SALES Raw'!$B$6:$B$603,2026)</f>
        <v>0</v>
      </c>
      <c r="K349" s="22" t="n">
        <f aca="false">SUMIFS('SALES Raw'!$D$6:$D$603,'SALES Raw'!$E$6:$E$603,$A349,'SALES Raw'!$B$6:$B$603,2026)</f>
        <v>0</v>
      </c>
      <c r="L349" s="21" t="n">
        <f aca="false">D349+H349</f>
        <v>1</v>
      </c>
      <c r="M349" s="22" t="n">
        <f aca="false">E349+I349</f>
        <v>104</v>
      </c>
      <c r="N349" s="21" t="n">
        <f aca="false">F349+J349</f>
        <v>2</v>
      </c>
      <c r="O349" s="22" t="n">
        <f aca="false">G349+K349</f>
        <v>210.8</v>
      </c>
    </row>
    <row r="350" customFormat="false" ht="15" hidden="false" customHeight="false" outlineLevel="0" collapsed="false">
      <c r="A350" s="20" t="n">
        <v>4413184</v>
      </c>
      <c r="B350" s="20" t="str">
        <f aca="false">IFERROR(INDEX('Catalog'!$B:$B,MATCH($A350,'Catalog'!$A:$A,0)),"")</f>
        <v>T 45 L מגן ברך רגיל</v>
      </c>
      <c r="C350" s="20" t="str">
        <f aca="false">IFERROR(INDEX('TRANS'!$A:$A,MATCH($A350,'TRANS'!$B:$B,0)),"")</f>
        <v>T45 L</v>
      </c>
      <c r="D350" s="21" t="n">
        <f aca="false">SUMIFS('CEMI Raw'!$C$6:$C$1018,'CEMI Raw'!$E$6:$E$1018,$A350,'CEMI Raw'!$B$6:$B$1018,2025)</f>
        <v>4</v>
      </c>
      <c r="E350" s="22" t="n">
        <f aca="false">SUMIFS('CEMI Raw'!$D$6:$D$1018,'CEMI Raw'!$E$6:$E$1018,$A350,'CEMI Raw'!$B$6:$B$1018,2025)</f>
        <v>417.5</v>
      </c>
      <c r="F350" s="21" t="n">
        <f aca="false">SUMIFS('CEMI Raw'!$C$6:$C$1018,'CEMI Raw'!$E$6:$E$1018,$A350,'CEMI Raw'!$B$6:$B$1018,2026)</f>
        <v>1</v>
      </c>
      <c r="G350" s="22" t="n">
        <f aca="false">SUMIFS('CEMI Raw'!$D$6:$D$1018,'CEMI Raw'!$E$6:$E$1018,$A350,'CEMI Raw'!$B$6:$B$1018,2026)</f>
        <v>105.4</v>
      </c>
      <c r="H350" s="21" t="n">
        <f aca="false">SUMIFS('SALES Raw'!$C$6:$C$603,'SALES Raw'!$E$6:$E$603,$A350,'SALES Raw'!$B$6:$B$603,2025)</f>
        <v>1</v>
      </c>
      <c r="I350" s="22" t="n">
        <f aca="false">SUMIFS('SALES Raw'!$D$6:$D$603,'SALES Raw'!$E$6:$E$603,$A350,'SALES Raw'!$B$6:$B$603,2025)</f>
        <v>105.42</v>
      </c>
      <c r="J350" s="21" t="n">
        <f aca="false">SUMIFS('SALES Raw'!$C$6:$C$603,'SALES Raw'!$E$6:$E$603,$A350,'SALES Raw'!$B$6:$B$603,2026)</f>
        <v>0</v>
      </c>
      <c r="K350" s="22" t="n">
        <f aca="false">SUMIFS('SALES Raw'!$D$6:$D$603,'SALES Raw'!$E$6:$E$603,$A350,'SALES Raw'!$B$6:$B$603,2026)</f>
        <v>0</v>
      </c>
      <c r="L350" s="21" t="n">
        <f aca="false">D350+H350</f>
        <v>5</v>
      </c>
      <c r="M350" s="22" t="n">
        <f aca="false">E350+I350</f>
        <v>522.92</v>
      </c>
      <c r="N350" s="21" t="n">
        <f aca="false">F350+J350</f>
        <v>1</v>
      </c>
      <c r="O350" s="22" t="n">
        <f aca="false">G350+K350</f>
        <v>105.4</v>
      </c>
    </row>
    <row r="351" customFormat="false" ht="15" hidden="false" customHeight="false" outlineLevel="0" collapsed="false">
      <c r="A351" s="20" t="n">
        <v>4413185</v>
      </c>
      <c r="B351" s="20" t="str">
        <f aca="false">IFERROR(INDEX('Catalog'!$B:$B,MATCH($A351,'Catalog'!$A:$A,0)),"")</f>
        <v>T 45XL מגן ברך רגיל</v>
      </c>
      <c r="C351" s="20" t="str">
        <f aca="false">IFERROR(INDEX('TRANS'!$A:$A,MATCH($A351,'TRANS'!$B:$B,0)),"")</f>
        <v>T45 XL</v>
      </c>
      <c r="D351" s="21" t="n">
        <f aca="false">SUMIFS('CEMI Raw'!$C$6:$C$1018,'CEMI Raw'!$E$6:$E$1018,$A351,'CEMI Raw'!$B$6:$B$1018,2025)</f>
        <v>5</v>
      </c>
      <c r="E351" s="22" t="n">
        <f aca="false">SUMIFS('CEMI Raw'!$D$6:$D$1018,'CEMI Raw'!$E$6:$E$1018,$A351,'CEMI Raw'!$B$6:$B$1018,2025)</f>
        <v>525.6</v>
      </c>
      <c r="F351" s="21" t="n">
        <f aca="false">SUMIFS('CEMI Raw'!$C$6:$C$1018,'CEMI Raw'!$E$6:$E$1018,$A351,'CEMI Raw'!$B$6:$B$1018,2026)</f>
        <v>2</v>
      </c>
      <c r="G351" s="22" t="n">
        <f aca="false">SUMIFS('CEMI Raw'!$D$6:$D$1018,'CEMI Raw'!$E$6:$E$1018,$A351,'CEMI Raw'!$B$6:$B$1018,2026)</f>
        <v>210.8</v>
      </c>
      <c r="H351" s="21" t="n">
        <f aca="false">SUMIFS('SALES Raw'!$C$6:$C$603,'SALES Raw'!$E$6:$E$603,$A351,'SALES Raw'!$B$6:$B$603,2025)</f>
        <v>0</v>
      </c>
      <c r="I351" s="22" t="n">
        <f aca="false">SUMIFS('SALES Raw'!$D$6:$D$603,'SALES Raw'!$E$6:$E$603,$A351,'SALES Raw'!$B$6:$B$603,2025)</f>
        <v>0</v>
      </c>
      <c r="J351" s="21" t="n">
        <f aca="false">SUMIFS('SALES Raw'!$C$6:$C$603,'SALES Raw'!$E$6:$E$603,$A351,'SALES Raw'!$B$6:$B$603,2026)</f>
        <v>0</v>
      </c>
      <c r="K351" s="22" t="n">
        <f aca="false">SUMIFS('SALES Raw'!$D$6:$D$603,'SALES Raw'!$E$6:$E$603,$A351,'SALES Raw'!$B$6:$B$603,2026)</f>
        <v>0</v>
      </c>
      <c r="L351" s="21" t="n">
        <f aca="false">D351+H351</f>
        <v>5</v>
      </c>
      <c r="M351" s="22" t="n">
        <f aca="false">E351+I351</f>
        <v>525.6</v>
      </c>
      <c r="N351" s="21" t="n">
        <f aca="false">F351+J351</f>
        <v>2</v>
      </c>
      <c r="O351" s="22" t="n">
        <f aca="false">G351+K351</f>
        <v>210.8</v>
      </c>
    </row>
    <row r="352" customFormat="false" ht="15" hidden="false" customHeight="false" outlineLevel="0" collapsed="false">
      <c r="A352" s="20" t="n">
        <v>4413195</v>
      </c>
      <c r="B352" s="20" t="str">
        <f aca="false">IFERROR(INDEX('Catalog'!$B:$B,MATCH($A352,'Catalog'!$A:$A,0)),"")</f>
        <v>87 S מקבע כתף ויד</v>
      </c>
      <c r="C352" s="20" t="str">
        <f aca="false">IFERROR(INDEX('TRANS'!$A:$A,MATCH($A352,'TRANS'!$B:$B,0)),"")</f>
        <v>87 S</v>
      </c>
      <c r="D352" s="21" t="n">
        <f aca="false">SUMIFS('CEMI Raw'!$C$6:$C$1018,'CEMI Raw'!$E$6:$E$1018,$A352,'CEMI Raw'!$B$6:$B$1018,2025)</f>
        <v>5</v>
      </c>
      <c r="E352" s="22" t="n">
        <f aca="false">SUMIFS('CEMI Raw'!$D$6:$D$1018,'CEMI Raw'!$E$6:$E$1018,$A352,'CEMI Raw'!$B$6:$B$1018,2025)</f>
        <v>957.4</v>
      </c>
      <c r="F352" s="21" t="n">
        <f aca="false">SUMIFS('CEMI Raw'!$C$6:$C$1018,'CEMI Raw'!$E$6:$E$1018,$A352,'CEMI Raw'!$B$6:$B$1018,2026)</f>
        <v>4</v>
      </c>
      <c r="G352" s="22" t="n">
        <f aca="false">SUMIFS('CEMI Raw'!$D$6:$D$1018,'CEMI Raw'!$E$6:$E$1018,$A352,'CEMI Raw'!$B$6:$B$1018,2026)</f>
        <v>806</v>
      </c>
      <c r="H352" s="21" t="n">
        <f aca="false">SUMIFS('SALES Raw'!$C$6:$C$603,'SALES Raw'!$E$6:$E$603,$A352,'SALES Raw'!$B$6:$B$603,2025)</f>
        <v>1</v>
      </c>
      <c r="I352" s="22" t="n">
        <f aca="false">SUMIFS('SALES Raw'!$D$6:$D$603,'SALES Raw'!$E$6:$E$603,$A352,'SALES Raw'!$B$6:$B$603,2025)</f>
        <v>127</v>
      </c>
      <c r="J352" s="21" t="n">
        <f aca="false">SUMIFS('SALES Raw'!$C$6:$C$603,'SALES Raw'!$E$6:$E$603,$A352,'SALES Raw'!$B$6:$B$603,2026)</f>
        <v>1</v>
      </c>
      <c r="K352" s="22" t="n">
        <f aca="false">SUMIFS('SALES Raw'!$D$6:$D$603,'SALES Raw'!$E$6:$E$603,$A352,'SALES Raw'!$B$6:$B$603,2026)</f>
        <v>140</v>
      </c>
      <c r="L352" s="21" t="n">
        <f aca="false">D352+H352</f>
        <v>6</v>
      </c>
      <c r="M352" s="22" t="n">
        <f aca="false">E352+I352</f>
        <v>1084.4</v>
      </c>
      <c r="N352" s="21" t="n">
        <f aca="false">F352+J352</f>
        <v>5</v>
      </c>
      <c r="O352" s="22" t="n">
        <f aca="false">G352+K352</f>
        <v>946</v>
      </c>
    </row>
    <row r="353" customFormat="false" ht="15" hidden="false" customHeight="false" outlineLevel="0" collapsed="false">
      <c r="A353" s="20" t="n">
        <v>4413196</v>
      </c>
      <c r="B353" s="20" t="str">
        <f aca="false">IFERROR(INDEX('Catalog'!$B:$B,MATCH($A353,'Catalog'!$A:$A,0)),"")</f>
        <v>87 M מקבע כתף ויד</v>
      </c>
      <c r="C353" s="20" t="str">
        <f aca="false">IFERROR(INDEX('TRANS'!$A:$A,MATCH($A353,'TRANS'!$B:$B,0)),"")</f>
        <v>87 M</v>
      </c>
      <c r="D353" s="21" t="n">
        <f aca="false">SUMIFS('CEMI Raw'!$C$6:$C$1018,'CEMI Raw'!$E$6:$E$1018,$A353,'CEMI Raw'!$B$6:$B$1018,2025)</f>
        <v>14</v>
      </c>
      <c r="E353" s="22" t="n">
        <f aca="false">SUMIFS('CEMI Raw'!$D$6:$D$1018,'CEMI Raw'!$E$6:$E$1018,$A353,'CEMI Raw'!$B$6:$B$1018,2025)</f>
        <v>2744.1</v>
      </c>
      <c r="F353" s="21" t="n">
        <f aca="false">SUMIFS('CEMI Raw'!$C$6:$C$1018,'CEMI Raw'!$E$6:$E$1018,$A353,'CEMI Raw'!$B$6:$B$1018,2026)</f>
        <v>11</v>
      </c>
      <c r="G353" s="22" t="n">
        <f aca="false">SUMIFS('CEMI Raw'!$D$6:$D$1018,'CEMI Raw'!$E$6:$E$1018,$A353,'CEMI Raw'!$B$6:$B$1018,2026)</f>
        <v>2216.5</v>
      </c>
      <c r="H353" s="21" t="n">
        <f aca="false">SUMIFS('SALES Raw'!$C$6:$C$603,'SALES Raw'!$E$6:$E$603,$A353,'SALES Raw'!$B$6:$B$603,2025)</f>
        <v>12</v>
      </c>
      <c r="I353" s="22" t="n">
        <f aca="false">SUMIFS('SALES Raw'!$D$6:$D$603,'SALES Raw'!$E$6:$E$603,$A353,'SALES Raw'!$B$6:$B$603,2025)</f>
        <v>1874.53</v>
      </c>
      <c r="J353" s="21" t="n">
        <f aca="false">SUMIFS('SALES Raw'!$C$6:$C$603,'SALES Raw'!$E$6:$E$603,$A353,'SALES Raw'!$B$6:$B$603,2026)</f>
        <v>2</v>
      </c>
      <c r="K353" s="22" t="n">
        <f aca="false">SUMIFS('SALES Raw'!$D$6:$D$603,'SALES Raw'!$E$6:$E$603,$A353,'SALES Raw'!$B$6:$B$603,2026)</f>
        <v>280.02</v>
      </c>
      <c r="L353" s="21" t="n">
        <f aca="false">D353+H353</f>
        <v>26</v>
      </c>
      <c r="M353" s="22" t="n">
        <f aca="false">E353+I353</f>
        <v>4618.63</v>
      </c>
      <c r="N353" s="21" t="n">
        <f aca="false">F353+J353</f>
        <v>13</v>
      </c>
      <c r="O353" s="22" t="n">
        <f aca="false">G353+K353</f>
        <v>2496.52</v>
      </c>
    </row>
    <row r="354" customFormat="false" ht="15" hidden="false" customHeight="false" outlineLevel="0" collapsed="false">
      <c r="A354" s="20" t="n">
        <v>4413197</v>
      </c>
      <c r="B354" s="20" t="str">
        <f aca="false">IFERROR(INDEX('Catalog'!$B:$B,MATCH($A354,'Catalog'!$A:$A,0)),"")</f>
        <v>87 L מקבע כתף ויד</v>
      </c>
      <c r="C354" s="20" t="str">
        <f aca="false">IFERROR(INDEX('TRANS'!$A:$A,MATCH($A354,'TRANS'!$B:$B,0)),"")</f>
        <v>87 L</v>
      </c>
      <c r="D354" s="21" t="n">
        <f aca="false">SUMIFS('CEMI Raw'!$C$6:$C$1018,'CEMI Raw'!$E$6:$E$1018,$A354,'CEMI Raw'!$B$6:$B$1018,2025)</f>
        <v>27</v>
      </c>
      <c r="E354" s="22" t="n">
        <f aca="false">SUMIFS('CEMI Raw'!$D$6:$D$1018,'CEMI Raw'!$E$6:$E$1018,$A354,'CEMI Raw'!$B$6:$B$1018,2025)</f>
        <v>5337.7</v>
      </c>
      <c r="F354" s="21" t="n">
        <f aca="false">SUMIFS('CEMI Raw'!$C$6:$C$1018,'CEMI Raw'!$E$6:$E$1018,$A354,'CEMI Raw'!$B$6:$B$1018,2026)</f>
        <v>27</v>
      </c>
      <c r="G354" s="22" t="n">
        <f aca="false">SUMIFS('CEMI Raw'!$D$6:$D$1018,'CEMI Raw'!$E$6:$E$1018,$A354,'CEMI Raw'!$B$6:$B$1018,2026)</f>
        <v>5346.4</v>
      </c>
      <c r="H354" s="21" t="n">
        <f aca="false">SUMIFS('SALES Raw'!$C$6:$C$603,'SALES Raw'!$E$6:$E$603,$A354,'SALES Raw'!$B$6:$B$603,2025)</f>
        <v>17</v>
      </c>
      <c r="I354" s="22" t="n">
        <f aca="false">SUMIFS('SALES Raw'!$D$6:$D$603,'SALES Raw'!$E$6:$E$603,$A354,'SALES Raw'!$B$6:$B$603,2025)</f>
        <v>2671.55</v>
      </c>
      <c r="J354" s="21" t="n">
        <f aca="false">SUMIFS('SALES Raw'!$C$6:$C$603,'SALES Raw'!$E$6:$E$603,$A354,'SALES Raw'!$B$6:$B$603,2026)</f>
        <v>11</v>
      </c>
      <c r="K354" s="22" t="n">
        <f aca="false">SUMIFS('SALES Raw'!$D$6:$D$603,'SALES Raw'!$E$6:$E$603,$A354,'SALES Raw'!$B$6:$B$603,2026)</f>
        <v>1601.52</v>
      </c>
      <c r="L354" s="21" t="n">
        <f aca="false">D354+H354</f>
        <v>44</v>
      </c>
      <c r="M354" s="22" t="n">
        <f aca="false">E354+I354</f>
        <v>8009.25</v>
      </c>
      <c r="N354" s="21" t="n">
        <f aca="false">F354+J354</f>
        <v>38</v>
      </c>
      <c r="O354" s="22" t="n">
        <f aca="false">G354+K354</f>
        <v>6947.92</v>
      </c>
    </row>
    <row r="355" customFormat="false" ht="15" hidden="false" customHeight="false" outlineLevel="0" collapsed="false">
      <c r="A355" s="20" t="n">
        <v>4413198</v>
      </c>
      <c r="B355" s="20" t="str">
        <f aca="false">IFERROR(INDEX('Catalog'!$B:$B,MATCH($A355,'Catalog'!$A:$A,0)),"")</f>
        <v>87 XL מקבע כתף ויד</v>
      </c>
      <c r="C355" s="20" t="str">
        <f aca="false">IFERROR(INDEX('TRANS'!$A:$A,MATCH($A355,'TRANS'!$B:$B,0)),"")</f>
        <v>87 XL</v>
      </c>
      <c r="D355" s="21" t="n">
        <f aca="false">SUMIFS('CEMI Raw'!$C$6:$C$1018,'CEMI Raw'!$E$6:$E$1018,$A355,'CEMI Raw'!$B$6:$B$1018,2025)</f>
        <v>18</v>
      </c>
      <c r="E355" s="22" t="n">
        <f aca="false">SUMIFS('CEMI Raw'!$D$6:$D$1018,'CEMI Raw'!$E$6:$E$1018,$A355,'CEMI Raw'!$B$6:$B$1018,2025)</f>
        <v>3457.1</v>
      </c>
      <c r="F355" s="21" t="n">
        <f aca="false">SUMIFS('CEMI Raw'!$C$6:$C$1018,'CEMI Raw'!$E$6:$E$1018,$A355,'CEMI Raw'!$B$6:$B$1018,2026)</f>
        <v>14</v>
      </c>
      <c r="G355" s="22" t="n">
        <f aca="false">SUMIFS('CEMI Raw'!$D$6:$D$1018,'CEMI Raw'!$E$6:$E$1018,$A355,'CEMI Raw'!$B$6:$B$1018,2026)</f>
        <v>2793.2</v>
      </c>
      <c r="H355" s="21" t="n">
        <f aca="false">SUMIFS('SALES Raw'!$C$6:$C$603,'SALES Raw'!$E$6:$E$603,$A355,'SALES Raw'!$B$6:$B$603,2025)</f>
        <v>16</v>
      </c>
      <c r="I355" s="22" t="n">
        <f aca="false">SUMIFS('SALES Raw'!$D$6:$D$603,'SALES Raw'!$E$6:$E$603,$A355,'SALES Raw'!$B$6:$B$603,2025)</f>
        <v>2373.61</v>
      </c>
      <c r="J355" s="21" t="n">
        <f aca="false">SUMIFS('SALES Raw'!$C$6:$C$603,'SALES Raw'!$E$6:$E$603,$A355,'SALES Raw'!$B$6:$B$603,2026)</f>
        <v>11</v>
      </c>
      <c r="K355" s="22" t="n">
        <f aca="false">SUMIFS('SALES Raw'!$D$6:$D$603,'SALES Raw'!$E$6:$E$603,$A355,'SALES Raw'!$B$6:$B$603,2026)</f>
        <v>1724.5</v>
      </c>
      <c r="L355" s="21" t="n">
        <f aca="false">D355+H355</f>
        <v>34</v>
      </c>
      <c r="M355" s="22" t="n">
        <f aca="false">E355+I355</f>
        <v>5830.71</v>
      </c>
      <c r="N355" s="21" t="n">
        <f aca="false">F355+J355</f>
        <v>25</v>
      </c>
      <c r="O355" s="22" t="n">
        <f aca="false">G355+K355</f>
        <v>4517.7</v>
      </c>
    </row>
    <row r="356" customFormat="false" ht="15" hidden="false" customHeight="false" outlineLevel="0" collapsed="false">
      <c r="A356" s="20" t="n">
        <v>4413204</v>
      </c>
      <c r="B356" s="20" t="str">
        <f aca="false">IFERROR(INDEX('Catalog'!$B:$B,MATCH($A356,'Catalog'!$A:$A,0)),"")</f>
        <v>87 XXL מקבע כתף ויד</v>
      </c>
      <c r="C356" s="20" t="str">
        <f aca="false">IFERROR(INDEX('TRANS'!$A:$A,MATCH($A356,'TRANS'!$B:$B,0)),"")</f>
        <v>87 XXL</v>
      </c>
      <c r="D356" s="21" t="n">
        <f aca="false">SUMIFS('CEMI Raw'!$C$6:$C$1018,'CEMI Raw'!$E$6:$E$1018,$A356,'CEMI Raw'!$B$6:$B$1018,2025)</f>
        <v>2</v>
      </c>
      <c r="E356" s="22" t="n">
        <f aca="false">SUMIFS('CEMI Raw'!$D$6:$D$1018,'CEMI Raw'!$E$6:$E$1018,$A356,'CEMI Raw'!$B$6:$B$1018,2025)</f>
        <v>403</v>
      </c>
      <c r="F356" s="21" t="n">
        <f aca="false">SUMIFS('CEMI Raw'!$C$6:$C$1018,'CEMI Raw'!$E$6:$E$1018,$A356,'CEMI Raw'!$B$6:$B$1018,2026)</f>
        <v>7</v>
      </c>
      <c r="G356" s="22" t="n">
        <f aca="false">SUMIFS('CEMI Raw'!$D$6:$D$1018,'CEMI Raw'!$E$6:$E$1018,$A356,'CEMI Raw'!$B$6:$B$1018,2026)</f>
        <v>1410.5</v>
      </c>
      <c r="H356" s="21" t="n">
        <f aca="false">SUMIFS('SALES Raw'!$C$6:$C$603,'SALES Raw'!$E$6:$E$603,$A356,'SALES Raw'!$B$6:$B$603,2025)</f>
        <v>11</v>
      </c>
      <c r="I356" s="22" t="n">
        <f aca="false">SUMIFS('SALES Raw'!$D$6:$D$603,'SALES Raw'!$E$6:$E$603,$A356,'SALES Raw'!$B$6:$B$603,2025)</f>
        <v>1598.55</v>
      </c>
      <c r="J356" s="21" t="n">
        <f aca="false">SUMIFS('SALES Raw'!$C$6:$C$603,'SALES Raw'!$E$6:$E$603,$A356,'SALES Raw'!$B$6:$B$603,2026)</f>
        <v>8</v>
      </c>
      <c r="K356" s="22" t="n">
        <f aca="false">SUMIFS('SALES Raw'!$D$6:$D$603,'SALES Raw'!$E$6:$E$603,$A356,'SALES Raw'!$B$6:$B$603,2026)</f>
        <v>1181.51</v>
      </c>
      <c r="L356" s="21" t="n">
        <f aca="false">D356+H356</f>
        <v>13</v>
      </c>
      <c r="M356" s="22" t="n">
        <f aca="false">E356+I356</f>
        <v>2001.55</v>
      </c>
      <c r="N356" s="21" t="n">
        <f aca="false">F356+J356</f>
        <v>15</v>
      </c>
      <c r="O356" s="22" t="n">
        <f aca="false">G356+K356</f>
        <v>2592.01</v>
      </c>
    </row>
    <row r="357" customFormat="false" ht="15" hidden="false" customHeight="false" outlineLevel="0" collapsed="false">
      <c r="A357" s="20" t="n">
        <v>4413210</v>
      </c>
      <c r="B357" s="20" t="str">
        <f aca="false">IFERROR(INDEX('Catalog'!$B:$B,MATCH($A357,'Catalog'!$A:$A,0)),"")</f>
        <v>T95 S מגן מרפק רגיל</v>
      </c>
      <c r="C357" s="20" t="str">
        <f aca="false">IFERROR(INDEX('TRANS'!$A:$A,MATCH($A357,'TRANS'!$B:$B,0)),"")</f>
        <v>T95 S</v>
      </c>
      <c r="D357" s="21" t="n">
        <f aca="false">SUMIFS('CEMI Raw'!$C$6:$C$1018,'CEMI Raw'!$E$6:$E$1018,$A357,'CEMI Raw'!$B$6:$B$1018,2025)</f>
        <v>0</v>
      </c>
      <c r="E357" s="22" t="n">
        <f aca="false">SUMIFS('CEMI Raw'!$D$6:$D$1018,'CEMI Raw'!$E$6:$E$1018,$A357,'CEMI Raw'!$B$6:$B$1018,2025)</f>
        <v>0</v>
      </c>
      <c r="F357" s="21" t="n">
        <f aca="false">SUMIFS('CEMI Raw'!$C$6:$C$1018,'CEMI Raw'!$E$6:$E$1018,$A357,'CEMI Raw'!$B$6:$B$1018,2026)</f>
        <v>1</v>
      </c>
      <c r="G357" s="22" t="n">
        <f aca="false">SUMIFS('CEMI Raw'!$D$6:$D$1018,'CEMI Raw'!$E$6:$E$1018,$A357,'CEMI Raw'!$B$6:$B$1018,2026)</f>
        <v>94.5</v>
      </c>
      <c r="H357" s="21" t="n">
        <f aca="false">SUMIFS('SALES Raw'!$C$6:$C$603,'SALES Raw'!$E$6:$E$603,$A357,'SALES Raw'!$B$6:$B$603,2025)</f>
        <v>0</v>
      </c>
      <c r="I357" s="22" t="n">
        <f aca="false">SUMIFS('SALES Raw'!$D$6:$D$603,'SALES Raw'!$E$6:$E$603,$A357,'SALES Raw'!$B$6:$B$603,2025)</f>
        <v>0</v>
      </c>
      <c r="J357" s="21" t="n">
        <f aca="false">SUMIFS('SALES Raw'!$C$6:$C$603,'SALES Raw'!$E$6:$E$603,$A357,'SALES Raw'!$B$6:$B$603,2026)</f>
        <v>0</v>
      </c>
      <c r="K357" s="22" t="n">
        <f aca="false">SUMIFS('SALES Raw'!$D$6:$D$603,'SALES Raw'!$E$6:$E$603,$A357,'SALES Raw'!$B$6:$B$603,2026)</f>
        <v>0</v>
      </c>
      <c r="L357" s="21" t="n">
        <f aca="false">D357+H357</f>
        <v>0</v>
      </c>
      <c r="M357" s="22" t="n">
        <f aca="false">E357+I357</f>
        <v>0</v>
      </c>
      <c r="N357" s="21" t="n">
        <f aca="false">F357+J357</f>
        <v>1</v>
      </c>
      <c r="O357" s="22" t="n">
        <f aca="false">G357+K357</f>
        <v>94.5</v>
      </c>
    </row>
    <row r="358" customFormat="false" ht="15" hidden="false" customHeight="false" outlineLevel="0" collapsed="false">
      <c r="A358" s="20" t="n">
        <v>4413224</v>
      </c>
      <c r="B358" s="20" t="str">
        <f aca="false">IFERROR(INDEX('Catalog'!$B:$B,MATCH($A358,'Catalog'!$A:$A,0)),"")</f>
        <v>T45X XL מגן ברך רגיל</v>
      </c>
      <c r="C358" s="20" t="str">
        <f aca="false">IFERROR(INDEX('TRANS'!$A:$A,MATCH($A358,'TRANS'!$B:$B,0)),"")</f>
        <v>T45X XL</v>
      </c>
      <c r="D358" s="21" t="n">
        <f aca="false">SUMIFS('CEMI Raw'!$C$6:$C$1018,'CEMI Raw'!$E$6:$E$1018,$A358,'CEMI Raw'!$B$6:$B$1018,2025)</f>
        <v>2</v>
      </c>
      <c r="E358" s="22" t="n">
        <f aca="false">SUMIFS('CEMI Raw'!$D$6:$D$1018,'CEMI Raw'!$E$6:$E$1018,$A358,'CEMI Raw'!$B$6:$B$1018,2025)</f>
        <v>237.1</v>
      </c>
      <c r="F358" s="21" t="n">
        <f aca="false">SUMIFS('CEMI Raw'!$C$6:$C$1018,'CEMI Raw'!$E$6:$E$1018,$A358,'CEMI Raw'!$B$6:$B$1018,2026)</f>
        <v>1</v>
      </c>
      <c r="G358" s="22" t="n">
        <f aca="false">SUMIFS('CEMI Raw'!$D$6:$D$1018,'CEMI Raw'!$E$6:$E$1018,$A358,'CEMI Raw'!$B$6:$B$1018,2026)</f>
        <v>118.6</v>
      </c>
      <c r="H358" s="21" t="n">
        <f aca="false">SUMIFS('SALES Raw'!$C$6:$C$603,'SALES Raw'!$E$6:$E$603,$A358,'SALES Raw'!$B$6:$B$603,2025)</f>
        <v>0</v>
      </c>
      <c r="I358" s="22" t="n">
        <f aca="false">SUMIFS('SALES Raw'!$D$6:$D$603,'SALES Raw'!$E$6:$E$603,$A358,'SALES Raw'!$B$6:$B$603,2025)</f>
        <v>0</v>
      </c>
      <c r="J358" s="21" t="n">
        <f aca="false">SUMIFS('SALES Raw'!$C$6:$C$603,'SALES Raw'!$E$6:$E$603,$A358,'SALES Raw'!$B$6:$B$603,2026)</f>
        <v>1</v>
      </c>
      <c r="K358" s="22" t="n">
        <f aca="false">SUMIFS('SALES Raw'!$D$6:$D$603,'SALES Raw'!$E$6:$E$603,$A358,'SALES Raw'!$B$6:$B$603,2026)</f>
        <v>118.13</v>
      </c>
      <c r="L358" s="21" t="n">
        <f aca="false">D358+H358</f>
        <v>2</v>
      </c>
      <c r="M358" s="22" t="n">
        <f aca="false">E358+I358</f>
        <v>237.1</v>
      </c>
      <c r="N358" s="21" t="n">
        <f aca="false">F358+J358</f>
        <v>2</v>
      </c>
      <c r="O358" s="22" t="n">
        <f aca="false">G358+K358</f>
        <v>236.73</v>
      </c>
    </row>
    <row r="359" customFormat="false" ht="15" hidden="false" customHeight="false" outlineLevel="0" collapsed="false">
      <c r="A359" s="20" t="n">
        <v>4413225</v>
      </c>
      <c r="B359" s="20" t="str">
        <f aca="false">IFERROR(INDEX('Catalog'!$B:$B,MATCH($A359,'Catalog'!$A:$A,0)),"")</f>
        <v>T45X M מגן ברך רגיל</v>
      </c>
      <c r="C359" s="20" t="str">
        <f aca="false">IFERROR(INDEX('TRANS'!$A:$A,MATCH($A359,'TRANS'!$B:$B,0)),"")</f>
        <v/>
      </c>
      <c r="D359" s="21" t="n">
        <f aca="false">SUMIFS('CEMI Raw'!$C$6:$C$1018,'CEMI Raw'!$E$6:$E$1018,$A359,'CEMI Raw'!$B$6:$B$1018,2025)</f>
        <v>1</v>
      </c>
      <c r="E359" s="22" t="n">
        <f aca="false">SUMIFS('CEMI Raw'!$D$6:$D$1018,'CEMI Raw'!$E$6:$E$1018,$A359,'CEMI Raw'!$B$6:$B$1018,2025)</f>
        <v>118.6</v>
      </c>
      <c r="F359" s="21" t="n">
        <f aca="false">SUMIFS('CEMI Raw'!$C$6:$C$1018,'CEMI Raw'!$E$6:$E$1018,$A359,'CEMI Raw'!$B$6:$B$1018,2026)</f>
        <v>0</v>
      </c>
      <c r="G359" s="22" t="n">
        <f aca="false">SUMIFS('CEMI Raw'!$D$6:$D$1018,'CEMI Raw'!$E$6:$E$1018,$A359,'CEMI Raw'!$B$6:$B$1018,2026)</f>
        <v>0</v>
      </c>
      <c r="H359" s="21" t="n">
        <f aca="false">SUMIFS('SALES Raw'!$C$6:$C$603,'SALES Raw'!$E$6:$E$603,$A359,'SALES Raw'!$B$6:$B$603,2025)</f>
        <v>0</v>
      </c>
      <c r="I359" s="22" t="n">
        <f aca="false">SUMIFS('SALES Raw'!$D$6:$D$603,'SALES Raw'!$E$6:$E$603,$A359,'SALES Raw'!$B$6:$B$603,2025)</f>
        <v>0</v>
      </c>
      <c r="J359" s="21" t="n">
        <f aca="false">SUMIFS('SALES Raw'!$C$6:$C$603,'SALES Raw'!$E$6:$E$603,$A359,'SALES Raw'!$B$6:$B$603,2026)</f>
        <v>0</v>
      </c>
      <c r="K359" s="22" t="n">
        <f aca="false">SUMIFS('SALES Raw'!$D$6:$D$603,'SALES Raw'!$E$6:$E$603,$A359,'SALES Raw'!$B$6:$B$603,2026)</f>
        <v>0</v>
      </c>
      <c r="L359" s="21" t="n">
        <f aca="false">D359+H359</f>
        <v>1</v>
      </c>
      <c r="M359" s="22" t="n">
        <f aca="false">E359+I359</f>
        <v>118.6</v>
      </c>
      <c r="N359" s="21" t="n">
        <f aca="false">F359+J359</f>
        <v>0</v>
      </c>
      <c r="O359" s="22" t="n">
        <f aca="false">G359+K359</f>
        <v>0</v>
      </c>
    </row>
    <row r="360" customFormat="false" ht="15" hidden="false" customHeight="false" outlineLevel="0" collapsed="false">
      <c r="A360" s="20" t="n">
        <v>4413226</v>
      </c>
      <c r="B360" s="20" t="str">
        <f aca="false">IFERROR(INDEX('Catalog'!$B:$B,MATCH($A360,'Catalog'!$A:$A,0)),"")</f>
        <v>T45X L מגן ברך רגיל</v>
      </c>
      <c r="C360" s="20" t="str">
        <f aca="false">IFERROR(INDEX('TRANS'!$A:$A,MATCH($A360,'TRANS'!$B:$B,0)),"")</f>
        <v/>
      </c>
      <c r="D360" s="21" t="n">
        <f aca="false">SUMIFS('CEMI Raw'!$C$6:$C$1018,'CEMI Raw'!$E$6:$E$1018,$A360,'CEMI Raw'!$B$6:$B$1018,2025)</f>
        <v>2</v>
      </c>
      <c r="E360" s="22" t="n">
        <f aca="false">SUMIFS('CEMI Raw'!$D$6:$D$1018,'CEMI Raw'!$E$6:$E$1018,$A360,'CEMI Raw'!$B$6:$B$1018,2025)</f>
        <v>237.1</v>
      </c>
      <c r="F360" s="21" t="n">
        <f aca="false">SUMIFS('CEMI Raw'!$C$6:$C$1018,'CEMI Raw'!$E$6:$E$1018,$A360,'CEMI Raw'!$B$6:$B$1018,2026)</f>
        <v>0</v>
      </c>
      <c r="G360" s="22" t="n">
        <f aca="false">SUMIFS('CEMI Raw'!$D$6:$D$1018,'CEMI Raw'!$E$6:$E$1018,$A360,'CEMI Raw'!$B$6:$B$1018,2026)</f>
        <v>0</v>
      </c>
      <c r="H360" s="21" t="n">
        <f aca="false">SUMIFS('SALES Raw'!$C$6:$C$603,'SALES Raw'!$E$6:$E$603,$A360,'SALES Raw'!$B$6:$B$603,2025)</f>
        <v>0</v>
      </c>
      <c r="I360" s="22" t="n">
        <f aca="false">SUMIFS('SALES Raw'!$D$6:$D$603,'SALES Raw'!$E$6:$E$603,$A360,'SALES Raw'!$B$6:$B$603,2025)</f>
        <v>0</v>
      </c>
      <c r="J360" s="21" t="n">
        <f aca="false">SUMIFS('SALES Raw'!$C$6:$C$603,'SALES Raw'!$E$6:$E$603,$A360,'SALES Raw'!$B$6:$B$603,2026)</f>
        <v>0</v>
      </c>
      <c r="K360" s="22" t="n">
        <f aca="false">SUMIFS('SALES Raw'!$D$6:$D$603,'SALES Raw'!$E$6:$E$603,$A360,'SALES Raw'!$B$6:$B$603,2026)</f>
        <v>0</v>
      </c>
      <c r="L360" s="21" t="n">
        <f aca="false">D360+H360</f>
        <v>2</v>
      </c>
      <c r="M360" s="22" t="n">
        <f aca="false">E360+I360</f>
        <v>237.1</v>
      </c>
      <c r="N360" s="21" t="n">
        <f aca="false">F360+J360</f>
        <v>0</v>
      </c>
      <c r="O360" s="22" t="n">
        <f aca="false">G360+K360</f>
        <v>0</v>
      </c>
    </row>
    <row r="361" customFormat="false" ht="15" hidden="false" customHeight="false" outlineLevel="0" collapsed="false">
      <c r="A361" s="20" t="n">
        <v>4413260</v>
      </c>
      <c r="B361" s="20" t="str">
        <f aca="false">IFERROR(INDEX('Catalog'!$B:$B,MATCH($A361,'Catalog'!$A:$A,0)),"")</f>
        <v>T45X-XXLמגן ברך רגיל</v>
      </c>
      <c r="C361" s="20" t="str">
        <f aca="false">IFERROR(INDEX('TRANS'!$A:$A,MATCH($A361,'TRANS'!$B:$B,0)),"")</f>
        <v>T45X XXL</v>
      </c>
      <c r="D361" s="21" t="n">
        <f aca="false">SUMIFS('CEMI Raw'!$C$6:$C$1018,'CEMI Raw'!$E$6:$E$1018,$A361,'CEMI Raw'!$B$6:$B$1018,2025)</f>
        <v>0</v>
      </c>
      <c r="E361" s="22" t="n">
        <f aca="false">SUMIFS('CEMI Raw'!$D$6:$D$1018,'CEMI Raw'!$E$6:$E$1018,$A361,'CEMI Raw'!$B$6:$B$1018,2025)</f>
        <v>0</v>
      </c>
      <c r="F361" s="21" t="n">
        <f aca="false">SUMIFS('CEMI Raw'!$C$6:$C$1018,'CEMI Raw'!$E$6:$E$1018,$A361,'CEMI Raw'!$B$6:$B$1018,2026)</f>
        <v>1</v>
      </c>
      <c r="G361" s="22" t="n">
        <f aca="false">SUMIFS('CEMI Raw'!$D$6:$D$1018,'CEMI Raw'!$E$6:$E$1018,$A361,'CEMI Raw'!$B$6:$B$1018,2026)</f>
        <v>118.6</v>
      </c>
      <c r="H361" s="21" t="n">
        <f aca="false">SUMIFS('SALES Raw'!$C$6:$C$603,'SALES Raw'!$E$6:$E$603,$A361,'SALES Raw'!$B$6:$B$603,2025)</f>
        <v>0</v>
      </c>
      <c r="I361" s="22" t="n">
        <f aca="false">SUMIFS('SALES Raw'!$D$6:$D$603,'SALES Raw'!$E$6:$E$603,$A361,'SALES Raw'!$B$6:$B$603,2025)</f>
        <v>0</v>
      </c>
      <c r="J361" s="21" t="n">
        <f aca="false">SUMIFS('SALES Raw'!$C$6:$C$603,'SALES Raw'!$E$6:$E$603,$A361,'SALES Raw'!$B$6:$B$603,2026)</f>
        <v>2</v>
      </c>
      <c r="K361" s="22" t="n">
        <f aca="false">SUMIFS('SALES Raw'!$D$6:$D$603,'SALES Raw'!$E$6:$E$603,$A361,'SALES Raw'!$B$6:$B$603,2026)</f>
        <v>236.26</v>
      </c>
      <c r="L361" s="21" t="n">
        <f aca="false">D361+H361</f>
        <v>0</v>
      </c>
      <c r="M361" s="22" t="n">
        <f aca="false">E361+I361</f>
        <v>0</v>
      </c>
      <c r="N361" s="21" t="n">
        <f aca="false">F361+J361</f>
        <v>3</v>
      </c>
      <c r="O361" s="22" t="n">
        <f aca="false">G361+K361</f>
        <v>354.86</v>
      </c>
    </row>
    <row r="362" customFormat="false" ht="15" hidden="false" customHeight="false" outlineLevel="0" collapsed="false">
      <c r="A362" s="20" t="n">
        <v>4413262</v>
      </c>
      <c r="B362" s="20" t="str">
        <f aca="false">IFERROR(INDEX('Catalog'!$B:$B,MATCH($A362,'Catalog'!$A:$A,0)),"")</f>
        <v>76 XXL מישר כתפיים רחב</v>
      </c>
      <c r="C362" s="20" t="str">
        <f aca="false">IFERROR(INDEX('TRANS'!$A:$A,MATCH($A362,'TRANS'!$B:$B,0)),"")</f>
        <v/>
      </c>
      <c r="D362" s="21" t="n">
        <f aca="false">SUMIFS('CEMI Raw'!$C$6:$C$1018,'CEMI Raw'!$E$6:$E$1018,$A362,'CEMI Raw'!$B$6:$B$1018,2025)</f>
        <v>2</v>
      </c>
      <c r="E362" s="22" t="n">
        <f aca="false">SUMIFS('CEMI Raw'!$D$6:$D$1018,'CEMI Raw'!$E$6:$E$1018,$A362,'CEMI Raw'!$B$6:$B$1018,2025)</f>
        <v>409.4</v>
      </c>
      <c r="F362" s="21" t="n">
        <f aca="false">SUMIFS('CEMI Raw'!$C$6:$C$1018,'CEMI Raw'!$E$6:$E$1018,$A362,'CEMI Raw'!$B$6:$B$1018,2026)</f>
        <v>0</v>
      </c>
      <c r="G362" s="22" t="n">
        <f aca="false">SUMIFS('CEMI Raw'!$D$6:$D$1018,'CEMI Raw'!$E$6:$E$1018,$A362,'CEMI Raw'!$B$6:$B$1018,2026)</f>
        <v>0</v>
      </c>
      <c r="H362" s="21" t="n">
        <f aca="false">SUMIFS('SALES Raw'!$C$6:$C$603,'SALES Raw'!$E$6:$E$603,$A362,'SALES Raw'!$B$6:$B$603,2025)</f>
        <v>0</v>
      </c>
      <c r="I362" s="22" t="n">
        <f aca="false">SUMIFS('SALES Raw'!$D$6:$D$603,'SALES Raw'!$E$6:$E$603,$A362,'SALES Raw'!$B$6:$B$603,2025)</f>
        <v>0</v>
      </c>
      <c r="J362" s="21" t="n">
        <f aca="false">SUMIFS('SALES Raw'!$C$6:$C$603,'SALES Raw'!$E$6:$E$603,$A362,'SALES Raw'!$B$6:$B$603,2026)</f>
        <v>0</v>
      </c>
      <c r="K362" s="22" t="n">
        <f aca="false">SUMIFS('SALES Raw'!$D$6:$D$603,'SALES Raw'!$E$6:$E$603,$A362,'SALES Raw'!$B$6:$B$603,2026)</f>
        <v>0</v>
      </c>
      <c r="L362" s="21" t="n">
        <f aca="false">D362+H362</f>
        <v>2</v>
      </c>
      <c r="M362" s="22" t="n">
        <f aca="false">E362+I362</f>
        <v>409.4</v>
      </c>
      <c r="N362" s="21" t="n">
        <f aca="false">F362+J362</f>
        <v>0</v>
      </c>
      <c r="O362" s="22" t="n">
        <f aca="false">G362+K362</f>
        <v>0</v>
      </c>
    </row>
    <row r="363" customFormat="false" ht="15" hidden="false" customHeight="false" outlineLevel="0" collapsed="false">
      <c r="A363" s="20" t="n">
        <v>4413276</v>
      </c>
      <c r="B363" s="20" t="str">
        <f aca="false">IFERROR(INDEX('Catalog'!$B:$B,MATCH($A363,'Catalog'!$A:$A,0)),"")</f>
        <v>LF377 L-מדרס סיליקון לנעלי עקב</v>
      </c>
      <c r="C363" s="20" t="str">
        <f aca="false">IFERROR(INDEX('TRANS'!$A:$A,MATCH($A363,'TRANS'!$B:$B,0)),"")</f>
        <v>LF377 L</v>
      </c>
      <c r="D363" s="21" t="n">
        <f aca="false">SUMIFS('CEMI Raw'!$C$6:$C$1018,'CEMI Raw'!$E$6:$E$1018,$A363,'CEMI Raw'!$B$6:$B$1018,2025)</f>
        <v>2</v>
      </c>
      <c r="E363" s="22" t="n">
        <f aca="false">SUMIFS('CEMI Raw'!$D$6:$D$1018,'CEMI Raw'!$E$6:$E$1018,$A363,'CEMI Raw'!$B$6:$B$1018,2025)</f>
        <v>47.4</v>
      </c>
      <c r="F363" s="21" t="n">
        <f aca="false">SUMIFS('CEMI Raw'!$C$6:$C$1018,'CEMI Raw'!$E$6:$E$1018,$A363,'CEMI Raw'!$B$6:$B$1018,2026)</f>
        <v>4</v>
      </c>
      <c r="G363" s="22" t="n">
        <f aca="false">SUMIFS('CEMI Raw'!$D$6:$D$1018,'CEMI Raw'!$E$6:$E$1018,$A363,'CEMI Raw'!$B$6:$B$1018,2026)</f>
        <v>182.9</v>
      </c>
      <c r="H363" s="21" t="n">
        <f aca="false">SUMIFS('SALES Raw'!$C$6:$C$603,'SALES Raw'!$E$6:$E$603,$A363,'SALES Raw'!$B$6:$B$603,2025)</f>
        <v>0</v>
      </c>
      <c r="I363" s="22" t="n">
        <f aca="false">SUMIFS('SALES Raw'!$D$6:$D$603,'SALES Raw'!$E$6:$E$603,$A363,'SALES Raw'!$B$6:$B$603,2025)</f>
        <v>0</v>
      </c>
      <c r="J363" s="21" t="n">
        <f aca="false">SUMIFS('SALES Raw'!$C$6:$C$603,'SALES Raw'!$E$6:$E$603,$A363,'SALES Raw'!$B$6:$B$603,2026)</f>
        <v>0</v>
      </c>
      <c r="K363" s="22" t="n">
        <f aca="false">SUMIFS('SALES Raw'!$D$6:$D$603,'SALES Raw'!$E$6:$E$603,$A363,'SALES Raw'!$B$6:$B$603,2026)</f>
        <v>0</v>
      </c>
      <c r="L363" s="21" t="n">
        <f aca="false">D363+H363</f>
        <v>2</v>
      </c>
      <c r="M363" s="22" t="n">
        <f aca="false">E363+I363</f>
        <v>47.4</v>
      </c>
      <c r="N363" s="21" t="n">
        <f aca="false">F363+J363</f>
        <v>4</v>
      </c>
      <c r="O363" s="22" t="n">
        <f aca="false">G363+K363</f>
        <v>182.9</v>
      </c>
    </row>
    <row r="364" customFormat="false" ht="15" hidden="false" customHeight="false" outlineLevel="0" collapsed="false">
      <c r="A364" s="20" t="n">
        <v>4413277</v>
      </c>
      <c r="B364" s="20" t="str">
        <f aca="false">IFERROR(INDEX('Catalog'!$B:$B,MATCH($A364,'Catalog'!$A:$A,0)),"")</f>
        <v>LF377 M-מדרס סיליקון לנעלי עקב</v>
      </c>
      <c r="C364" s="20" t="str">
        <f aca="false">IFERROR(INDEX('TRANS'!$A:$A,MATCH($A364,'TRANS'!$B:$B,0)),"")</f>
        <v>LF377 M</v>
      </c>
      <c r="D364" s="21" t="n">
        <f aca="false">SUMIFS('CEMI Raw'!$C$6:$C$1018,'CEMI Raw'!$E$6:$E$1018,$A364,'CEMI Raw'!$B$6:$B$1018,2025)</f>
        <v>4</v>
      </c>
      <c r="E364" s="22" t="n">
        <f aca="false">SUMIFS('CEMI Raw'!$D$6:$D$1018,'CEMI Raw'!$E$6:$E$1018,$A364,'CEMI Raw'!$B$6:$B$1018,2025)</f>
        <v>186</v>
      </c>
      <c r="F364" s="21" t="n">
        <f aca="false">SUMIFS('CEMI Raw'!$C$6:$C$1018,'CEMI Raw'!$E$6:$E$1018,$A364,'CEMI Raw'!$B$6:$B$1018,2026)</f>
        <v>2</v>
      </c>
      <c r="G364" s="22" t="n">
        <f aca="false">SUMIFS('CEMI Raw'!$D$6:$D$1018,'CEMI Raw'!$E$6:$E$1018,$A364,'CEMI Raw'!$B$6:$B$1018,2026)</f>
        <v>75.7</v>
      </c>
      <c r="H364" s="21" t="n">
        <f aca="false">SUMIFS('SALES Raw'!$C$6:$C$603,'SALES Raw'!$E$6:$E$603,$A364,'SALES Raw'!$B$6:$B$603,2025)</f>
        <v>0</v>
      </c>
      <c r="I364" s="22" t="n">
        <f aca="false">SUMIFS('SALES Raw'!$D$6:$D$603,'SALES Raw'!$E$6:$E$603,$A364,'SALES Raw'!$B$6:$B$603,2025)</f>
        <v>0</v>
      </c>
      <c r="J364" s="21" t="n">
        <f aca="false">SUMIFS('SALES Raw'!$C$6:$C$603,'SALES Raw'!$E$6:$E$603,$A364,'SALES Raw'!$B$6:$B$603,2026)</f>
        <v>0</v>
      </c>
      <c r="K364" s="22" t="n">
        <f aca="false">SUMIFS('SALES Raw'!$D$6:$D$603,'SALES Raw'!$E$6:$E$603,$A364,'SALES Raw'!$B$6:$B$603,2026)</f>
        <v>0</v>
      </c>
      <c r="L364" s="21" t="n">
        <f aca="false">D364+H364</f>
        <v>4</v>
      </c>
      <c r="M364" s="22" t="n">
        <f aca="false">E364+I364</f>
        <v>186</v>
      </c>
      <c r="N364" s="21" t="n">
        <f aca="false">F364+J364</f>
        <v>2</v>
      </c>
      <c r="O364" s="22" t="n">
        <f aca="false">G364+K364</f>
        <v>75.7</v>
      </c>
    </row>
    <row r="365" customFormat="false" ht="15" hidden="false" customHeight="false" outlineLevel="0" collapsed="false">
      <c r="A365" s="20" t="n">
        <v>4413278</v>
      </c>
      <c r="B365" s="20" t="str">
        <f aca="false">IFERROR(INDEX('Catalog'!$B:$B,MATCH($A365,'Catalog'!$A:$A,0)),"")</f>
        <v>LF377 S-מדרס סיליקון לנעלי עקב</v>
      </c>
      <c r="C365" s="20" t="str">
        <f aca="false">IFERROR(INDEX('TRANS'!$A:$A,MATCH($A365,'TRANS'!$B:$B,0)),"")</f>
        <v>LF377 S</v>
      </c>
      <c r="D365" s="21" t="n">
        <f aca="false">SUMIFS('CEMI Raw'!$C$6:$C$1018,'CEMI Raw'!$E$6:$E$1018,$A365,'CEMI Raw'!$B$6:$B$1018,2025)</f>
        <v>5</v>
      </c>
      <c r="E365" s="22" t="n">
        <f aca="false">SUMIFS('CEMI Raw'!$D$6:$D$1018,'CEMI Raw'!$E$6:$E$1018,$A365,'CEMI Raw'!$B$6:$B$1018,2025)</f>
        <v>217.5</v>
      </c>
      <c r="F365" s="21" t="n">
        <f aca="false">SUMIFS('CEMI Raw'!$C$6:$C$1018,'CEMI Raw'!$E$6:$E$1018,$A365,'CEMI Raw'!$B$6:$B$1018,2026)</f>
        <v>1</v>
      </c>
      <c r="G365" s="22" t="n">
        <f aca="false">SUMIFS('CEMI Raw'!$D$6:$D$1018,'CEMI Raw'!$E$6:$E$1018,$A365,'CEMI Raw'!$B$6:$B$1018,2026)</f>
        <v>34.8</v>
      </c>
      <c r="H365" s="21" t="n">
        <f aca="false">SUMIFS('SALES Raw'!$C$6:$C$603,'SALES Raw'!$E$6:$E$603,$A365,'SALES Raw'!$B$6:$B$603,2025)</f>
        <v>0</v>
      </c>
      <c r="I365" s="22" t="n">
        <f aca="false">SUMIFS('SALES Raw'!$D$6:$D$603,'SALES Raw'!$E$6:$E$603,$A365,'SALES Raw'!$B$6:$B$603,2025)</f>
        <v>0</v>
      </c>
      <c r="J365" s="21" t="n">
        <f aca="false">SUMIFS('SALES Raw'!$C$6:$C$603,'SALES Raw'!$E$6:$E$603,$A365,'SALES Raw'!$B$6:$B$603,2026)</f>
        <v>0</v>
      </c>
      <c r="K365" s="22" t="n">
        <f aca="false">SUMIFS('SALES Raw'!$D$6:$D$603,'SALES Raw'!$E$6:$E$603,$A365,'SALES Raw'!$B$6:$B$603,2026)</f>
        <v>0</v>
      </c>
      <c r="L365" s="21" t="n">
        <f aca="false">D365+H365</f>
        <v>5</v>
      </c>
      <c r="M365" s="22" t="n">
        <f aca="false">E365+I365</f>
        <v>217.5</v>
      </c>
      <c r="N365" s="21" t="n">
        <f aca="false">F365+J365</f>
        <v>1</v>
      </c>
      <c r="O365" s="22" t="n">
        <f aca="false">G365+K365</f>
        <v>34.8</v>
      </c>
    </row>
    <row r="366" customFormat="false" ht="15" hidden="false" customHeight="false" outlineLevel="0" collapsed="false">
      <c r="A366" s="20" t="n">
        <v>4413282</v>
      </c>
      <c r="B366" s="20" t="str">
        <f aca="false">IFERROR(INDEX('Catalog'!$B:$B,MATCH($A366,'Catalog'!$A:$A,0)),"")</f>
        <v>422E XL מגן ברך ארוך עם כרית</v>
      </c>
      <c r="C366" s="20" t="str">
        <f aca="false">IFERROR(INDEX('TRANS'!$A:$A,MATCH($A366,'TRANS'!$B:$B,0)),"")</f>
        <v/>
      </c>
      <c r="D366" s="21" t="n">
        <f aca="false">SUMIFS('CEMI Raw'!$C$6:$C$1018,'CEMI Raw'!$E$6:$E$1018,$A366,'CEMI Raw'!$B$6:$B$1018,2025)</f>
        <v>0</v>
      </c>
      <c r="E366" s="22" t="n">
        <f aca="false">SUMIFS('CEMI Raw'!$D$6:$D$1018,'CEMI Raw'!$E$6:$E$1018,$A366,'CEMI Raw'!$B$6:$B$1018,2025)</f>
        <v>-13.5</v>
      </c>
      <c r="F366" s="21" t="n">
        <f aca="false">SUMIFS('CEMI Raw'!$C$6:$C$1018,'CEMI Raw'!$E$6:$E$1018,$A366,'CEMI Raw'!$B$6:$B$1018,2026)</f>
        <v>0</v>
      </c>
      <c r="G366" s="22" t="n">
        <f aca="false">SUMIFS('CEMI Raw'!$D$6:$D$1018,'CEMI Raw'!$E$6:$E$1018,$A366,'CEMI Raw'!$B$6:$B$1018,2026)</f>
        <v>0</v>
      </c>
      <c r="H366" s="21" t="n">
        <f aca="false">SUMIFS('SALES Raw'!$C$6:$C$603,'SALES Raw'!$E$6:$E$603,$A366,'SALES Raw'!$B$6:$B$603,2025)</f>
        <v>0</v>
      </c>
      <c r="I366" s="22" t="n">
        <f aca="false">SUMIFS('SALES Raw'!$D$6:$D$603,'SALES Raw'!$E$6:$E$603,$A366,'SALES Raw'!$B$6:$B$603,2025)</f>
        <v>0</v>
      </c>
      <c r="J366" s="21" t="n">
        <f aca="false">SUMIFS('SALES Raw'!$C$6:$C$603,'SALES Raw'!$E$6:$E$603,$A366,'SALES Raw'!$B$6:$B$603,2026)</f>
        <v>0</v>
      </c>
      <c r="K366" s="22" t="n">
        <f aca="false">SUMIFS('SALES Raw'!$D$6:$D$603,'SALES Raw'!$E$6:$E$603,$A366,'SALES Raw'!$B$6:$B$603,2026)</f>
        <v>0</v>
      </c>
      <c r="L366" s="21" t="n">
        <f aca="false">D366+H366</f>
        <v>0</v>
      </c>
      <c r="M366" s="22" t="n">
        <f aca="false">E366+I366</f>
        <v>-13.5</v>
      </c>
      <c r="N366" s="21" t="n">
        <f aca="false">F366+J366</f>
        <v>0</v>
      </c>
      <c r="O366" s="22" t="n">
        <f aca="false">G366+K366</f>
        <v>0</v>
      </c>
    </row>
    <row r="367" customFormat="false" ht="15" hidden="false" customHeight="false" outlineLevel="0" collapsed="false">
      <c r="A367" s="20" t="n">
        <v>4413283</v>
      </c>
      <c r="B367" s="20" t="str">
        <f aca="false">IFERROR(INDEX('Catalog'!$B:$B,MATCH($A367,'Catalog'!$A:$A,0)),"")</f>
        <v>422E XXL מגן ברך ארוך עם כרית</v>
      </c>
      <c r="C367" s="20" t="str">
        <f aca="false">IFERROR(INDEX('TRANS'!$A:$A,MATCH($A367,'TRANS'!$B:$B,0)),"")</f>
        <v/>
      </c>
      <c r="D367" s="21" t="n">
        <f aca="false">SUMIFS('CEMI Raw'!$C$6:$C$1018,'CEMI Raw'!$E$6:$E$1018,$A367,'CEMI Raw'!$B$6:$B$1018,2025)</f>
        <v>1</v>
      </c>
      <c r="E367" s="22" t="n">
        <f aca="false">SUMIFS('CEMI Raw'!$D$6:$D$1018,'CEMI Raw'!$E$6:$E$1018,$A367,'CEMI Raw'!$B$6:$B$1018,2025)</f>
        <v>189.8</v>
      </c>
      <c r="F367" s="21" t="n">
        <f aca="false">SUMIFS('CEMI Raw'!$C$6:$C$1018,'CEMI Raw'!$E$6:$E$1018,$A367,'CEMI Raw'!$B$6:$B$1018,2026)</f>
        <v>0</v>
      </c>
      <c r="G367" s="22" t="n">
        <f aca="false">SUMIFS('CEMI Raw'!$D$6:$D$1018,'CEMI Raw'!$E$6:$E$1018,$A367,'CEMI Raw'!$B$6:$B$1018,2026)</f>
        <v>0</v>
      </c>
      <c r="H367" s="21" t="n">
        <f aca="false">SUMIFS('SALES Raw'!$C$6:$C$603,'SALES Raw'!$E$6:$E$603,$A367,'SALES Raw'!$B$6:$B$603,2025)</f>
        <v>0</v>
      </c>
      <c r="I367" s="22" t="n">
        <f aca="false">SUMIFS('SALES Raw'!$D$6:$D$603,'SALES Raw'!$E$6:$E$603,$A367,'SALES Raw'!$B$6:$B$603,2025)</f>
        <v>0</v>
      </c>
      <c r="J367" s="21" t="n">
        <f aca="false">SUMIFS('SALES Raw'!$C$6:$C$603,'SALES Raw'!$E$6:$E$603,$A367,'SALES Raw'!$B$6:$B$603,2026)</f>
        <v>0</v>
      </c>
      <c r="K367" s="22" t="n">
        <f aca="false">SUMIFS('SALES Raw'!$D$6:$D$603,'SALES Raw'!$E$6:$E$603,$A367,'SALES Raw'!$B$6:$B$603,2026)</f>
        <v>0</v>
      </c>
      <c r="L367" s="21" t="n">
        <f aca="false">D367+H367</f>
        <v>1</v>
      </c>
      <c r="M367" s="22" t="n">
        <f aca="false">E367+I367</f>
        <v>189.8</v>
      </c>
      <c r="N367" s="21" t="n">
        <f aca="false">F367+J367</f>
        <v>0</v>
      </c>
      <c r="O367" s="22" t="n">
        <f aca="false">G367+K367</f>
        <v>0</v>
      </c>
    </row>
    <row r="368" customFormat="false" ht="15" hidden="false" customHeight="false" outlineLevel="0" collapsed="false">
      <c r="A368" s="20" t="n">
        <v>4413284</v>
      </c>
      <c r="B368" s="20" t="str">
        <f aca="false">IFERROR(INDEX('Catalog'!$B:$B,MATCH($A368,'Catalog'!$A:$A,0)),"")</f>
        <v>422E XXXL מגן ברך ארוך עם כרית</v>
      </c>
      <c r="C368" s="20" t="str">
        <f aca="false">IFERROR(INDEX('TRANS'!$A:$A,MATCH($A368,'TRANS'!$B:$B,0)),"")</f>
        <v>422E XXXL</v>
      </c>
      <c r="D368" s="21" t="n">
        <f aca="false">SUMIFS('CEMI Raw'!$C$6:$C$1018,'CEMI Raw'!$E$6:$E$1018,$A368,'CEMI Raw'!$B$6:$B$1018,2025)</f>
        <v>1</v>
      </c>
      <c r="E368" s="22" t="n">
        <f aca="false">SUMIFS('CEMI Raw'!$D$6:$D$1018,'CEMI Raw'!$E$6:$E$1018,$A368,'CEMI Raw'!$B$6:$B$1018,2025)</f>
        <v>203.4</v>
      </c>
      <c r="F368" s="21" t="n">
        <f aca="false">SUMIFS('CEMI Raw'!$C$6:$C$1018,'CEMI Raw'!$E$6:$E$1018,$A368,'CEMI Raw'!$B$6:$B$1018,2026)</f>
        <v>2</v>
      </c>
      <c r="G368" s="22" t="n">
        <f aca="false">SUMIFS('CEMI Raw'!$D$6:$D$1018,'CEMI Raw'!$E$6:$E$1018,$A368,'CEMI Raw'!$B$6:$B$1018,2026)</f>
        <v>406.8</v>
      </c>
      <c r="H368" s="21" t="n">
        <f aca="false">SUMIFS('SALES Raw'!$C$6:$C$603,'SALES Raw'!$E$6:$E$603,$A368,'SALES Raw'!$B$6:$B$603,2025)</f>
        <v>0</v>
      </c>
      <c r="I368" s="22" t="n">
        <f aca="false">SUMIFS('SALES Raw'!$D$6:$D$603,'SALES Raw'!$E$6:$E$603,$A368,'SALES Raw'!$B$6:$B$603,2025)</f>
        <v>0</v>
      </c>
      <c r="J368" s="21" t="n">
        <f aca="false">SUMIFS('SALES Raw'!$C$6:$C$603,'SALES Raw'!$E$6:$E$603,$A368,'SALES Raw'!$B$6:$B$603,2026)</f>
        <v>0</v>
      </c>
      <c r="K368" s="22" t="n">
        <f aca="false">SUMIFS('SALES Raw'!$D$6:$D$603,'SALES Raw'!$E$6:$E$603,$A368,'SALES Raw'!$B$6:$B$603,2026)</f>
        <v>0</v>
      </c>
      <c r="L368" s="21" t="n">
        <f aca="false">D368+H368</f>
        <v>1</v>
      </c>
      <c r="M368" s="22" t="n">
        <f aca="false">E368+I368</f>
        <v>203.4</v>
      </c>
      <c r="N368" s="21" t="n">
        <f aca="false">F368+J368</f>
        <v>2</v>
      </c>
      <c r="O368" s="22" t="n">
        <f aca="false">G368+K368</f>
        <v>406.8</v>
      </c>
    </row>
    <row r="369" customFormat="false" ht="15" hidden="false" customHeight="false" outlineLevel="0" collapsed="false">
      <c r="A369" s="20" t="n">
        <v>4413286</v>
      </c>
      <c r="B369" s="20" t="str">
        <f aca="false">IFERROR(INDEX('Catalog'!$B:$B,MATCH($A369,'Catalog'!$A:$A,0)),"")</f>
        <v>T45 XXL מגן ברך רגיל</v>
      </c>
      <c r="C369" s="20" t="str">
        <f aca="false">IFERROR(INDEX('TRANS'!$A:$A,MATCH($A369,'TRANS'!$B:$B,0)),"")</f>
        <v>T45 XXL</v>
      </c>
      <c r="D369" s="21" t="n">
        <f aca="false">SUMIFS('CEMI Raw'!$C$6:$C$1018,'CEMI Raw'!$E$6:$E$1018,$A369,'CEMI Raw'!$B$6:$B$1018,2025)</f>
        <v>0</v>
      </c>
      <c r="E369" s="22" t="n">
        <f aca="false">SUMIFS('CEMI Raw'!$D$6:$D$1018,'CEMI Raw'!$E$6:$E$1018,$A369,'CEMI Raw'!$B$6:$B$1018,2025)</f>
        <v>0</v>
      </c>
      <c r="F369" s="21" t="n">
        <f aca="false">SUMIFS('CEMI Raw'!$C$6:$C$1018,'CEMI Raw'!$E$6:$E$1018,$A369,'CEMI Raw'!$B$6:$B$1018,2026)</f>
        <v>3</v>
      </c>
      <c r="G369" s="22" t="n">
        <f aca="false">SUMIFS('CEMI Raw'!$D$6:$D$1018,'CEMI Raw'!$E$6:$E$1018,$A369,'CEMI Raw'!$B$6:$B$1018,2026)</f>
        <v>312</v>
      </c>
      <c r="H369" s="21" t="n">
        <f aca="false">SUMIFS('SALES Raw'!$C$6:$C$603,'SALES Raw'!$E$6:$E$603,$A369,'SALES Raw'!$B$6:$B$603,2025)</f>
        <v>1</v>
      </c>
      <c r="I369" s="22" t="n">
        <f aca="false">SUMIFS('SALES Raw'!$D$6:$D$603,'SALES Raw'!$E$6:$E$603,$A369,'SALES Raw'!$B$6:$B$603,2025)</f>
        <v>103.96</v>
      </c>
      <c r="J369" s="21" t="n">
        <f aca="false">SUMIFS('SALES Raw'!$C$6:$C$603,'SALES Raw'!$E$6:$E$603,$A369,'SALES Raw'!$B$6:$B$603,2026)</f>
        <v>0</v>
      </c>
      <c r="K369" s="22" t="n">
        <f aca="false">SUMIFS('SALES Raw'!$D$6:$D$603,'SALES Raw'!$E$6:$E$603,$A369,'SALES Raw'!$B$6:$B$603,2026)</f>
        <v>0</v>
      </c>
      <c r="L369" s="21" t="n">
        <f aca="false">D369+H369</f>
        <v>1</v>
      </c>
      <c r="M369" s="22" t="n">
        <f aca="false">E369+I369</f>
        <v>103.96</v>
      </c>
      <c r="N369" s="21" t="n">
        <f aca="false">F369+J369</f>
        <v>3</v>
      </c>
      <c r="O369" s="22" t="n">
        <f aca="false">G369+K369</f>
        <v>312</v>
      </c>
    </row>
    <row r="370" customFormat="false" ht="15" hidden="false" customHeight="false" outlineLevel="0" collapsed="false">
      <c r="A370" s="20" t="n">
        <v>4413303</v>
      </c>
      <c r="B370" s="20" t="str">
        <f aca="false">IFERROR(INDEX('Catalog'!$B:$B,MATCH($A370,'Catalog'!$A:$A,0)),"")</f>
        <v>34+XXL מ.קרסול+עכב סגור+רצועות</v>
      </c>
      <c r="C370" s="20" t="str">
        <f aca="false">IFERROR(INDEX('TRANS'!$A:$A,MATCH($A370,'TRANS'!$B:$B,0)),"")</f>
        <v>34+ XXL</v>
      </c>
      <c r="D370" s="21" t="n">
        <f aca="false">SUMIFS('CEMI Raw'!$C$6:$C$1018,'CEMI Raw'!$E$6:$E$1018,$A370,'CEMI Raw'!$B$6:$B$1018,2025)</f>
        <v>5</v>
      </c>
      <c r="E370" s="22" t="n">
        <f aca="false">SUMIFS('CEMI Raw'!$D$6:$D$1018,'CEMI Raw'!$E$6:$E$1018,$A370,'CEMI Raw'!$B$6:$B$1018,2025)</f>
        <v>346.6</v>
      </c>
      <c r="F370" s="21" t="n">
        <f aca="false">SUMIFS('CEMI Raw'!$C$6:$C$1018,'CEMI Raw'!$E$6:$E$1018,$A370,'CEMI Raw'!$B$6:$B$1018,2026)</f>
        <v>0</v>
      </c>
      <c r="G370" s="22" t="n">
        <f aca="false">SUMIFS('CEMI Raw'!$D$6:$D$1018,'CEMI Raw'!$E$6:$E$1018,$A370,'CEMI Raw'!$B$6:$B$1018,2026)</f>
        <v>0</v>
      </c>
      <c r="H370" s="21" t="n">
        <f aca="false">SUMIFS('SALES Raw'!$C$6:$C$603,'SALES Raw'!$E$6:$E$603,$A370,'SALES Raw'!$B$6:$B$603,2025)</f>
        <v>0</v>
      </c>
      <c r="I370" s="22" t="n">
        <f aca="false">SUMIFS('SALES Raw'!$D$6:$D$603,'SALES Raw'!$E$6:$E$603,$A370,'SALES Raw'!$B$6:$B$603,2025)</f>
        <v>0</v>
      </c>
      <c r="J370" s="21" t="n">
        <f aca="false">SUMIFS('SALES Raw'!$C$6:$C$603,'SALES Raw'!$E$6:$E$603,$A370,'SALES Raw'!$B$6:$B$603,2026)</f>
        <v>0</v>
      </c>
      <c r="K370" s="22" t="n">
        <f aca="false">SUMIFS('SALES Raw'!$D$6:$D$603,'SALES Raw'!$E$6:$E$603,$A370,'SALES Raw'!$B$6:$B$603,2026)</f>
        <v>0</v>
      </c>
      <c r="L370" s="21" t="n">
        <f aca="false">D370+H370</f>
        <v>5</v>
      </c>
      <c r="M370" s="22" t="n">
        <f aca="false">E370+I370</f>
        <v>346.6</v>
      </c>
      <c r="N370" s="21" t="n">
        <f aca="false">F370+J370</f>
        <v>0</v>
      </c>
      <c r="O370" s="22" t="n">
        <f aca="false">G370+K370</f>
        <v>0</v>
      </c>
    </row>
    <row r="371" customFormat="false" ht="15" hidden="false" customHeight="false" outlineLevel="0" collapsed="false">
      <c r="A371" s="20" t="n">
        <v>4413307</v>
      </c>
      <c r="B371" s="20" t="str">
        <f aca="false">IFERROR(INDEX('Catalog'!$B:$B,MATCH($A371,'Catalog'!$A:$A,0)),"")</f>
        <v>URI 3667 מגן בוניון</v>
      </c>
      <c r="C371" s="20" t="str">
        <f aca="false">IFERROR(INDEX('TRANS'!$A:$A,MATCH($A371,'TRANS'!$B:$B,0)),"")</f>
        <v>3667 0</v>
      </c>
      <c r="D371" s="21" t="n">
        <f aca="false">SUMIFS('CEMI Raw'!$C$6:$C$1018,'CEMI Raw'!$E$6:$E$1018,$A371,'CEMI Raw'!$B$6:$B$1018,2025)</f>
        <v>141</v>
      </c>
      <c r="E371" s="22" t="n">
        <f aca="false">SUMIFS('CEMI Raw'!$D$6:$D$1018,'CEMI Raw'!$E$6:$E$1018,$A371,'CEMI Raw'!$B$6:$B$1018,2025)</f>
        <v>4332.4</v>
      </c>
      <c r="F371" s="21" t="n">
        <f aca="false">SUMIFS('CEMI Raw'!$C$6:$C$1018,'CEMI Raw'!$E$6:$E$1018,$A371,'CEMI Raw'!$B$6:$B$1018,2026)</f>
        <v>81</v>
      </c>
      <c r="G371" s="22" t="n">
        <f aca="false">SUMIFS('CEMI Raw'!$D$6:$D$1018,'CEMI Raw'!$E$6:$E$1018,$A371,'CEMI Raw'!$B$6:$B$1018,2026)</f>
        <v>2522.8</v>
      </c>
      <c r="H371" s="21" t="n">
        <f aca="false">SUMIFS('SALES Raw'!$C$6:$C$603,'SALES Raw'!$E$6:$E$603,$A371,'SALES Raw'!$B$6:$B$603,2025)</f>
        <v>16</v>
      </c>
      <c r="I371" s="22" t="n">
        <f aca="false">SUMIFS('SALES Raw'!$D$6:$D$603,'SALES Raw'!$E$6:$E$603,$A371,'SALES Raw'!$B$6:$B$603,2025)</f>
        <v>524.28</v>
      </c>
      <c r="J371" s="21" t="n">
        <f aca="false">SUMIFS('SALES Raw'!$C$6:$C$603,'SALES Raw'!$E$6:$E$603,$A371,'SALES Raw'!$B$6:$B$603,2026)</f>
        <v>4</v>
      </c>
      <c r="K371" s="22" t="n">
        <f aca="false">SUMIFS('SALES Raw'!$D$6:$D$603,'SALES Raw'!$E$6:$E$603,$A371,'SALES Raw'!$B$6:$B$603,2026)</f>
        <v>131.07</v>
      </c>
      <c r="L371" s="21" t="n">
        <f aca="false">D371+H371</f>
        <v>157</v>
      </c>
      <c r="M371" s="22" t="n">
        <f aca="false">E371+I371</f>
        <v>4856.68</v>
      </c>
      <c r="N371" s="21" t="n">
        <f aca="false">F371+J371</f>
        <v>85</v>
      </c>
      <c r="O371" s="22" t="n">
        <f aca="false">G371+K371</f>
        <v>2653.87</v>
      </c>
    </row>
    <row r="372" customFormat="false" ht="15" hidden="false" customHeight="false" outlineLevel="0" collapsed="false">
      <c r="A372" s="20" t="n">
        <v>4413324</v>
      </c>
      <c r="B372" s="20" t="str">
        <f aca="false">IFERROR(INDEX('Catalog'!$B:$B,MATCH($A372,'Catalog'!$A:$A,0)),"")</f>
        <v>35 XS מגן קרסול לבן</v>
      </c>
      <c r="C372" s="20" t="str">
        <f aca="false">IFERROR(INDEX('TRANS'!$A:$A,MATCH($A372,'TRANS'!$B:$B,0)),"")</f>
        <v/>
      </c>
      <c r="D372" s="21" t="n">
        <f aca="false">SUMIFS('CEMI Raw'!$C$6:$C$1018,'CEMI Raw'!$E$6:$E$1018,$A372,'CEMI Raw'!$B$6:$B$1018,2025)</f>
        <v>8</v>
      </c>
      <c r="E372" s="22" t="n">
        <f aca="false">SUMIFS('CEMI Raw'!$D$6:$D$1018,'CEMI Raw'!$E$6:$E$1018,$A372,'CEMI Raw'!$B$6:$B$1018,2025)</f>
        <v>240.9</v>
      </c>
      <c r="F372" s="21" t="n">
        <f aca="false">SUMIFS('CEMI Raw'!$C$6:$C$1018,'CEMI Raw'!$E$6:$E$1018,$A372,'CEMI Raw'!$B$6:$B$1018,2026)</f>
        <v>0</v>
      </c>
      <c r="G372" s="22" t="n">
        <f aca="false">SUMIFS('CEMI Raw'!$D$6:$D$1018,'CEMI Raw'!$E$6:$E$1018,$A372,'CEMI Raw'!$B$6:$B$1018,2026)</f>
        <v>0</v>
      </c>
      <c r="H372" s="21" t="n">
        <f aca="false">SUMIFS('SALES Raw'!$C$6:$C$603,'SALES Raw'!$E$6:$E$603,$A372,'SALES Raw'!$B$6:$B$603,2025)</f>
        <v>0</v>
      </c>
      <c r="I372" s="22" t="n">
        <f aca="false">SUMIFS('SALES Raw'!$D$6:$D$603,'SALES Raw'!$E$6:$E$603,$A372,'SALES Raw'!$B$6:$B$603,2025)</f>
        <v>0</v>
      </c>
      <c r="J372" s="21" t="n">
        <f aca="false">SUMIFS('SALES Raw'!$C$6:$C$603,'SALES Raw'!$E$6:$E$603,$A372,'SALES Raw'!$B$6:$B$603,2026)</f>
        <v>0</v>
      </c>
      <c r="K372" s="22" t="n">
        <f aca="false">SUMIFS('SALES Raw'!$D$6:$D$603,'SALES Raw'!$E$6:$E$603,$A372,'SALES Raw'!$B$6:$B$603,2026)</f>
        <v>0</v>
      </c>
      <c r="L372" s="21" t="n">
        <f aca="false">D372+H372</f>
        <v>8</v>
      </c>
      <c r="M372" s="22" t="n">
        <f aca="false">E372+I372</f>
        <v>240.9</v>
      </c>
      <c r="N372" s="21" t="n">
        <f aca="false">F372+J372</f>
        <v>0</v>
      </c>
      <c r="O372" s="22" t="n">
        <f aca="false">G372+K372</f>
        <v>0</v>
      </c>
    </row>
    <row r="373" customFormat="false" ht="15" hidden="false" customHeight="false" outlineLevel="0" collapsed="false">
      <c r="A373" s="20" t="n">
        <v>4413326</v>
      </c>
      <c r="B373" s="20" t="str">
        <f aca="false">IFERROR(INDEX('Catalog'!$B:$B,MATCH($A373,'Catalog'!$A:$A,0)),"")</f>
        <v>AC37 מגן קרסול נושם</v>
      </c>
      <c r="C373" s="20" t="str">
        <f aca="false">IFERROR(INDEX('TRANS'!$A:$A,MATCH($A373,'TRANS'!$B:$B,0)),"")</f>
        <v>AC37 0</v>
      </c>
      <c r="D373" s="21" t="n">
        <f aca="false">SUMIFS('CEMI Raw'!$C$6:$C$1018,'CEMI Raw'!$E$6:$E$1018,$A373,'CEMI Raw'!$B$6:$B$1018,2025)</f>
        <v>374</v>
      </c>
      <c r="E373" s="22" t="n">
        <f aca="false">SUMIFS('CEMI Raw'!$D$6:$D$1018,'CEMI Raw'!$E$6:$E$1018,$A373,'CEMI Raw'!$B$6:$B$1018,2025)</f>
        <v>11800.7</v>
      </c>
      <c r="F373" s="21" t="n">
        <f aca="false">SUMIFS('CEMI Raw'!$C$6:$C$1018,'CEMI Raw'!$E$6:$E$1018,$A373,'CEMI Raw'!$B$6:$B$1018,2026)</f>
        <v>335</v>
      </c>
      <c r="G373" s="22" t="n">
        <f aca="false">SUMIFS('CEMI Raw'!$D$6:$D$1018,'CEMI Raw'!$E$6:$E$1018,$A373,'CEMI Raw'!$B$6:$B$1018,2026)</f>
        <v>11099</v>
      </c>
      <c r="H373" s="21" t="n">
        <f aca="false">SUMIFS('SALES Raw'!$C$6:$C$603,'SALES Raw'!$E$6:$E$603,$A373,'SALES Raw'!$B$6:$B$603,2025)</f>
        <v>7</v>
      </c>
      <c r="I373" s="22" t="n">
        <f aca="false">SUMIFS('SALES Raw'!$D$6:$D$603,'SALES Raw'!$E$6:$E$603,$A373,'SALES Raw'!$B$6:$B$603,2025)</f>
        <v>246.76</v>
      </c>
      <c r="J373" s="21" t="n">
        <f aca="false">SUMIFS('SALES Raw'!$C$6:$C$603,'SALES Raw'!$E$6:$E$603,$A373,'SALES Raw'!$B$6:$B$603,2026)</f>
        <v>8</v>
      </c>
      <c r="K373" s="22" t="n">
        <f aca="false">SUMIFS('SALES Raw'!$D$6:$D$603,'SALES Raw'!$E$6:$E$603,$A373,'SALES Raw'!$B$6:$B$603,2026)</f>
        <v>299.63</v>
      </c>
      <c r="L373" s="21" t="n">
        <f aca="false">D373+H373</f>
        <v>381</v>
      </c>
      <c r="M373" s="22" t="n">
        <f aca="false">E373+I373</f>
        <v>12047.46</v>
      </c>
      <c r="N373" s="21" t="n">
        <f aca="false">F373+J373</f>
        <v>343</v>
      </c>
      <c r="O373" s="22" t="n">
        <f aca="false">G373+K373</f>
        <v>11398.63</v>
      </c>
    </row>
    <row r="374" customFormat="false" ht="15" hidden="false" customHeight="false" outlineLevel="0" collapsed="false">
      <c r="A374" s="20" t="n">
        <v>4413328</v>
      </c>
      <c r="B374" s="20" t="str">
        <f aca="false">IFERROR(INDEX('Catalog'!$B:$B,MATCH($A374,'Catalog'!$A:$A,0)),"")</f>
        <v>AC43D מגן ברך + צירים</v>
      </c>
      <c r="C374" s="20" t="str">
        <f aca="false">IFERROR(INDEX('TRANS'!$A:$A,MATCH($A374,'TRANS'!$B:$B,0)),"")</f>
        <v>AC43D 0</v>
      </c>
      <c r="D374" s="21" t="n">
        <f aca="false">SUMIFS('CEMI Raw'!$C$6:$C$1018,'CEMI Raw'!$E$6:$E$1018,$A374,'CEMI Raw'!$B$6:$B$1018,2025)</f>
        <v>103</v>
      </c>
      <c r="E374" s="22" t="n">
        <f aca="false">SUMIFS('CEMI Raw'!$D$6:$D$1018,'CEMI Raw'!$E$6:$E$1018,$A374,'CEMI Raw'!$B$6:$B$1018,2025)</f>
        <v>9674.1</v>
      </c>
      <c r="F374" s="21" t="n">
        <f aca="false">SUMIFS('CEMI Raw'!$C$6:$C$1018,'CEMI Raw'!$E$6:$E$1018,$A374,'CEMI Raw'!$B$6:$B$1018,2026)</f>
        <v>73</v>
      </c>
      <c r="G374" s="22" t="n">
        <f aca="false">SUMIFS('CEMI Raw'!$D$6:$D$1018,'CEMI Raw'!$E$6:$E$1018,$A374,'CEMI Raw'!$B$6:$B$1018,2026)</f>
        <v>7022.6</v>
      </c>
      <c r="H374" s="21" t="n">
        <f aca="false">SUMIFS('SALES Raw'!$C$6:$C$603,'SALES Raw'!$E$6:$E$603,$A374,'SALES Raw'!$B$6:$B$603,2025)</f>
        <v>15</v>
      </c>
      <c r="I374" s="22" t="n">
        <f aca="false">SUMIFS('SALES Raw'!$D$6:$D$603,'SALES Raw'!$E$6:$E$603,$A374,'SALES Raw'!$B$6:$B$603,2025)</f>
        <v>1434.44</v>
      </c>
      <c r="J374" s="21" t="n">
        <f aca="false">SUMIFS('SALES Raw'!$C$6:$C$603,'SALES Raw'!$E$6:$E$603,$A374,'SALES Raw'!$B$6:$B$603,2026)</f>
        <v>8</v>
      </c>
      <c r="K374" s="22" t="n">
        <f aca="false">SUMIFS('SALES Raw'!$D$6:$D$603,'SALES Raw'!$E$6:$E$603,$A374,'SALES Raw'!$B$6:$B$603,2026)</f>
        <v>824.57</v>
      </c>
      <c r="L374" s="21" t="n">
        <f aca="false">D374+H374</f>
        <v>118</v>
      </c>
      <c r="M374" s="22" t="n">
        <f aca="false">E374+I374</f>
        <v>11108.54</v>
      </c>
      <c r="N374" s="21" t="n">
        <f aca="false">F374+J374</f>
        <v>81</v>
      </c>
      <c r="O374" s="22" t="n">
        <f aca="false">G374+K374</f>
        <v>7847.17</v>
      </c>
    </row>
    <row r="375" customFormat="false" ht="15" hidden="false" customHeight="false" outlineLevel="0" collapsed="false">
      <c r="A375" s="20" t="n">
        <v>4413329</v>
      </c>
      <c r="B375" s="20" t="str">
        <f aca="false">IFERROR(INDEX('Catalog'!$B:$B,MATCH($A375,'Catalog'!$A:$A,0)),"")</f>
        <v>AC45X מגן ברך עם תמיכות</v>
      </c>
      <c r="C375" s="20" t="str">
        <f aca="false">IFERROR(INDEX('TRANS'!$A:$A,MATCH($A375,'TRANS'!$B:$B,0)),"")</f>
        <v>AC45X 0</v>
      </c>
      <c r="D375" s="21" t="n">
        <f aca="false">SUMIFS('CEMI Raw'!$C$6:$C$1018,'CEMI Raw'!$E$6:$E$1018,$A375,'CEMI Raw'!$B$6:$B$1018,2025)</f>
        <v>555</v>
      </c>
      <c r="E375" s="22" t="n">
        <f aca="false">SUMIFS('CEMI Raw'!$D$6:$D$1018,'CEMI Raw'!$E$6:$E$1018,$A375,'CEMI Raw'!$B$6:$B$1018,2025)</f>
        <v>36987</v>
      </c>
      <c r="F375" s="21" t="n">
        <f aca="false">SUMIFS('CEMI Raw'!$C$6:$C$1018,'CEMI Raw'!$E$6:$E$1018,$A375,'CEMI Raw'!$B$6:$B$1018,2026)</f>
        <v>496</v>
      </c>
      <c r="G375" s="22" t="n">
        <f aca="false">SUMIFS('CEMI Raw'!$D$6:$D$1018,'CEMI Raw'!$E$6:$E$1018,$A375,'CEMI Raw'!$B$6:$B$1018,2026)</f>
        <v>33520.5</v>
      </c>
      <c r="H375" s="21" t="n">
        <f aca="false">SUMIFS('SALES Raw'!$C$6:$C$603,'SALES Raw'!$E$6:$E$603,$A375,'SALES Raw'!$B$6:$B$603,2025)</f>
        <v>5</v>
      </c>
      <c r="I375" s="22" t="n">
        <f aca="false">SUMIFS('SALES Raw'!$D$6:$D$603,'SALES Raw'!$E$6:$E$603,$A375,'SALES Raw'!$B$6:$B$603,2025)</f>
        <v>370.66</v>
      </c>
      <c r="J375" s="21" t="n">
        <f aca="false">SUMIFS('SALES Raw'!$C$6:$C$603,'SALES Raw'!$E$6:$E$603,$A375,'SALES Raw'!$B$6:$B$603,2026)</f>
        <v>3</v>
      </c>
      <c r="K375" s="22" t="n">
        <f aca="false">SUMIFS('SALES Raw'!$D$6:$D$603,'SALES Raw'!$E$6:$E$603,$A375,'SALES Raw'!$B$6:$B$603,2026)</f>
        <v>224.85</v>
      </c>
      <c r="L375" s="21" t="n">
        <f aca="false">D375+H375</f>
        <v>560</v>
      </c>
      <c r="M375" s="22" t="n">
        <f aca="false">E375+I375</f>
        <v>37357.66</v>
      </c>
      <c r="N375" s="21" t="n">
        <f aca="false">F375+J375</f>
        <v>499</v>
      </c>
      <c r="O375" s="22" t="n">
        <f aca="false">G375+K375</f>
        <v>33745.35</v>
      </c>
    </row>
    <row r="376" customFormat="false" ht="15" hidden="false" customHeight="false" outlineLevel="0" collapsed="false">
      <c r="A376" s="20" t="n">
        <v>4413330</v>
      </c>
      <c r="B376" s="20" t="str">
        <f aca="false">IFERROR(INDEX('Catalog'!$B:$B,MATCH($A376,'Catalog'!$A:$A,0)),"")</f>
        <v>AC49 מגן ירך</v>
      </c>
      <c r="C376" s="20" t="str">
        <f aca="false">IFERROR(INDEX('TRANS'!$A:$A,MATCH($A376,'TRANS'!$B:$B,0)),"")</f>
        <v>AC49 0</v>
      </c>
      <c r="D376" s="21" t="n">
        <f aca="false">SUMIFS('CEMI Raw'!$C$6:$C$1018,'CEMI Raw'!$E$6:$E$1018,$A376,'CEMI Raw'!$B$6:$B$1018,2025)</f>
        <v>21</v>
      </c>
      <c r="E376" s="22" t="n">
        <f aca="false">SUMIFS('CEMI Raw'!$D$6:$D$1018,'CEMI Raw'!$E$6:$E$1018,$A376,'CEMI Raw'!$B$6:$B$1018,2025)</f>
        <v>1201.4</v>
      </c>
      <c r="F376" s="21" t="n">
        <f aca="false">SUMIFS('CEMI Raw'!$C$6:$C$1018,'CEMI Raw'!$E$6:$E$1018,$A376,'CEMI Raw'!$B$6:$B$1018,2026)</f>
        <v>22</v>
      </c>
      <c r="G376" s="22" t="n">
        <f aca="false">SUMIFS('CEMI Raw'!$D$6:$D$1018,'CEMI Raw'!$E$6:$E$1018,$A376,'CEMI Raw'!$B$6:$B$1018,2026)</f>
        <v>1335.3</v>
      </c>
      <c r="H376" s="21" t="n">
        <f aca="false">SUMIFS('SALES Raw'!$C$6:$C$603,'SALES Raw'!$E$6:$E$603,$A376,'SALES Raw'!$B$6:$B$603,2025)</f>
        <v>1</v>
      </c>
      <c r="I376" s="22" t="n">
        <f aca="false">SUMIFS('SALES Raw'!$D$6:$D$603,'SALES Raw'!$E$6:$E$603,$A376,'SALES Raw'!$B$6:$B$603,2025)</f>
        <v>61.82</v>
      </c>
      <c r="J376" s="21" t="n">
        <f aca="false">SUMIFS('SALES Raw'!$C$6:$C$603,'SALES Raw'!$E$6:$E$603,$A376,'SALES Raw'!$B$6:$B$603,2026)</f>
        <v>4</v>
      </c>
      <c r="K376" s="22" t="n">
        <f aca="false">SUMIFS('SALES Raw'!$D$6:$D$603,'SALES Raw'!$E$6:$E$603,$A376,'SALES Raw'!$B$6:$B$603,2026)</f>
        <v>247.28</v>
      </c>
      <c r="L376" s="21" t="n">
        <f aca="false">D376+H376</f>
        <v>22</v>
      </c>
      <c r="M376" s="22" t="n">
        <f aca="false">E376+I376</f>
        <v>1263.22</v>
      </c>
      <c r="N376" s="21" t="n">
        <f aca="false">F376+J376</f>
        <v>26</v>
      </c>
      <c r="O376" s="22" t="n">
        <f aca="false">G376+K376</f>
        <v>1582.58</v>
      </c>
    </row>
    <row r="377" customFormat="false" ht="15" hidden="false" customHeight="false" outlineLevel="0" collapsed="false">
      <c r="A377" s="20" t="n">
        <v>4413331</v>
      </c>
      <c r="B377" s="20" t="str">
        <f aca="false">IFERROR(INDEX('Catalog'!$B:$B,MATCH($A377,'Catalog'!$A:$A,0)),"")</f>
        <v>AC95 מגן מרפק</v>
      </c>
      <c r="C377" s="20" t="str">
        <f aca="false">IFERROR(INDEX('TRANS'!$A:$A,MATCH($A377,'TRANS'!$B:$B,0)),"")</f>
        <v>AC95 0</v>
      </c>
      <c r="D377" s="21" t="n">
        <f aca="false">SUMIFS('CEMI Raw'!$C$6:$C$1018,'CEMI Raw'!$E$6:$E$1018,$A377,'CEMI Raw'!$B$6:$B$1018,2025)</f>
        <v>231</v>
      </c>
      <c r="E377" s="22" t="n">
        <f aca="false">SUMIFS('CEMI Raw'!$D$6:$D$1018,'CEMI Raw'!$E$6:$E$1018,$A377,'CEMI Raw'!$B$6:$B$1018,2025)</f>
        <v>8400.9</v>
      </c>
      <c r="F377" s="21" t="n">
        <f aca="false">SUMIFS('CEMI Raw'!$C$6:$C$1018,'CEMI Raw'!$E$6:$E$1018,$A377,'CEMI Raw'!$B$6:$B$1018,2026)</f>
        <v>158</v>
      </c>
      <c r="G377" s="22" t="n">
        <f aca="false">SUMIFS('CEMI Raw'!$D$6:$D$1018,'CEMI Raw'!$E$6:$E$1018,$A377,'CEMI Raw'!$B$6:$B$1018,2026)</f>
        <v>5971.7</v>
      </c>
      <c r="H377" s="21" t="n">
        <f aca="false">SUMIFS('SALES Raw'!$C$6:$C$603,'SALES Raw'!$E$6:$E$603,$A377,'SALES Raw'!$B$6:$B$603,2025)</f>
        <v>15</v>
      </c>
      <c r="I377" s="22" t="n">
        <f aca="false">SUMIFS('SALES Raw'!$D$6:$D$603,'SALES Raw'!$E$6:$E$603,$A377,'SALES Raw'!$B$6:$B$603,2025)</f>
        <v>577.37</v>
      </c>
      <c r="J377" s="21" t="n">
        <f aca="false">SUMIFS('SALES Raw'!$C$6:$C$603,'SALES Raw'!$E$6:$E$603,$A377,'SALES Raw'!$B$6:$B$603,2026)</f>
        <v>2</v>
      </c>
      <c r="K377" s="22" t="n">
        <f aca="false">SUMIFS('SALES Raw'!$D$6:$D$603,'SALES Raw'!$E$6:$E$603,$A377,'SALES Raw'!$B$6:$B$603,2026)</f>
        <v>84.26</v>
      </c>
      <c r="L377" s="21" t="n">
        <f aca="false">D377+H377</f>
        <v>246</v>
      </c>
      <c r="M377" s="22" t="n">
        <f aca="false">E377+I377</f>
        <v>8978.27</v>
      </c>
      <c r="N377" s="21" t="n">
        <f aca="false">F377+J377</f>
        <v>160</v>
      </c>
      <c r="O377" s="22" t="n">
        <f aca="false">G377+K377</f>
        <v>6055.96</v>
      </c>
    </row>
    <row r="378" customFormat="false" ht="15" hidden="false" customHeight="false" outlineLevel="0" collapsed="false">
      <c r="A378" s="20" t="n">
        <v>4413332</v>
      </c>
      <c r="B378" s="20" t="str">
        <f aca="false">IFERROR(INDEX('Catalog'!$B:$B,MATCH($A378,'Catalog'!$A:$A,0)),"")</f>
        <v>45  XS מגן ברך רגיל לבן</v>
      </c>
      <c r="C378" s="20" t="str">
        <f aca="false">IFERROR(INDEX('TRANS'!$A:$A,MATCH($A378,'TRANS'!$B:$B,0)),"")</f>
        <v>45 XS</v>
      </c>
      <c r="D378" s="21" t="n">
        <f aca="false">SUMIFS('CEMI Raw'!$C$6:$C$1018,'CEMI Raw'!$E$6:$E$1018,$A378,'CEMI Raw'!$B$6:$B$1018,2025)</f>
        <v>5</v>
      </c>
      <c r="E378" s="22" t="n">
        <f aca="false">SUMIFS('CEMI Raw'!$D$6:$D$1018,'CEMI Raw'!$E$6:$E$1018,$A378,'CEMI Raw'!$B$6:$B$1018,2025)</f>
        <v>146.2</v>
      </c>
      <c r="F378" s="21" t="n">
        <f aca="false">SUMIFS('CEMI Raw'!$C$6:$C$1018,'CEMI Raw'!$E$6:$E$1018,$A378,'CEMI Raw'!$B$6:$B$1018,2026)</f>
        <v>7</v>
      </c>
      <c r="G378" s="22" t="n">
        <f aca="false">SUMIFS('CEMI Raw'!$D$6:$D$1018,'CEMI Raw'!$E$6:$E$1018,$A378,'CEMI Raw'!$B$6:$B$1018,2026)</f>
        <v>195.6</v>
      </c>
      <c r="H378" s="21" t="n">
        <f aca="false">SUMIFS('SALES Raw'!$C$6:$C$603,'SALES Raw'!$E$6:$E$603,$A378,'SALES Raw'!$B$6:$B$603,2025)</f>
        <v>1</v>
      </c>
      <c r="I378" s="22" t="n">
        <f aca="false">SUMIFS('SALES Raw'!$D$6:$D$603,'SALES Raw'!$E$6:$E$603,$A378,'SALES Raw'!$B$6:$B$603,2025)</f>
        <v>29.74</v>
      </c>
      <c r="J378" s="21" t="n">
        <f aca="false">SUMIFS('SALES Raw'!$C$6:$C$603,'SALES Raw'!$E$6:$E$603,$A378,'SALES Raw'!$B$6:$B$603,2026)</f>
        <v>1</v>
      </c>
      <c r="K378" s="22" t="n">
        <f aca="false">SUMIFS('SALES Raw'!$D$6:$D$603,'SALES Raw'!$E$6:$E$603,$A378,'SALES Raw'!$B$6:$B$603,2026)</f>
        <v>30.89</v>
      </c>
      <c r="L378" s="21" t="n">
        <f aca="false">D378+H378</f>
        <v>6</v>
      </c>
      <c r="M378" s="22" t="n">
        <f aca="false">E378+I378</f>
        <v>175.94</v>
      </c>
      <c r="N378" s="21" t="n">
        <f aca="false">F378+J378</f>
        <v>8</v>
      </c>
      <c r="O378" s="22" t="n">
        <f aca="false">G378+K378</f>
        <v>226.49</v>
      </c>
    </row>
    <row r="379" customFormat="false" ht="15" hidden="false" customHeight="false" outlineLevel="0" collapsed="false">
      <c r="A379" s="20" t="n">
        <v>4413335</v>
      </c>
      <c r="B379" s="20" t="str">
        <f aca="false">IFERROR(INDEX('Catalog'!$B:$B,MATCH($A379,'Catalog'!$A:$A,0)),"")</f>
        <v>322-S מגן קרסול+כרית סילקון</v>
      </c>
      <c r="C379" s="20" t="str">
        <f aca="false">IFERROR(INDEX('TRANS'!$A:$A,MATCH($A379,'TRANS'!$B:$B,0)),"")</f>
        <v/>
      </c>
      <c r="D379" s="21" t="n">
        <f aca="false">SUMIFS('CEMI Raw'!$C$6:$C$1018,'CEMI Raw'!$E$6:$E$1018,$A379,'CEMI Raw'!$B$6:$B$1018,2025)</f>
        <v>2</v>
      </c>
      <c r="E379" s="22" t="n">
        <f aca="false">SUMIFS('CEMI Raw'!$D$6:$D$1018,'CEMI Raw'!$E$6:$E$1018,$A379,'CEMI Raw'!$B$6:$B$1018,2025)</f>
        <v>255.5</v>
      </c>
      <c r="F379" s="21" t="n">
        <f aca="false">SUMIFS('CEMI Raw'!$C$6:$C$1018,'CEMI Raw'!$E$6:$E$1018,$A379,'CEMI Raw'!$B$6:$B$1018,2026)</f>
        <v>0</v>
      </c>
      <c r="G379" s="22" t="n">
        <f aca="false">SUMIFS('CEMI Raw'!$D$6:$D$1018,'CEMI Raw'!$E$6:$E$1018,$A379,'CEMI Raw'!$B$6:$B$1018,2026)</f>
        <v>0</v>
      </c>
      <c r="H379" s="21" t="n">
        <f aca="false">SUMIFS('SALES Raw'!$C$6:$C$603,'SALES Raw'!$E$6:$E$603,$A379,'SALES Raw'!$B$6:$B$603,2025)</f>
        <v>0</v>
      </c>
      <c r="I379" s="22" t="n">
        <f aca="false">SUMIFS('SALES Raw'!$D$6:$D$603,'SALES Raw'!$E$6:$E$603,$A379,'SALES Raw'!$B$6:$B$603,2025)</f>
        <v>0</v>
      </c>
      <c r="J379" s="21" t="n">
        <f aca="false">SUMIFS('SALES Raw'!$C$6:$C$603,'SALES Raw'!$E$6:$E$603,$A379,'SALES Raw'!$B$6:$B$603,2026)</f>
        <v>0</v>
      </c>
      <c r="K379" s="22" t="n">
        <f aca="false">SUMIFS('SALES Raw'!$D$6:$D$603,'SALES Raw'!$E$6:$E$603,$A379,'SALES Raw'!$B$6:$B$603,2026)</f>
        <v>0</v>
      </c>
      <c r="L379" s="21" t="n">
        <f aca="false">D379+H379</f>
        <v>2</v>
      </c>
      <c r="M379" s="22" t="n">
        <f aca="false">E379+I379</f>
        <v>255.5</v>
      </c>
      <c r="N379" s="21" t="n">
        <f aca="false">F379+J379</f>
        <v>0</v>
      </c>
      <c r="O379" s="22" t="n">
        <f aca="false">G379+K379</f>
        <v>0</v>
      </c>
    </row>
    <row r="380" customFormat="false" ht="15" hidden="false" customHeight="false" outlineLevel="0" collapsed="false">
      <c r="A380" s="20" t="n">
        <v>4413336</v>
      </c>
      <c r="B380" s="20" t="str">
        <f aca="false">IFERROR(INDEX('Catalog'!$B:$B,MATCH($A380,'Catalog'!$A:$A,0)),"")</f>
        <v>322-M מגן קרסול+כרית סילקון</v>
      </c>
      <c r="C380" s="20" t="str">
        <f aca="false">IFERROR(INDEX('TRANS'!$A:$A,MATCH($A380,'TRANS'!$B:$B,0)),"")</f>
        <v/>
      </c>
      <c r="D380" s="21" t="n">
        <f aca="false">SUMIFS('CEMI Raw'!$C$6:$C$1018,'CEMI Raw'!$E$6:$E$1018,$A380,'CEMI Raw'!$B$6:$B$1018,2025)</f>
        <v>1</v>
      </c>
      <c r="E380" s="22" t="n">
        <f aca="false">SUMIFS('CEMI Raw'!$D$6:$D$1018,'CEMI Raw'!$E$6:$E$1018,$A380,'CEMI Raw'!$B$6:$B$1018,2025)</f>
        <v>127.9</v>
      </c>
      <c r="F380" s="21" t="n">
        <f aca="false">SUMIFS('CEMI Raw'!$C$6:$C$1018,'CEMI Raw'!$E$6:$E$1018,$A380,'CEMI Raw'!$B$6:$B$1018,2026)</f>
        <v>0</v>
      </c>
      <c r="G380" s="22" t="n">
        <f aca="false">SUMIFS('CEMI Raw'!$D$6:$D$1018,'CEMI Raw'!$E$6:$E$1018,$A380,'CEMI Raw'!$B$6:$B$1018,2026)</f>
        <v>0</v>
      </c>
      <c r="H380" s="21" t="n">
        <f aca="false">SUMIFS('SALES Raw'!$C$6:$C$603,'SALES Raw'!$E$6:$E$603,$A380,'SALES Raw'!$B$6:$B$603,2025)</f>
        <v>0</v>
      </c>
      <c r="I380" s="22" t="n">
        <f aca="false">SUMIFS('SALES Raw'!$D$6:$D$603,'SALES Raw'!$E$6:$E$603,$A380,'SALES Raw'!$B$6:$B$603,2025)</f>
        <v>0</v>
      </c>
      <c r="J380" s="21" t="n">
        <f aca="false">SUMIFS('SALES Raw'!$C$6:$C$603,'SALES Raw'!$E$6:$E$603,$A380,'SALES Raw'!$B$6:$B$603,2026)</f>
        <v>0</v>
      </c>
      <c r="K380" s="22" t="n">
        <f aca="false">SUMIFS('SALES Raw'!$D$6:$D$603,'SALES Raw'!$E$6:$E$603,$A380,'SALES Raw'!$B$6:$B$603,2026)</f>
        <v>0</v>
      </c>
      <c r="L380" s="21" t="n">
        <f aca="false">D380+H380</f>
        <v>1</v>
      </c>
      <c r="M380" s="22" t="n">
        <f aca="false">E380+I380</f>
        <v>127.9</v>
      </c>
      <c r="N380" s="21" t="n">
        <f aca="false">F380+J380</f>
        <v>0</v>
      </c>
      <c r="O380" s="22" t="n">
        <f aca="false">G380+K380</f>
        <v>0</v>
      </c>
    </row>
    <row r="381" customFormat="false" ht="15" hidden="false" customHeight="false" outlineLevel="0" collapsed="false">
      <c r="A381" s="20" t="n">
        <v>4413337</v>
      </c>
      <c r="B381" s="20" t="str">
        <f aca="false">IFERROR(INDEX('Catalog'!$B:$B,MATCH($A381,'Catalog'!$A:$A,0)),"")</f>
        <v>322XL מגן קרסול+כרית סילקון</v>
      </c>
      <c r="C381" s="20" t="str">
        <f aca="false">IFERROR(INDEX('TRANS'!$A:$A,MATCH($A381,'TRANS'!$B:$B,0)),"")</f>
        <v>322 XL</v>
      </c>
      <c r="D381" s="21" t="n">
        <f aca="false">SUMIFS('CEMI Raw'!$C$6:$C$1018,'CEMI Raw'!$E$6:$E$1018,$A381,'CEMI Raw'!$B$6:$B$1018,2025)</f>
        <v>0</v>
      </c>
      <c r="E381" s="22" t="n">
        <f aca="false">SUMIFS('CEMI Raw'!$D$6:$D$1018,'CEMI Raw'!$E$6:$E$1018,$A381,'CEMI Raw'!$B$6:$B$1018,2025)</f>
        <v>0</v>
      </c>
      <c r="F381" s="21" t="n">
        <f aca="false">SUMIFS('CEMI Raw'!$C$6:$C$1018,'CEMI Raw'!$E$6:$E$1018,$A381,'CEMI Raw'!$B$6:$B$1018,2026)</f>
        <v>5</v>
      </c>
      <c r="G381" s="22" t="n">
        <f aca="false">SUMIFS('CEMI Raw'!$D$6:$D$1018,'CEMI Raw'!$E$6:$E$1018,$A381,'CEMI Raw'!$B$6:$B$1018,2026)</f>
        <v>639.6</v>
      </c>
      <c r="H381" s="21" t="n">
        <f aca="false">SUMIFS('SALES Raw'!$C$6:$C$603,'SALES Raw'!$E$6:$E$603,$A381,'SALES Raw'!$B$6:$B$603,2025)</f>
        <v>0</v>
      </c>
      <c r="I381" s="22" t="n">
        <f aca="false">SUMIFS('SALES Raw'!$D$6:$D$603,'SALES Raw'!$E$6:$E$603,$A381,'SALES Raw'!$B$6:$B$603,2025)</f>
        <v>0</v>
      </c>
      <c r="J381" s="21" t="n">
        <f aca="false">SUMIFS('SALES Raw'!$C$6:$C$603,'SALES Raw'!$E$6:$E$603,$A381,'SALES Raw'!$B$6:$B$603,2026)</f>
        <v>0</v>
      </c>
      <c r="K381" s="22" t="n">
        <f aca="false">SUMIFS('SALES Raw'!$D$6:$D$603,'SALES Raw'!$E$6:$E$603,$A381,'SALES Raw'!$B$6:$B$603,2026)</f>
        <v>0</v>
      </c>
      <c r="L381" s="21" t="n">
        <f aca="false">D381+H381</f>
        <v>0</v>
      </c>
      <c r="M381" s="22" t="n">
        <f aca="false">E381+I381</f>
        <v>0</v>
      </c>
      <c r="N381" s="21" t="n">
        <f aca="false">F381+J381</f>
        <v>5</v>
      </c>
      <c r="O381" s="22" t="n">
        <f aca="false">G381+K381</f>
        <v>639.6</v>
      </c>
    </row>
    <row r="382" customFormat="false" ht="15" hidden="false" customHeight="false" outlineLevel="0" collapsed="false">
      <c r="A382" s="20" t="n">
        <v>4413338</v>
      </c>
      <c r="B382" s="20" t="str">
        <f aca="false">IFERROR(INDEX('Catalog'!$B:$B,MATCH($A382,'Catalog'!$A:$A,0)),"")</f>
        <v>322XXLמגן קרסול+כרית סילקון</v>
      </c>
      <c r="C382" s="20" t="str">
        <f aca="false">IFERROR(INDEX('TRANS'!$A:$A,MATCH($A382,'TRANS'!$B:$B,0)),"")</f>
        <v/>
      </c>
      <c r="D382" s="21" t="n">
        <f aca="false">SUMIFS('CEMI Raw'!$C$6:$C$1018,'CEMI Raw'!$E$6:$E$1018,$A382,'CEMI Raw'!$B$6:$B$1018,2025)</f>
        <v>1</v>
      </c>
      <c r="E382" s="22" t="n">
        <f aca="false">SUMIFS('CEMI Raw'!$D$6:$D$1018,'CEMI Raw'!$E$6:$E$1018,$A382,'CEMI Raw'!$B$6:$B$1018,2025)</f>
        <v>127.6</v>
      </c>
      <c r="F382" s="21" t="n">
        <f aca="false">SUMIFS('CEMI Raw'!$C$6:$C$1018,'CEMI Raw'!$E$6:$E$1018,$A382,'CEMI Raw'!$B$6:$B$1018,2026)</f>
        <v>0</v>
      </c>
      <c r="G382" s="22" t="n">
        <f aca="false">SUMIFS('CEMI Raw'!$D$6:$D$1018,'CEMI Raw'!$E$6:$E$1018,$A382,'CEMI Raw'!$B$6:$B$1018,2026)</f>
        <v>0</v>
      </c>
      <c r="H382" s="21" t="n">
        <f aca="false">SUMIFS('SALES Raw'!$C$6:$C$603,'SALES Raw'!$E$6:$E$603,$A382,'SALES Raw'!$B$6:$B$603,2025)</f>
        <v>0</v>
      </c>
      <c r="I382" s="22" t="n">
        <f aca="false">SUMIFS('SALES Raw'!$D$6:$D$603,'SALES Raw'!$E$6:$E$603,$A382,'SALES Raw'!$B$6:$B$603,2025)</f>
        <v>0</v>
      </c>
      <c r="J382" s="21" t="n">
        <f aca="false">SUMIFS('SALES Raw'!$C$6:$C$603,'SALES Raw'!$E$6:$E$603,$A382,'SALES Raw'!$B$6:$B$603,2026)</f>
        <v>0</v>
      </c>
      <c r="K382" s="22" t="n">
        <f aca="false">SUMIFS('SALES Raw'!$D$6:$D$603,'SALES Raw'!$E$6:$E$603,$A382,'SALES Raw'!$B$6:$B$603,2026)</f>
        <v>0</v>
      </c>
      <c r="L382" s="21" t="n">
        <f aca="false">D382+H382</f>
        <v>1</v>
      </c>
      <c r="M382" s="22" t="n">
        <f aca="false">E382+I382</f>
        <v>127.6</v>
      </c>
      <c r="N382" s="21" t="n">
        <f aca="false">F382+J382</f>
        <v>0</v>
      </c>
      <c r="O382" s="22" t="n">
        <f aca="false">G382+K382</f>
        <v>0</v>
      </c>
    </row>
    <row r="383" customFormat="false" ht="15" hidden="false" customHeight="false" outlineLevel="0" collapsed="false">
      <c r="A383" s="20" t="n">
        <v>4413339</v>
      </c>
      <c r="B383" s="20" t="str">
        <f aca="false">IFERROR(INDEX('Catalog'!$B:$B,MATCH($A383,'Catalog'!$A:$A,0)),"")</f>
        <v>922XXLמגן מרפק+כרית סילקון</v>
      </c>
      <c r="C383" s="20" t="str">
        <f aca="false">IFERROR(INDEX('TRANS'!$A:$A,MATCH($A383,'TRANS'!$B:$B,0)),"")</f>
        <v/>
      </c>
      <c r="D383" s="21" t="n">
        <f aca="false">SUMIFS('CEMI Raw'!$C$6:$C$1018,'CEMI Raw'!$E$6:$E$1018,$A383,'CEMI Raw'!$B$6:$B$1018,2025)</f>
        <v>0</v>
      </c>
      <c r="E383" s="22" t="n">
        <f aca="false">SUMIFS('CEMI Raw'!$D$6:$D$1018,'CEMI Raw'!$E$6:$E$1018,$A383,'CEMI Raw'!$B$6:$B$1018,2025)</f>
        <v>0</v>
      </c>
      <c r="F383" s="21" t="n">
        <f aca="false">SUMIFS('CEMI Raw'!$C$6:$C$1018,'CEMI Raw'!$E$6:$E$1018,$A383,'CEMI Raw'!$B$6:$B$1018,2026)</f>
        <v>-2</v>
      </c>
      <c r="G383" s="22" t="n">
        <f aca="false">SUMIFS('CEMI Raw'!$D$6:$D$1018,'CEMI Raw'!$E$6:$E$1018,$A383,'CEMI Raw'!$B$6:$B$1018,2026)</f>
        <v>-283.5</v>
      </c>
      <c r="H383" s="21" t="n">
        <f aca="false">SUMIFS('SALES Raw'!$C$6:$C$603,'SALES Raw'!$E$6:$E$603,$A383,'SALES Raw'!$B$6:$B$603,2025)</f>
        <v>0</v>
      </c>
      <c r="I383" s="22" t="n">
        <f aca="false">SUMIFS('SALES Raw'!$D$6:$D$603,'SALES Raw'!$E$6:$E$603,$A383,'SALES Raw'!$B$6:$B$603,2025)</f>
        <v>0</v>
      </c>
      <c r="J383" s="21" t="n">
        <f aca="false">SUMIFS('SALES Raw'!$C$6:$C$603,'SALES Raw'!$E$6:$E$603,$A383,'SALES Raw'!$B$6:$B$603,2026)</f>
        <v>0</v>
      </c>
      <c r="K383" s="22" t="n">
        <f aca="false">SUMIFS('SALES Raw'!$D$6:$D$603,'SALES Raw'!$E$6:$E$603,$A383,'SALES Raw'!$B$6:$B$603,2026)</f>
        <v>0</v>
      </c>
      <c r="L383" s="21" t="n">
        <f aca="false">D383+H383</f>
        <v>0</v>
      </c>
      <c r="M383" s="22" t="n">
        <f aca="false">E383+I383</f>
        <v>0</v>
      </c>
      <c r="N383" s="21" t="n">
        <f aca="false">F383+J383</f>
        <v>-2</v>
      </c>
      <c r="O383" s="22" t="n">
        <f aca="false">G383+K383</f>
        <v>-283.5</v>
      </c>
    </row>
    <row r="384" customFormat="false" ht="15" hidden="false" customHeight="false" outlineLevel="0" collapsed="false">
      <c r="A384" s="20" t="n">
        <v>4413340</v>
      </c>
      <c r="B384" s="20" t="str">
        <f aca="false">IFERROR(INDEX('Catalog'!$B:$B,MATCH($A384,'Catalog'!$A:$A,0)),"")</f>
        <v>3666 מפריד הלוקס</v>
      </c>
      <c r="C384" s="20" t="str">
        <f aca="false">IFERROR(INDEX('TRANS'!$A:$A,MATCH($A384,'TRANS'!$B:$B,0)),"")</f>
        <v>3666 0</v>
      </c>
      <c r="D384" s="21" t="n">
        <f aca="false">SUMIFS('CEMI Raw'!$C$6:$C$1018,'CEMI Raw'!$E$6:$E$1018,$A384,'CEMI Raw'!$B$6:$B$1018,2025)</f>
        <v>14</v>
      </c>
      <c r="E384" s="22" t="n">
        <f aca="false">SUMIFS('CEMI Raw'!$D$6:$D$1018,'CEMI Raw'!$E$6:$E$1018,$A384,'CEMI Raw'!$B$6:$B$1018,2025)</f>
        <v>714.2</v>
      </c>
      <c r="F384" s="21" t="n">
        <f aca="false">SUMIFS('CEMI Raw'!$C$6:$C$1018,'CEMI Raw'!$E$6:$E$1018,$A384,'CEMI Raw'!$B$6:$B$1018,2026)</f>
        <v>20</v>
      </c>
      <c r="G384" s="22" t="n">
        <f aca="false">SUMIFS('CEMI Raw'!$D$6:$D$1018,'CEMI Raw'!$E$6:$E$1018,$A384,'CEMI Raw'!$B$6:$B$1018,2026)</f>
        <v>1261.5</v>
      </c>
      <c r="H384" s="21" t="n">
        <f aca="false">SUMIFS('SALES Raw'!$C$6:$C$603,'SALES Raw'!$E$6:$E$603,$A384,'SALES Raw'!$B$6:$B$603,2025)</f>
        <v>0</v>
      </c>
      <c r="I384" s="22" t="n">
        <f aca="false">SUMIFS('SALES Raw'!$D$6:$D$603,'SALES Raw'!$E$6:$E$603,$A384,'SALES Raw'!$B$6:$B$603,2025)</f>
        <v>0</v>
      </c>
      <c r="J384" s="21" t="n">
        <f aca="false">SUMIFS('SALES Raw'!$C$6:$C$603,'SALES Raw'!$E$6:$E$603,$A384,'SALES Raw'!$B$6:$B$603,2026)</f>
        <v>0</v>
      </c>
      <c r="K384" s="22" t="n">
        <f aca="false">SUMIFS('SALES Raw'!$D$6:$D$603,'SALES Raw'!$E$6:$E$603,$A384,'SALES Raw'!$B$6:$B$603,2026)</f>
        <v>0</v>
      </c>
      <c r="L384" s="21" t="n">
        <f aca="false">D384+H384</f>
        <v>14</v>
      </c>
      <c r="M384" s="22" t="n">
        <f aca="false">E384+I384</f>
        <v>714.2</v>
      </c>
      <c r="N384" s="21" t="n">
        <f aca="false">F384+J384</f>
        <v>20</v>
      </c>
      <c r="O384" s="22" t="n">
        <f aca="false">G384+K384</f>
        <v>1261.5</v>
      </c>
    </row>
    <row r="385" customFormat="false" ht="15" hidden="false" customHeight="false" outlineLevel="0" collapsed="false">
      <c r="A385" s="20" t="n">
        <v>4413341</v>
      </c>
      <c r="B385" s="20" t="str">
        <f aca="false">IFERROR(INDEX('Catalog'!$B:$B,MATCH($A385,'Catalog'!$A:$A,0)),"")</f>
        <v>422N L מ.ברך אפור+כרית סיליקון</v>
      </c>
      <c r="C385" s="20" t="str">
        <f aca="false">IFERROR(INDEX('TRANS'!$A:$A,MATCH($A385,'TRANS'!$B:$B,0)),"")</f>
        <v/>
      </c>
      <c r="D385" s="21" t="n">
        <f aca="false">SUMIFS('CEMI Raw'!$C$6:$C$1018,'CEMI Raw'!$E$6:$E$1018,$A385,'CEMI Raw'!$B$6:$B$1018,2025)</f>
        <v>3</v>
      </c>
      <c r="E385" s="22" t="n">
        <f aca="false">SUMIFS('CEMI Raw'!$D$6:$D$1018,'CEMI Raw'!$E$6:$E$1018,$A385,'CEMI Raw'!$B$6:$B$1018,2025)</f>
        <v>512.4</v>
      </c>
      <c r="F385" s="21" t="n">
        <f aca="false">SUMIFS('CEMI Raw'!$C$6:$C$1018,'CEMI Raw'!$E$6:$E$1018,$A385,'CEMI Raw'!$B$6:$B$1018,2026)</f>
        <v>0</v>
      </c>
      <c r="G385" s="22" t="n">
        <f aca="false">SUMIFS('CEMI Raw'!$D$6:$D$1018,'CEMI Raw'!$E$6:$E$1018,$A385,'CEMI Raw'!$B$6:$B$1018,2026)</f>
        <v>0</v>
      </c>
      <c r="H385" s="21" t="n">
        <f aca="false">SUMIFS('SALES Raw'!$C$6:$C$603,'SALES Raw'!$E$6:$E$603,$A385,'SALES Raw'!$B$6:$B$603,2025)</f>
        <v>0</v>
      </c>
      <c r="I385" s="22" t="n">
        <f aca="false">SUMIFS('SALES Raw'!$D$6:$D$603,'SALES Raw'!$E$6:$E$603,$A385,'SALES Raw'!$B$6:$B$603,2025)</f>
        <v>0</v>
      </c>
      <c r="J385" s="21" t="n">
        <f aca="false">SUMIFS('SALES Raw'!$C$6:$C$603,'SALES Raw'!$E$6:$E$603,$A385,'SALES Raw'!$B$6:$B$603,2026)</f>
        <v>0</v>
      </c>
      <c r="K385" s="22" t="n">
        <f aca="false">SUMIFS('SALES Raw'!$D$6:$D$603,'SALES Raw'!$E$6:$E$603,$A385,'SALES Raw'!$B$6:$B$603,2026)</f>
        <v>0</v>
      </c>
      <c r="L385" s="21" t="n">
        <f aca="false">D385+H385</f>
        <v>3</v>
      </c>
      <c r="M385" s="22" t="n">
        <f aca="false">E385+I385</f>
        <v>512.4</v>
      </c>
      <c r="N385" s="21" t="n">
        <f aca="false">F385+J385</f>
        <v>0</v>
      </c>
      <c r="O385" s="22" t="n">
        <f aca="false">G385+K385</f>
        <v>0</v>
      </c>
    </row>
    <row r="386" customFormat="false" ht="15" hidden="false" customHeight="false" outlineLevel="0" collapsed="false">
      <c r="A386" s="20" t="n">
        <v>4413342</v>
      </c>
      <c r="B386" s="20" t="str">
        <f aca="false">IFERROR(INDEX('Catalog'!$B:$B,MATCH($A386,'Catalog'!$A:$A,0)),"")</f>
        <v>422N M מ.ברך אפור+כרית סיליקון</v>
      </c>
      <c r="C386" s="20" t="str">
        <f aca="false">IFERROR(INDEX('TRANS'!$A:$A,MATCH($A386,'TRANS'!$B:$B,0)),"")</f>
        <v/>
      </c>
      <c r="D386" s="21" t="n">
        <f aca="false">SUMIFS('CEMI Raw'!$C$6:$C$1018,'CEMI Raw'!$E$6:$E$1018,$A386,'CEMI Raw'!$B$6:$B$1018,2025)</f>
        <v>4</v>
      </c>
      <c r="E386" s="22" t="n">
        <f aca="false">SUMIFS('CEMI Raw'!$D$6:$D$1018,'CEMI Raw'!$E$6:$E$1018,$A386,'CEMI Raw'!$B$6:$B$1018,2025)</f>
        <v>685.1</v>
      </c>
      <c r="F386" s="21" t="n">
        <f aca="false">SUMIFS('CEMI Raw'!$C$6:$C$1018,'CEMI Raw'!$E$6:$E$1018,$A386,'CEMI Raw'!$B$6:$B$1018,2026)</f>
        <v>0</v>
      </c>
      <c r="G386" s="22" t="n">
        <f aca="false">SUMIFS('CEMI Raw'!$D$6:$D$1018,'CEMI Raw'!$E$6:$E$1018,$A386,'CEMI Raw'!$B$6:$B$1018,2026)</f>
        <v>0</v>
      </c>
      <c r="H386" s="21" t="n">
        <f aca="false">SUMIFS('SALES Raw'!$C$6:$C$603,'SALES Raw'!$E$6:$E$603,$A386,'SALES Raw'!$B$6:$B$603,2025)</f>
        <v>0</v>
      </c>
      <c r="I386" s="22" t="n">
        <f aca="false">SUMIFS('SALES Raw'!$D$6:$D$603,'SALES Raw'!$E$6:$E$603,$A386,'SALES Raw'!$B$6:$B$603,2025)</f>
        <v>0</v>
      </c>
      <c r="J386" s="21" t="n">
        <f aca="false">SUMIFS('SALES Raw'!$C$6:$C$603,'SALES Raw'!$E$6:$E$603,$A386,'SALES Raw'!$B$6:$B$603,2026)</f>
        <v>0</v>
      </c>
      <c r="K386" s="22" t="n">
        <f aca="false">SUMIFS('SALES Raw'!$D$6:$D$603,'SALES Raw'!$E$6:$E$603,$A386,'SALES Raw'!$B$6:$B$603,2026)</f>
        <v>0</v>
      </c>
      <c r="L386" s="21" t="n">
        <f aca="false">D386+H386</f>
        <v>4</v>
      </c>
      <c r="M386" s="22" t="n">
        <f aca="false">E386+I386</f>
        <v>685.1</v>
      </c>
      <c r="N386" s="21" t="n">
        <f aca="false">F386+J386</f>
        <v>0</v>
      </c>
      <c r="O386" s="22" t="n">
        <f aca="false">G386+K386</f>
        <v>0</v>
      </c>
    </row>
    <row r="387" customFormat="false" ht="15" hidden="false" customHeight="false" outlineLevel="0" collapsed="false">
      <c r="A387" s="20" t="n">
        <v>4413344</v>
      </c>
      <c r="B387" s="20" t="str">
        <f aca="false">IFERROR(INDEX('Catalog'!$B:$B,MATCH($A387,'Catalog'!$A:$A,0)),"")</f>
        <v>422N XLמ.ברך אפור+כרית סיליקון</v>
      </c>
      <c r="C387" s="20" t="str">
        <f aca="false">IFERROR(INDEX('TRANS'!$A:$A,MATCH($A387,'TRANS'!$B:$B,0)),"")</f>
        <v/>
      </c>
      <c r="D387" s="21" t="n">
        <f aca="false">SUMIFS('CEMI Raw'!$C$6:$C$1018,'CEMI Raw'!$E$6:$E$1018,$A387,'CEMI Raw'!$B$6:$B$1018,2025)</f>
        <v>1</v>
      </c>
      <c r="E387" s="22" t="n">
        <f aca="false">SUMIFS('CEMI Raw'!$D$6:$D$1018,'CEMI Raw'!$E$6:$E$1018,$A387,'CEMI Raw'!$B$6:$B$1018,2025)</f>
        <v>175</v>
      </c>
      <c r="F387" s="21" t="n">
        <f aca="false">SUMIFS('CEMI Raw'!$C$6:$C$1018,'CEMI Raw'!$E$6:$E$1018,$A387,'CEMI Raw'!$B$6:$B$1018,2026)</f>
        <v>0</v>
      </c>
      <c r="G387" s="22" t="n">
        <f aca="false">SUMIFS('CEMI Raw'!$D$6:$D$1018,'CEMI Raw'!$E$6:$E$1018,$A387,'CEMI Raw'!$B$6:$B$1018,2026)</f>
        <v>0</v>
      </c>
      <c r="H387" s="21" t="n">
        <f aca="false">SUMIFS('SALES Raw'!$C$6:$C$603,'SALES Raw'!$E$6:$E$603,$A387,'SALES Raw'!$B$6:$B$603,2025)</f>
        <v>0</v>
      </c>
      <c r="I387" s="22" t="n">
        <f aca="false">SUMIFS('SALES Raw'!$D$6:$D$603,'SALES Raw'!$E$6:$E$603,$A387,'SALES Raw'!$B$6:$B$603,2025)</f>
        <v>0</v>
      </c>
      <c r="J387" s="21" t="n">
        <f aca="false">SUMIFS('SALES Raw'!$C$6:$C$603,'SALES Raw'!$E$6:$E$603,$A387,'SALES Raw'!$B$6:$B$603,2026)</f>
        <v>0</v>
      </c>
      <c r="K387" s="22" t="n">
        <f aca="false">SUMIFS('SALES Raw'!$D$6:$D$603,'SALES Raw'!$E$6:$E$603,$A387,'SALES Raw'!$B$6:$B$603,2026)</f>
        <v>0</v>
      </c>
      <c r="L387" s="21" t="n">
        <f aca="false">D387+H387</f>
        <v>1</v>
      </c>
      <c r="M387" s="22" t="n">
        <f aca="false">E387+I387</f>
        <v>175</v>
      </c>
      <c r="N387" s="21" t="n">
        <f aca="false">F387+J387</f>
        <v>0</v>
      </c>
      <c r="O387" s="22" t="n">
        <f aca="false">G387+K387</f>
        <v>0</v>
      </c>
    </row>
    <row r="388" customFormat="false" ht="15" hidden="false" customHeight="false" outlineLevel="0" collapsed="false">
      <c r="A388" s="20" t="n">
        <v>4413345</v>
      </c>
      <c r="B388" s="20" t="str">
        <f aca="false">IFERROR(INDEX('Catalog'!$B:$B,MATCH($A388,'Catalog'!$A:$A,0)),"")</f>
        <v>422N XXL.מ.ברך אפור+כרית סיליק</v>
      </c>
      <c r="C388" s="20" t="str">
        <f aca="false">IFERROR(INDEX('TRANS'!$A:$A,MATCH($A388,'TRANS'!$B:$B,0)),"")</f>
        <v/>
      </c>
      <c r="D388" s="21" t="n">
        <f aca="false">SUMIFS('CEMI Raw'!$C$6:$C$1018,'CEMI Raw'!$E$6:$E$1018,$A388,'CEMI Raw'!$B$6:$B$1018,2025)</f>
        <v>3</v>
      </c>
      <c r="E388" s="22" t="n">
        <f aca="false">SUMIFS('CEMI Raw'!$D$6:$D$1018,'CEMI Raw'!$E$6:$E$1018,$A388,'CEMI Raw'!$B$6:$B$1018,2025)</f>
        <v>524.8</v>
      </c>
      <c r="F388" s="21" t="n">
        <f aca="false">SUMIFS('CEMI Raw'!$C$6:$C$1018,'CEMI Raw'!$E$6:$E$1018,$A388,'CEMI Raw'!$B$6:$B$1018,2026)</f>
        <v>0</v>
      </c>
      <c r="G388" s="22" t="n">
        <f aca="false">SUMIFS('CEMI Raw'!$D$6:$D$1018,'CEMI Raw'!$E$6:$E$1018,$A388,'CEMI Raw'!$B$6:$B$1018,2026)</f>
        <v>0</v>
      </c>
      <c r="H388" s="21" t="n">
        <f aca="false">SUMIFS('SALES Raw'!$C$6:$C$603,'SALES Raw'!$E$6:$E$603,$A388,'SALES Raw'!$B$6:$B$603,2025)</f>
        <v>0</v>
      </c>
      <c r="I388" s="22" t="n">
        <f aca="false">SUMIFS('SALES Raw'!$D$6:$D$603,'SALES Raw'!$E$6:$E$603,$A388,'SALES Raw'!$B$6:$B$603,2025)</f>
        <v>0</v>
      </c>
      <c r="J388" s="21" t="n">
        <f aca="false">SUMIFS('SALES Raw'!$C$6:$C$603,'SALES Raw'!$E$6:$E$603,$A388,'SALES Raw'!$B$6:$B$603,2026)</f>
        <v>0</v>
      </c>
      <c r="K388" s="22" t="n">
        <f aca="false">SUMIFS('SALES Raw'!$D$6:$D$603,'SALES Raw'!$E$6:$E$603,$A388,'SALES Raw'!$B$6:$B$603,2026)</f>
        <v>0</v>
      </c>
      <c r="L388" s="21" t="n">
        <f aca="false">D388+H388</f>
        <v>3</v>
      </c>
      <c r="M388" s="22" t="n">
        <f aca="false">E388+I388</f>
        <v>524.8</v>
      </c>
      <c r="N388" s="21" t="n">
        <f aca="false">F388+J388</f>
        <v>0</v>
      </c>
      <c r="O388" s="22" t="n">
        <f aca="false">G388+K388</f>
        <v>0</v>
      </c>
    </row>
    <row r="389" customFormat="false" ht="15" hidden="false" customHeight="false" outlineLevel="0" collapsed="false">
      <c r="A389" s="20" t="n">
        <v>4413347</v>
      </c>
      <c r="B389" s="20" t="str">
        <f aca="false">IFERROR(INDEX('Catalog'!$B:$B,MATCH($A389,'Catalog'!$A:$A,0)),"")</f>
        <v>322-L מגן קרסול+כרית סילקון</v>
      </c>
      <c r="C389" s="20" t="str">
        <f aca="false">IFERROR(INDEX('TRANS'!$A:$A,MATCH($A389,'TRANS'!$B:$B,0)),"")</f>
        <v>322 L</v>
      </c>
      <c r="D389" s="21" t="n">
        <f aca="false">SUMIFS('CEMI Raw'!$C$6:$C$1018,'CEMI Raw'!$E$6:$E$1018,$A389,'CEMI Raw'!$B$6:$B$1018,2025)</f>
        <v>1</v>
      </c>
      <c r="E389" s="22" t="n">
        <f aca="false">SUMIFS('CEMI Raw'!$D$6:$D$1018,'CEMI Raw'!$E$6:$E$1018,$A389,'CEMI Raw'!$B$6:$B$1018,2025)</f>
        <v>127.9</v>
      </c>
      <c r="F389" s="21" t="n">
        <f aca="false">SUMIFS('CEMI Raw'!$C$6:$C$1018,'CEMI Raw'!$E$6:$E$1018,$A389,'CEMI Raw'!$B$6:$B$1018,2026)</f>
        <v>2</v>
      </c>
      <c r="G389" s="22" t="n">
        <f aca="false">SUMIFS('CEMI Raw'!$D$6:$D$1018,'CEMI Raw'!$E$6:$E$1018,$A389,'CEMI Raw'!$B$6:$B$1018,2026)</f>
        <v>255.8</v>
      </c>
      <c r="H389" s="21" t="n">
        <f aca="false">SUMIFS('SALES Raw'!$C$6:$C$603,'SALES Raw'!$E$6:$E$603,$A389,'SALES Raw'!$B$6:$B$603,2025)</f>
        <v>0</v>
      </c>
      <c r="I389" s="22" t="n">
        <f aca="false">SUMIFS('SALES Raw'!$D$6:$D$603,'SALES Raw'!$E$6:$E$603,$A389,'SALES Raw'!$B$6:$B$603,2025)</f>
        <v>0</v>
      </c>
      <c r="J389" s="21" t="n">
        <f aca="false">SUMIFS('SALES Raw'!$C$6:$C$603,'SALES Raw'!$E$6:$E$603,$A389,'SALES Raw'!$B$6:$B$603,2026)</f>
        <v>0</v>
      </c>
      <c r="K389" s="22" t="n">
        <f aca="false">SUMIFS('SALES Raw'!$D$6:$D$603,'SALES Raw'!$E$6:$E$603,$A389,'SALES Raw'!$B$6:$B$603,2026)</f>
        <v>0</v>
      </c>
      <c r="L389" s="21" t="n">
        <f aca="false">D389+H389</f>
        <v>1</v>
      </c>
      <c r="M389" s="22" t="n">
        <f aca="false">E389+I389</f>
        <v>127.9</v>
      </c>
      <c r="N389" s="21" t="n">
        <f aca="false">F389+J389</f>
        <v>2</v>
      </c>
      <c r="O389" s="22" t="n">
        <f aca="false">G389+K389</f>
        <v>255.8</v>
      </c>
    </row>
    <row r="390" customFormat="false" ht="15" hidden="false" customHeight="false" outlineLevel="0" collapsed="false">
      <c r="A390" s="20" t="n">
        <v>4413348</v>
      </c>
      <c r="B390" s="20" t="str">
        <f aca="false">IFERROR(INDEX('Catalog'!$B:$B,MATCH($A390,'Catalog'!$A:$A,0)),"")</f>
        <v>302 מדרס ג'ל לגבר</v>
      </c>
      <c r="C390" s="20" t="str">
        <f aca="false">IFERROR(INDEX('TRANS'!$A:$A,MATCH($A390,'TRANS'!$B:$B,0)),"")</f>
        <v>302M 0</v>
      </c>
      <c r="D390" s="21" t="n">
        <f aca="false">SUMIFS('CEMI Raw'!$C$6:$C$1018,'CEMI Raw'!$E$6:$E$1018,$A390,'CEMI Raw'!$B$6:$B$1018,2025)</f>
        <v>569</v>
      </c>
      <c r="E390" s="22" t="n">
        <f aca="false">SUMIFS('CEMI Raw'!$D$6:$D$1018,'CEMI Raw'!$E$6:$E$1018,$A390,'CEMI Raw'!$B$6:$B$1018,2025)</f>
        <v>33796.2</v>
      </c>
      <c r="F390" s="21" t="n">
        <f aca="false">SUMIFS('CEMI Raw'!$C$6:$C$1018,'CEMI Raw'!$E$6:$E$1018,$A390,'CEMI Raw'!$B$6:$B$1018,2026)</f>
        <v>255</v>
      </c>
      <c r="G390" s="22" t="n">
        <f aca="false">SUMIFS('CEMI Raw'!$D$6:$D$1018,'CEMI Raw'!$E$6:$E$1018,$A390,'CEMI Raw'!$B$6:$B$1018,2026)</f>
        <v>16329.2</v>
      </c>
      <c r="H390" s="21" t="n">
        <f aca="false">SUMIFS('SALES Raw'!$C$6:$C$603,'SALES Raw'!$E$6:$E$603,$A390,'SALES Raw'!$B$6:$B$603,2025)</f>
        <v>7</v>
      </c>
      <c r="I390" s="22" t="n">
        <f aca="false">SUMIFS('SALES Raw'!$D$6:$D$603,'SALES Raw'!$E$6:$E$603,$A390,'SALES Raw'!$B$6:$B$603,2025)</f>
        <v>498.04</v>
      </c>
      <c r="J390" s="21" t="n">
        <f aca="false">SUMIFS('SALES Raw'!$C$6:$C$603,'SALES Raw'!$E$6:$E$603,$A390,'SALES Raw'!$B$6:$B$603,2026)</f>
        <v>6</v>
      </c>
      <c r="K390" s="22" t="n">
        <f aca="false">SUMIFS('SALES Raw'!$D$6:$D$603,'SALES Raw'!$E$6:$E$603,$A390,'SALES Raw'!$B$6:$B$603,2026)</f>
        <v>382.41</v>
      </c>
      <c r="L390" s="21" t="n">
        <f aca="false">D390+H390</f>
        <v>576</v>
      </c>
      <c r="M390" s="22" t="n">
        <f aca="false">E390+I390</f>
        <v>34294.24</v>
      </c>
      <c r="N390" s="21" t="n">
        <f aca="false">F390+J390</f>
        <v>261</v>
      </c>
      <c r="O390" s="22" t="n">
        <f aca="false">G390+K390</f>
        <v>16711.61</v>
      </c>
    </row>
    <row r="391" customFormat="false" ht="15" hidden="false" customHeight="false" outlineLevel="0" collapsed="false">
      <c r="A391" s="20" t="n">
        <v>4413364</v>
      </c>
      <c r="B391" s="20" t="str">
        <f aca="false">IFERROR(INDEX('Catalog'!$B:$B,MATCH($A391,'Catalog'!$A:$A,0)),"")</f>
        <v>95C M 'מגן מרפק בז</v>
      </c>
      <c r="C391" s="20" t="str">
        <f aca="false">IFERROR(INDEX('TRANS'!$A:$A,MATCH($A391,'TRANS'!$B:$B,0)),"")</f>
        <v>95C M</v>
      </c>
      <c r="D391" s="21" t="n">
        <f aca="false">SUMIFS('CEMI Raw'!$C$6:$C$1018,'CEMI Raw'!$E$6:$E$1018,$A391,'CEMI Raw'!$B$6:$B$1018,2025)</f>
        <v>216</v>
      </c>
      <c r="E391" s="22" t="n">
        <f aca="false">SUMIFS('CEMI Raw'!$D$6:$D$1018,'CEMI Raw'!$E$6:$E$1018,$A391,'CEMI Raw'!$B$6:$B$1018,2025)</f>
        <v>6434.6</v>
      </c>
      <c r="F391" s="21" t="n">
        <f aca="false">SUMIFS('CEMI Raw'!$C$6:$C$1018,'CEMI Raw'!$E$6:$E$1018,$A391,'CEMI Raw'!$B$6:$B$1018,2026)</f>
        <v>129</v>
      </c>
      <c r="G391" s="22" t="n">
        <f aca="false">SUMIFS('CEMI Raw'!$D$6:$D$1018,'CEMI Raw'!$E$6:$E$1018,$A391,'CEMI Raw'!$B$6:$B$1018,2026)</f>
        <v>3857.9</v>
      </c>
      <c r="H391" s="21" t="n">
        <f aca="false">SUMIFS('SALES Raw'!$C$6:$C$603,'SALES Raw'!$E$6:$E$603,$A391,'SALES Raw'!$B$6:$B$603,2025)</f>
        <v>11</v>
      </c>
      <c r="I391" s="22" t="n">
        <f aca="false">SUMIFS('SALES Raw'!$D$6:$D$603,'SALES Raw'!$E$6:$E$603,$A391,'SALES Raw'!$B$6:$B$603,2025)</f>
        <v>337.49</v>
      </c>
      <c r="J391" s="21" t="n">
        <f aca="false">SUMIFS('SALES Raw'!$C$6:$C$603,'SALES Raw'!$E$6:$E$603,$A391,'SALES Raw'!$B$6:$B$603,2026)</f>
        <v>3</v>
      </c>
      <c r="K391" s="22" t="n">
        <f aca="false">SUMIFS('SALES Raw'!$D$6:$D$603,'SALES Raw'!$E$6:$E$603,$A391,'SALES Raw'!$B$6:$B$603,2026)</f>
        <v>92.67</v>
      </c>
      <c r="L391" s="21" t="n">
        <f aca="false">D391+H391</f>
        <v>227</v>
      </c>
      <c r="M391" s="22" t="n">
        <f aca="false">E391+I391</f>
        <v>6772.09</v>
      </c>
      <c r="N391" s="21" t="n">
        <f aca="false">F391+J391</f>
        <v>132</v>
      </c>
      <c r="O391" s="22" t="n">
        <f aca="false">G391+K391</f>
        <v>3950.57</v>
      </c>
    </row>
    <row r="392" customFormat="false" ht="15" hidden="false" customHeight="false" outlineLevel="0" collapsed="false">
      <c r="A392" s="20" t="n">
        <v>4413365</v>
      </c>
      <c r="B392" s="20" t="str">
        <f aca="false">IFERROR(INDEX('Catalog'!$B:$B,MATCH($A392,'Catalog'!$A:$A,0)),"")</f>
        <v>95C L 'מגן מרפק בז</v>
      </c>
      <c r="C392" s="20" t="str">
        <f aca="false">IFERROR(INDEX('TRANS'!$A:$A,MATCH($A392,'TRANS'!$B:$B,0)),"")</f>
        <v>95C L</v>
      </c>
      <c r="D392" s="21" t="n">
        <f aca="false">SUMIFS('CEMI Raw'!$C$6:$C$1018,'CEMI Raw'!$E$6:$E$1018,$A392,'CEMI Raw'!$B$6:$B$1018,2025)</f>
        <v>146</v>
      </c>
      <c r="E392" s="22" t="n">
        <f aca="false">SUMIFS('CEMI Raw'!$D$6:$D$1018,'CEMI Raw'!$E$6:$E$1018,$A392,'CEMI Raw'!$B$6:$B$1018,2025)</f>
        <v>4343.9</v>
      </c>
      <c r="F392" s="21" t="n">
        <f aca="false">SUMIFS('CEMI Raw'!$C$6:$C$1018,'CEMI Raw'!$E$6:$E$1018,$A392,'CEMI Raw'!$B$6:$B$1018,2026)</f>
        <v>84</v>
      </c>
      <c r="G392" s="22" t="n">
        <f aca="false">SUMIFS('CEMI Raw'!$D$6:$D$1018,'CEMI Raw'!$E$6:$E$1018,$A392,'CEMI Raw'!$B$6:$B$1018,2026)</f>
        <v>2415.6</v>
      </c>
      <c r="H392" s="21" t="n">
        <f aca="false">SUMIFS('SALES Raw'!$C$6:$C$603,'SALES Raw'!$E$6:$E$603,$A392,'SALES Raw'!$B$6:$B$603,2025)</f>
        <v>2</v>
      </c>
      <c r="I392" s="22" t="n">
        <f aca="false">SUMIFS('SALES Raw'!$D$6:$D$603,'SALES Raw'!$E$6:$E$603,$A392,'SALES Raw'!$B$6:$B$603,2025)</f>
        <v>61.78</v>
      </c>
      <c r="J392" s="21" t="n">
        <f aca="false">SUMIFS('SALES Raw'!$C$6:$C$603,'SALES Raw'!$E$6:$E$603,$A392,'SALES Raw'!$B$6:$B$603,2026)</f>
        <v>0</v>
      </c>
      <c r="K392" s="22" t="n">
        <f aca="false">SUMIFS('SALES Raw'!$D$6:$D$603,'SALES Raw'!$E$6:$E$603,$A392,'SALES Raw'!$B$6:$B$603,2026)</f>
        <v>0</v>
      </c>
      <c r="L392" s="21" t="n">
        <f aca="false">D392+H392</f>
        <v>148</v>
      </c>
      <c r="M392" s="22" t="n">
        <f aca="false">E392+I392</f>
        <v>4405.68</v>
      </c>
      <c r="N392" s="21" t="n">
        <f aca="false">F392+J392</f>
        <v>84</v>
      </c>
      <c r="O392" s="22" t="n">
        <f aca="false">G392+K392</f>
        <v>2415.6</v>
      </c>
    </row>
    <row r="393" customFormat="false" ht="15" hidden="false" customHeight="false" outlineLevel="0" collapsed="false">
      <c r="A393" s="20" t="n">
        <v>4413366</v>
      </c>
      <c r="B393" s="20" t="str">
        <f aca="false">IFERROR(INDEX('Catalog'!$B:$B,MATCH($A393,'Catalog'!$A:$A,0)),"")</f>
        <v>95C S 'מגן מרפק בז</v>
      </c>
      <c r="C393" s="20" t="str">
        <f aca="false">IFERROR(INDEX('TRANS'!$A:$A,MATCH($A393,'TRANS'!$B:$B,0)),"")</f>
        <v>95C S</v>
      </c>
      <c r="D393" s="21" t="n">
        <f aca="false">SUMIFS('CEMI Raw'!$C$6:$C$1018,'CEMI Raw'!$E$6:$E$1018,$A393,'CEMI Raw'!$B$6:$B$1018,2025)</f>
        <v>155</v>
      </c>
      <c r="E393" s="22" t="n">
        <f aca="false">SUMIFS('CEMI Raw'!$D$6:$D$1018,'CEMI Raw'!$E$6:$E$1018,$A393,'CEMI Raw'!$B$6:$B$1018,2025)</f>
        <v>4633.6</v>
      </c>
      <c r="F393" s="21" t="n">
        <f aca="false">SUMIFS('CEMI Raw'!$C$6:$C$1018,'CEMI Raw'!$E$6:$E$1018,$A393,'CEMI Raw'!$B$6:$B$1018,2026)</f>
        <v>81</v>
      </c>
      <c r="G393" s="22" t="n">
        <f aca="false">SUMIFS('CEMI Raw'!$D$6:$D$1018,'CEMI Raw'!$E$6:$E$1018,$A393,'CEMI Raw'!$B$6:$B$1018,2026)</f>
        <v>2418.5</v>
      </c>
      <c r="H393" s="21" t="n">
        <f aca="false">SUMIFS('SALES Raw'!$C$6:$C$603,'SALES Raw'!$E$6:$E$603,$A393,'SALES Raw'!$B$6:$B$603,2025)</f>
        <v>0</v>
      </c>
      <c r="I393" s="22" t="n">
        <f aca="false">SUMIFS('SALES Raw'!$D$6:$D$603,'SALES Raw'!$E$6:$E$603,$A393,'SALES Raw'!$B$6:$B$603,2025)</f>
        <v>0</v>
      </c>
      <c r="J393" s="21" t="n">
        <f aca="false">SUMIFS('SALES Raw'!$C$6:$C$603,'SALES Raw'!$E$6:$E$603,$A393,'SALES Raw'!$B$6:$B$603,2026)</f>
        <v>0</v>
      </c>
      <c r="K393" s="22" t="n">
        <f aca="false">SUMIFS('SALES Raw'!$D$6:$D$603,'SALES Raw'!$E$6:$E$603,$A393,'SALES Raw'!$B$6:$B$603,2026)</f>
        <v>0</v>
      </c>
      <c r="L393" s="21" t="n">
        <f aca="false">D393+H393</f>
        <v>155</v>
      </c>
      <c r="M393" s="22" t="n">
        <f aca="false">E393+I393</f>
        <v>4633.6</v>
      </c>
      <c r="N393" s="21" t="n">
        <f aca="false">F393+J393</f>
        <v>81</v>
      </c>
      <c r="O393" s="22" t="n">
        <f aca="false">G393+K393</f>
        <v>2418.5</v>
      </c>
    </row>
    <row r="394" customFormat="false" ht="15" hidden="false" customHeight="false" outlineLevel="0" collapsed="false">
      <c r="A394" s="20" t="n">
        <v>4413367</v>
      </c>
      <c r="B394" s="20" t="str">
        <f aca="false">IFERROR(INDEX('Catalog'!$B:$B,MATCH($A394,'Catalog'!$A:$A,0)),"")</f>
        <v>95C XL'מגן מרפק בז</v>
      </c>
      <c r="C394" s="20" t="str">
        <f aca="false">IFERROR(INDEX('TRANS'!$A:$A,MATCH($A394,'TRANS'!$B:$B,0)),"")</f>
        <v>95C XL</v>
      </c>
      <c r="D394" s="21" t="n">
        <f aca="false">SUMIFS('CEMI Raw'!$C$6:$C$1018,'CEMI Raw'!$E$6:$E$1018,$A394,'CEMI Raw'!$B$6:$B$1018,2025)</f>
        <v>49</v>
      </c>
      <c r="E394" s="22" t="n">
        <f aca="false">SUMIFS('CEMI Raw'!$D$6:$D$1018,'CEMI Raw'!$E$6:$E$1018,$A394,'CEMI Raw'!$B$6:$B$1018,2025)</f>
        <v>1476.2</v>
      </c>
      <c r="F394" s="21" t="n">
        <f aca="false">SUMIFS('CEMI Raw'!$C$6:$C$1018,'CEMI Raw'!$E$6:$E$1018,$A394,'CEMI Raw'!$B$6:$B$1018,2026)</f>
        <v>35</v>
      </c>
      <c r="G394" s="22" t="n">
        <f aca="false">SUMIFS('CEMI Raw'!$D$6:$D$1018,'CEMI Raw'!$E$6:$E$1018,$A394,'CEMI Raw'!$B$6:$B$1018,2026)</f>
        <v>1052.2</v>
      </c>
      <c r="H394" s="21" t="n">
        <f aca="false">SUMIFS('SALES Raw'!$C$6:$C$603,'SALES Raw'!$E$6:$E$603,$A394,'SALES Raw'!$B$6:$B$603,2025)</f>
        <v>2</v>
      </c>
      <c r="I394" s="22" t="n">
        <f aca="false">SUMIFS('SALES Raw'!$D$6:$D$603,'SALES Raw'!$E$6:$E$603,$A394,'SALES Raw'!$B$6:$B$603,2025)</f>
        <v>61.78</v>
      </c>
      <c r="J394" s="21" t="n">
        <f aca="false">SUMIFS('SALES Raw'!$C$6:$C$603,'SALES Raw'!$E$6:$E$603,$A394,'SALES Raw'!$B$6:$B$603,2026)</f>
        <v>0</v>
      </c>
      <c r="K394" s="22" t="n">
        <f aca="false">SUMIFS('SALES Raw'!$D$6:$D$603,'SALES Raw'!$E$6:$E$603,$A394,'SALES Raw'!$B$6:$B$603,2026)</f>
        <v>0</v>
      </c>
      <c r="L394" s="21" t="n">
        <f aca="false">D394+H394</f>
        <v>51</v>
      </c>
      <c r="M394" s="22" t="n">
        <f aca="false">E394+I394</f>
        <v>1537.98</v>
      </c>
      <c r="N394" s="21" t="n">
        <f aca="false">F394+J394</f>
        <v>35</v>
      </c>
      <c r="O394" s="22" t="n">
        <f aca="false">G394+K394</f>
        <v>1052.2</v>
      </c>
    </row>
    <row r="395" customFormat="false" ht="15" hidden="false" customHeight="false" outlineLevel="0" collapsed="false">
      <c r="A395" s="20" t="n">
        <v>4413368</v>
      </c>
      <c r="B395" s="20" t="str">
        <f aca="false">IFERROR(INDEX('Catalog'!$B:$B,MATCH($A395,'Catalog'!$A:$A,0)),"")</f>
        <v>95C XS'מגן מרפק בז</v>
      </c>
      <c r="C395" s="20" t="str">
        <f aca="false">IFERROR(INDEX('TRANS'!$A:$A,MATCH($A395,'TRANS'!$B:$B,0)),"")</f>
        <v>95C XS</v>
      </c>
      <c r="D395" s="21" t="n">
        <f aca="false">SUMIFS('CEMI Raw'!$C$6:$C$1018,'CEMI Raw'!$E$6:$E$1018,$A395,'CEMI Raw'!$B$6:$B$1018,2025)</f>
        <v>12</v>
      </c>
      <c r="E395" s="22" t="n">
        <f aca="false">SUMIFS('CEMI Raw'!$D$6:$D$1018,'CEMI Raw'!$E$6:$E$1018,$A395,'CEMI Raw'!$B$6:$B$1018,2025)</f>
        <v>351.9</v>
      </c>
      <c r="F395" s="21" t="n">
        <f aca="false">SUMIFS('CEMI Raw'!$C$6:$C$1018,'CEMI Raw'!$E$6:$E$1018,$A395,'CEMI Raw'!$B$6:$B$1018,2026)</f>
        <v>10</v>
      </c>
      <c r="G395" s="22" t="n">
        <f aca="false">SUMIFS('CEMI Raw'!$D$6:$D$1018,'CEMI Raw'!$E$6:$E$1018,$A395,'CEMI Raw'!$B$6:$B$1018,2026)</f>
        <v>303.8</v>
      </c>
      <c r="H395" s="21" t="n">
        <f aca="false">SUMIFS('SALES Raw'!$C$6:$C$603,'SALES Raw'!$E$6:$E$603,$A395,'SALES Raw'!$B$6:$B$603,2025)</f>
        <v>0</v>
      </c>
      <c r="I395" s="22" t="n">
        <f aca="false">SUMIFS('SALES Raw'!$D$6:$D$603,'SALES Raw'!$E$6:$E$603,$A395,'SALES Raw'!$B$6:$B$603,2025)</f>
        <v>0</v>
      </c>
      <c r="J395" s="21" t="n">
        <f aca="false">SUMIFS('SALES Raw'!$C$6:$C$603,'SALES Raw'!$E$6:$E$603,$A395,'SALES Raw'!$B$6:$B$603,2026)</f>
        <v>0</v>
      </c>
      <c r="K395" s="22" t="n">
        <f aca="false">SUMIFS('SALES Raw'!$D$6:$D$603,'SALES Raw'!$E$6:$E$603,$A395,'SALES Raw'!$B$6:$B$603,2026)</f>
        <v>0</v>
      </c>
      <c r="L395" s="21" t="n">
        <f aca="false">D395+H395</f>
        <v>12</v>
      </c>
      <c r="M395" s="22" t="n">
        <f aca="false">E395+I395</f>
        <v>351.9</v>
      </c>
      <c r="N395" s="21" t="n">
        <f aca="false">F395+J395</f>
        <v>10</v>
      </c>
      <c r="O395" s="22" t="n">
        <f aca="false">G395+K395</f>
        <v>303.8</v>
      </c>
    </row>
    <row r="396" customFormat="false" ht="15" hidden="false" customHeight="false" outlineLevel="0" collapsed="false">
      <c r="A396" s="20" t="n">
        <v>4413369</v>
      </c>
      <c r="B396" s="20" t="str">
        <f aca="false">IFERROR(INDEX('Catalog'!$B:$B,MATCH($A396,'Catalog'!$A:$A,0)),"")</f>
        <v>95C XXL'מגן מרפק בז</v>
      </c>
      <c r="C396" s="20" t="str">
        <f aca="false">IFERROR(INDEX('TRANS'!$A:$A,MATCH($A396,'TRANS'!$B:$B,0)),"")</f>
        <v>95C XXL</v>
      </c>
      <c r="D396" s="21" t="n">
        <f aca="false">SUMIFS('CEMI Raw'!$C$6:$C$1018,'CEMI Raw'!$E$6:$E$1018,$A396,'CEMI Raw'!$B$6:$B$1018,2025)</f>
        <v>6</v>
      </c>
      <c r="E396" s="22" t="n">
        <f aca="false">SUMIFS('CEMI Raw'!$D$6:$D$1018,'CEMI Raw'!$E$6:$E$1018,$A396,'CEMI Raw'!$B$6:$B$1018,2025)</f>
        <v>179.2</v>
      </c>
      <c r="F396" s="21" t="n">
        <f aca="false">SUMIFS('CEMI Raw'!$C$6:$C$1018,'CEMI Raw'!$E$6:$E$1018,$A396,'CEMI Raw'!$B$6:$B$1018,2026)</f>
        <v>7</v>
      </c>
      <c r="G396" s="22" t="n">
        <f aca="false">SUMIFS('CEMI Raw'!$D$6:$D$1018,'CEMI Raw'!$E$6:$E$1018,$A396,'CEMI Raw'!$B$6:$B$1018,2026)</f>
        <v>203.9</v>
      </c>
      <c r="H396" s="21" t="n">
        <f aca="false">SUMIFS('SALES Raw'!$C$6:$C$603,'SALES Raw'!$E$6:$E$603,$A396,'SALES Raw'!$B$6:$B$603,2025)</f>
        <v>0</v>
      </c>
      <c r="I396" s="22" t="n">
        <f aca="false">SUMIFS('SALES Raw'!$D$6:$D$603,'SALES Raw'!$E$6:$E$603,$A396,'SALES Raw'!$B$6:$B$603,2025)</f>
        <v>0</v>
      </c>
      <c r="J396" s="21" t="n">
        <f aca="false">SUMIFS('SALES Raw'!$C$6:$C$603,'SALES Raw'!$E$6:$E$603,$A396,'SALES Raw'!$B$6:$B$603,2026)</f>
        <v>0</v>
      </c>
      <c r="K396" s="22" t="n">
        <f aca="false">SUMIFS('SALES Raw'!$D$6:$D$603,'SALES Raw'!$E$6:$E$603,$A396,'SALES Raw'!$B$6:$B$603,2026)</f>
        <v>0</v>
      </c>
      <c r="L396" s="21" t="n">
        <f aca="false">D396+H396</f>
        <v>6</v>
      </c>
      <c r="M396" s="22" t="n">
        <f aca="false">E396+I396</f>
        <v>179.2</v>
      </c>
      <c r="N396" s="21" t="n">
        <f aca="false">F396+J396</f>
        <v>7</v>
      </c>
      <c r="O396" s="22" t="n">
        <f aca="false">G396+K396</f>
        <v>203.9</v>
      </c>
    </row>
    <row r="397" customFormat="false" ht="15" hidden="false" customHeight="false" outlineLevel="0" collapsed="false">
      <c r="A397" s="20" t="n">
        <v>4413370</v>
      </c>
      <c r="B397" s="20" t="str">
        <f aca="false">IFERROR(INDEX('Catalog'!$B:$B,MATCH($A397,'Catalog'!$A:$A,0)),"")</f>
        <v>3674 0 מ.בוניון+מפריד אצבע</v>
      </c>
      <c r="C397" s="20" t="str">
        <f aca="false">IFERROR(INDEX('TRANS'!$A:$A,MATCH($A397,'TRANS'!$B:$B,0)),"")</f>
        <v>3674 0</v>
      </c>
      <c r="D397" s="21" t="n">
        <f aca="false">SUMIFS('CEMI Raw'!$C$6:$C$1018,'CEMI Raw'!$E$6:$E$1018,$A397,'CEMI Raw'!$B$6:$B$1018,2025)</f>
        <v>330</v>
      </c>
      <c r="E397" s="22" t="n">
        <f aca="false">SUMIFS('CEMI Raw'!$D$6:$D$1018,'CEMI Raw'!$E$6:$E$1018,$A397,'CEMI Raw'!$B$6:$B$1018,2025)</f>
        <v>12540</v>
      </c>
      <c r="F397" s="21" t="n">
        <f aca="false">SUMIFS('CEMI Raw'!$C$6:$C$1018,'CEMI Raw'!$E$6:$E$1018,$A397,'CEMI Raw'!$B$6:$B$1018,2026)</f>
        <v>179</v>
      </c>
      <c r="G397" s="22" t="n">
        <f aca="false">SUMIFS('CEMI Raw'!$D$6:$D$1018,'CEMI Raw'!$E$6:$E$1018,$A397,'CEMI Raw'!$B$6:$B$1018,2026)</f>
        <v>6891.8</v>
      </c>
      <c r="H397" s="21" t="n">
        <f aca="false">SUMIFS('SALES Raw'!$C$6:$C$603,'SALES Raw'!$E$6:$E$603,$A397,'SALES Raw'!$B$6:$B$603,2025)</f>
        <v>21</v>
      </c>
      <c r="I397" s="22" t="n">
        <f aca="false">SUMIFS('SALES Raw'!$D$6:$D$603,'SALES Raw'!$E$6:$E$603,$A397,'SALES Raw'!$B$6:$B$603,2025)</f>
        <v>791.11</v>
      </c>
      <c r="J397" s="21" t="n">
        <f aca="false">SUMIFS('SALES Raw'!$C$6:$C$603,'SALES Raw'!$E$6:$E$603,$A397,'SALES Raw'!$B$6:$B$603,2026)</f>
        <v>12</v>
      </c>
      <c r="K397" s="22" t="n">
        <f aca="false">SUMIFS('SALES Raw'!$D$6:$D$603,'SALES Raw'!$E$6:$E$603,$A397,'SALES Raw'!$B$6:$B$603,2026)</f>
        <v>483.24</v>
      </c>
      <c r="L397" s="21" t="n">
        <f aca="false">D397+H397</f>
        <v>351</v>
      </c>
      <c r="M397" s="22" t="n">
        <f aca="false">E397+I397</f>
        <v>13331.11</v>
      </c>
      <c r="N397" s="21" t="n">
        <f aca="false">F397+J397</f>
        <v>191</v>
      </c>
      <c r="O397" s="22" t="n">
        <f aca="false">G397+K397</f>
        <v>7375.04</v>
      </c>
    </row>
    <row r="398" customFormat="false" ht="15" hidden="false" customHeight="false" outlineLevel="0" collapsed="false">
      <c r="A398" s="20" t="n">
        <v>4413371</v>
      </c>
      <c r="B398" s="20" t="str">
        <f aca="false">IFERROR(INDEX('Catalog'!$B:$B,MATCH($A398,'Catalog'!$A:$A,0)),"")</f>
        <v>3675    מגן זרת מסיליקון</v>
      </c>
      <c r="C398" s="20" t="str">
        <f aca="false">IFERROR(INDEX('TRANS'!$A:$A,MATCH($A398,'TRANS'!$B:$B,0)),"")</f>
        <v>3675 0</v>
      </c>
      <c r="D398" s="21" t="n">
        <f aca="false">SUMIFS('CEMI Raw'!$C$6:$C$1018,'CEMI Raw'!$E$6:$E$1018,$A398,'CEMI Raw'!$B$6:$B$1018,2025)</f>
        <v>59</v>
      </c>
      <c r="E398" s="22" t="n">
        <f aca="false">SUMIFS('CEMI Raw'!$D$6:$D$1018,'CEMI Raw'!$E$6:$E$1018,$A398,'CEMI Raw'!$B$6:$B$1018,2025)</f>
        <v>1719.6</v>
      </c>
      <c r="F398" s="21" t="n">
        <f aca="false">SUMIFS('CEMI Raw'!$C$6:$C$1018,'CEMI Raw'!$E$6:$E$1018,$A398,'CEMI Raw'!$B$6:$B$1018,2026)</f>
        <v>54</v>
      </c>
      <c r="G398" s="22" t="n">
        <f aca="false">SUMIFS('CEMI Raw'!$D$6:$D$1018,'CEMI Raw'!$E$6:$E$1018,$A398,'CEMI Raw'!$B$6:$B$1018,2026)</f>
        <v>1543.7</v>
      </c>
      <c r="H398" s="21" t="n">
        <f aca="false">SUMIFS('SALES Raw'!$C$6:$C$603,'SALES Raw'!$E$6:$E$603,$A398,'SALES Raw'!$B$6:$B$603,2025)</f>
        <v>16</v>
      </c>
      <c r="I398" s="22" t="n">
        <f aca="false">SUMIFS('SALES Raw'!$D$6:$D$603,'SALES Raw'!$E$6:$E$603,$A398,'SALES Raw'!$B$6:$B$603,2025)</f>
        <v>483.9</v>
      </c>
      <c r="J398" s="21" t="n">
        <f aca="false">SUMIFS('SALES Raw'!$C$6:$C$603,'SALES Raw'!$E$6:$E$603,$A398,'SALES Raw'!$B$6:$B$603,2026)</f>
        <v>7</v>
      </c>
      <c r="K398" s="22" t="n">
        <f aca="false">SUMIFS('SALES Raw'!$D$6:$D$603,'SALES Raw'!$E$6:$E$603,$A398,'SALES Raw'!$B$6:$B$603,2026)</f>
        <v>212.94</v>
      </c>
      <c r="L398" s="21" t="n">
        <f aca="false">D398+H398</f>
        <v>75</v>
      </c>
      <c r="M398" s="22" t="n">
        <f aca="false">E398+I398</f>
        <v>2203.5</v>
      </c>
      <c r="N398" s="21" t="n">
        <f aca="false">F398+J398</f>
        <v>61</v>
      </c>
      <c r="O398" s="22" t="n">
        <f aca="false">G398+K398</f>
        <v>1756.64</v>
      </c>
    </row>
    <row r="399" customFormat="false" ht="15" hidden="false" customHeight="false" outlineLevel="0" collapsed="false">
      <c r="A399" s="20" t="n">
        <v>4413372</v>
      </c>
      <c r="B399" s="20" t="str">
        <f aca="false">IFERROR(INDEX('Catalog'!$B:$B,MATCH($A399,'Catalog'!$A:$A,0)),"")</f>
        <v>302 W מדרס לאישה</v>
      </c>
      <c r="C399" s="20" t="str">
        <f aca="false">IFERROR(INDEX('TRANS'!$A:$A,MATCH($A399,'TRANS'!$B:$B,0)),"")</f>
        <v>302W 0</v>
      </c>
      <c r="D399" s="21" t="n">
        <f aca="false">SUMIFS('CEMI Raw'!$C$6:$C$1018,'CEMI Raw'!$E$6:$E$1018,$A399,'CEMI Raw'!$B$6:$B$1018,2025)</f>
        <v>272</v>
      </c>
      <c r="E399" s="22" t="n">
        <f aca="false">SUMIFS('CEMI Raw'!$D$6:$D$1018,'CEMI Raw'!$E$6:$E$1018,$A399,'CEMI Raw'!$B$6:$B$1018,2025)</f>
        <v>16261.3</v>
      </c>
      <c r="F399" s="21" t="n">
        <f aca="false">SUMIFS('CEMI Raw'!$C$6:$C$1018,'CEMI Raw'!$E$6:$E$1018,$A399,'CEMI Raw'!$B$6:$B$1018,2026)</f>
        <v>123</v>
      </c>
      <c r="G399" s="22" t="n">
        <f aca="false">SUMIFS('CEMI Raw'!$D$6:$D$1018,'CEMI Raw'!$E$6:$E$1018,$A399,'CEMI Raw'!$B$6:$B$1018,2026)</f>
        <v>7913.5</v>
      </c>
      <c r="H399" s="21" t="n">
        <f aca="false">SUMIFS('SALES Raw'!$C$6:$C$603,'SALES Raw'!$E$6:$E$603,$A399,'SALES Raw'!$B$6:$B$603,2025)</f>
        <v>4</v>
      </c>
      <c r="I399" s="22" t="n">
        <f aca="false">SUMIFS('SALES Raw'!$D$6:$D$603,'SALES Raw'!$E$6:$E$603,$A399,'SALES Raw'!$B$6:$B$603,2025)</f>
        <v>284.79</v>
      </c>
      <c r="J399" s="21" t="n">
        <f aca="false">SUMIFS('SALES Raw'!$C$6:$C$603,'SALES Raw'!$E$6:$E$603,$A399,'SALES Raw'!$B$6:$B$603,2026)</f>
        <v>5</v>
      </c>
      <c r="K399" s="22" t="n">
        <f aca="false">SUMIFS('SALES Raw'!$D$6:$D$603,'SALES Raw'!$E$6:$E$603,$A399,'SALES Raw'!$B$6:$B$603,2026)</f>
        <v>333.59</v>
      </c>
      <c r="L399" s="21" t="n">
        <f aca="false">D399+H399</f>
        <v>276</v>
      </c>
      <c r="M399" s="22" t="n">
        <f aca="false">E399+I399</f>
        <v>16546.09</v>
      </c>
      <c r="N399" s="21" t="n">
        <f aca="false">F399+J399</f>
        <v>128</v>
      </c>
      <c r="O399" s="22" t="n">
        <f aca="false">G399+K399</f>
        <v>8247.09</v>
      </c>
    </row>
    <row r="400" customFormat="false" ht="15" hidden="false" customHeight="false" outlineLevel="0" collapsed="false">
      <c r="A400" s="20" t="n">
        <v>4413394</v>
      </c>
      <c r="B400" s="20" t="str">
        <f aca="false">IFERROR(INDEX('Catalog'!$B:$B,MATCH($A400,'Catalog'!$A:$A,0)),"")</f>
        <v>45EC S 'מגן ברך ארוך בז</v>
      </c>
      <c r="C400" s="20" t="str">
        <f aca="false">IFERROR(INDEX('TRANS'!$A:$A,MATCH($A400,'TRANS'!$B:$B,0)),"")</f>
        <v>45EC S</v>
      </c>
      <c r="D400" s="21" t="n">
        <f aca="false">SUMIFS('CEMI Raw'!$C$6:$C$1018,'CEMI Raw'!$E$6:$E$1018,$A400,'CEMI Raw'!$B$6:$B$1018,2025)</f>
        <v>35</v>
      </c>
      <c r="E400" s="22" t="n">
        <f aca="false">SUMIFS('CEMI Raw'!$D$6:$D$1018,'CEMI Raw'!$E$6:$E$1018,$A400,'CEMI Raw'!$B$6:$B$1018,2025)</f>
        <v>1256.9</v>
      </c>
      <c r="F400" s="21" t="n">
        <f aca="false">SUMIFS('CEMI Raw'!$C$6:$C$1018,'CEMI Raw'!$E$6:$E$1018,$A400,'CEMI Raw'!$B$6:$B$1018,2026)</f>
        <v>42</v>
      </c>
      <c r="G400" s="22" t="n">
        <f aca="false">SUMIFS('CEMI Raw'!$D$6:$D$1018,'CEMI Raw'!$E$6:$E$1018,$A400,'CEMI Raw'!$B$6:$B$1018,2026)</f>
        <v>1533</v>
      </c>
      <c r="H400" s="21" t="n">
        <f aca="false">SUMIFS('SALES Raw'!$C$6:$C$603,'SALES Raw'!$E$6:$E$603,$A400,'SALES Raw'!$B$6:$B$603,2025)</f>
        <v>2</v>
      </c>
      <c r="I400" s="22" t="n">
        <f aca="false">SUMIFS('SALES Raw'!$D$6:$D$603,'SALES Raw'!$E$6:$E$603,$A400,'SALES Raw'!$B$6:$B$603,2025)</f>
        <v>74.9</v>
      </c>
      <c r="J400" s="21" t="n">
        <f aca="false">SUMIFS('SALES Raw'!$C$6:$C$603,'SALES Raw'!$E$6:$E$603,$A400,'SALES Raw'!$B$6:$B$603,2026)</f>
        <v>1</v>
      </c>
      <c r="K400" s="22" t="n">
        <f aca="false">SUMIFS('SALES Raw'!$D$6:$D$603,'SALES Raw'!$E$6:$E$603,$A400,'SALES Raw'!$B$6:$B$603,2026)</f>
        <v>37.45</v>
      </c>
      <c r="L400" s="21" t="n">
        <f aca="false">D400+H400</f>
        <v>37</v>
      </c>
      <c r="M400" s="22" t="n">
        <f aca="false">E400+I400</f>
        <v>1331.8</v>
      </c>
      <c r="N400" s="21" t="n">
        <f aca="false">F400+J400</f>
        <v>43</v>
      </c>
      <c r="O400" s="22" t="n">
        <f aca="false">G400+K400</f>
        <v>1570.45</v>
      </c>
    </row>
    <row r="401" customFormat="false" ht="15" hidden="false" customHeight="false" outlineLevel="0" collapsed="false">
      <c r="A401" s="20" t="n">
        <v>4413395</v>
      </c>
      <c r="B401" s="20" t="str">
        <f aca="false">IFERROR(INDEX('Catalog'!$B:$B,MATCH($A401,'Catalog'!$A:$A,0)),"")</f>
        <v>45EC M 'מגן ברך ארוך בז</v>
      </c>
      <c r="C401" s="20" t="str">
        <f aca="false">IFERROR(INDEX('TRANS'!$A:$A,MATCH($A401,'TRANS'!$B:$B,0)),"")</f>
        <v>45EC M</v>
      </c>
      <c r="D401" s="21" t="n">
        <f aca="false">SUMIFS('CEMI Raw'!$C$6:$C$1018,'CEMI Raw'!$E$6:$E$1018,$A401,'CEMI Raw'!$B$6:$B$1018,2025)</f>
        <v>93</v>
      </c>
      <c r="E401" s="22" t="n">
        <f aca="false">SUMIFS('CEMI Raw'!$D$6:$D$1018,'CEMI Raw'!$E$6:$E$1018,$A401,'CEMI Raw'!$B$6:$B$1018,2025)</f>
        <v>3323.9</v>
      </c>
      <c r="F401" s="21" t="n">
        <f aca="false">SUMIFS('CEMI Raw'!$C$6:$C$1018,'CEMI Raw'!$E$6:$E$1018,$A401,'CEMI Raw'!$B$6:$B$1018,2026)</f>
        <v>98</v>
      </c>
      <c r="G401" s="22" t="n">
        <f aca="false">SUMIFS('CEMI Raw'!$D$6:$D$1018,'CEMI Raw'!$E$6:$E$1018,$A401,'CEMI Raw'!$B$6:$B$1018,2026)</f>
        <v>3532.9</v>
      </c>
      <c r="H401" s="21" t="n">
        <f aca="false">SUMIFS('SALES Raw'!$C$6:$C$603,'SALES Raw'!$E$6:$E$603,$A401,'SALES Raw'!$B$6:$B$603,2025)</f>
        <v>2</v>
      </c>
      <c r="I401" s="22" t="n">
        <f aca="false">SUMIFS('SALES Raw'!$D$6:$D$603,'SALES Raw'!$E$6:$E$603,$A401,'SALES Raw'!$B$6:$B$603,2025)</f>
        <v>74.91</v>
      </c>
      <c r="J401" s="21" t="n">
        <f aca="false">SUMIFS('SALES Raw'!$C$6:$C$603,'SALES Raw'!$E$6:$E$603,$A401,'SALES Raw'!$B$6:$B$603,2026)</f>
        <v>2</v>
      </c>
      <c r="K401" s="22" t="n">
        <f aca="false">SUMIFS('SALES Raw'!$D$6:$D$603,'SALES Raw'!$E$6:$E$603,$A401,'SALES Raw'!$B$6:$B$603,2026)</f>
        <v>74.91</v>
      </c>
      <c r="L401" s="21" t="n">
        <f aca="false">D401+H401</f>
        <v>95</v>
      </c>
      <c r="M401" s="22" t="n">
        <f aca="false">E401+I401</f>
        <v>3398.81</v>
      </c>
      <c r="N401" s="21" t="n">
        <f aca="false">F401+J401</f>
        <v>100</v>
      </c>
      <c r="O401" s="22" t="n">
        <f aca="false">G401+K401</f>
        <v>3607.81</v>
      </c>
    </row>
    <row r="402" customFormat="false" ht="15" hidden="false" customHeight="false" outlineLevel="0" collapsed="false">
      <c r="A402" s="20" t="n">
        <v>4413396</v>
      </c>
      <c r="B402" s="20" t="str">
        <f aca="false">IFERROR(INDEX('Catalog'!$B:$B,MATCH($A402,'Catalog'!$A:$A,0)),"")</f>
        <v>45EC L 'מגן ברך ארוך בז</v>
      </c>
      <c r="C402" s="20" t="str">
        <f aca="false">IFERROR(INDEX('TRANS'!$A:$A,MATCH($A402,'TRANS'!$B:$B,0)),"")</f>
        <v>45EC L</v>
      </c>
      <c r="D402" s="21" t="n">
        <f aca="false">SUMIFS('CEMI Raw'!$C$6:$C$1018,'CEMI Raw'!$E$6:$E$1018,$A402,'CEMI Raw'!$B$6:$B$1018,2025)</f>
        <v>100</v>
      </c>
      <c r="E402" s="22" t="n">
        <f aca="false">SUMIFS('CEMI Raw'!$D$6:$D$1018,'CEMI Raw'!$E$6:$E$1018,$A402,'CEMI Raw'!$B$6:$B$1018,2025)</f>
        <v>3606.2</v>
      </c>
      <c r="F402" s="21" t="n">
        <f aca="false">SUMIFS('CEMI Raw'!$C$6:$C$1018,'CEMI Raw'!$E$6:$E$1018,$A402,'CEMI Raw'!$B$6:$B$1018,2026)</f>
        <v>120</v>
      </c>
      <c r="G402" s="22" t="n">
        <f aca="false">SUMIFS('CEMI Raw'!$D$6:$D$1018,'CEMI Raw'!$E$6:$E$1018,$A402,'CEMI Raw'!$B$6:$B$1018,2026)</f>
        <v>4398.4</v>
      </c>
      <c r="H402" s="21" t="n">
        <f aca="false">SUMIFS('SALES Raw'!$C$6:$C$603,'SALES Raw'!$E$6:$E$603,$A402,'SALES Raw'!$B$6:$B$603,2025)</f>
        <v>6</v>
      </c>
      <c r="I402" s="22" t="n">
        <f aca="false">SUMIFS('SALES Raw'!$D$6:$D$603,'SALES Raw'!$E$6:$E$603,$A402,'SALES Raw'!$B$6:$B$603,2025)</f>
        <v>224.72</v>
      </c>
      <c r="J402" s="21" t="n">
        <f aca="false">SUMIFS('SALES Raw'!$C$6:$C$603,'SALES Raw'!$E$6:$E$603,$A402,'SALES Raw'!$B$6:$B$603,2026)</f>
        <v>4</v>
      </c>
      <c r="K402" s="22" t="n">
        <f aca="false">SUMIFS('SALES Raw'!$D$6:$D$603,'SALES Raw'!$E$6:$E$603,$A402,'SALES Raw'!$B$6:$B$603,2026)</f>
        <v>149.82</v>
      </c>
      <c r="L402" s="21" t="n">
        <f aca="false">D402+H402</f>
        <v>106</v>
      </c>
      <c r="M402" s="22" t="n">
        <f aca="false">E402+I402</f>
        <v>3830.92</v>
      </c>
      <c r="N402" s="21" t="n">
        <f aca="false">F402+J402</f>
        <v>124</v>
      </c>
      <c r="O402" s="22" t="n">
        <f aca="false">G402+K402</f>
        <v>4548.22</v>
      </c>
    </row>
    <row r="403" customFormat="false" ht="15" hidden="false" customHeight="false" outlineLevel="0" collapsed="false">
      <c r="A403" s="20" t="n">
        <v>4413397</v>
      </c>
      <c r="B403" s="20" t="str">
        <f aca="false">IFERROR(INDEX('Catalog'!$B:$B,MATCH($A403,'Catalog'!$A:$A,0)),"")</f>
        <v>45EC XL'מגן ברך ארוך בז</v>
      </c>
      <c r="C403" s="20" t="str">
        <f aca="false">IFERROR(INDEX('TRANS'!$A:$A,MATCH($A403,'TRANS'!$B:$B,0)),"")</f>
        <v>45EC XL</v>
      </c>
      <c r="D403" s="21" t="n">
        <f aca="false">SUMIFS('CEMI Raw'!$C$6:$C$1018,'CEMI Raw'!$E$6:$E$1018,$A403,'CEMI Raw'!$B$6:$B$1018,2025)</f>
        <v>103</v>
      </c>
      <c r="E403" s="22" t="n">
        <f aca="false">SUMIFS('CEMI Raw'!$D$6:$D$1018,'CEMI Raw'!$E$6:$E$1018,$A403,'CEMI Raw'!$B$6:$B$1018,2025)</f>
        <v>3709.6</v>
      </c>
      <c r="F403" s="21" t="n">
        <f aca="false">SUMIFS('CEMI Raw'!$C$6:$C$1018,'CEMI Raw'!$E$6:$E$1018,$A403,'CEMI Raw'!$B$6:$B$1018,2026)</f>
        <v>94</v>
      </c>
      <c r="G403" s="22" t="n">
        <f aca="false">SUMIFS('CEMI Raw'!$D$6:$D$1018,'CEMI Raw'!$E$6:$E$1018,$A403,'CEMI Raw'!$B$6:$B$1018,2026)</f>
        <v>3412.6</v>
      </c>
      <c r="H403" s="21" t="n">
        <f aca="false">SUMIFS('SALES Raw'!$C$6:$C$603,'SALES Raw'!$E$6:$E$603,$A403,'SALES Raw'!$B$6:$B$603,2025)</f>
        <v>0</v>
      </c>
      <c r="I403" s="22" t="n">
        <f aca="false">SUMIFS('SALES Raw'!$D$6:$D$603,'SALES Raw'!$E$6:$E$603,$A403,'SALES Raw'!$B$6:$B$603,2025)</f>
        <v>0</v>
      </c>
      <c r="J403" s="21" t="n">
        <f aca="false">SUMIFS('SALES Raw'!$C$6:$C$603,'SALES Raw'!$E$6:$E$603,$A403,'SALES Raw'!$B$6:$B$603,2026)</f>
        <v>3</v>
      </c>
      <c r="K403" s="22" t="n">
        <f aca="false">SUMIFS('SALES Raw'!$D$6:$D$603,'SALES Raw'!$E$6:$E$603,$A403,'SALES Raw'!$B$6:$B$603,2026)</f>
        <v>112.36</v>
      </c>
      <c r="L403" s="21" t="n">
        <f aca="false">D403+H403</f>
        <v>103</v>
      </c>
      <c r="M403" s="22" t="n">
        <f aca="false">E403+I403</f>
        <v>3709.6</v>
      </c>
      <c r="N403" s="21" t="n">
        <f aca="false">F403+J403</f>
        <v>97</v>
      </c>
      <c r="O403" s="22" t="n">
        <f aca="false">G403+K403</f>
        <v>3524.96</v>
      </c>
    </row>
    <row r="404" customFormat="false" ht="15" hidden="false" customHeight="false" outlineLevel="0" collapsed="false">
      <c r="A404" s="20" t="n">
        <v>4413398</v>
      </c>
      <c r="B404" s="20" t="str">
        <f aca="false">IFERROR(INDEX('Catalog'!$B:$B,MATCH($A404,'Catalog'!$A:$A,0)),"")</f>
        <v>45EC XXL'מגן ברך ארוך בז</v>
      </c>
      <c r="C404" s="20" t="str">
        <f aca="false">IFERROR(INDEX('TRANS'!$A:$A,MATCH($A404,'TRANS'!$B:$B,0)),"")</f>
        <v>45EC XXL</v>
      </c>
      <c r="D404" s="21" t="n">
        <f aca="false">SUMIFS('CEMI Raw'!$C$6:$C$1018,'CEMI Raw'!$E$6:$E$1018,$A404,'CEMI Raw'!$B$6:$B$1018,2025)</f>
        <v>44</v>
      </c>
      <c r="E404" s="22" t="n">
        <f aca="false">SUMIFS('CEMI Raw'!$D$6:$D$1018,'CEMI Raw'!$E$6:$E$1018,$A404,'CEMI Raw'!$B$6:$B$1018,2025)</f>
        <v>1613.3</v>
      </c>
      <c r="F404" s="21" t="n">
        <f aca="false">SUMIFS('CEMI Raw'!$C$6:$C$1018,'CEMI Raw'!$E$6:$E$1018,$A404,'CEMI Raw'!$B$6:$B$1018,2026)</f>
        <v>55</v>
      </c>
      <c r="G404" s="22" t="n">
        <f aca="false">SUMIFS('CEMI Raw'!$D$6:$D$1018,'CEMI Raw'!$E$6:$E$1018,$A404,'CEMI Raw'!$B$6:$B$1018,2026)</f>
        <v>2035</v>
      </c>
      <c r="H404" s="21" t="n">
        <f aca="false">SUMIFS('SALES Raw'!$C$6:$C$603,'SALES Raw'!$E$6:$E$603,$A404,'SALES Raw'!$B$6:$B$603,2025)</f>
        <v>0</v>
      </c>
      <c r="I404" s="22" t="n">
        <f aca="false">SUMIFS('SALES Raw'!$D$6:$D$603,'SALES Raw'!$E$6:$E$603,$A404,'SALES Raw'!$B$6:$B$603,2025)</f>
        <v>0</v>
      </c>
      <c r="J404" s="21" t="n">
        <f aca="false">SUMIFS('SALES Raw'!$C$6:$C$603,'SALES Raw'!$E$6:$E$603,$A404,'SALES Raw'!$B$6:$B$603,2026)</f>
        <v>3</v>
      </c>
      <c r="K404" s="22" t="n">
        <f aca="false">SUMIFS('SALES Raw'!$D$6:$D$603,'SALES Raw'!$E$6:$E$603,$A404,'SALES Raw'!$B$6:$B$603,2026)</f>
        <v>112.35</v>
      </c>
      <c r="L404" s="21" t="n">
        <f aca="false">D404+H404</f>
        <v>44</v>
      </c>
      <c r="M404" s="22" t="n">
        <f aca="false">E404+I404</f>
        <v>1613.3</v>
      </c>
      <c r="N404" s="21" t="n">
        <f aca="false">F404+J404</f>
        <v>58</v>
      </c>
      <c r="O404" s="22" t="n">
        <f aca="false">G404+K404</f>
        <v>2147.35</v>
      </c>
    </row>
    <row r="405" customFormat="false" ht="15" hidden="false" customHeight="false" outlineLevel="0" collapsed="false">
      <c r="A405" s="20" t="n">
        <v>4413399</v>
      </c>
      <c r="B405" s="20" t="str">
        <f aca="false">IFERROR(INDEX('Catalog'!$B:$B,MATCH($A405,'Catalog'!$A:$A,0)),"")</f>
        <v>21 XS מגן יד</v>
      </c>
      <c r="C405" s="20" t="str">
        <f aca="false">IFERROR(INDEX('TRANS'!$A:$A,MATCH($A405,'TRANS'!$B:$B,0)),"")</f>
        <v>21 XS</v>
      </c>
      <c r="D405" s="21" t="n">
        <f aca="false">SUMIFS('CEMI Raw'!$C$6:$C$1018,'CEMI Raw'!$E$6:$E$1018,$A405,'CEMI Raw'!$B$6:$B$1018,2025)</f>
        <v>-1</v>
      </c>
      <c r="E405" s="22" t="n">
        <f aca="false">SUMIFS('CEMI Raw'!$D$6:$D$1018,'CEMI Raw'!$E$6:$E$1018,$A405,'CEMI Raw'!$B$6:$B$1018,2025)</f>
        <v>-37.8</v>
      </c>
      <c r="F405" s="21" t="n">
        <f aca="false">SUMIFS('CEMI Raw'!$C$6:$C$1018,'CEMI Raw'!$E$6:$E$1018,$A405,'CEMI Raw'!$B$6:$B$1018,2026)</f>
        <v>1</v>
      </c>
      <c r="G405" s="22" t="n">
        <f aca="false">SUMIFS('CEMI Raw'!$D$6:$D$1018,'CEMI Raw'!$E$6:$E$1018,$A405,'CEMI Raw'!$B$6:$B$1018,2026)</f>
        <v>36.5</v>
      </c>
      <c r="H405" s="21" t="n">
        <f aca="false">SUMIFS('SALES Raw'!$C$6:$C$603,'SALES Raw'!$E$6:$E$603,$A405,'SALES Raw'!$B$6:$B$603,2025)</f>
        <v>0</v>
      </c>
      <c r="I405" s="22" t="n">
        <f aca="false">SUMIFS('SALES Raw'!$D$6:$D$603,'SALES Raw'!$E$6:$E$603,$A405,'SALES Raw'!$B$6:$B$603,2025)</f>
        <v>0</v>
      </c>
      <c r="J405" s="21" t="n">
        <f aca="false">SUMIFS('SALES Raw'!$C$6:$C$603,'SALES Raw'!$E$6:$E$603,$A405,'SALES Raw'!$B$6:$B$603,2026)</f>
        <v>0</v>
      </c>
      <c r="K405" s="22" t="n">
        <f aca="false">SUMIFS('SALES Raw'!$D$6:$D$603,'SALES Raw'!$E$6:$E$603,$A405,'SALES Raw'!$B$6:$B$603,2026)</f>
        <v>0</v>
      </c>
      <c r="L405" s="21" t="n">
        <f aca="false">D405+H405</f>
        <v>-1</v>
      </c>
      <c r="M405" s="22" t="n">
        <f aca="false">E405+I405</f>
        <v>-37.8</v>
      </c>
      <c r="N405" s="21" t="n">
        <f aca="false">F405+J405</f>
        <v>1</v>
      </c>
      <c r="O405" s="22" t="n">
        <f aca="false">G405+K405</f>
        <v>36.5</v>
      </c>
    </row>
    <row r="406" customFormat="false" ht="15" hidden="false" customHeight="false" outlineLevel="0" collapsed="false">
      <c r="A406" s="20" t="n">
        <v>4413403</v>
      </c>
      <c r="B406" s="20" t="str">
        <f aca="false">IFERROR(INDEX('Catalog'!$B:$B,MATCH($A406,'Catalog'!$A:$A,0)),"")</f>
        <v>78A L מגן למפרק כתף</v>
      </c>
      <c r="C406" s="20" t="str">
        <f aca="false">IFERROR(INDEX('TRANS'!$A:$A,MATCH($A406,'TRANS'!$B:$B,0)),"")</f>
        <v/>
      </c>
      <c r="D406" s="21" t="n">
        <f aca="false">SUMIFS('CEMI Raw'!$C$6:$C$1018,'CEMI Raw'!$E$6:$E$1018,$A406,'CEMI Raw'!$B$6:$B$1018,2025)</f>
        <v>-1</v>
      </c>
      <c r="E406" s="22" t="n">
        <f aca="false">SUMIFS('CEMI Raw'!$D$6:$D$1018,'CEMI Raw'!$E$6:$E$1018,$A406,'CEMI Raw'!$B$6:$B$1018,2025)</f>
        <v>-165.4</v>
      </c>
      <c r="F406" s="21" t="n">
        <f aca="false">SUMIFS('CEMI Raw'!$C$6:$C$1018,'CEMI Raw'!$E$6:$E$1018,$A406,'CEMI Raw'!$B$6:$B$1018,2026)</f>
        <v>0</v>
      </c>
      <c r="G406" s="22" t="n">
        <f aca="false">SUMIFS('CEMI Raw'!$D$6:$D$1018,'CEMI Raw'!$E$6:$E$1018,$A406,'CEMI Raw'!$B$6:$B$1018,2026)</f>
        <v>0</v>
      </c>
      <c r="H406" s="21" t="n">
        <f aca="false">SUMIFS('SALES Raw'!$C$6:$C$603,'SALES Raw'!$E$6:$E$603,$A406,'SALES Raw'!$B$6:$B$603,2025)</f>
        <v>0</v>
      </c>
      <c r="I406" s="22" t="n">
        <f aca="false">SUMIFS('SALES Raw'!$D$6:$D$603,'SALES Raw'!$E$6:$E$603,$A406,'SALES Raw'!$B$6:$B$603,2025)</f>
        <v>0</v>
      </c>
      <c r="J406" s="21" t="n">
        <f aca="false">SUMIFS('SALES Raw'!$C$6:$C$603,'SALES Raw'!$E$6:$E$603,$A406,'SALES Raw'!$B$6:$B$603,2026)</f>
        <v>0</v>
      </c>
      <c r="K406" s="22" t="n">
        <f aca="false">SUMIFS('SALES Raw'!$D$6:$D$603,'SALES Raw'!$E$6:$E$603,$A406,'SALES Raw'!$B$6:$B$603,2026)</f>
        <v>0</v>
      </c>
      <c r="L406" s="21" t="n">
        <f aca="false">D406+H406</f>
        <v>-1</v>
      </c>
      <c r="M406" s="22" t="n">
        <f aca="false">E406+I406</f>
        <v>-165.4</v>
      </c>
      <c r="N406" s="21" t="n">
        <f aca="false">F406+J406</f>
        <v>0</v>
      </c>
      <c r="O406" s="22" t="n">
        <f aca="false">G406+K406</f>
        <v>0</v>
      </c>
    </row>
    <row r="407" customFormat="false" ht="15" hidden="false" customHeight="false" outlineLevel="0" collapsed="false">
      <c r="A407" s="20" t="n">
        <v>4413405</v>
      </c>
      <c r="B407" s="20" t="str">
        <f aca="false">IFERROR(INDEX('Catalog'!$B:$B,MATCH($A407,'Catalog'!$A:$A,0)),"")</f>
        <v>SC95 S מגן מרפק</v>
      </c>
      <c r="C407" s="20" t="str">
        <f aca="false">IFERROR(INDEX('TRANS'!$A:$A,MATCH($A407,'TRANS'!$B:$B,0)),"")</f>
        <v>SC95 S</v>
      </c>
      <c r="D407" s="21" t="n">
        <f aca="false">SUMIFS('CEMI Raw'!$C$6:$C$1018,'CEMI Raw'!$E$6:$E$1018,$A407,'CEMI Raw'!$B$6:$B$1018,2025)</f>
        <v>0</v>
      </c>
      <c r="E407" s="22" t="n">
        <f aca="false">SUMIFS('CEMI Raw'!$D$6:$D$1018,'CEMI Raw'!$E$6:$E$1018,$A407,'CEMI Raw'!$B$6:$B$1018,2025)</f>
        <v>0</v>
      </c>
      <c r="F407" s="21" t="n">
        <f aca="false">SUMIFS('CEMI Raw'!$C$6:$C$1018,'CEMI Raw'!$E$6:$E$1018,$A407,'CEMI Raw'!$B$6:$B$1018,2026)</f>
        <v>3</v>
      </c>
      <c r="G407" s="22" t="n">
        <f aca="false">SUMIFS('CEMI Raw'!$D$6:$D$1018,'CEMI Raw'!$E$6:$E$1018,$A407,'CEMI Raw'!$B$6:$B$1018,2026)</f>
        <v>281</v>
      </c>
      <c r="H407" s="21" t="n">
        <f aca="false">SUMIFS('SALES Raw'!$C$6:$C$603,'SALES Raw'!$E$6:$E$603,$A407,'SALES Raw'!$B$6:$B$603,2025)</f>
        <v>0</v>
      </c>
      <c r="I407" s="22" t="n">
        <f aca="false">SUMIFS('SALES Raw'!$D$6:$D$603,'SALES Raw'!$E$6:$E$603,$A407,'SALES Raw'!$B$6:$B$603,2025)</f>
        <v>0</v>
      </c>
      <c r="J407" s="21" t="n">
        <f aca="false">SUMIFS('SALES Raw'!$C$6:$C$603,'SALES Raw'!$E$6:$E$603,$A407,'SALES Raw'!$B$6:$B$603,2026)</f>
        <v>0</v>
      </c>
      <c r="K407" s="22" t="n">
        <f aca="false">SUMIFS('SALES Raw'!$D$6:$D$603,'SALES Raw'!$E$6:$E$603,$A407,'SALES Raw'!$B$6:$B$603,2026)</f>
        <v>0</v>
      </c>
      <c r="L407" s="21" t="n">
        <f aca="false">D407+H407</f>
        <v>0</v>
      </c>
      <c r="M407" s="22" t="n">
        <f aca="false">E407+I407</f>
        <v>0</v>
      </c>
      <c r="N407" s="21" t="n">
        <f aca="false">F407+J407</f>
        <v>3</v>
      </c>
      <c r="O407" s="22" t="n">
        <f aca="false">G407+K407</f>
        <v>281</v>
      </c>
    </row>
    <row r="408" customFormat="false" ht="15" hidden="false" customHeight="false" outlineLevel="0" collapsed="false">
      <c r="A408" s="20" t="n">
        <v>4413406</v>
      </c>
      <c r="B408" s="20" t="str">
        <f aca="false">IFERROR(INDEX('Catalog'!$B:$B,MATCH($A408,'Catalog'!$A:$A,0)),"")</f>
        <v>SC95 M מגן מרפק</v>
      </c>
      <c r="C408" s="20" t="str">
        <f aca="false">IFERROR(INDEX('TRANS'!$A:$A,MATCH($A408,'TRANS'!$B:$B,0)),"")</f>
        <v>SC95 M</v>
      </c>
      <c r="D408" s="21" t="n">
        <f aca="false">SUMIFS('CEMI Raw'!$C$6:$C$1018,'CEMI Raw'!$E$6:$E$1018,$A408,'CEMI Raw'!$B$6:$B$1018,2025)</f>
        <v>6</v>
      </c>
      <c r="E408" s="22" t="n">
        <f aca="false">SUMIFS('CEMI Raw'!$D$6:$D$1018,'CEMI Raw'!$E$6:$E$1018,$A408,'CEMI Raw'!$B$6:$B$1018,2025)</f>
        <v>507.7</v>
      </c>
      <c r="F408" s="21" t="n">
        <f aca="false">SUMIFS('CEMI Raw'!$C$6:$C$1018,'CEMI Raw'!$E$6:$E$1018,$A408,'CEMI Raw'!$B$6:$B$1018,2026)</f>
        <v>7</v>
      </c>
      <c r="G408" s="22" t="n">
        <f aca="false">SUMIFS('CEMI Raw'!$D$6:$D$1018,'CEMI Raw'!$E$6:$E$1018,$A408,'CEMI Raw'!$B$6:$B$1018,2026)</f>
        <v>655.7</v>
      </c>
      <c r="H408" s="21" t="n">
        <f aca="false">SUMIFS('SALES Raw'!$C$6:$C$603,'SALES Raw'!$E$6:$E$603,$A408,'SALES Raw'!$B$6:$B$603,2025)</f>
        <v>5</v>
      </c>
      <c r="I408" s="22" t="n">
        <f aca="false">SUMIFS('SALES Raw'!$D$6:$D$603,'SALES Raw'!$E$6:$E$603,$A408,'SALES Raw'!$B$6:$B$603,2025)</f>
        <v>433.9</v>
      </c>
      <c r="J408" s="21" t="n">
        <f aca="false">SUMIFS('SALES Raw'!$C$6:$C$603,'SALES Raw'!$E$6:$E$603,$A408,'SALES Raw'!$B$6:$B$603,2026)</f>
        <v>2</v>
      </c>
      <c r="K408" s="22" t="n">
        <f aca="false">SUMIFS('SALES Raw'!$D$6:$D$603,'SALES Raw'!$E$6:$E$603,$A408,'SALES Raw'!$B$6:$B$603,2026)</f>
        <v>187.35</v>
      </c>
      <c r="L408" s="21" t="n">
        <f aca="false">D408+H408</f>
        <v>11</v>
      </c>
      <c r="M408" s="22" t="n">
        <f aca="false">E408+I408</f>
        <v>941.6</v>
      </c>
      <c r="N408" s="21" t="n">
        <f aca="false">F408+J408</f>
        <v>9</v>
      </c>
      <c r="O408" s="22" t="n">
        <f aca="false">G408+K408</f>
        <v>843.05</v>
      </c>
    </row>
    <row r="409" customFormat="false" ht="15" hidden="false" customHeight="false" outlineLevel="0" collapsed="false">
      <c r="A409" s="20" t="n">
        <v>4413407</v>
      </c>
      <c r="B409" s="20" t="str">
        <f aca="false">IFERROR(INDEX('Catalog'!$B:$B,MATCH($A409,'Catalog'!$A:$A,0)),"")</f>
        <v>SC95 L מגן מרפק</v>
      </c>
      <c r="C409" s="20" t="str">
        <f aca="false">IFERROR(INDEX('TRANS'!$A:$A,MATCH($A409,'TRANS'!$B:$B,0)),"")</f>
        <v>SC95 L</v>
      </c>
      <c r="D409" s="21" t="n">
        <f aca="false">SUMIFS('CEMI Raw'!$C$6:$C$1018,'CEMI Raw'!$E$6:$E$1018,$A409,'CEMI Raw'!$B$6:$B$1018,2025)</f>
        <v>7</v>
      </c>
      <c r="E409" s="22" t="n">
        <f aca="false">SUMIFS('CEMI Raw'!$D$6:$D$1018,'CEMI Raw'!$E$6:$E$1018,$A409,'CEMI Raw'!$B$6:$B$1018,2025)</f>
        <v>548.9</v>
      </c>
      <c r="F409" s="21" t="n">
        <f aca="false">SUMIFS('CEMI Raw'!$C$6:$C$1018,'CEMI Raw'!$E$6:$E$1018,$A409,'CEMI Raw'!$B$6:$B$1018,2026)</f>
        <v>7</v>
      </c>
      <c r="G409" s="22" t="n">
        <f aca="false">SUMIFS('CEMI Raw'!$D$6:$D$1018,'CEMI Raw'!$E$6:$E$1018,$A409,'CEMI Raw'!$B$6:$B$1018,2026)</f>
        <v>661.9</v>
      </c>
      <c r="H409" s="21" t="n">
        <f aca="false">SUMIFS('SALES Raw'!$C$6:$C$603,'SALES Raw'!$E$6:$E$603,$A409,'SALES Raw'!$B$6:$B$603,2025)</f>
        <v>4</v>
      </c>
      <c r="I409" s="22" t="n">
        <f aca="false">SUMIFS('SALES Raw'!$D$6:$D$603,'SALES Raw'!$E$6:$E$603,$A409,'SALES Raw'!$B$6:$B$603,2025)</f>
        <v>358.32</v>
      </c>
      <c r="J409" s="21" t="n">
        <f aca="false">SUMIFS('SALES Raw'!$C$6:$C$603,'SALES Raw'!$E$6:$E$603,$A409,'SALES Raw'!$B$6:$B$603,2026)</f>
        <v>6</v>
      </c>
      <c r="K409" s="22" t="n">
        <f aca="false">SUMIFS('SALES Raw'!$D$6:$D$603,'SALES Raw'!$E$6:$E$603,$A409,'SALES Raw'!$B$6:$B$603,2026)</f>
        <v>562.04</v>
      </c>
      <c r="L409" s="21" t="n">
        <f aca="false">D409+H409</f>
        <v>11</v>
      </c>
      <c r="M409" s="22" t="n">
        <f aca="false">E409+I409</f>
        <v>907.22</v>
      </c>
      <c r="N409" s="21" t="n">
        <f aca="false">F409+J409</f>
        <v>13</v>
      </c>
      <c r="O409" s="22" t="n">
        <f aca="false">G409+K409</f>
        <v>1223.94</v>
      </c>
    </row>
    <row r="410" customFormat="false" ht="15" hidden="false" customHeight="false" outlineLevel="0" collapsed="false">
      <c r="A410" s="20" t="n">
        <v>4413408</v>
      </c>
      <c r="B410" s="20" t="str">
        <f aca="false">IFERROR(INDEX('Catalog'!$B:$B,MATCH($A410,'Catalog'!$A:$A,0)),"")</f>
        <v>SC95 XLמגן מרפק</v>
      </c>
      <c r="C410" s="20" t="str">
        <f aca="false">IFERROR(INDEX('TRANS'!$A:$A,MATCH($A410,'TRANS'!$B:$B,0)),"")</f>
        <v>SC95 XL</v>
      </c>
      <c r="D410" s="21" t="n">
        <f aca="false">SUMIFS('CEMI Raw'!$C$6:$C$1018,'CEMI Raw'!$E$6:$E$1018,$A410,'CEMI Raw'!$B$6:$B$1018,2025)</f>
        <v>5</v>
      </c>
      <c r="E410" s="22" t="n">
        <f aca="false">SUMIFS('CEMI Raw'!$D$6:$D$1018,'CEMI Raw'!$E$6:$E$1018,$A410,'CEMI Raw'!$B$6:$B$1018,2025)</f>
        <v>377.3</v>
      </c>
      <c r="F410" s="21" t="n">
        <f aca="false">SUMIFS('CEMI Raw'!$C$6:$C$1018,'CEMI Raw'!$E$6:$E$1018,$A410,'CEMI Raw'!$B$6:$B$1018,2026)</f>
        <v>3</v>
      </c>
      <c r="G410" s="22" t="n">
        <f aca="false">SUMIFS('CEMI Raw'!$D$6:$D$1018,'CEMI Raw'!$E$6:$E$1018,$A410,'CEMI Raw'!$B$6:$B$1018,2026)</f>
        <v>281</v>
      </c>
      <c r="H410" s="21" t="n">
        <f aca="false">SUMIFS('SALES Raw'!$C$6:$C$603,'SALES Raw'!$E$6:$E$603,$A410,'SALES Raw'!$B$6:$B$603,2025)</f>
        <v>2</v>
      </c>
      <c r="I410" s="22" t="n">
        <f aca="false">SUMIFS('SALES Raw'!$D$6:$D$603,'SALES Raw'!$E$6:$E$603,$A410,'SALES Raw'!$B$6:$B$603,2025)</f>
        <v>154.58</v>
      </c>
      <c r="J410" s="21" t="n">
        <f aca="false">SUMIFS('SALES Raw'!$C$6:$C$603,'SALES Raw'!$E$6:$E$603,$A410,'SALES Raw'!$B$6:$B$603,2026)</f>
        <v>4</v>
      </c>
      <c r="K410" s="22" t="n">
        <f aca="false">SUMIFS('SALES Raw'!$D$6:$D$603,'SALES Raw'!$E$6:$E$603,$A410,'SALES Raw'!$B$6:$B$603,2026)</f>
        <v>374.69</v>
      </c>
      <c r="L410" s="21" t="n">
        <f aca="false">D410+H410</f>
        <v>7</v>
      </c>
      <c r="M410" s="22" t="n">
        <f aca="false">E410+I410</f>
        <v>531.88</v>
      </c>
      <c r="N410" s="21" t="n">
        <f aca="false">F410+J410</f>
        <v>7</v>
      </c>
      <c r="O410" s="22" t="n">
        <f aca="false">G410+K410</f>
        <v>655.69</v>
      </c>
    </row>
    <row r="411" customFormat="false" ht="15" hidden="false" customHeight="false" outlineLevel="0" collapsed="false">
      <c r="A411" s="20" t="n">
        <v>4413415</v>
      </c>
      <c r="B411" s="20" t="str">
        <f aca="false">IFERROR(INDEX('Catalog'!$B:$B,MATCH($A411,'Catalog'!$A:$A,0)),"")</f>
        <v>SC39  S מגן שוק</v>
      </c>
      <c r="C411" s="20" t="str">
        <f aca="false">IFERROR(INDEX('TRANS'!$A:$A,MATCH($A411,'TRANS'!$B:$B,0)),"")</f>
        <v>SC39 S</v>
      </c>
      <c r="D411" s="21" t="n">
        <f aca="false">SUMIFS('CEMI Raw'!$C$6:$C$1018,'CEMI Raw'!$E$6:$E$1018,$A411,'CEMI Raw'!$B$6:$B$1018,2025)</f>
        <v>3</v>
      </c>
      <c r="E411" s="22" t="n">
        <f aca="false">SUMIFS('CEMI Raw'!$D$6:$D$1018,'CEMI Raw'!$E$6:$E$1018,$A411,'CEMI Raw'!$B$6:$B$1018,2025)</f>
        <v>413.3</v>
      </c>
      <c r="F411" s="21" t="n">
        <f aca="false">SUMIFS('CEMI Raw'!$C$6:$C$1018,'CEMI Raw'!$E$6:$E$1018,$A411,'CEMI Raw'!$B$6:$B$1018,2026)</f>
        <v>4</v>
      </c>
      <c r="G411" s="22" t="n">
        <f aca="false">SUMIFS('CEMI Raw'!$D$6:$D$1018,'CEMI Raw'!$E$6:$E$1018,$A411,'CEMI Raw'!$B$6:$B$1018,2026)</f>
        <v>656.1</v>
      </c>
      <c r="H411" s="21" t="n">
        <f aca="false">SUMIFS('SALES Raw'!$C$6:$C$603,'SALES Raw'!$E$6:$E$603,$A411,'SALES Raw'!$B$6:$B$603,2025)</f>
        <v>3</v>
      </c>
      <c r="I411" s="22" t="n">
        <f aca="false">SUMIFS('SALES Raw'!$D$6:$D$603,'SALES Raw'!$E$6:$E$603,$A411,'SALES Raw'!$B$6:$B$603,2025)</f>
        <v>447.56</v>
      </c>
      <c r="J411" s="21" t="n">
        <f aca="false">SUMIFS('SALES Raw'!$C$6:$C$603,'SALES Raw'!$E$6:$E$603,$A411,'SALES Raw'!$B$6:$B$603,2026)</f>
        <v>1</v>
      </c>
      <c r="K411" s="22" t="n">
        <f aca="false">SUMIFS('SALES Raw'!$D$6:$D$603,'SALES Raw'!$E$6:$E$603,$A411,'SALES Raw'!$B$6:$B$603,2026)</f>
        <v>164.03</v>
      </c>
      <c r="L411" s="21" t="n">
        <f aca="false">D411+H411</f>
        <v>6</v>
      </c>
      <c r="M411" s="22" t="n">
        <f aca="false">E411+I411</f>
        <v>860.86</v>
      </c>
      <c r="N411" s="21" t="n">
        <f aca="false">F411+J411</f>
        <v>5</v>
      </c>
      <c r="O411" s="22" t="n">
        <f aca="false">G411+K411</f>
        <v>820.13</v>
      </c>
    </row>
    <row r="412" customFormat="false" ht="15" hidden="false" customHeight="false" outlineLevel="0" collapsed="false">
      <c r="A412" s="20" t="n">
        <v>4413416</v>
      </c>
      <c r="B412" s="20" t="str">
        <f aca="false">IFERROR(INDEX('Catalog'!$B:$B,MATCH($A412,'Catalog'!$A:$A,0)),"")</f>
        <v>SC39  M מגן שוק</v>
      </c>
      <c r="C412" s="20" t="str">
        <f aca="false">IFERROR(INDEX('TRANS'!$A:$A,MATCH($A412,'TRANS'!$B:$B,0)),"")</f>
        <v>SC39 M</v>
      </c>
      <c r="D412" s="21" t="n">
        <f aca="false">SUMIFS('CEMI Raw'!$C$6:$C$1018,'CEMI Raw'!$E$6:$E$1018,$A412,'CEMI Raw'!$B$6:$B$1018,2025)</f>
        <v>1</v>
      </c>
      <c r="E412" s="22" t="n">
        <f aca="false">SUMIFS('CEMI Raw'!$D$6:$D$1018,'CEMI Raw'!$E$6:$E$1018,$A412,'CEMI Raw'!$B$6:$B$1018,2025)</f>
        <v>145.3</v>
      </c>
      <c r="F412" s="21" t="n">
        <f aca="false">SUMIFS('CEMI Raw'!$C$6:$C$1018,'CEMI Raw'!$E$6:$E$1018,$A412,'CEMI Raw'!$B$6:$B$1018,2026)</f>
        <v>5</v>
      </c>
      <c r="G412" s="22" t="n">
        <f aca="false">SUMIFS('CEMI Raw'!$D$6:$D$1018,'CEMI Raw'!$E$6:$E$1018,$A412,'CEMI Raw'!$B$6:$B$1018,2026)</f>
        <v>820.1</v>
      </c>
      <c r="H412" s="21" t="n">
        <f aca="false">SUMIFS('SALES Raw'!$C$6:$C$603,'SALES Raw'!$E$6:$E$603,$A412,'SALES Raw'!$B$6:$B$603,2025)</f>
        <v>9</v>
      </c>
      <c r="I412" s="22" t="n">
        <f aca="false">SUMIFS('SALES Raw'!$D$6:$D$603,'SALES Raw'!$E$6:$E$603,$A412,'SALES Raw'!$B$6:$B$603,2025)</f>
        <v>1397.67</v>
      </c>
      <c r="J412" s="21" t="n">
        <f aca="false">SUMIFS('SALES Raw'!$C$6:$C$603,'SALES Raw'!$E$6:$E$603,$A412,'SALES Raw'!$B$6:$B$603,2026)</f>
        <v>3</v>
      </c>
      <c r="K412" s="22" t="n">
        <f aca="false">SUMIFS('SALES Raw'!$D$6:$D$603,'SALES Raw'!$E$6:$E$603,$A412,'SALES Raw'!$B$6:$B$603,2026)</f>
        <v>492.08</v>
      </c>
      <c r="L412" s="21" t="n">
        <f aca="false">D412+H412</f>
        <v>10</v>
      </c>
      <c r="M412" s="22" t="n">
        <f aca="false">E412+I412</f>
        <v>1542.97</v>
      </c>
      <c r="N412" s="21" t="n">
        <f aca="false">F412+J412</f>
        <v>8</v>
      </c>
      <c r="O412" s="22" t="n">
        <f aca="false">G412+K412</f>
        <v>1312.18</v>
      </c>
    </row>
    <row r="413" customFormat="false" ht="15" hidden="false" customHeight="false" outlineLevel="0" collapsed="false">
      <c r="A413" s="20" t="n">
        <v>4413417</v>
      </c>
      <c r="B413" s="20" t="str">
        <f aca="false">IFERROR(INDEX('Catalog'!$B:$B,MATCH($A413,'Catalog'!$A:$A,0)),"")</f>
        <v>SC39  L מגן שוק</v>
      </c>
      <c r="C413" s="20" t="str">
        <f aca="false">IFERROR(INDEX('TRANS'!$A:$A,MATCH($A413,'TRANS'!$B:$B,0)),"")</f>
        <v>SC39 L</v>
      </c>
      <c r="D413" s="21" t="n">
        <f aca="false">SUMIFS('CEMI Raw'!$C$6:$C$1018,'CEMI Raw'!$E$6:$E$1018,$A413,'CEMI Raw'!$B$6:$B$1018,2025)</f>
        <v>2</v>
      </c>
      <c r="E413" s="22" t="n">
        <f aca="false">SUMIFS('CEMI Raw'!$D$6:$D$1018,'CEMI Raw'!$E$6:$E$1018,$A413,'CEMI Raw'!$B$6:$B$1018,2025)</f>
        <v>290.5</v>
      </c>
      <c r="F413" s="21" t="n">
        <f aca="false">SUMIFS('CEMI Raw'!$C$6:$C$1018,'CEMI Raw'!$E$6:$E$1018,$A413,'CEMI Raw'!$B$6:$B$1018,2026)</f>
        <v>4</v>
      </c>
      <c r="G413" s="22" t="n">
        <f aca="false">SUMIFS('CEMI Raw'!$D$6:$D$1018,'CEMI Raw'!$E$6:$E$1018,$A413,'CEMI Raw'!$B$6:$B$1018,2026)</f>
        <v>678.3</v>
      </c>
      <c r="H413" s="21" t="n">
        <f aca="false">SUMIFS('SALES Raw'!$C$6:$C$603,'SALES Raw'!$E$6:$E$603,$A413,'SALES Raw'!$B$6:$B$603,2025)</f>
        <v>2</v>
      </c>
      <c r="I413" s="22" t="n">
        <f aca="false">SUMIFS('SALES Raw'!$D$6:$D$603,'SALES Raw'!$E$6:$E$603,$A413,'SALES Raw'!$B$6:$B$603,2025)</f>
        <v>290.52</v>
      </c>
      <c r="J413" s="21" t="n">
        <f aca="false">SUMIFS('SALES Raw'!$C$6:$C$603,'SALES Raw'!$E$6:$E$603,$A413,'SALES Raw'!$B$6:$B$603,2026)</f>
        <v>6</v>
      </c>
      <c r="K413" s="22" t="n">
        <f aca="false">SUMIFS('SALES Raw'!$D$6:$D$603,'SALES Raw'!$E$6:$E$603,$A413,'SALES Raw'!$B$6:$B$603,2026)</f>
        <v>984.14</v>
      </c>
      <c r="L413" s="21" t="n">
        <f aca="false">D413+H413</f>
        <v>4</v>
      </c>
      <c r="M413" s="22" t="n">
        <f aca="false">E413+I413</f>
        <v>581.02</v>
      </c>
      <c r="N413" s="21" t="n">
        <f aca="false">F413+J413</f>
        <v>10</v>
      </c>
      <c r="O413" s="22" t="n">
        <f aca="false">G413+K413</f>
        <v>1662.44</v>
      </c>
    </row>
    <row r="414" customFormat="false" ht="15" hidden="false" customHeight="false" outlineLevel="0" collapsed="false">
      <c r="A414" s="20" t="n">
        <v>4413418</v>
      </c>
      <c r="B414" s="20" t="str">
        <f aca="false">IFERROR(INDEX('Catalog'!$B:$B,MATCH($A414,'Catalog'!$A:$A,0)),"")</f>
        <v>SC39 XL מגן שוק</v>
      </c>
      <c r="C414" s="20" t="str">
        <f aca="false">IFERROR(INDEX('TRANS'!$A:$A,MATCH($A414,'TRANS'!$B:$B,0)),"")</f>
        <v>SC39 XL</v>
      </c>
      <c r="D414" s="21" t="n">
        <f aca="false">SUMIFS('CEMI Raw'!$C$6:$C$1018,'CEMI Raw'!$E$6:$E$1018,$A414,'CEMI Raw'!$B$6:$B$1018,2025)</f>
        <v>1</v>
      </c>
      <c r="E414" s="22" t="n">
        <f aca="false">SUMIFS('CEMI Raw'!$D$6:$D$1018,'CEMI Raw'!$E$6:$E$1018,$A414,'CEMI Raw'!$B$6:$B$1018,2025)</f>
        <v>153.1</v>
      </c>
      <c r="F414" s="21" t="n">
        <f aca="false">SUMIFS('CEMI Raw'!$C$6:$C$1018,'CEMI Raw'!$E$6:$E$1018,$A414,'CEMI Raw'!$B$6:$B$1018,2026)</f>
        <v>4</v>
      </c>
      <c r="G414" s="22" t="n">
        <f aca="false">SUMIFS('CEMI Raw'!$D$6:$D$1018,'CEMI Raw'!$E$6:$E$1018,$A414,'CEMI Raw'!$B$6:$B$1018,2026)</f>
        <v>612.4</v>
      </c>
      <c r="H414" s="21" t="n">
        <f aca="false">SUMIFS('SALES Raw'!$C$6:$C$603,'SALES Raw'!$E$6:$E$603,$A414,'SALES Raw'!$B$6:$B$603,2025)</f>
        <v>1</v>
      </c>
      <c r="I414" s="22" t="n">
        <f aca="false">SUMIFS('SALES Raw'!$D$6:$D$603,'SALES Raw'!$E$6:$E$603,$A414,'SALES Raw'!$B$6:$B$603,2025)</f>
        <v>145.26</v>
      </c>
      <c r="J414" s="21" t="n">
        <f aca="false">SUMIFS('SALES Raw'!$C$6:$C$603,'SALES Raw'!$E$6:$E$603,$A414,'SALES Raw'!$B$6:$B$603,2026)</f>
        <v>0</v>
      </c>
      <c r="K414" s="22" t="n">
        <f aca="false">SUMIFS('SALES Raw'!$D$6:$D$603,'SALES Raw'!$E$6:$E$603,$A414,'SALES Raw'!$B$6:$B$603,2026)</f>
        <v>0</v>
      </c>
      <c r="L414" s="21" t="n">
        <f aca="false">D414+H414</f>
        <v>2</v>
      </c>
      <c r="M414" s="22" t="n">
        <f aca="false">E414+I414</f>
        <v>298.36</v>
      </c>
      <c r="N414" s="21" t="n">
        <f aca="false">F414+J414</f>
        <v>4</v>
      </c>
      <c r="O414" s="22" t="n">
        <f aca="false">G414+K414</f>
        <v>612.4</v>
      </c>
    </row>
    <row r="415" customFormat="false" ht="15" hidden="false" customHeight="false" outlineLevel="0" collapsed="false">
      <c r="A415" s="20" t="n">
        <v>4413419</v>
      </c>
      <c r="B415" s="20" t="str">
        <f aca="false">IFERROR(INDEX('Catalog'!$B:$B,MATCH($A415,'Catalog'!$A:$A,0)),"")</f>
        <v>SC39 XXLמגן שוק</v>
      </c>
      <c r="C415" s="20" t="str">
        <f aca="false">IFERROR(INDEX('TRANS'!$A:$A,MATCH($A415,'TRANS'!$B:$B,0)),"")</f>
        <v>SC39 XXL</v>
      </c>
      <c r="D415" s="21" t="n">
        <f aca="false">SUMIFS('CEMI Raw'!$C$6:$C$1018,'CEMI Raw'!$E$6:$E$1018,$A415,'CEMI Raw'!$B$6:$B$1018,2025)</f>
        <v>0</v>
      </c>
      <c r="E415" s="22" t="n">
        <f aca="false">SUMIFS('CEMI Raw'!$D$6:$D$1018,'CEMI Raw'!$E$6:$E$1018,$A415,'CEMI Raw'!$B$6:$B$1018,2025)</f>
        <v>22.4</v>
      </c>
      <c r="F415" s="21" t="n">
        <f aca="false">SUMIFS('CEMI Raw'!$C$6:$C$1018,'CEMI Raw'!$E$6:$E$1018,$A415,'CEMI Raw'!$B$6:$B$1018,2026)</f>
        <v>0</v>
      </c>
      <c r="G415" s="22" t="n">
        <f aca="false">SUMIFS('CEMI Raw'!$D$6:$D$1018,'CEMI Raw'!$E$6:$E$1018,$A415,'CEMI Raw'!$B$6:$B$1018,2026)</f>
        <v>0</v>
      </c>
      <c r="H415" s="21" t="n">
        <f aca="false">SUMIFS('SALES Raw'!$C$6:$C$603,'SALES Raw'!$E$6:$E$603,$A415,'SALES Raw'!$B$6:$B$603,2025)</f>
        <v>0</v>
      </c>
      <c r="I415" s="22" t="n">
        <f aca="false">SUMIFS('SALES Raw'!$D$6:$D$603,'SALES Raw'!$E$6:$E$603,$A415,'SALES Raw'!$B$6:$B$603,2025)</f>
        <v>0</v>
      </c>
      <c r="J415" s="21" t="n">
        <f aca="false">SUMIFS('SALES Raw'!$C$6:$C$603,'SALES Raw'!$E$6:$E$603,$A415,'SALES Raw'!$B$6:$B$603,2026)</f>
        <v>0</v>
      </c>
      <c r="K415" s="22" t="n">
        <f aca="false">SUMIFS('SALES Raw'!$D$6:$D$603,'SALES Raw'!$E$6:$E$603,$A415,'SALES Raw'!$B$6:$B$603,2026)</f>
        <v>0</v>
      </c>
      <c r="L415" s="21" t="n">
        <f aca="false">D415+H415</f>
        <v>0</v>
      </c>
      <c r="M415" s="22" t="n">
        <f aca="false">E415+I415</f>
        <v>22.4</v>
      </c>
      <c r="N415" s="21" t="n">
        <f aca="false">F415+J415</f>
        <v>0</v>
      </c>
      <c r="O415" s="22" t="n">
        <f aca="false">G415+K415</f>
        <v>0</v>
      </c>
    </row>
    <row r="416" customFormat="false" ht="15" hidden="false" customHeight="false" outlineLevel="0" collapsed="false">
      <c r="A416" s="20" t="n">
        <v>4413420</v>
      </c>
      <c r="B416" s="20" t="str">
        <f aca="false">IFERROR(INDEX('Catalog'!$B:$B,MATCH($A416,'Catalog'!$A:$A,0)),"")</f>
        <v>SC35L  S מגן קרסול שמאל</v>
      </c>
      <c r="C416" s="20" t="str">
        <f aca="false">IFERROR(INDEX('TRANS'!$A:$A,MATCH($A416,'TRANS'!$B:$B,0)),"")</f>
        <v>SC35L S</v>
      </c>
      <c r="D416" s="21" t="n">
        <f aca="false">SUMIFS('CEMI Raw'!$C$6:$C$1018,'CEMI Raw'!$E$6:$E$1018,$A416,'CEMI Raw'!$B$6:$B$1018,2025)</f>
        <v>2</v>
      </c>
      <c r="E416" s="22" t="n">
        <f aca="false">SUMIFS('CEMI Raw'!$D$6:$D$1018,'CEMI Raw'!$E$6:$E$1018,$A416,'CEMI Raw'!$B$6:$B$1018,2025)</f>
        <v>154.6</v>
      </c>
      <c r="F416" s="21" t="n">
        <f aca="false">SUMIFS('CEMI Raw'!$C$6:$C$1018,'CEMI Raw'!$E$6:$E$1018,$A416,'CEMI Raw'!$B$6:$B$1018,2026)</f>
        <v>1</v>
      </c>
      <c r="G416" s="22" t="n">
        <f aca="false">SUMIFS('CEMI Raw'!$D$6:$D$1018,'CEMI Raw'!$E$6:$E$1018,$A416,'CEMI Raw'!$B$6:$B$1018,2026)</f>
        <v>93.7</v>
      </c>
      <c r="H416" s="21" t="n">
        <f aca="false">SUMIFS('SALES Raw'!$C$6:$C$603,'SALES Raw'!$E$6:$E$603,$A416,'SALES Raw'!$B$6:$B$603,2025)</f>
        <v>1</v>
      </c>
      <c r="I416" s="22" t="n">
        <f aca="false">SUMIFS('SALES Raw'!$D$6:$D$603,'SALES Raw'!$E$6:$E$603,$A416,'SALES Raw'!$B$6:$B$603,2025)</f>
        <v>77.3</v>
      </c>
      <c r="J416" s="21" t="n">
        <f aca="false">SUMIFS('SALES Raw'!$C$6:$C$603,'SALES Raw'!$E$6:$E$603,$A416,'SALES Raw'!$B$6:$B$603,2026)</f>
        <v>1</v>
      </c>
      <c r="K416" s="22" t="n">
        <f aca="false">SUMIFS('SALES Raw'!$D$6:$D$603,'SALES Raw'!$E$6:$E$603,$A416,'SALES Raw'!$B$6:$B$603,2026)</f>
        <v>93.68</v>
      </c>
      <c r="L416" s="21" t="n">
        <f aca="false">D416+H416</f>
        <v>3</v>
      </c>
      <c r="M416" s="22" t="n">
        <f aca="false">E416+I416</f>
        <v>231.9</v>
      </c>
      <c r="N416" s="21" t="n">
        <f aca="false">F416+J416</f>
        <v>2</v>
      </c>
      <c r="O416" s="22" t="n">
        <f aca="false">G416+K416</f>
        <v>187.38</v>
      </c>
    </row>
    <row r="417" customFormat="false" ht="15" hidden="false" customHeight="false" outlineLevel="0" collapsed="false">
      <c r="A417" s="20" t="n">
        <v>4413421</v>
      </c>
      <c r="B417" s="20" t="str">
        <f aca="false">IFERROR(INDEX('Catalog'!$B:$B,MATCH($A417,'Catalog'!$A:$A,0)),"")</f>
        <v>SC35L  M מגן קרסול שמאל</v>
      </c>
      <c r="C417" s="20" t="str">
        <f aca="false">IFERROR(INDEX('TRANS'!$A:$A,MATCH($A417,'TRANS'!$B:$B,0)),"")</f>
        <v>SC35L M</v>
      </c>
      <c r="D417" s="21" t="n">
        <f aca="false">SUMIFS('CEMI Raw'!$C$6:$C$1018,'CEMI Raw'!$E$6:$E$1018,$A417,'CEMI Raw'!$B$6:$B$1018,2025)</f>
        <v>6</v>
      </c>
      <c r="E417" s="22" t="n">
        <f aca="false">SUMIFS('CEMI Raw'!$D$6:$D$1018,'CEMI Raw'!$E$6:$E$1018,$A417,'CEMI Raw'!$B$6:$B$1018,2025)</f>
        <v>490.3</v>
      </c>
      <c r="F417" s="21" t="n">
        <f aca="false">SUMIFS('CEMI Raw'!$C$6:$C$1018,'CEMI Raw'!$E$6:$E$1018,$A417,'CEMI Raw'!$B$6:$B$1018,2026)</f>
        <v>3</v>
      </c>
      <c r="G417" s="22" t="n">
        <f aca="false">SUMIFS('CEMI Raw'!$D$6:$D$1018,'CEMI Raw'!$E$6:$E$1018,$A417,'CEMI Raw'!$B$6:$B$1018,2026)</f>
        <v>299.1</v>
      </c>
      <c r="H417" s="21" t="n">
        <f aca="false">SUMIFS('SALES Raw'!$C$6:$C$603,'SALES Raw'!$E$6:$E$603,$A417,'SALES Raw'!$B$6:$B$603,2025)</f>
        <v>2</v>
      </c>
      <c r="I417" s="22" t="n">
        <f aca="false">SUMIFS('SALES Raw'!$D$6:$D$603,'SALES Raw'!$E$6:$E$603,$A417,'SALES Raw'!$B$6:$B$603,2025)</f>
        <v>154.59</v>
      </c>
      <c r="J417" s="21" t="n">
        <f aca="false">SUMIFS('SALES Raw'!$C$6:$C$603,'SALES Raw'!$E$6:$E$603,$A417,'SALES Raw'!$B$6:$B$603,2026)</f>
        <v>1</v>
      </c>
      <c r="K417" s="22" t="n">
        <f aca="false">SUMIFS('SALES Raw'!$D$6:$D$603,'SALES Raw'!$E$6:$E$603,$A417,'SALES Raw'!$B$6:$B$603,2026)</f>
        <v>93.67</v>
      </c>
      <c r="L417" s="21" t="n">
        <f aca="false">D417+H417</f>
        <v>8</v>
      </c>
      <c r="M417" s="22" t="n">
        <f aca="false">E417+I417</f>
        <v>644.89</v>
      </c>
      <c r="N417" s="21" t="n">
        <f aca="false">F417+J417</f>
        <v>4</v>
      </c>
      <c r="O417" s="22" t="n">
        <f aca="false">G417+K417</f>
        <v>392.77</v>
      </c>
    </row>
    <row r="418" customFormat="false" ht="15" hidden="false" customHeight="false" outlineLevel="0" collapsed="false">
      <c r="A418" s="20" t="n">
        <v>4413422</v>
      </c>
      <c r="B418" s="20" t="str">
        <f aca="false">IFERROR(INDEX('Catalog'!$B:$B,MATCH($A418,'Catalog'!$A:$A,0)),"")</f>
        <v>SC35L  L מגן קרסול שמאל</v>
      </c>
      <c r="C418" s="20" t="str">
        <f aca="false">IFERROR(INDEX('TRANS'!$A:$A,MATCH($A418,'TRANS'!$B:$B,0)),"")</f>
        <v>SC35L L</v>
      </c>
      <c r="D418" s="21" t="n">
        <f aca="false">SUMIFS('CEMI Raw'!$C$6:$C$1018,'CEMI Raw'!$E$6:$E$1018,$A418,'CEMI Raw'!$B$6:$B$1018,2025)</f>
        <v>3</v>
      </c>
      <c r="E418" s="22" t="n">
        <f aca="false">SUMIFS('CEMI Raw'!$D$6:$D$1018,'CEMI Raw'!$E$6:$E$1018,$A418,'CEMI Raw'!$B$6:$B$1018,2025)</f>
        <v>231.9</v>
      </c>
      <c r="F418" s="21" t="n">
        <f aca="false">SUMIFS('CEMI Raw'!$C$6:$C$1018,'CEMI Raw'!$E$6:$E$1018,$A418,'CEMI Raw'!$B$6:$B$1018,2026)</f>
        <v>3</v>
      </c>
      <c r="G418" s="22" t="n">
        <f aca="false">SUMIFS('CEMI Raw'!$D$6:$D$1018,'CEMI Raw'!$E$6:$E$1018,$A418,'CEMI Raw'!$B$6:$B$1018,2026)</f>
        <v>281</v>
      </c>
      <c r="H418" s="21" t="n">
        <f aca="false">SUMIFS('SALES Raw'!$C$6:$C$603,'SALES Raw'!$E$6:$E$603,$A418,'SALES Raw'!$B$6:$B$603,2025)</f>
        <v>1</v>
      </c>
      <c r="I418" s="22" t="n">
        <f aca="false">SUMIFS('SALES Raw'!$D$6:$D$603,'SALES Raw'!$E$6:$E$603,$A418,'SALES Raw'!$B$6:$B$603,2025)</f>
        <v>77.29</v>
      </c>
      <c r="J418" s="21" t="n">
        <f aca="false">SUMIFS('SALES Raw'!$C$6:$C$603,'SALES Raw'!$E$6:$E$603,$A418,'SALES Raw'!$B$6:$B$603,2026)</f>
        <v>1</v>
      </c>
      <c r="K418" s="22" t="n">
        <f aca="false">SUMIFS('SALES Raw'!$D$6:$D$603,'SALES Raw'!$E$6:$E$603,$A418,'SALES Raw'!$B$6:$B$603,2026)</f>
        <v>93.67</v>
      </c>
      <c r="L418" s="21" t="n">
        <f aca="false">D418+H418</f>
        <v>4</v>
      </c>
      <c r="M418" s="22" t="n">
        <f aca="false">E418+I418</f>
        <v>309.19</v>
      </c>
      <c r="N418" s="21" t="n">
        <f aca="false">F418+J418</f>
        <v>4</v>
      </c>
      <c r="O418" s="22" t="n">
        <f aca="false">G418+K418</f>
        <v>374.67</v>
      </c>
    </row>
    <row r="419" customFormat="false" ht="15" hidden="false" customHeight="false" outlineLevel="0" collapsed="false">
      <c r="A419" s="20" t="n">
        <v>4413423</v>
      </c>
      <c r="B419" s="20" t="str">
        <f aca="false">IFERROR(INDEX('Catalog'!$B:$B,MATCH($A419,'Catalog'!$A:$A,0)),"")</f>
        <v>SC35L XL מגן קרסול שמאל</v>
      </c>
      <c r="C419" s="20" t="str">
        <f aca="false">IFERROR(INDEX('TRANS'!$A:$A,MATCH($A419,'TRANS'!$B:$B,0)),"")</f>
        <v>SC35L XL</v>
      </c>
      <c r="D419" s="21" t="n">
        <f aca="false">SUMIFS('CEMI Raw'!$C$6:$C$1018,'CEMI Raw'!$E$6:$E$1018,$A419,'CEMI Raw'!$B$6:$B$1018,2025)</f>
        <v>1</v>
      </c>
      <c r="E419" s="22" t="n">
        <f aca="false">SUMIFS('CEMI Raw'!$D$6:$D$1018,'CEMI Raw'!$E$6:$E$1018,$A419,'CEMI Raw'!$B$6:$B$1018,2025)</f>
        <v>72.1</v>
      </c>
      <c r="F419" s="21" t="n">
        <f aca="false">SUMIFS('CEMI Raw'!$C$6:$C$1018,'CEMI Raw'!$E$6:$E$1018,$A419,'CEMI Raw'!$B$6:$B$1018,2026)</f>
        <v>1</v>
      </c>
      <c r="G419" s="22" t="n">
        <f aca="false">SUMIFS('CEMI Raw'!$D$6:$D$1018,'CEMI Raw'!$E$6:$E$1018,$A419,'CEMI Raw'!$B$6:$B$1018,2026)</f>
        <v>111.8</v>
      </c>
      <c r="H419" s="21" t="n">
        <f aca="false">SUMIFS('SALES Raw'!$C$6:$C$603,'SALES Raw'!$E$6:$E$603,$A419,'SALES Raw'!$B$6:$B$603,2025)</f>
        <v>1</v>
      </c>
      <c r="I419" s="22" t="n">
        <f aca="false">SUMIFS('SALES Raw'!$D$6:$D$603,'SALES Raw'!$E$6:$E$603,$A419,'SALES Raw'!$B$6:$B$603,2025)</f>
        <v>93.68</v>
      </c>
      <c r="J419" s="21" t="n">
        <f aca="false">SUMIFS('SALES Raw'!$C$6:$C$603,'SALES Raw'!$E$6:$E$603,$A419,'SALES Raw'!$B$6:$B$603,2026)</f>
        <v>0</v>
      </c>
      <c r="K419" s="22" t="n">
        <f aca="false">SUMIFS('SALES Raw'!$D$6:$D$603,'SALES Raw'!$E$6:$E$603,$A419,'SALES Raw'!$B$6:$B$603,2026)</f>
        <v>0</v>
      </c>
      <c r="L419" s="21" t="n">
        <f aca="false">D419+H419</f>
        <v>2</v>
      </c>
      <c r="M419" s="22" t="n">
        <f aca="false">E419+I419</f>
        <v>165.78</v>
      </c>
      <c r="N419" s="21" t="n">
        <f aca="false">F419+J419</f>
        <v>1</v>
      </c>
      <c r="O419" s="22" t="n">
        <f aca="false">G419+K419</f>
        <v>111.8</v>
      </c>
    </row>
    <row r="420" customFormat="false" ht="15" hidden="false" customHeight="false" outlineLevel="0" collapsed="false">
      <c r="A420" s="20" t="n">
        <v>4413424</v>
      </c>
      <c r="B420" s="20" t="str">
        <f aca="false">IFERROR(INDEX('Catalog'!$B:$B,MATCH($A420,'Catalog'!$A:$A,0)),"")</f>
        <v>SC35R  S מגן קרסול ימין</v>
      </c>
      <c r="C420" s="20" t="str">
        <f aca="false">IFERROR(INDEX('TRANS'!$A:$A,MATCH($A420,'TRANS'!$B:$B,0)),"")</f>
        <v>SC35R S</v>
      </c>
      <c r="D420" s="21" t="n">
        <f aca="false">SUMIFS('CEMI Raw'!$C$6:$C$1018,'CEMI Raw'!$E$6:$E$1018,$A420,'CEMI Raw'!$B$6:$B$1018,2025)</f>
        <v>3</v>
      </c>
      <c r="E420" s="22" t="n">
        <f aca="false">SUMIFS('CEMI Raw'!$D$6:$D$1018,'CEMI Raw'!$E$6:$E$1018,$A420,'CEMI Raw'!$B$6:$B$1018,2025)</f>
        <v>231.9</v>
      </c>
      <c r="F420" s="21" t="n">
        <f aca="false">SUMIFS('CEMI Raw'!$C$6:$C$1018,'CEMI Raw'!$E$6:$E$1018,$A420,'CEMI Raw'!$B$6:$B$1018,2026)</f>
        <v>4</v>
      </c>
      <c r="G420" s="22" t="n">
        <f aca="false">SUMIFS('CEMI Raw'!$D$6:$D$1018,'CEMI Raw'!$E$6:$E$1018,$A420,'CEMI Raw'!$B$6:$B$1018,2026)</f>
        <v>349.7</v>
      </c>
      <c r="H420" s="21" t="n">
        <f aca="false">SUMIFS('SALES Raw'!$C$6:$C$603,'SALES Raw'!$E$6:$E$603,$A420,'SALES Raw'!$B$6:$B$603,2025)</f>
        <v>0</v>
      </c>
      <c r="I420" s="22" t="n">
        <f aca="false">SUMIFS('SALES Raw'!$D$6:$D$603,'SALES Raw'!$E$6:$E$603,$A420,'SALES Raw'!$B$6:$B$603,2025)</f>
        <v>0</v>
      </c>
      <c r="J420" s="21" t="n">
        <f aca="false">SUMIFS('SALES Raw'!$C$6:$C$603,'SALES Raw'!$E$6:$E$603,$A420,'SALES Raw'!$B$6:$B$603,2026)</f>
        <v>1</v>
      </c>
      <c r="K420" s="22" t="n">
        <f aca="false">SUMIFS('SALES Raw'!$D$6:$D$603,'SALES Raw'!$E$6:$E$603,$A420,'SALES Raw'!$B$6:$B$603,2026)</f>
        <v>93.67</v>
      </c>
      <c r="L420" s="21" t="n">
        <f aca="false">D420+H420</f>
        <v>3</v>
      </c>
      <c r="M420" s="22" t="n">
        <f aca="false">E420+I420</f>
        <v>231.9</v>
      </c>
      <c r="N420" s="21" t="n">
        <f aca="false">F420+J420</f>
        <v>5</v>
      </c>
      <c r="O420" s="22" t="n">
        <f aca="false">G420+K420</f>
        <v>443.37</v>
      </c>
    </row>
    <row r="421" customFormat="false" ht="15" hidden="false" customHeight="false" outlineLevel="0" collapsed="false">
      <c r="A421" s="20" t="n">
        <v>4413425</v>
      </c>
      <c r="B421" s="20" t="str">
        <f aca="false">IFERROR(INDEX('Catalog'!$B:$B,MATCH($A421,'Catalog'!$A:$A,0)),"")</f>
        <v>SC35R  M מגן קרסול ימין</v>
      </c>
      <c r="C421" s="20" t="str">
        <f aca="false">IFERROR(INDEX('TRANS'!$A:$A,MATCH($A421,'TRANS'!$B:$B,0)),"")</f>
        <v>SC35R M</v>
      </c>
      <c r="D421" s="21" t="n">
        <f aca="false">SUMIFS('CEMI Raw'!$C$6:$C$1018,'CEMI Raw'!$E$6:$E$1018,$A421,'CEMI Raw'!$B$6:$B$1018,2025)</f>
        <v>9</v>
      </c>
      <c r="E421" s="22" t="n">
        <f aca="false">SUMIFS('CEMI Raw'!$D$6:$D$1018,'CEMI Raw'!$E$6:$E$1018,$A421,'CEMI Raw'!$B$6:$B$1018,2025)</f>
        <v>724.8</v>
      </c>
      <c r="F421" s="21" t="n">
        <f aca="false">SUMIFS('CEMI Raw'!$C$6:$C$1018,'CEMI Raw'!$E$6:$E$1018,$A421,'CEMI Raw'!$B$6:$B$1018,2026)</f>
        <v>10</v>
      </c>
      <c r="G421" s="22" t="n">
        <f aca="false">SUMIFS('CEMI Raw'!$D$6:$D$1018,'CEMI Raw'!$E$6:$E$1018,$A421,'CEMI Raw'!$B$6:$B$1018,2026)</f>
        <v>911.7</v>
      </c>
      <c r="H421" s="21" t="n">
        <f aca="false">SUMIFS('SALES Raw'!$C$6:$C$603,'SALES Raw'!$E$6:$E$603,$A421,'SALES Raw'!$B$6:$B$603,2025)</f>
        <v>0</v>
      </c>
      <c r="I421" s="22" t="n">
        <f aca="false">SUMIFS('SALES Raw'!$D$6:$D$603,'SALES Raw'!$E$6:$E$603,$A421,'SALES Raw'!$B$6:$B$603,2025)</f>
        <v>0</v>
      </c>
      <c r="J421" s="21" t="n">
        <f aca="false">SUMIFS('SALES Raw'!$C$6:$C$603,'SALES Raw'!$E$6:$E$603,$A421,'SALES Raw'!$B$6:$B$603,2026)</f>
        <v>1</v>
      </c>
      <c r="K421" s="22" t="n">
        <f aca="false">SUMIFS('SALES Raw'!$D$6:$D$603,'SALES Raw'!$E$6:$E$603,$A421,'SALES Raw'!$B$6:$B$603,2026)</f>
        <v>93.67</v>
      </c>
      <c r="L421" s="21" t="n">
        <f aca="false">D421+H421</f>
        <v>9</v>
      </c>
      <c r="M421" s="22" t="n">
        <f aca="false">E421+I421</f>
        <v>724.8</v>
      </c>
      <c r="N421" s="21" t="n">
        <f aca="false">F421+J421</f>
        <v>11</v>
      </c>
      <c r="O421" s="22" t="n">
        <f aca="false">G421+K421</f>
        <v>1005.37</v>
      </c>
    </row>
    <row r="422" customFormat="false" ht="15" hidden="false" customHeight="false" outlineLevel="0" collapsed="false">
      <c r="A422" s="20" t="n">
        <v>4413426</v>
      </c>
      <c r="B422" s="20" t="str">
        <f aca="false">IFERROR(INDEX('Catalog'!$B:$B,MATCH($A422,'Catalog'!$A:$A,0)),"")</f>
        <v>SC35R  L מגן קרסול ימין</v>
      </c>
      <c r="C422" s="20" t="str">
        <f aca="false">IFERROR(INDEX('TRANS'!$A:$A,MATCH($A422,'TRANS'!$B:$B,0)),"")</f>
        <v>SC35R L</v>
      </c>
      <c r="D422" s="21" t="n">
        <f aca="false">SUMIFS('CEMI Raw'!$C$6:$C$1018,'CEMI Raw'!$E$6:$E$1018,$A422,'CEMI Raw'!$B$6:$B$1018,2025)</f>
        <v>4</v>
      </c>
      <c r="E422" s="22" t="n">
        <f aca="false">SUMIFS('CEMI Raw'!$D$6:$D$1018,'CEMI Raw'!$E$6:$E$1018,$A422,'CEMI Raw'!$B$6:$B$1018,2025)</f>
        <v>309.2</v>
      </c>
      <c r="F422" s="21" t="n">
        <f aca="false">SUMIFS('CEMI Raw'!$C$6:$C$1018,'CEMI Raw'!$E$6:$E$1018,$A422,'CEMI Raw'!$B$6:$B$1018,2026)</f>
        <v>4</v>
      </c>
      <c r="G422" s="22" t="n">
        <f aca="false">SUMIFS('CEMI Raw'!$D$6:$D$1018,'CEMI Raw'!$E$6:$E$1018,$A422,'CEMI Raw'!$B$6:$B$1018,2026)</f>
        <v>362.2</v>
      </c>
      <c r="H422" s="21" t="n">
        <f aca="false">SUMIFS('SALES Raw'!$C$6:$C$603,'SALES Raw'!$E$6:$E$603,$A422,'SALES Raw'!$B$6:$B$603,2025)</f>
        <v>4</v>
      </c>
      <c r="I422" s="22" t="n">
        <f aca="false">SUMIFS('SALES Raw'!$D$6:$D$603,'SALES Raw'!$E$6:$E$603,$A422,'SALES Raw'!$B$6:$B$603,2025)</f>
        <v>309.17</v>
      </c>
      <c r="J422" s="21" t="n">
        <f aca="false">SUMIFS('SALES Raw'!$C$6:$C$603,'SALES Raw'!$E$6:$E$603,$A422,'SALES Raw'!$B$6:$B$603,2026)</f>
        <v>0</v>
      </c>
      <c r="K422" s="22" t="n">
        <f aca="false">SUMIFS('SALES Raw'!$D$6:$D$603,'SALES Raw'!$E$6:$E$603,$A422,'SALES Raw'!$B$6:$B$603,2026)</f>
        <v>0</v>
      </c>
      <c r="L422" s="21" t="n">
        <f aca="false">D422+H422</f>
        <v>8</v>
      </c>
      <c r="M422" s="22" t="n">
        <f aca="false">E422+I422</f>
        <v>618.37</v>
      </c>
      <c r="N422" s="21" t="n">
        <f aca="false">F422+J422</f>
        <v>4</v>
      </c>
      <c r="O422" s="22" t="n">
        <f aca="false">G422+K422</f>
        <v>362.2</v>
      </c>
    </row>
    <row r="423" customFormat="false" ht="15" hidden="false" customHeight="false" outlineLevel="0" collapsed="false">
      <c r="A423" s="20" t="n">
        <v>4413427</v>
      </c>
      <c r="B423" s="20" t="str">
        <f aca="false">IFERROR(INDEX('Catalog'!$B:$B,MATCH($A423,'Catalog'!$A:$A,0)),"")</f>
        <v>SC35R  XLמגן קרסול ימין</v>
      </c>
      <c r="C423" s="20" t="str">
        <f aca="false">IFERROR(INDEX('TRANS'!$A:$A,MATCH($A423,'TRANS'!$B:$B,0)),"")</f>
        <v>SC35R XL</v>
      </c>
      <c r="D423" s="21" t="n">
        <f aca="false">SUMIFS('CEMI Raw'!$C$6:$C$1018,'CEMI Raw'!$E$6:$E$1018,$A423,'CEMI Raw'!$B$6:$B$1018,2025)</f>
        <v>1</v>
      </c>
      <c r="E423" s="22" t="n">
        <f aca="false">SUMIFS('CEMI Raw'!$D$6:$D$1018,'CEMI Raw'!$E$6:$E$1018,$A423,'CEMI Raw'!$B$6:$B$1018,2025)</f>
        <v>77.3</v>
      </c>
      <c r="F423" s="21" t="n">
        <f aca="false">SUMIFS('CEMI Raw'!$C$6:$C$1018,'CEMI Raw'!$E$6:$E$1018,$A423,'CEMI Raw'!$B$6:$B$1018,2026)</f>
        <v>4</v>
      </c>
      <c r="G423" s="22" t="n">
        <f aca="false">SUMIFS('CEMI Raw'!$D$6:$D$1018,'CEMI Raw'!$E$6:$E$1018,$A423,'CEMI Raw'!$B$6:$B$1018,2026)</f>
        <v>362.2</v>
      </c>
      <c r="H423" s="21" t="n">
        <f aca="false">SUMIFS('SALES Raw'!$C$6:$C$603,'SALES Raw'!$E$6:$E$603,$A423,'SALES Raw'!$B$6:$B$603,2025)</f>
        <v>1</v>
      </c>
      <c r="I423" s="22" t="n">
        <f aca="false">SUMIFS('SALES Raw'!$D$6:$D$603,'SALES Raw'!$E$6:$E$603,$A423,'SALES Raw'!$B$6:$B$603,2025)</f>
        <v>77.29</v>
      </c>
      <c r="J423" s="21" t="n">
        <f aca="false">SUMIFS('SALES Raw'!$C$6:$C$603,'SALES Raw'!$E$6:$E$603,$A423,'SALES Raw'!$B$6:$B$603,2026)</f>
        <v>0</v>
      </c>
      <c r="K423" s="22" t="n">
        <f aca="false">SUMIFS('SALES Raw'!$D$6:$D$603,'SALES Raw'!$E$6:$E$603,$A423,'SALES Raw'!$B$6:$B$603,2026)</f>
        <v>0</v>
      </c>
      <c r="L423" s="21" t="n">
        <f aca="false">D423+H423</f>
        <v>2</v>
      </c>
      <c r="M423" s="22" t="n">
        <f aca="false">E423+I423</f>
        <v>154.59</v>
      </c>
      <c r="N423" s="21" t="n">
        <f aca="false">F423+J423</f>
        <v>4</v>
      </c>
      <c r="O423" s="22" t="n">
        <f aca="false">G423+K423</f>
        <v>362.2</v>
      </c>
    </row>
    <row r="424" customFormat="false" ht="15" hidden="false" customHeight="false" outlineLevel="0" collapsed="false">
      <c r="A424" s="20" t="n">
        <v>4413438</v>
      </c>
      <c r="B424" s="20" t="str">
        <f aca="false">IFERROR(INDEX('Catalog'!$B:$B,MATCH($A424,'Catalog'!$A:$A,0)),"")</f>
        <v>SC422  S מגן ברך</v>
      </c>
      <c r="C424" s="20" t="str">
        <f aca="false">IFERROR(INDEX('TRANS'!$A:$A,MATCH($A424,'TRANS'!$B:$B,0)),"")</f>
        <v>SC422 S</v>
      </c>
      <c r="D424" s="21" t="n">
        <f aca="false">SUMIFS('CEMI Raw'!$C$6:$C$1018,'CEMI Raw'!$E$6:$E$1018,$A424,'CEMI Raw'!$B$6:$B$1018,2025)</f>
        <v>6</v>
      </c>
      <c r="E424" s="22" t="n">
        <f aca="false">SUMIFS('CEMI Raw'!$D$6:$D$1018,'CEMI Raw'!$E$6:$E$1018,$A424,'CEMI Raw'!$B$6:$B$1018,2025)</f>
        <v>830.5</v>
      </c>
      <c r="F424" s="21" t="n">
        <f aca="false">SUMIFS('CEMI Raw'!$C$6:$C$1018,'CEMI Raw'!$E$6:$E$1018,$A424,'CEMI Raw'!$B$6:$B$1018,2026)</f>
        <v>6</v>
      </c>
      <c r="G424" s="22" t="n">
        <f aca="false">SUMIFS('CEMI Raw'!$D$6:$D$1018,'CEMI Raw'!$E$6:$E$1018,$A424,'CEMI Raw'!$B$6:$B$1018,2026)</f>
        <v>834.1</v>
      </c>
      <c r="H424" s="21" t="n">
        <f aca="false">SUMIFS('SALES Raw'!$C$6:$C$603,'SALES Raw'!$E$6:$E$603,$A424,'SALES Raw'!$B$6:$B$603,2025)</f>
        <v>9</v>
      </c>
      <c r="I424" s="22" t="n">
        <f aca="false">SUMIFS('SALES Raw'!$D$6:$D$603,'SALES Raw'!$E$6:$E$603,$A424,'SALES Raw'!$B$6:$B$603,2025)</f>
        <v>1247.53</v>
      </c>
      <c r="J424" s="21" t="n">
        <f aca="false">SUMIFS('SALES Raw'!$C$6:$C$603,'SALES Raw'!$E$6:$E$603,$A424,'SALES Raw'!$B$6:$B$603,2026)</f>
        <v>4</v>
      </c>
      <c r="K424" s="22" t="n">
        <f aca="false">SUMIFS('SALES Raw'!$D$6:$D$603,'SALES Raw'!$E$6:$E$603,$A424,'SALES Raw'!$B$6:$B$603,2026)</f>
        <v>562.28</v>
      </c>
      <c r="L424" s="21" t="n">
        <f aca="false">D424+H424</f>
        <v>15</v>
      </c>
      <c r="M424" s="22" t="n">
        <f aca="false">E424+I424</f>
        <v>2078.03</v>
      </c>
      <c r="N424" s="21" t="n">
        <f aca="false">F424+J424</f>
        <v>10</v>
      </c>
      <c r="O424" s="22" t="n">
        <f aca="false">G424+K424</f>
        <v>1396.38</v>
      </c>
    </row>
    <row r="425" customFormat="false" ht="15" hidden="false" customHeight="false" outlineLevel="0" collapsed="false">
      <c r="A425" s="20" t="n">
        <v>4413439</v>
      </c>
      <c r="B425" s="20" t="str">
        <f aca="false">IFERROR(INDEX('Catalog'!$B:$B,MATCH($A425,'Catalog'!$A:$A,0)),"")</f>
        <v>SC422  M מגן ברך</v>
      </c>
      <c r="C425" s="20" t="str">
        <f aca="false">IFERROR(INDEX('TRANS'!$A:$A,MATCH($A425,'TRANS'!$B:$B,0)),"")</f>
        <v>SC422 M</v>
      </c>
      <c r="D425" s="21" t="n">
        <f aca="false">SUMIFS('CEMI Raw'!$C$6:$C$1018,'CEMI Raw'!$E$6:$E$1018,$A425,'CEMI Raw'!$B$6:$B$1018,2025)</f>
        <v>11</v>
      </c>
      <c r="E425" s="22" t="n">
        <f aca="false">SUMIFS('CEMI Raw'!$D$6:$D$1018,'CEMI Raw'!$E$6:$E$1018,$A425,'CEMI Raw'!$B$6:$B$1018,2025)</f>
        <v>1474.1</v>
      </c>
      <c r="F425" s="21" t="n">
        <f aca="false">SUMIFS('CEMI Raw'!$C$6:$C$1018,'CEMI Raw'!$E$6:$E$1018,$A425,'CEMI Raw'!$B$6:$B$1018,2026)</f>
        <v>20</v>
      </c>
      <c r="G425" s="22" t="n">
        <f aca="false">SUMIFS('CEMI Raw'!$D$6:$D$1018,'CEMI Raw'!$E$6:$E$1018,$A425,'CEMI Raw'!$B$6:$B$1018,2026)</f>
        <v>2689.6</v>
      </c>
      <c r="H425" s="21" t="n">
        <f aca="false">SUMIFS('SALES Raw'!$C$6:$C$603,'SALES Raw'!$E$6:$E$603,$A425,'SALES Raw'!$B$6:$B$603,2025)</f>
        <v>6</v>
      </c>
      <c r="I425" s="22" t="n">
        <f aca="false">SUMIFS('SALES Raw'!$D$6:$D$603,'SALES Raw'!$E$6:$E$603,$A425,'SALES Raw'!$B$6:$B$603,2025)</f>
        <v>836.38</v>
      </c>
      <c r="J425" s="21" t="n">
        <f aca="false">SUMIFS('SALES Raw'!$C$6:$C$603,'SALES Raw'!$E$6:$E$603,$A425,'SALES Raw'!$B$6:$B$603,2026)</f>
        <v>7</v>
      </c>
      <c r="K425" s="22" t="n">
        <f aca="false">SUMIFS('SALES Raw'!$D$6:$D$603,'SALES Raw'!$E$6:$E$603,$A425,'SALES Raw'!$B$6:$B$603,2026)</f>
        <v>984</v>
      </c>
      <c r="L425" s="21" t="n">
        <f aca="false">D425+H425</f>
        <v>17</v>
      </c>
      <c r="M425" s="22" t="n">
        <f aca="false">E425+I425</f>
        <v>2310.48</v>
      </c>
      <c r="N425" s="21" t="n">
        <f aca="false">F425+J425</f>
        <v>27</v>
      </c>
      <c r="O425" s="22" t="n">
        <f aca="false">G425+K425</f>
        <v>3673.6</v>
      </c>
    </row>
    <row r="426" customFormat="false" ht="15" hidden="false" customHeight="false" outlineLevel="0" collapsed="false">
      <c r="A426" s="20" t="n">
        <v>4413440</v>
      </c>
      <c r="B426" s="20" t="str">
        <f aca="false">IFERROR(INDEX('Catalog'!$B:$B,MATCH($A426,'Catalog'!$A:$A,0)),"")</f>
        <v>SC422  L מגן ברך</v>
      </c>
      <c r="C426" s="20" t="str">
        <f aca="false">IFERROR(INDEX('TRANS'!$A:$A,MATCH($A426,'TRANS'!$B:$B,0)),"")</f>
        <v>SC422 L</v>
      </c>
      <c r="D426" s="21" t="n">
        <f aca="false">SUMIFS('CEMI Raw'!$C$6:$C$1018,'CEMI Raw'!$E$6:$E$1018,$A426,'CEMI Raw'!$B$6:$B$1018,2025)</f>
        <v>19</v>
      </c>
      <c r="E426" s="22" t="n">
        <f aca="false">SUMIFS('CEMI Raw'!$D$6:$D$1018,'CEMI Raw'!$E$6:$E$1018,$A426,'CEMI Raw'!$B$6:$B$1018,2025)</f>
        <v>2570.5</v>
      </c>
      <c r="F426" s="21" t="n">
        <f aca="false">SUMIFS('CEMI Raw'!$C$6:$C$1018,'CEMI Raw'!$E$6:$E$1018,$A426,'CEMI Raw'!$B$6:$B$1018,2026)</f>
        <v>23</v>
      </c>
      <c r="G426" s="22" t="n">
        <f aca="false">SUMIFS('CEMI Raw'!$D$6:$D$1018,'CEMI Raw'!$E$6:$E$1018,$A426,'CEMI Raw'!$B$6:$B$1018,2026)</f>
        <v>3139.4</v>
      </c>
      <c r="H426" s="21" t="n">
        <f aca="false">SUMIFS('SALES Raw'!$C$6:$C$603,'SALES Raw'!$E$6:$E$603,$A426,'SALES Raw'!$B$6:$B$603,2025)</f>
        <v>6</v>
      </c>
      <c r="I426" s="22" t="n">
        <f aca="false">SUMIFS('SALES Raw'!$D$6:$D$603,'SALES Raw'!$E$6:$E$603,$A426,'SALES Raw'!$B$6:$B$603,2025)</f>
        <v>839.9</v>
      </c>
      <c r="J426" s="21" t="n">
        <f aca="false">SUMIFS('SALES Raw'!$C$6:$C$603,'SALES Raw'!$E$6:$E$603,$A426,'SALES Raw'!$B$6:$B$603,2026)</f>
        <v>6</v>
      </c>
      <c r="K426" s="22" t="n">
        <f aca="false">SUMIFS('SALES Raw'!$D$6:$D$603,'SALES Raw'!$E$6:$E$603,$A426,'SALES Raw'!$B$6:$B$603,2026)</f>
        <v>843.42</v>
      </c>
      <c r="L426" s="21" t="n">
        <f aca="false">D426+H426</f>
        <v>25</v>
      </c>
      <c r="M426" s="22" t="n">
        <f aca="false">E426+I426</f>
        <v>3410.4</v>
      </c>
      <c r="N426" s="21" t="n">
        <f aca="false">F426+J426</f>
        <v>29</v>
      </c>
      <c r="O426" s="22" t="n">
        <f aca="false">G426+K426</f>
        <v>3982.82</v>
      </c>
    </row>
    <row r="427" customFormat="false" ht="15" hidden="false" customHeight="false" outlineLevel="0" collapsed="false">
      <c r="A427" s="20" t="n">
        <v>4413441</v>
      </c>
      <c r="B427" s="20" t="str">
        <f aca="false">IFERROR(INDEX('Catalog'!$B:$B,MATCH($A427,'Catalog'!$A:$A,0)),"")</f>
        <v>SC422 XL מגן ברך</v>
      </c>
      <c r="C427" s="20" t="str">
        <f aca="false">IFERROR(INDEX('TRANS'!$A:$A,MATCH($A427,'TRANS'!$B:$B,0)),"")</f>
        <v>SC422 XL</v>
      </c>
      <c r="D427" s="21" t="n">
        <f aca="false">SUMIFS('CEMI Raw'!$C$6:$C$1018,'CEMI Raw'!$E$6:$E$1018,$A427,'CEMI Raw'!$B$6:$B$1018,2025)</f>
        <v>11</v>
      </c>
      <c r="E427" s="22" t="n">
        <f aca="false">SUMIFS('CEMI Raw'!$D$6:$D$1018,'CEMI Raw'!$E$6:$E$1018,$A427,'CEMI Raw'!$B$6:$B$1018,2025)</f>
        <v>1455.4</v>
      </c>
      <c r="F427" s="21" t="n">
        <f aca="false">SUMIFS('CEMI Raw'!$C$6:$C$1018,'CEMI Raw'!$E$6:$E$1018,$A427,'CEMI Raw'!$B$6:$B$1018,2026)</f>
        <v>15</v>
      </c>
      <c r="G427" s="22" t="n">
        <f aca="false">SUMIFS('CEMI Raw'!$D$6:$D$1018,'CEMI Raw'!$E$6:$E$1018,$A427,'CEMI Raw'!$B$6:$B$1018,2026)</f>
        <v>2061.7</v>
      </c>
      <c r="H427" s="21" t="n">
        <f aca="false">SUMIFS('SALES Raw'!$C$6:$C$603,'SALES Raw'!$E$6:$E$603,$A427,'SALES Raw'!$B$6:$B$603,2025)</f>
        <v>2</v>
      </c>
      <c r="I427" s="22" t="n">
        <f aca="false">SUMIFS('SALES Raw'!$D$6:$D$603,'SALES Raw'!$E$6:$E$603,$A427,'SALES Raw'!$B$6:$B$603,2025)</f>
        <v>281.14</v>
      </c>
      <c r="J427" s="21" t="n">
        <f aca="false">SUMIFS('SALES Raw'!$C$6:$C$603,'SALES Raw'!$E$6:$E$603,$A427,'SALES Raw'!$B$6:$B$603,2026)</f>
        <v>2</v>
      </c>
      <c r="K427" s="22" t="n">
        <f aca="false">SUMIFS('SALES Raw'!$D$6:$D$603,'SALES Raw'!$E$6:$E$603,$A427,'SALES Raw'!$B$6:$B$603,2026)</f>
        <v>281.14</v>
      </c>
      <c r="L427" s="21" t="n">
        <f aca="false">D427+H427</f>
        <v>13</v>
      </c>
      <c r="M427" s="22" t="n">
        <f aca="false">E427+I427</f>
        <v>1736.54</v>
      </c>
      <c r="N427" s="21" t="n">
        <f aca="false">F427+J427</f>
        <v>17</v>
      </c>
      <c r="O427" s="22" t="n">
        <f aca="false">G427+K427</f>
        <v>2342.84</v>
      </c>
    </row>
    <row r="428" customFormat="false" ht="15" hidden="false" customHeight="false" outlineLevel="0" collapsed="false">
      <c r="A428" s="20" t="n">
        <v>4413442</v>
      </c>
      <c r="B428" s="20" t="str">
        <f aca="false">IFERROR(INDEX('Catalog'!$B:$B,MATCH($A428,'Catalog'!$A:$A,0)),"")</f>
        <v>SC422 XXLמגן ברך</v>
      </c>
      <c r="C428" s="20" t="str">
        <f aca="false">IFERROR(INDEX('TRANS'!$A:$A,MATCH($A428,'TRANS'!$B:$B,0)),"")</f>
        <v>SC422 XXL</v>
      </c>
      <c r="D428" s="21" t="n">
        <f aca="false">SUMIFS('CEMI Raw'!$C$6:$C$1018,'CEMI Raw'!$E$6:$E$1018,$A428,'CEMI Raw'!$B$6:$B$1018,2025)</f>
        <v>1</v>
      </c>
      <c r="E428" s="22" t="n">
        <f aca="false">SUMIFS('CEMI Raw'!$D$6:$D$1018,'CEMI Raw'!$E$6:$E$1018,$A428,'CEMI Raw'!$B$6:$B$1018,2025)</f>
        <v>112.7</v>
      </c>
      <c r="F428" s="21" t="n">
        <f aca="false">SUMIFS('CEMI Raw'!$C$6:$C$1018,'CEMI Raw'!$E$6:$E$1018,$A428,'CEMI Raw'!$B$6:$B$1018,2026)</f>
        <v>5</v>
      </c>
      <c r="G428" s="22" t="n">
        <f aca="false">SUMIFS('CEMI Raw'!$D$6:$D$1018,'CEMI Raw'!$E$6:$E$1018,$A428,'CEMI Raw'!$B$6:$B$1018,2026)</f>
        <v>702.9</v>
      </c>
      <c r="H428" s="21" t="n">
        <f aca="false">SUMIFS('SALES Raw'!$C$6:$C$603,'SALES Raw'!$E$6:$E$603,$A428,'SALES Raw'!$B$6:$B$603,2025)</f>
        <v>1</v>
      </c>
      <c r="I428" s="22" t="n">
        <f aca="false">SUMIFS('SALES Raw'!$D$6:$D$603,'SALES Raw'!$E$6:$E$603,$A428,'SALES Raw'!$B$6:$B$603,2025)</f>
        <v>137.05</v>
      </c>
      <c r="J428" s="21" t="n">
        <f aca="false">SUMIFS('SALES Raw'!$C$6:$C$603,'SALES Raw'!$E$6:$E$603,$A428,'SALES Raw'!$B$6:$B$603,2026)</f>
        <v>2</v>
      </c>
      <c r="K428" s="22" t="n">
        <f aca="false">SUMIFS('SALES Raw'!$D$6:$D$603,'SALES Raw'!$E$6:$E$603,$A428,'SALES Raw'!$B$6:$B$603,2026)</f>
        <v>281.14</v>
      </c>
      <c r="L428" s="21" t="n">
        <f aca="false">D428+H428</f>
        <v>2</v>
      </c>
      <c r="M428" s="22" t="n">
        <f aca="false">E428+I428</f>
        <v>249.75</v>
      </c>
      <c r="N428" s="21" t="n">
        <f aca="false">F428+J428</f>
        <v>7</v>
      </c>
      <c r="O428" s="22" t="n">
        <f aca="false">G428+K428</f>
        <v>984.04</v>
      </c>
    </row>
    <row r="429" customFormat="false" ht="15" hidden="false" customHeight="false" outlineLevel="0" collapsed="false">
      <c r="A429" s="20" t="n">
        <v>4413444</v>
      </c>
      <c r="B429" s="20" t="str">
        <f aca="false">IFERROR(INDEX('Catalog'!$B:$B,MATCH($A429,'Catalog'!$A:$A,0)),"")</f>
        <v>302SP M מדרס ג'ל ספורט לגבר</v>
      </c>
      <c r="C429" s="20" t="str">
        <f aca="false">IFERROR(INDEX('TRANS'!$A:$A,MATCH($A429,'TRANS'!$B:$B,0)),"")</f>
        <v/>
      </c>
      <c r="D429" s="21" t="n">
        <f aca="false">SUMIFS('CEMI Raw'!$C$6:$C$1018,'CEMI Raw'!$E$6:$E$1018,$A429,'CEMI Raw'!$B$6:$B$1018,2025)</f>
        <v>-2</v>
      </c>
      <c r="E429" s="22" t="n">
        <f aca="false">SUMIFS('CEMI Raw'!$D$6:$D$1018,'CEMI Raw'!$E$6:$E$1018,$A429,'CEMI Raw'!$B$6:$B$1018,2025)</f>
        <v>-144.5</v>
      </c>
      <c r="F429" s="21" t="n">
        <f aca="false">SUMIFS('CEMI Raw'!$C$6:$C$1018,'CEMI Raw'!$E$6:$E$1018,$A429,'CEMI Raw'!$B$6:$B$1018,2026)</f>
        <v>0</v>
      </c>
      <c r="G429" s="22" t="n">
        <f aca="false">SUMIFS('CEMI Raw'!$D$6:$D$1018,'CEMI Raw'!$E$6:$E$1018,$A429,'CEMI Raw'!$B$6:$B$1018,2026)</f>
        <v>0</v>
      </c>
      <c r="H429" s="21" t="n">
        <f aca="false">SUMIFS('SALES Raw'!$C$6:$C$603,'SALES Raw'!$E$6:$E$603,$A429,'SALES Raw'!$B$6:$B$603,2025)</f>
        <v>0</v>
      </c>
      <c r="I429" s="22" t="n">
        <f aca="false">SUMIFS('SALES Raw'!$D$6:$D$603,'SALES Raw'!$E$6:$E$603,$A429,'SALES Raw'!$B$6:$B$603,2025)</f>
        <v>0</v>
      </c>
      <c r="J429" s="21" t="n">
        <f aca="false">SUMIFS('SALES Raw'!$C$6:$C$603,'SALES Raw'!$E$6:$E$603,$A429,'SALES Raw'!$B$6:$B$603,2026)</f>
        <v>0</v>
      </c>
      <c r="K429" s="22" t="n">
        <f aca="false">SUMIFS('SALES Raw'!$D$6:$D$603,'SALES Raw'!$E$6:$E$603,$A429,'SALES Raw'!$B$6:$B$603,2026)</f>
        <v>0</v>
      </c>
      <c r="L429" s="21" t="n">
        <f aca="false">D429+H429</f>
        <v>-2</v>
      </c>
      <c r="M429" s="22" t="n">
        <f aca="false">E429+I429</f>
        <v>-144.5</v>
      </c>
      <c r="N429" s="21" t="n">
        <f aca="false">F429+J429</f>
        <v>0</v>
      </c>
      <c r="O429" s="22" t="n">
        <f aca="false">G429+K429</f>
        <v>0</v>
      </c>
    </row>
    <row r="430" customFormat="false" ht="15" hidden="false" customHeight="false" outlineLevel="0" collapsed="false">
      <c r="A430" s="20" t="n">
        <v>4413445</v>
      </c>
      <c r="B430" s="20" t="str">
        <f aca="false">IFERROR(INDEX('Catalog'!$B:$B,MATCH($A430,'Catalog'!$A:$A,0)),"")</f>
        <v>302SP Wמדרס ג'ל ספורט לאישה</v>
      </c>
      <c r="C430" s="20" t="str">
        <f aca="false">IFERROR(INDEX('TRANS'!$A:$A,MATCH($A430,'TRANS'!$B:$B,0)),"")</f>
        <v/>
      </c>
      <c r="D430" s="21" t="n">
        <f aca="false">SUMIFS('CEMI Raw'!$C$6:$C$1018,'CEMI Raw'!$E$6:$E$1018,$A430,'CEMI Raw'!$B$6:$B$1018,2025)</f>
        <v>1</v>
      </c>
      <c r="E430" s="22" t="n">
        <f aca="false">SUMIFS('CEMI Raw'!$D$6:$D$1018,'CEMI Raw'!$E$6:$E$1018,$A430,'CEMI Raw'!$B$6:$B$1018,2025)</f>
        <v>56</v>
      </c>
      <c r="F430" s="21" t="n">
        <f aca="false">SUMIFS('CEMI Raw'!$C$6:$C$1018,'CEMI Raw'!$E$6:$E$1018,$A430,'CEMI Raw'!$B$6:$B$1018,2026)</f>
        <v>39</v>
      </c>
      <c r="G430" s="22" t="n">
        <f aca="false">SUMIFS('CEMI Raw'!$D$6:$D$1018,'CEMI Raw'!$E$6:$E$1018,$A430,'CEMI Raw'!$B$6:$B$1018,2026)</f>
        <v>2191.9</v>
      </c>
      <c r="H430" s="21" t="n">
        <f aca="false">SUMIFS('SALES Raw'!$C$6:$C$603,'SALES Raw'!$E$6:$E$603,$A430,'SALES Raw'!$B$6:$B$603,2025)</f>
        <v>0</v>
      </c>
      <c r="I430" s="22" t="n">
        <f aca="false">SUMIFS('SALES Raw'!$D$6:$D$603,'SALES Raw'!$E$6:$E$603,$A430,'SALES Raw'!$B$6:$B$603,2025)</f>
        <v>0</v>
      </c>
      <c r="J430" s="21" t="n">
        <f aca="false">SUMIFS('SALES Raw'!$C$6:$C$603,'SALES Raw'!$E$6:$E$603,$A430,'SALES Raw'!$B$6:$B$603,2026)</f>
        <v>0</v>
      </c>
      <c r="K430" s="22" t="n">
        <f aca="false">SUMIFS('SALES Raw'!$D$6:$D$603,'SALES Raw'!$E$6:$E$603,$A430,'SALES Raw'!$B$6:$B$603,2026)</f>
        <v>0</v>
      </c>
      <c r="L430" s="21" t="n">
        <f aca="false">D430+H430</f>
        <v>1</v>
      </c>
      <c r="M430" s="22" t="n">
        <f aca="false">E430+I430</f>
        <v>56</v>
      </c>
      <c r="N430" s="21" t="n">
        <f aca="false">F430+J430</f>
        <v>39</v>
      </c>
      <c r="O430" s="22" t="n">
        <f aca="false">G430+K430</f>
        <v>2191.9</v>
      </c>
    </row>
    <row r="431" customFormat="false" ht="15" hidden="false" customHeight="false" outlineLevel="0" collapsed="false">
      <c r="A431" s="20" t="n">
        <v>4413449</v>
      </c>
      <c r="B431" s="20" t="str">
        <f aca="false">IFERROR(INDEX('Catalog'!$B:$B,MATCH($A431,'Catalog'!$A:$A,0)),"")</f>
        <v>LF378 S מדרס ג'ל לנעלי עקב</v>
      </c>
      <c r="C431" s="20" t="str">
        <f aca="false">IFERROR(INDEX('TRANS'!$A:$A,MATCH($A431,'TRANS'!$B:$B,0)),"")</f>
        <v>LF378 S</v>
      </c>
      <c r="D431" s="21" t="n">
        <f aca="false">SUMIFS('CEMI Raw'!$C$6:$C$1018,'CEMI Raw'!$E$6:$E$1018,$A431,'CEMI Raw'!$B$6:$B$1018,2025)</f>
        <v>0</v>
      </c>
      <c r="E431" s="22" t="n">
        <f aca="false">SUMIFS('CEMI Raw'!$D$6:$D$1018,'CEMI Raw'!$E$6:$E$1018,$A431,'CEMI Raw'!$B$6:$B$1018,2025)</f>
        <v>0</v>
      </c>
      <c r="F431" s="21" t="n">
        <f aca="false">SUMIFS('CEMI Raw'!$C$6:$C$1018,'CEMI Raw'!$E$6:$E$1018,$A431,'CEMI Raw'!$B$6:$B$1018,2026)</f>
        <v>4</v>
      </c>
      <c r="G431" s="22" t="n">
        <f aca="false">SUMIFS('CEMI Raw'!$D$6:$D$1018,'CEMI Raw'!$E$6:$E$1018,$A431,'CEMI Raw'!$B$6:$B$1018,2026)</f>
        <v>294.2</v>
      </c>
      <c r="H431" s="21" t="n">
        <f aca="false">SUMIFS('SALES Raw'!$C$6:$C$603,'SALES Raw'!$E$6:$E$603,$A431,'SALES Raw'!$B$6:$B$603,2025)</f>
        <v>2</v>
      </c>
      <c r="I431" s="22" t="n">
        <f aca="false">SUMIFS('SALES Raw'!$D$6:$D$603,'SALES Raw'!$E$6:$E$603,$A431,'SALES Raw'!$B$6:$B$603,2025)</f>
        <v>147.09</v>
      </c>
      <c r="J431" s="21" t="n">
        <f aca="false">SUMIFS('SALES Raw'!$C$6:$C$603,'SALES Raw'!$E$6:$E$603,$A431,'SALES Raw'!$B$6:$B$603,2026)</f>
        <v>0</v>
      </c>
      <c r="K431" s="22" t="n">
        <f aca="false">SUMIFS('SALES Raw'!$D$6:$D$603,'SALES Raw'!$E$6:$E$603,$A431,'SALES Raw'!$B$6:$B$603,2026)</f>
        <v>0</v>
      </c>
      <c r="L431" s="21" t="n">
        <f aca="false">D431+H431</f>
        <v>2</v>
      </c>
      <c r="M431" s="22" t="n">
        <f aca="false">E431+I431</f>
        <v>147.09</v>
      </c>
      <c r="N431" s="21" t="n">
        <f aca="false">F431+J431</f>
        <v>4</v>
      </c>
      <c r="O431" s="22" t="n">
        <f aca="false">G431+K431</f>
        <v>294.2</v>
      </c>
    </row>
    <row r="432" customFormat="false" ht="15" hidden="false" customHeight="false" outlineLevel="0" collapsed="false">
      <c r="A432" s="20" t="n">
        <v>4413450</v>
      </c>
      <c r="B432" s="20" t="str">
        <f aca="false">IFERROR(INDEX('Catalog'!$B:$B,MATCH($A432,'Catalog'!$A:$A,0)),"")</f>
        <v>LF378 M מדרס ג'ל לנעלי עקב</v>
      </c>
      <c r="C432" s="20" t="str">
        <f aca="false">IFERROR(INDEX('TRANS'!$A:$A,MATCH($A432,'TRANS'!$B:$B,0)),"")</f>
        <v>LF378 M</v>
      </c>
      <c r="D432" s="21" t="n">
        <f aca="false">SUMIFS('CEMI Raw'!$C$6:$C$1018,'CEMI Raw'!$E$6:$E$1018,$A432,'CEMI Raw'!$B$6:$B$1018,2025)</f>
        <v>0</v>
      </c>
      <c r="E432" s="22" t="n">
        <f aca="false">SUMIFS('CEMI Raw'!$D$6:$D$1018,'CEMI Raw'!$E$6:$E$1018,$A432,'CEMI Raw'!$B$6:$B$1018,2025)</f>
        <v>0</v>
      </c>
      <c r="F432" s="21" t="n">
        <f aca="false">SUMIFS('CEMI Raw'!$C$6:$C$1018,'CEMI Raw'!$E$6:$E$1018,$A432,'CEMI Raw'!$B$6:$B$1018,2026)</f>
        <v>5</v>
      </c>
      <c r="G432" s="22" t="n">
        <f aca="false">SUMIFS('CEMI Raw'!$D$6:$D$1018,'CEMI Raw'!$E$6:$E$1018,$A432,'CEMI Raw'!$B$6:$B$1018,2026)</f>
        <v>367.7</v>
      </c>
      <c r="H432" s="21" t="n">
        <f aca="false">SUMIFS('SALES Raw'!$C$6:$C$603,'SALES Raw'!$E$6:$E$603,$A432,'SALES Raw'!$B$6:$B$603,2025)</f>
        <v>0</v>
      </c>
      <c r="I432" s="22" t="n">
        <f aca="false">SUMIFS('SALES Raw'!$D$6:$D$603,'SALES Raw'!$E$6:$E$603,$A432,'SALES Raw'!$B$6:$B$603,2025)</f>
        <v>0</v>
      </c>
      <c r="J432" s="21" t="n">
        <f aca="false">SUMIFS('SALES Raw'!$C$6:$C$603,'SALES Raw'!$E$6:$E$603,$A432,'SALES Raw'!$B$6:$B$603,2026)</f>
        <v>0</v>
      </c>
      <c r="K432" s="22" t="n">
        <f aca="false">SUMIFS('SALES Raw'!$D$6:$D$603,'SALES Raw'!$E$6:$E$603,$A432,'SALES Raw'!$B$6:$B$603,2026)</f>
        <v>0</v>
      </c>
      <c r="L432" s="21" t="n">
        <f aca="false">D432+H432</f>
        <v>0</v>
      </c>
      <c r="M432" s="22" t="n">
        <f aca="false">E432+I432</f>
        <v>0</v>
      </c>
      <c r="N432" s="21" t="n">
        <f aca="false">F432+J432</f>
        <v>5</v>
      </c>
      <c r="O432" s="22" t="n">
        <f aca="false">G432+K432</f>
        <v>367.7</v>
      </c>
    </row>
    <row r="433" customFormat="false" ht="15" hidden="false" customHeight="false" outlineLevel="0" collapsed="false">
      <c r="A433" s="20" t="n">
        <v>4413451</v>
      </c>
      <c r="B433" s="20" t="str">
        <f aca="false">IFERROR(INDEX('Catalog'!$B:$B,MATCH($A433,'Catalog'!$A:$A,0)),"")</f>
        <v>LF378 L מדרס ג'ל לנעלי עקב</v>
      </c>
      <c r="C433" s="20" t="str">
        <f aca="false">IFERROR(INDEX('TRANS'!$A:$A,MATCH($A433,'TRANS'!$B:$B,0)),"")</f>
        <v>LF378 L</v>
      </c>
      <c r="D433" s="21" t="n">
        <f aca="false">SUMIFS('CEMI Raw'!$C$6:$C$1018,'CEMI Raw'!$E$6:$E$1018,$A433,'CEMI Raw'!$B$6:$B$1018,2025)</f>
        <v>0</v>
      </c>
      <c r="E433" s="22" t="n">
        <f aca="false">SUMIFS('CEMI Raw'!$D$6:$D$1018,'CEMI Raw'!$E$6:$E$1018,$A433,'CEMI Raw'!$B$6:$B$1018,2025)</f>
        <v>0</v>
      </c>
      <c r="F433" s="21" t="n">
        <f aca="false">SUMIFS('CEMI Raw'!$C$6:$C$1018,'CEMI Raw'!$E$6:$E$1018,$A433,'CEMI Raw'!$B$6:$B$1018,2026)</f>
        <v>3</v>
      </c>
      <c r="G433" s="22" t="n">
        <f aca="false">SUMIFS('CEMI Raw'!$D$6:$D$1018,'CEMI Raw'!$E$6:$E$1018,$A433,'CEMI Raw'!$B$6:$B$1018,2026)</f>
        <v>215.7</v>
      </c>
      <c r="H433" s="21" t="n">
        <f aca="false">SUMIFS('SALES Raw'!$C$6:$C$603,'SALES Raw'!$E$6:$E$603,$A433,'SALES Raw'!$B$6:$B$603,2025)</f>
        <v>0</v>
      </c>
      <c r="I433" s="22" t="n">
        <f aca="false">SUMIFS('SALES Raw'!$D$6:$D$603,'SALES Raw'!$E$6:$E$603,$A433,'SALES Raw'!$B$6:$B$603,2025)</f>
        <v>0</v>
      </c>
      <c r="J433" s="21" t="n">
        <f aca="false">SUMIFS('SALES Raw'!$C$6:$C$603,'SALES Raw'!$E$6:$E$603,$A433,'SALES Raw'!$B$6:$B$603,2026)</f>
        <v>0</v>
      </c>
      <c r="K433" s="22" t="n">
        <f aca="false">SUMIFS('SALES Raw'!$D$6:$D$603,'SALES Raw'!$E$6:$E$603,$A433,'SALES Raw'!$B$6:$B$603,2026)</f>
        <v>0</v>
      </c>
      <c r="L433" s="21" t="n">
        <f aca="false">D433+H433</f>
        <v>0</v>
      </c>
      <c r="M433" s="22" t="n">
        <f aca="false">E433+I433</f>
        <v>0</v>
      </c>
      <c r="N433" s="21" t="n">
        <f aca="false">F433+J433</f>
        <v>3</v>
      </c>
      <c r="O433" s="22" t="n">
        <f aca="false">G433+K433</f>
        <v>215.7</v>
      </c>
    </row>
    <row r="434" customFormat="false" ht="15" hidden="false" customHeight="false" outlineLevel="0" collapsed="false">
      <c r="A434" s="20" t="n">
        <v>4413452</v>
      </c>
      <c r="B434" s="20" t="str">
        <f aca="false">IFERROR(INDEX('Catalog'!$B:$B,MATCH($A434,'Catalog'!$A:$A,0)),"")</f>
        <v>386  מיישר בוניון-האלוקס ולגוס</v>
      </c>
      <c r="C434" s="20" t="str">
        <f aca="false">IFERROR(INDEX('TRANS'!$A:$A,MATCH($A434,'TRANS'!$B:$B,0)),"")</f>
        <v>386 0</v>
      </c>
      <c r="D434" s="21" t="n">
        <f aca="false">SUMIFS('CEMI Raw'!$C$6:$C$1018,'CEMI Raw'!$E$6:$E$1018,$A434,'CEMI Raw'!$B$6:$B$1018,2025)</f>
        <v>63</v>
      </c>
      <c r="E434" s="22" t="n">
        <f aca="false">SUMIFS('CEMI Raw'!$D$6:$D$1018,'CEMI Raw'!$E$6:$E$1018,$A434,'CEMI Raw'!$B$6:$B$1018,2025)</f>
        <v>2915.1</v>
      </c>
      <c r="F434" s="21" t="n">
        <f aca="false">SUMIFS('CEMI Raw'!$C$6:$C$1018,'CEMI Raw'!$E$6:$E$1018,$A434,'CEMI Raw'!$B$6:$B$1018,2026)</f>
        <v>58</v>
      </c>
      <c r="G434" s="22" t="n">
        <f aca="false">SUMIFS('CEMI Raw'!$D$6:$D$1018,'CEMI Raw'!$E$6:$E$1018,$A434,'CEMI Raw'!$B$6:$B$1018,2026)</f>
        <v>2648.4</v>
      </c>
      <c r="H434" s="21" t="n">
        <f aca="false">SUMIFS('SALES Raw'!$C$6:$C$603,'SALES Raw'!$E$6:$E$603,$A434,'SALES Raw'!$B$6:$B$603,2025)</f>
        <v>0</v>
      </c>
      <c r="I434" s="22" t="n">
        <f aca="false">SUMIFS('SALES Raw'!$D$6:$D$603,'SALES Raw'!$E$6:$E$603,$A434,'SALES Raw'!$B$6:$B$603,2025)</f>
        <v>0</v>
      </c>
      <c r="J434" s="21" t="n">
        <f aca="false">SUMIFS('SALES Raw'!$C$6:$C$603,'SALES Raw'!$E$6:$E$603,$A434,'SALES Raw'!$B$6:$B$603,2026)</f>
        <v>1</v>
      </c>
      <c r="K434" s="22" t="n">
        <f aca="false">SUMIFS('SALES Raw'!$D$6:$D$603,'SALES Raw'!$E$6:$E$603,$A434,'SALES Raw'!$B$6:$B$603,2026)</f>
        <v>47.3</v>
      </c>
      <c r="L434" s="21" t="n">
        <f aca="false">D434+H434</f>
        <v>63</v>
      </c>
      <c r="M434" s="22" t="n">
        <f aca="false">E434+I434</f>
        <v>2915.1</v>
      </c>
      <c r="N434" s="21" t="n">
        <f aca="false">F434+J434</f>
        <v>59</v>
      </c>
      <c r="O434" s="22" t="n">
        <f aca="false">G434+K434</f>
        <v>2695.7</v>
      </c>
    </row>
    <row r="435" customFormat="false" ht="15" hidden="false" customHeight="false" outlineLevel="0" collapsed="false">
      <c r="A435" s="20" t="n">
        <v>4413453</v>
      </c>
      <c r="B435" s="20" t="str">
        <f aca="false">IFERROR(INDEX('Catalog'!$B:$B,MATCH($A435,'Catalog'!$A:$A,0)),"")</f>
        <v>AC75 מישר כתפיים אקטיב</v>
      </c>
      <c r="C435" s="20" t="str">
        <f aca="false">IFERROR(INDEX('TRANS'!$A:$A,MATCH($A435,'TRANS'!$B:$B,0)),"")</f>
        <v>AC75-S-XL</v>
      </c>
      <c r="D435" s="21" t="n">
        <f aca="false">SUMIFS('CEMI Raw'!$C$6:$C$1018,'CEMI Raw'!$E$6:$E$1018,$A435,'CEMI Raw'!$B$6:$B$1018,2025)</f>
        <v>943</v>
      </c>
      <c r="E435" s="22" t="n">
        <f aca="false">SUMIFS('CEMI Raw'!$D$6:$D$1018,'CEMI Raw'!$E$6:$E$1018,$A435,'CEMI Raw'!$B$6:$B$1018,2025)</f>
        <v>65610.8</v>
      </c>
      <c r="F435" s="21" t="n">
        <f aca="false">SUMIFS('CEMI Raw'!$C$6:$C$1018,'CEMI Raw'!$E$6:$E$1018,$A435,'CEMI Raw'!$B$6:$B$1018,2026)</f>
        <v>737</v>
      </c>
      <c r="G435" s="22" t="n">
        <f aca="false">SUMIFS('CEMI Raw'!$D$6:$D$1018,'CEMI Raw'!$E$6:$E$1018,$A435,'CEMI Raw'!$B$6:$B$1018,2026)</f>
        <v>57737.9</v>
      </c>
      <c r="H435" s="21" t="n">
        <f aca="false">SUMIFS('SALES Raw'!$C$6:$C$603,'SALES Raw'!$E$6:$E$603,$A435,'SALES Raw'!$B$6:$B$603,2025)</f>
        <v>22</v>
      </c>
      <c r="I435" s="22" t="n">
        <f aca="false">SUMIFS('SALES Raw'!$D$6:$D$603,'SALES Raw'!$E$6:$E$603,$A435,'SALES Raw'!$B$6:$B$603,2025)</f>
        <v>1516.56</v>
      </c>
      <c r="J435" s="21" t="n">
        <f aca="false">SUMIFS('SALES Raw'!$C$6:$C$603,'SALES Raw'!$E$6:$E$603,$A435,'SALES Raw'!$B$6:$B$603,2026)</f>
        <v>17</v>
      </c>
      <c r="K435" s="22" t="n">
        <f aca="false">SUMIFS('SALES Raw'!$D$6:$D$603,'SALES Raw'!$E$6:$E$603,$A435,'SALES Raw'!$B$6:$B$603,2026)</f>
        <v>1332.92</v>
      </c>
      <c r="L435" s="21" t="n">
        <f aca="false">D435+H435</f>
        <v>965</v>
      </c>
      <c r="M435" s="22" t="n">
        <f aca="false">E435+I435</f>
        <v>67127.36</v>
      </c>
      <c r="N435" s="21" t="n">
        <f aca="false">F435+J435</f>
        <v>754</v>
      </c>
      <c r="O435" s="22" t="n">
        <f aca="false">G435+K435</f>
        <v>59070.82</v>
      </c>
    </row>
    <row r="436" customFormat="false" ht="15" hidden="false" customHeight="false" outlineLevel="0" collapsed="false">
      <c r="A436" s="20" t="n">
        <v>4413455</v>
      </c>
      <c r="B436" s="20" t="str">
        <f aca="false">IFERROR(INDEX('Catalog'!$B:$B,MATCH($A436,'Catalog'!$A:$A,0)),"")</f>
        <v>85K מתלה ליד לילדים</v>
      </c>
      <c r="C436" s="20" t="str">
        <f aca="false">IFERROR(INDEX('TRANS'!$A:$A,MATCH($A436,'TRANS'!$B:$B,0)),"")</f>
        <v>85K 0</v>
      </c>
      <c r="D436" s="21" t="n">
        <f aca="false">SUMIFS('CEMI Raw'!$C$6:$C$1018,'CEMI Raw'!$E$6:$E$1018,$A436,'CEMI Raw'!$B$6:$B$1018,2025)</f>
        <v>153</v>
      </c>
      <c r="E436" s="22" t="n">
        <f aca="false">SUMIFS('CEMI Raw'!$D$6:$D$1018,'CEMI Raw'!$E$6:$E$1018,$A436,'CEMI Raw'!$B$6:$B$1018,2025)</f>
        <v>7719.7</v>
      </c>
      <c r="F436" s="21" t="n">
        <f aca="false">SUMIFS('CEMI Raw'!$C$6:$C$1018,'CEMI Raw'!$E$6:$E$1018,$A436,'CEMI Raw'!$B$6:$B$1018,2026)</f>
        <v>115</v>
      </c>
      <c r="G436" s="22" t="n">
        <f aca="false">SUMIFS('CEMI Raw'!$D$6:$D$1018,'CEMI Raw'!$E$6:$E$1018,$A436,'CEMI Raw'!$B$6:$B$1018,2026)</f>
        <v>5814.2</v>
      </c>
      <c r="H436" s="21" t="n">
        <f aca="false">SUMIFS('SALES Raw'!$C$6:$C$603,'SALES Raw'!$E$6:$E$603,$A436,'SALES Raw'!$B$6:$B$603,2025)</f>
        <v>12</v>
      </c>
      <c r="I436" s="22" t="n">
        <f aca="false">SUMIFS('SALES Raw'!$D$6:$D$603,'SALES Raw'!$E$6:$E$603,$A436,'SALES Raw'!$B$6:$B$603,2025)</f>
        <v>623.74</v>
      </c>
      <c r="J436" s="21" t="n">
        <f aca="false">SUMIFS('SALES Raw'!$C$6:$C$603,'SALES Raw'!$E$6:$E$603,$A436,'SALES Raw'!$B$6:$B$603,2026)</f>
        <v>9</v>
      </c>
      <c r="K436" s="22" t="n">
        <f aca="false">SUMIFS('SALES Raw'!$D$6:$D$603,'SALES Raw'!$E$6:$E$603,$A436,'SALES Raw'!$B$6:$B$603,2026)</f>
        <v>467.84</v>
      </c>
      <c r="L436" s="21" t="n">
        <f aca="false">D436+H436</f>
        <v>165</v>
      </c>
      <c r="M436" s="22" t="n">
        <f aca="false">E436+I436</f>
        <v>8343.44</v>
      </c>
      <c r="N436" s="21" t="n">
        <f aca="false">F436+J436</f>
        <v>124</v>
      </c>
      <c r="O436" s="22" t="n">
        <f aca="false">G436+K436</f>
        <v>6282.04</v>
      </c>
    </row>
    <row r="437" customFormat="false" ht="15" hidden="false" customHeight="false" outlineLevel="0" collapsed="false">
      <c r="A437" s="20" t="n">
        <v>4413456</v>
      </c>
      <c r="B437" s="20" t="str">
        <f aca="false">IFERROR(INDEX('Catalog'!$B:$B,MATCH($A437,'Catalog'!$A:$A,0)),"")</f>
        <v>AC75 XXL  מיישר כתפיים אקטיב</v>
      </c>
      <c r="C437" s="20" t="str">
        <f aca="false">IFERROR(INDEX('TRANS'!$A:$A,MATCH($A437,'TRANS'!$B:$B,0)),"")</f>
        <v>AC75 XXL</v>
      </c>
      <c r="D437" s="21" t="n">
        <f aca="false">SUMIFS('CEMI Raw'!$C$6:$C$1018,'CEMI Raw'!$E$6:$E$1018,$A437,'CEMI Raw'!$B$6:$B$1018,2025)</f>
        <v>106</v>
      </c>
      <c r="E437" s="22" t="n">
        <f aca="false">SUMIFS('CEMI Raw'!$D$6:$D$1018,'CEMI Raw'!$E$6:$E$1018,$A437,'CEMI Raw'!$B$6:$B$1018,2025)</f>
        <v>7191.5</v>
      </c>
      <c r="F437" s="21" t="n">
        <f aca="false">SUMIFS('CEMI Raw'!$C$6:$C$1018,'CEMI Raw'!$E$6:$E$1018,$A437,'CEMI Raw'!$B$6:$B$1018,2026)</f>
        <v>49</v>
      </c>
      <c r="G437" s="22" t="n">
        <f aca="false">SUMIFS('CEMI Raw'!$D$6:$D$1018,'CEMI Raw'!$E$6:$E$1018,$A437,'CEMI Raw'!$B$6:$B$1018,2026)</f>
        <v>3860</v>
      </c>
      <c r="H437" s="21" t="n">
        <f aca="false">SUMIFS('SALES Raw'!$C$6:$C$603,'SALES Raw'!$E$6:$E$603,$A437,'SALES Raw'!$B$6:$B$603,2025)</f>
        <v>1</v>
      </c>
      <c r="I437" s="22" t="n">
        <f aca="false">SUMIFS('SALES Raw'!$D$6:$D$603,'SALES Raw'!$E$6:$E$603,$A437,'SALES Raw'!$B$6:$B$603,2025)</f>
        <v>72.61</v>
      </c>
      <c r="J437" s="21" t="n">
        <f aca="false">SUMIFS('SALES Raw'!$C$6:$C$603,'SALES Raw'!$E$6:$E$603,$A437,'SALES Raw'!$B$6:$B$603,2026)</f>
        <v>4</v>
      </c>
      <c r="K437" s="22" t="n">
        <f aca="false">SUMIFS('SALES Raw'!$D$6:$D$603,'SALES Raw'!$E$6:$E$603,$A437,'SALES Raw'!$B$6:$B$603,2026)</f>
        <v>318.6</v>
      </c>
      <c r="L437" s="21" t="n">
        <f aca="false">D437+H437</f>
        <v>107</v>
      </c>
      <c r="M437" s="22" t="n">
        <f aca="false">E437+I437</f>
        <v>7264.11</v>
      </c>
      <c r="N437" s="21" t="n">
        <f aca="false">F437+J437</f>
        <v>53</v>
      </c>
      <c r="O437" s="22" t="n">
        <f aca="false">G437+K437</f>
        <v>4178.6</v>
      </c>
    </row>
    <row r="438" customFormat="false" ht="15" hidden="false" customHeight="false" outlineLevel="0" collapsed="false">
      <c r="A438" s="20" t="n">
        <v>4413464</v>
      </c>
      <c r="B438" s="20" t="str">
        <f aca="false">IFERROR(INDEX('Catalog'!$B:$B,MATCH($A438,'Catalog'!$A:$A,0)),"")</f>
        <v>605XL מסכה אלה</v>
      </c>
      <c r="C438" s="20" t="str">
        <f aca="false">IFERROR(INDEX('TRANS'!$A:$A,MATCH($A438,'TRANS'!$B:$B,0)),"")</f>
        <v/>
      </c>
      <c r="D438" s="21" t="n">
        <f aca="false">SUMIFS('CEMI Raw'!$C$6:$C$1018,'CEMI Raw'!$E$6:$E$1018,$A438,'CEMI Raw'!$B$6:$B$1018,2025)</f>
        <v>-4</v>
      </c>
      <c r="E438" s="22" t="n">
        <f aca="false">SUMIFS('CEMI Raw'!$D$6:$D$1018,'CEMI Raw'!$E$6:$E$1018,$A438,'CEMI Raw'!$B$6:$B$1018,2025)</f>
        <v>-32.5</v>
      </c>
      <c r="F438" s="21" t="n">
        <f aca="false">SUMIFS('CEMI Raw'!$C$6:$C$1018,'CEMI Raw'!$E$6:$E$1018,$A438,'CEMI Raw'!$B$6:$B$1018,2026)</f>
        <v>0</v>
      </c>
      <c r="G438" s="22" t="n">
        <f aca="false">SUMIFS('CEMI Raw'!$D$6:$D$1018,'CEMI Raw'!$E$6:$E$1018,$A438,'CEMI Raw'!$B$6:$B$1018,2026)</f>
        <v>0</v>
      </c>
      <c r="H438" s="21" t="n">
        <f aca="false">SUMIFS('SALES Raw'!$C$6:$C$603,'SALES Raw'!$E$6:$E$603,$A438,'SALES Raw'!$B$6:$B$603,2025)</f>
        <v>0</v>
      </c>
      <c r="I438" s="22" t="n">
        <f aca="false">SUMIFS('SALES Raw'!$D$6:$D$603,'SALES Raw'!$E$6:$E$603,$A438,'SALES Raw'!$B$6:$B$603,2025)</f>
        <v>0</v>
      </c>
      <c r="J438" s="21" t="n">
        <f aca="false">SUMIFS('SALES Raw'!$C$6:$C$603,'SALES Raw'!$E$6:$E$603,$A438,'SALES Raw'!$B$6:$B$603,2026)</f>
        <v>0</v>
      </c>
      <c r="K438" s="22" t="n">
        <f aca="false">SUMIFS('SALES Raw'!$D$6:$D$603,'SALES Raw'!$E$6:$E$603,$A438,'SALES Raw'!$B$6:$B$603,2026)</f>
        <v>0</v>
      </c>
      <c r="L438" s="21" t="n">
        <f aca="false">D438+H438</f>
        <v>-4</v>
      </c>
      <c r="M438" s="22" t="n">
        <f aca="false">E438+I438</f>
        <v>-32.5</v>
      </c>
      <c r="N438" s="21" t="n">
        <f aca="false">F438+J438</f>
        <v>0</v>
      </c>
      <c r="O438" s="22" t="n">
        <f aca="false">G438+K438</f>
        <v>0</v>
      </c>
    </row>
    <row r="439" customFormat="false" ht="15" hidden="false" customHeight="false" outlineLevel="0" collapsed="false">
      <c r="A439" s="20" t="n">
        <v>4413482</v>
      </c>
      <c r="B439" s="20" t="str">
        <f aca="false">IFERROR(INDEX('Catalog'!$B:$B,MATCH($A439,'Catalog'!$A:$A,0)),"")</f>
        <v>310Lמדרס 3/4לכאבי דורבן וספורט</v>
      </c>
      <c r="C439" s="20" t="str">
        <f aca="false">IFERROR(INDEX('TRANS'!$A:$A,MATCH($A439,'TRANS'!$B:$B,0)),"")</f>
        <v/>
      </c>
      <c r="D439" s="21" t="n">
        <f aca="false">SUMIFS('CEMI Raw'!$C$6:$C$1018,'CEMI Raw'!$E$6:$E$1018,$A439,'CEMI Raw'!$B$6:$B$1018,2025)</f>
        <v>-1</v>
      </c>
      <c r="E439" s="22" t="n">
        <f aca="false">SUMIFS('CEMI Raw'!$D$6:$D$1018,'CEMI Raw'!$E$6:$E$1018,$A439,'CEMI Raw'!$B$6:$B$1018,2025)</f>
        <v>-75.6</v>
      </c>
      <c r="F439" s="21" t="n">
        <f aca="false">SUMIFS('CEMI Raw'!$C$6:$C$1018,'CEMI Raw'!$E$6:$E$1018,$A439,'CEMI Raw'!$B$6:$B$1018,2026)</f>
        <v>0</v>
      </c>
      <c r="G439" s="22" t="n">
        <f aca="false">SUMIFS('CEMI Raw'!$D$6:$D$1018,'CEMI Raw'!$E$6:$E$1018,$A439,'CEMI Raw'!$B$6:$B$1018,2026)</f>
        <v>0</v>
      </c>
      <c r="H439" s="21" t="n">
        <f aca="false">SUMIFS('SALES Raw'!$C$6:$C$603,'SALES Raw'!$E$6:$E$603,$A439,'SALES Raw'!$B$6:$B$603,2025)</f>
        <v>0</v>
      </c>
      <c r="I439" s="22" t="n">
        <f aca="false">SUMIFS('SALES Raw'!$D$6:$D$603,'SALES Raw'!$E$6:$E$603,$A439,'SALES Raw'!$B$6:$B$603,2025)</f>
        <v>0</v>
      </c>
      <c r="J439" s="21" t="n">
        <f aca="false">SUMIFS('SALES Raw'!$C$6:$C$603,'SALES Raw'!$E$6:$E$603,$A439,'SALES Raw'!$B$6:$B$603,2026)</f>
        <v>0</v>
      </c>
      <c r="K439" s="22" t="n">
        <f aca="false">SUMIFS('SALES Raw'!$D$6:$D$603,'SALES Raw'!$E$6:$E$603,$A439,'SALES Raw'!$B$6:$B$603,2026)</f>
        <v>0</v>
      </c>
      <c r="L439" s="21" t="n">
        <f aca="false">D439+H439</f>
        <v>-1</v>
      </c>
      <c r="M439" s="22" t="n">
        <f aca="false">E439+I439</f>
        <v>-75.6</v>
      </c>
      <c r="N439" s="21" t="n">
        <f aca="false">F439+J439</f>
        <v>0</v>
      </c>
      <c r="O439" s="22" t="n">
        <f aca="false">G439+K439</f>
        <v>0</v>
      </c>
    </row>
    <row r="440" customFormat="false" ht="15" hidden="false" customHeight="false" outlineLevel="0" collapsed="false">
      <c r="A440" s="20" t="n">
        <v>4413490</v>
      </c>
      <c r="B440" s="20" t="str">
        <f aca="false">IFERROR(INDEX('Catalog'!$B:$B,MATCH($A440,'Catalog'!$A:$A,0)),"")</f>
        <v>35B L מגן קרסול שחור</v>
      </c>
      <c r="C440" s="20" t="str">
        <f aca="false">IFERROR(INDEX('TRANS'!$A:$A,MATCH($A440,'TRANS'!$B:$B,0)),"")</f>
        <v>35B L</v>
      </c>
      <c r="D440" s="21" t="n">
        <f aca="false">SUMIFS('CEMI Raw'!$C$6:$C$1018,'CEMI Raw'!$E$6:$E$1018,$A440,'CEMI Raw'!$B$6:$B$1018,2025)</f>
        <v>293</v>
      </c>
      <c r="E440" s="22" t="n">
        <f aca="false">SUMIFS('CEMI Raw'!$D$6:$D$1018,'CEMI Raw'!$E$6:$E$1018,$A440,'CEMI Raw'!$B$6:$B$1018,2025)</f>
        <v>8399.7</v>
      </c>
      <c r="F440" s="21" t="n">
        <f aca="false">SUMIFS('CEMI Raw'!$C$6:$C$1018,'CEMI Raw'!$E$6:$E$1018,$A440,'CEMI Raw'!$B$6:$B$1018,2026)</f>
        <v>183</v>
      </c>
      <c r="G440" s="22" t="n">
        <f aca="false">SUMIFS('CEMI Raw'!$D$6:$D$1018,'CEMI Raw'!$E$6:$E$1018,$A440,'CEMI Raw'!$B$6:$B$1018,2026)</f>
        <v>5609.7</v>
      </c>
      <c r="H440" s="21" t="n">
        <f aca="false">SUMIFS('SALES Raw'!$C$6:$C$603,'SALES Raw'!$E$6:$E$603,$A440,'SALES Raw'!$B$6:$B$603,2025)</f>
        <v>0</v>
      </c>
      <c r="I440" s="22" t="n">
        <f aca="false">SUMIFS('SALES Raw'!$D$6:$D$603,'SALES Raw'!$E$6:$E$603,$A440,'SALES Raw'!$B$6:$B$603,2025)</f>
        <v>0</v>
      </c>
      <c r="J440" s="21" t="n">
        <f aca="false">SUMIFS('SALES Raw'!$C$6:$C$603,'SALES Raw'!$E$6:$E$603,$A440,'SALES Raw'!$B$6:$B$603,2026)</f>
        <v>0</v>
      </c>
      <c r="K440" s="22" t="n">
        <f aca="false">SUMIFS('SALES Raw'!$D$6:$D$603,'SALES Raw'!$E$6:$E$603,$A440,'SALES Raw'!$B$6:$B$603,2026)</f>
        <v>0</v>
      </c>
      <c r="L440" s="21" t="n">
        <f aca="false">D440+H440</f>
        <v>293</v>
      </c>
      <c r="M440" s="22" t="n">
        <f aca="false">E440+I440</f>
        <v>8399.7</v>
      </c>
      <c r="N440" s="21" t="n">
        <f aca="false">F440+J440</f>
        <v>183</v>
      </c>
      <c r="O440" s="22" t="n">
        <f aca="false">G440+K440</f>
        <v>5609.7</v>
      </c>
    </row>
    <row r="441" customFormat="false" ht="15" hidden="false" customHeight="false" outlineLevel="0" collapsed="false">
      <c r="A441" s="20" t="n">
        <v>4413491</v>
      </c>
      <c r="B441" s="20" t="str">
        <f aca="false">IFERROR(INDEX('Catalog'!$B:$B,MATCH($A441,'Catalog'!$A:$A,0)),"")</f>
        <v>35B XL מגן קרסול שחור</v>
      </c>
      <c r="C441" s="20" t="str">
        <f aca="false">IFERROR(INDEX('TRANS'!$A:$A,MATCH($A441,'TRANS'!$B:$B,0)),"")</f>
        <v>35B XL</v>
      </c>
      <c r="D441" s="21" t="n">
        <f aca="false">SUMIFS('CEMI Raw'!$C$6:$C$1018,'CEMI Raw'!$E$6:$E$1018,$A441,'CEMI Raw'!$B$6:$B$1018,2025)</f>
        <v>185</v>
      </c>
      <c r="E441" s="22" t="n">
        <f aca="false">SUMIFS('CEMI Raw'!$D$6:$D$1018,'CEMI Raw'!$E$6:$E$1018,$A441,'CEMI Raw'!$B$6:$B$1018,2025)</f>
        <v>5554.1</v>
      </c>
      <c r="F441" s="21" t="n">
        <f aca="false">SUMIFS('CEMI Raw'!$C$6:$C$1018,'CEMI Raw'!$E$6:$E$1018,$A441,'CEMI Raw'!$B$6:$B$1018,2026)</f>
        <v>99</v>
      </c>
      <c r="G441" s="22" t="n">
        <f aca="false">SUMIFS('CEMI Raw'!$D$6:$D$1018,'CEMI Raw'!$E$6:$E$1018,$A441,'CEMI Raw'!$B$6:$B$1018,2026)</f>
        <v>3019</v>
      </c>
      <c r="H441" s="21" t="n">
        <f aca="false">SUMIFS('SALES Raw'!$C$6:$C$603,'SALES Raw'!$E$6:$E$603,$A441,'SALES Raw'!$B$6:$B$603,2025)</f>
        <v>0</v>
      </c>
      <c r="I441" s="22" t="n">
        <f aca="false">SUMIFS('SALES Raw'!$D$6:$D$603,'SALES Raw'!$E$6:$E$603,$A441,'SALES Raw'!$B$6:$B$603,2025)</f>
        <v>0</v>
      </c>
      <c r="J441" s="21" t="n">
        <f aca="false">SUMIFS('SALES Raw'!$C$6:$C$603,'SALES Raw'!$E$6:$E$603,$A441,'SALES Raw'!$B$6:$B$603,2026)</f>
        <v>0</v>
      </c>
      <c r="K441" s="22" t="n">
        <f aca="false">SUMIFS('SALES Raw'!$D$6:$D$603,'SALES Raw'!$E$6:$E$603,$A441,'SALES Raw'!$B$6:$B$603,2026)</f>
        <v>0</v>
      </c>
      <c r="L441" s="21" t="n">
        <f aca="false">D441+H441</f>
        <v>185</v>
      </c>
      <c r="M441" s="22" t="n">
        <f aca="false">E441+I441</f>
        <v>5554.1</v>
      </c>
      <c r="N441" s="21" t="n">
        <f aca="false">F441+J441</f>
        <v>99</v>
      </c>
      <c r="O441" s="22" t="n">
        <f aca="false">G441+K441</f>
        <v>3019</v>
      </c>
    </row>
    <row r="442" customFormat="false" ht="15" hidden="false" customHeight="false" outlineLevel="0" collapsed="false">
      <c r="A442" s="20" t="n">
        <v>4413492</v>
      </c>
      <c r="B442" s="20" t="str">
        <f aca="false">IFERROR(INDEX('Catalog'!$B:$B,MATCH($A442,'Catalog'!$A:$A,0)),"")</f>
        <v>35B M מגן קרסול שחור</v>
      </c>
      <c r="C442" s="20" t="str">
        <f aca="false">IFERROR(INDEX('TRANS'!$A:$A,MATCH($A442,'TRANS'!$B:$B,0)),"")</f>
        <v>35B M</v>
      </c>
      <c r="D442" s="21" t="n">
        <f aca="false">SUMIFS('CEMI Raw'!$C$6:$C$1018,'CEMI Raw'!$E$6:$E$1018,$A442,'CEMI Raw'!$B$6:$B$1018,2025)</f>
        <v>265</v>
      </c>
      <c r="E442" s="22" t="n">
        <f aca="false">SUMIFS('CEMI Raw'!$D$6:$D$1018,'CEMI Raw'!$E$6:$E$1018,$A442,'CEMI Raw'!$B$6:$B$1018,2025)</f>
        <v>7812.9</v>
      </c>
      <c r="F442" s="21" t="n">
        <f aca="false">SUMIFS('CEMI Raw'!$C$6:$C$1018,'CEMI Raw'!$E$6:$E$1018,$A442,'CEMI Raw'!$B$6:$B$1018,2026)</f>
        <v>146</v>
      </c>
      <c r="G442" s="22" t="n">
        <f aca="false">SUMIFS('CEMI Raw'!$D$6:$D$1018,'CEMI Raw'!$E$6:$E$1018,$A442,'CEMI Raw'!$B$6:$B$1018,2026)</f>
        <v>4485.3</v>
      </c>
      <c r="H442" s="21" t="n">
        <f aca="false">SUMIFS('SALES Raw'!$C$6:$C$603,'SALES Raw'!$E$6:$E$603,$A442,'SALES Raw'!$B$6:$B$603,2025)</f>
        <v>0</v>
      </c>
      <c r="I442" s="22" t="n">
        <f aca="false">SUMIFS('SALES Raw'!$D$6:$D$603,'SALES Raw'!$E$6:$E$603,$A442,'SALES Raw'!$B$6:$B$603,2025)</f>
        <v>0</v>
      </c>
      <c r="J442" s="21" t="n">
        <f aca="false">SUMIFS('SALES Raw'!$C$6:$C$603,'SALES Raw'!$E$6:$E$603,$A442,'SALES Raw'!$B$6:$B$603,2026)</f>
        <v>0</v>
      </c>
      <c r="K442" s="22" t="n">
        <f aca="false">SUMIFS('SALES Raw'!$D$6:$D$603,'SALES Raw'!$E$6:$E$603,$A442,'SALES Raw'!$B$6:$B$603,2026)</f>
        <v>0</v>
      </c>
      <c r="L442" s="21" t="n">
        <f aca="false">D442+H442</f>
        <v>265</v>
      </c>
      <c r="M442" s="22" t="n">
        <f aca="false">E442+I442</f>
        <v>7812.9</v>
      </c>
      <c r="N442" s="21" t="n">
        <f aca="false">F442+J442</f>
        <v>146</v>
      </c>
      <c r="O442" s="22" t="n">
        <f aca="false">G442+K442</f>
        <v>4485.3</v>
      </c>
    </row>
    <row r="443" customFormat="false" ht="15" hidden="false" customHeight="false" outlineLevel="0" collapsed="false">
      <c r="A443" s="20" t="n">
        <v>4413493</v>
      </c>
      <c r="B443" s="20" t="str">
        <f aca="false">IFERROR(INDEX('Catalog'!$B:$B,MATCH($A443,'Catalog'!$A:$A,0)),"")</f>
        <v>35B S מגן קרסול שחור</v>
      </c>
      <c r="C443" s="20" t="str">
        <f aca="false">IFERROR(INDEX('TRANS'!$A:$A,MATCH($A443,'TRANS'!$B:$B,0)),"")</f>
        <v>35B S</v>
      </c>
      <c r="D443" s="21" t="n">
        <f aca="false">SUMIFS('CEMI Raw'!$C$6:$C$1018,'CEMI Raw'!$E$6:$E$1018,$A443,'CEMI Raw'!$B$6:$B$1018,2025)</f>
        <v>136</v>
      </c>
      <c r="E443" s="22" t="n">
        <f aca="false">SUMIFS('CEMI Raw'!$D$6:$D$1018,'CEMI Raw'!$E$6:$E$1018,$A443,'CEMI Raw'!$B$6:$B$1018,2025)</f>
        <v>4138.2</v>
      </c>
      <c r="F443" s="21" t="n">
        <f aca="false">SUMIFS('CEMI Raw'!$C$6:$C$1018,'CEMI Raw'!$E$6:$E$1018,$A443,'CEMI Raw'!$B$6:$B$1018,2026)</f>
        <v>77</v>
      </c>
      <c r="G443" s="22" t="n">
        <f aca="false">SUMIFS('CEMI Raw'!$D$6:$D$1018,'CEMI Raw'!$E$6:$E$1018,$A443,'CEMI Raw'!$B$6:$B$1018,2026)</f>
        <v>2360</v>
      </c>
      <c r="H443" s="21" t="n">
        <f aca="false">SUMIFS('SALES Raw'!$C$6:$C$603,'SALES Raw'!$E$6:$E$603,$A443,'SALES Raw'!$B$6:$B$603,2025)</f>
        <v>0</v>
      </c>
      <c r="I443" s="22" t="n">
        <f aca="false">SUMIFS('SALES Raw'!$D$6:$D$603,'SALES Raw'!$E$6:$E$603,$A443,'SALES Raw'!$B$6:$B$603,2025)</f>
        <v>0</v>
      </c>
      <c r="J443" s="21" t="n">
        <f aca="false">SUMIFS('SALES Raw'!$C$6:$C$603,'SALES Raw'!$E$6:$E$603,$A443,'SALES Raw'!$B$6:$B$603,2026)</f>
        <v>0</v>
      </c>
      <c r="K443" s="22" t="n">
        <f aca="false">SUMIFS('SALES Raw'!$D$6:$D$603,'SALES Raw'!$E$6:$E$603,$A443,'SALES Raw'!$B$6:$B$603,2026)</f>
        <v>0</v>
      </c>
      <c r="L443" s="21" t="n">
        <f aca="false">D443+H443</f>
        <v>136</v>
      </c>
      <c r="M443" s="22" t="n">
        <f aca="false">E443+I443</f>
        <v>4138.2</v>
      </c>
      <c r="N443" s="21" t="n">
        <f aca="false">F443+J443</f>
        <v>77</v>
      </c>
      <c r="O443" s="22" t="n">
        <f aca="false">G443+K443</f>
        <v>2360</v>
      </c>
    </row>
    <row r="444" customFormat="false" ht="15" hidden="false" customHeight="false" outlineLevel="0" collapsed="false">
      <c r="A444" s="20" t="n">
        <v>4413494</v>
      </c>
      <c r="B444" s="20" t="str">
        <f aca="false">IFERROR(INDEX('Catalog'!$B:$B,MATCH($A444,'Catalog'!$A:$A,0)),"")</f>
        <v>35B XXL מגן קרסול שחור</v>
      </c>
      <c r="C444" s="20" t="str">
        <f aca="false">IFERROR(INDEX('TRANS'!$A:$A,MATCH($A444,'TRANS'!$B:$B,0)),"")</f>
        <v>35B XXL</v>
      </c>
      <c r="D444" s="21" t="n">
        <f aca="false">SUMIFS('CEMI Raw'!$C$6:$C$1018,'CEMI Raw'!$E$6:$E$1018,$A444,'CEMI Raw'!$B$6:$B$1018,2025)</f>
        <v>47</v>
      </c>
      <c r="E444" s="22" t="n">
        <f aca="false">SUMIFS('CEMI Raw'!$D$6:$D$1018,'CEMI Raw'!$E$6:$E$1018,$A444,'CEMI Raw'!$B$6:$B$1018,2025)</f>
        <v>1423</v>
      </c>
      <c r="F444" s="21" t="n">
        <f aca="false">SUMIFS('CEMI Raw'!$C$6:$C$1018,'CEMI Raw'!$E$6:$E$1018,$A444,'CEMI Raw'!$B$6:$B$1018,2026)</f>
        <v>33</v>
      </c>
      <c r="G444" s="22" t="n">
        <f aca="false">SUMIFS('CEMI Raw'!$D$6:$D$1018,'CEMI Raw'!$E$6:$E$1018,$A444,'CEMI Raw'!$B$6:$B$1018,2026)</f>
        <v>1009.1</v>
      </c>
      <c r="H444" s="21" t="n">
        <f aca="false">SUMIFS('SALES Raw'!$C$6:$C$603,'SALES Raw'!$E$6:$E$603,$A444,'SALES Raw'!$B$6:$B$603,2025)</f>
        <v>0</v>
      </c>
      <c r="I444" s="22" t="n">
        <f aca="false">SUMIFS('SALES Raw'!$D$6:$D$603,'SALES Raw'!$E$6:$E$603,$A444,'SALES Raw'!$B$6:$B$603,2025)</f>
        <v>0</v>
      </c>
      <c r="J444" s="21" t="n">
        <f aca="false">SUMIFS('SALES Raw'!$C$6:$C$603,'SALES Raw'!$E$6:$E$603,$A444,'SALES Raw'!$B$6:$B$603,2026)</f>
        <v>0</v>
      </c>
      <c r="K444" s="22" t="n">
        <f aca="false">SUMIFS('SALES Raw'!$D$6:$D$603,'SALES Raw'!$E$6:$E$603,$A444,'SALES Raw'!$B$6:$B$603,2026)</f>
        <v>0</v>
      </c>
      <c r="L444" s="21" t="n">
        <f aca="false">D444+H444</f>
        <v>47</v>
      </c>
      <c r="M444" s="22" t="n">
        <f aca="false">E444+I444</f>
        <v>1423</v>
      </c>
      <c r="N444" s="21" t="n">
        <f aca="false">F444+J444</f>
        <v>33</v>
      </c>
      <c r="O444" s="22" t="n">
        <f aca="false">G444+K444</f>
        <v>1009.1</v>
      </c>
    </row>
    <row r="445" customFormat="false" ht="15" hidden="false" customHeight="false" outlineLevel="0" collapsed="false">
      <c r="A445" s="20" t="n">
        <v>4413495</v>
      </c>
      <c r="B445" s="20" t="str">
        <f aca="false">IFERROR(INDEX('Catalog'!$B:$B,MATCH($A445,'Catalog'!$A:$A,0)),"")</f>
        <v>45B L מגן ברך שחור</v>
      </c>
      <c r="C445" s="20" t="str">
        <f aca="false">IFERROR(INDEX('TRANS'!$A:$A,MATCH($A445,'TRANS'!$B:$B,0)),"")</f>
        <v>45B L</v>
      </c>
      <c r="D445" s="21" t="n">
        <f aca="false">SUMIFS('CEMI Raw'!$C$6:$C$1018,'CEMI Raw'!$E$6:$E$1018,$A445,'CEMI Raw'!$B$6:$B$1018,2025)</f>
        <v>388</v>
      </c>
      <c r="E445" s="22" t="n">
        <f aca="false">SUMIFS('CEMI Raw'!$D$6:$D$1018,'CEMI Raw'!$E$6:$E$1018,$A445,'CEMI Raw'!$B$6:$B$1018,2025)</f>
        <v>11355.1</v>
      </c>
      <c r="F445" s="21" t="n">
        <f aca="false">SUMIFS('CEMI Raw'!$C$6:$C$1018,'CEMI Raw'!$E$6:$E$1018,$A445,'CEMI Raw'!$B$6:$B$1018,2026)</f>
        <v>224</v>
      </c>
      <c r="G445" s="22" t="n">
        <f aca="false">SUMIFS('CEMI Raw'!$D$6:$D$1018,'CEMI Raw'!$E$6:$E$1018,$A445,'CEMI Raw'!$B$6:$B$1018,2026)</f>
        <v>6835</v>
      </c>
      <c r="H445" s="21" t="n">
        <f aca="false">SUMIFS('SALES Raw'!$C$6:$C$603,'SALES Raw'!$E$6:$E$603,$A445,'SALES Raw'!$B$6:$B$603,2025)</f>
        <v>0</v>
      </c>
      <c r="I445" s="22" t="n">
        <f aca="false">SUMIFS('SALES Raw'!$D$6:$D$603,'SALES Raw'!$E$6:$E$603,$A445,'SALES Raw'!$B$6:$B$603,2025)</f>
        <v>0</v>
      </c>
      <c r="J445" s="21" t="n">
        <f aca="false">SUMIFS('SALES Raw'!$C$6:$C$603,'SALES Raw'!$E$6:$E$603,$A445,'SALES Raw'!$B$6:$B$603,2026)</f>
        <v>0</v>
      </c>
      <c r="K445" s="22" t="n">
        <f aca="false">SUMIFS('SALES Raw'!$D$6:$D$603,'SALES Raw'!$E$6:$E$603,$A445,'SALES Raw'!$B$6:$B$603,2026)</f>
        <v>0</v>
      </c>
      <c r="L445" s="21" t="n">
        <f aca="false">D445+H445</f>
        <v>388</v>
      </c>
      <c r="M445" s="22" t="n">
        <f aca="false">E445+I445</f>
        <v>11355.1</v>
      </c>
      <c r="N445" s="21" t="n">
        <f aca="false">F445+J445</f>
        <v>224</v>
      </c>
      <c r="O445" s="22" t="n">
        <f aca="false">G445+K445</f>
        <v>6835</v>
      </c>
    </row>
    <row r="446" customFormat="false" ht="15" hidden="false" customHeight="false" outlineLevel="0" collapsed="false">
      <c r="A446" s="20" t="n">
        <v>4413496</v>
      </c>
      <c r="B446" s="20" t="str">
        <f aca="false">IFERROR(INDEX('Catalog'!$B:$B,MATCH($A446,'Catalog'!$A:$A,0)),"")</f>
        <v>45B XL מגן ברך שחור</v>
      </c>
      <c r="C446" s="20" t="str">
        <f aca="false">IFERROR(INDEX('TRANS'!$A:$A,MATCH($A446,'TRANS'!$B:$B,0)),"")</f>
        <v>45B XL</v>
      </c>
      <c r="D446" s="21" t="n">
        <f aca="false">SUMIFS('CEMI Raw'!$C$6:$C$1018,'CEMI Raw'!$E$6:$E$1018,$A446,'CEMI Raw'!$B$6:$B$1018,2025)</f>
        <v>281</v>
      </c>
      <c r="E446" s="22" t="n">
        <f aca="false">SUMIFS('CEMI Raw'!$D$6:$D$1018,'CEMI Raw'!$E$6:$E$1018,$A446,'CEMI Raw'!$B$6:$B$1018,2025)</f>
        <v>8133.8</v>
      </c>
      <c r="F446" s="21" t="n">
        <f aca="false">SUMIFS('CEMI Raw'!$C$6:$C$1018,'CEMI Raw'!$E$6:$E$1018,$A446,'CEMI Raw'!$B$6:$B$1018,2026)</f>
        <v>156</v>
      </c>
      <c r="G446" s="22" t="n">
        <f aca="false">SUMIFS('CEMI Raw'!$D$6:$D$1018,'CEMI Raw'!$E$6:$E$1018,$A446,'CEMI Raw'!$B$6:$B$1018,2026)</f>
        <v>4687.1</v>
      </c>
      <c r="H446" s="21" t="n">
        <f aca="false">SUMIFS('SALES Raw'!$C$6:$C$603,'SALES Raw'!$E$6:$E$603,$A446,'SALES Raw'!$B$6:$B$603,2025)</f>
        <v>0</v>
      </c>
      <c r="I446" s="22" t="n">
        <f aca="false">SUMIFS('SALES Raw'!$D$6:$D$603,'SALES Raw'!$E$6:$E$603,$A446,'SALES Raw'!$B$6:$B$603,2025)</f>
        <v>0</v>
      </c>
      <c r="J446" s="21" t="n">
        <f aca="false">SUMIFS('SALES Raw'!$C$6:$C$603,'SALES Raw'!$E$6:$E$603,$A446,'SALES Raw'!$B$6:$B$603,2026)</f>
        <v>0</v>
      </c>
      <c r="K446" s="22" t="n">
        <f aca="false">SUMIFS('SALES Raw'!$D$6:$D$603,'SALES Raw'!$E$6:$E$603,$A446,'SALES Raw'!$B$6:$B$603,2026)</f>
        <v>0</v>
      </c>
      <c r="L446" s="21" t="n">
        <f aca="false">D446+H446</f>
        <v>281</v>
      </c>
      <c r="M446" s="22" t="n">
        <f aca="false">E446+I446</f>
        <v>8133.8</v>
      </c>
      <c r="N446" s="21" t="n">
        <f aca="false">F446+J446</f>
        <v>156</v>
      </c>
      <c r="O446" s="22" t="n">
        <f aca="false">G446+K446</f>
        <v>4687.1</v>
      </c>
    </row>
    <row r="447" customFormat="false" ht="15" hidden="false" customHeight="false" outlineLevel="0" collapsed="false">
      <c r="A447" s="20" t="n">
        <v>4413497</v>
      </c>
      <c r="B447" s="20" t="str">
        <f aca="false">IFERROR(INDEX('Catalog'!$B:$B,MATCH($A447,'Catalog'!$A:$A,0)),"")</f>
        <v>45B M מגן ברך שחור</v>
      </c>
      <c r="C447" s="20" t="str">
        <f aca="false">IFERROR(INDEX('TRANS'!$A:$A,MATCH($A447,'TRANS'!$B:$B,0)),"")</f>
        <v>45B M</v>
      </c>
      <c r="D447" s="21" t="n">
        <f aca="false">SUMIFS('CEMI Raw'!$C$6:$C$1018,'CEMI Raw'!$E$6:$E$1018,$A447,'CEMI Raw'!$B$6:$B$1018,2025)</f>
        <v>276</v>
      </c>
      <c r="E447" s="22" t="n">
        <f aca="false">SUMIFS('CEMI Raw'!$D$6:$D$1018,'CEMI Raw'!$E$6:$E$1018,$A447,'CEMI Raw'!$B$6:$B$1018,2025)</f>
        <v>8129.6</v>
      </c>
      <c r="F447" s="21" t="n">
        <f aca="false">SUMIFS('CEMI Raw'!$C$6:$C$1018,'CEMI Raw'!$E$6:$E$1018,$A447,'CEMI Raw'!$B$6:$B$1018,2026)</f>
        <v>172</v>
      </c>
      <c r="G447" s="22" t="n">
        <f aca="false">SUMIFS('CEMI Raw'!$D$6:$D$1018,'CEMI Raw'!$E$6:$E$1018,$A447,'CEMI Raw'!$B$6:$B$1018,2026)</f>
        <v>5241.1</v>
      </c>
      <c r="H447" s="21" t="n">
        <f aca="false">SUMIFS('SALES Raw'!$C$6:$C$603,'SALES Raw'!$E$6:$E$603,$A447,'SALES Raw'!$B$6:$B$603,2025)</f>
        <v>1</v>
      </c>
      <c r="I447" s="22" t="n">
        <f aca="false">SUMIFS('SALES Raw'!$D$6:$D$603,'SALES Raw'!$E$6:$E$603,$A447,'SALES Raw'!$B$6:$B$603,2025)</f>
        <v>30.89</v>
      </c>
      <c r="J447" s="21" t="n">
        <f aca="false">SUMIFS('SALES Raw'!$C$6:$C$603,'SALES Raw'!$E$6:$E$603,$A447,'SALES Raw'!$B$6:$B$603,2026)</f>
        <v>0</v>
      </c>
      <c r="K447" s="22" t="n">
        <f aca="false">SUMIFS('SALES Raw'!$D$6:$D$603,'SALES Raw'!$E$6:$E$603,$A447,'SALES Raw'!$B$6:$B$603,2026)</f>
        <v>0</v>
      </c>
      <c r="L447" s="21" t="n">
        <f aca="false">D447+H447</f>
        <v>277</v>
      </c>
      <c r="M447" s="22" t="n">
        <f aca="false">E447+I447</f>
        <v>8160.49</v>
      </c>
      <c r="N447" s="21" t="n">
        <f aca="false">F447+J447</f>
        <v>172</v>
      </c>
      <c r="O447" s="22" t="n">
        <f aca="false">G447+K447</f>
        <v>5241.1</v>
      </c>
    </row>
    <row r="448" customFormat="false" ht="15" hidden="false" customHeight="false" outlineLevel="0" collapsed="false">
      <c r="A448" s="20" t="n">
        <v>4413498</v>
      </c>
      <c r="B448" s="20" t="str">
        <f aca="false">IFERROR(INDEX('Catalog'!$B:$B,MATCH($A448,'Catalog'!$A:$A,0)),"")</f>
        <v>45B S מגן ברך שחור</v>
      </c>
      <c r="C448" s="20" t="str">
        <f aca="false">IFERROR(INDEX('TRANS'!$A:$A,MATCH($A448,'TRANS'!$B:$B,0)),"")</f>
        <v>45B S</v>
      </c>
      <c r="D448" s="21" t="n">
        <f aca="false">SUMIFS('CEMI Raw'!$C$6:$C$1018,'CEMI Raw'!$E$6:$E$1018,$A448,'CEMI Raw'!$B$6:$B$1018,2025)</f>
        <v>122</v>
      </c>
      <c r="E448" s="22" t="n">
        <f aca="false">SUMIFS('CEMI Raw'!$D$6:$D$1018,'CEMI Raw'!$E$6:$E$1018,$A448,'CEMI Raw'!$B$6:$B$1018,2025)</f>
        <v>3701.5</v>
      </c>
      <c r="F448" s="21" t="n">
        <f aca="false">SUMIFS('CEMI Raw'!$C$6:$C$1018,'CEMI Raw'!$E$6:$E$1018,$A448,'CEMI Raw'!$B$6:$B$1018,2026)</f>
        <v>89</v>
      </c>
      <c r="G448" s="22" t="n">
        <f aca="false">SUMIFS('CEMI Raw'!$D$6:$D$1018,'CEMI Raw'!$E$6:$E$1018,$A448,'CEMI Raw'!$B$6:$B$1018,2026)</f>
        <v>2712.2</v>
      </c>
      <c r="H448" s="21" t="n">
        <f aca="false">SUMIFS('SALES Raw'!$C$6:$C$603,'SALES Raw'!$E$6:$E$603,$A448,'SALES Raw'!$B$6:$B$603,2025)</f>
        <v>0</v>
      </c>
      <c r="I448" s="22" t="n">
        <f aca="false">SUMIFS('SALES Raw'!$D$6:$D$603,'SALES Raw'!$E$6:$E$603,$A448,'SALES Raw'!$B$6:$B$603,2025)</f>
        <v>0</v>
      </c>
      <c r="J448" s="21" t="n">
        <f aca="false">SUMIFS('SALES Raw'!$C$6:$C$603,'SALES Raw'!$E$6:$E$603,$A448,'SALES Raw'!$B$6:$B$603,2026)</f>
        <v>0</v>
      </c>
      <c r="K448" s="22" t="n">
        <f aca="false">SUMIFS('SALES Raw'!$D$6:$D$603,'SALES Raw'!$E$6:$E$603,$A448,'SALES Raw'!$B$6:$B$603,2026)</f>
        <v>0</v>
      </c>
      <c r="L448" s="21" t="n">
        <f aca="false">D448+H448</f>
        <v>122</v>
      </c>
      <c r="M448" s="22" t="n">
        <f aca="false">E448+I448</f>
        <v>3701.5</v>
      </c>
      <c r="N448" s="21" t="n">
        <f aca="false">F448+J448</f>
        <v>89</v>
      </c>
      <c r="O448" s="22" t="n">
        <f aca="false">G448+K448</f>
        <v>2712.2</v>
      </c>
    </row>
    <row r="449" customFormat="false" ht="15" hidden="false" customHeight="false" outlineLevel="0" collapsed="false">
      <c r="A449" s="20" t="n">
        <v>4413499</v>
      </c>
      <c r="B449" s="20" t="str">
        <f aca="false">IFERROR(INDEX('Catalog'!$B:$B,MATCH($A449,'Catalog'!$A:$A,0)),"")</f>
        <v>45B XXLמגן ברך שחור</v>
      </c>
      <c r="C449" s="20" t="str">
        <f aca="false">IFERROR(INDEX('TRANS'!$A:$A,MATCH($A449,'TRANS'!$B:$B,0)),"")</f>
        <v>45B XXL</v>
      </c>
      <c r="D449" s="21" t="n">
        <f aca="false">SUMIFS('CEMI Raw'!$C$6:$C$1018,'CEMI Raw'!$E$6:$E$1018,$A449,'CEMI Raw'!$B$6:$B$1018,2025)</f>
        <v>83</v>
      </c>
      <c r="E449" s="22" t="n">
        <f aca="false">SUMIFS('CEMI Raw'!$D$6:$D$1018,'CEMI Raw'!$E$6:$E$1018,$A449,'CEMI Raw'!$B$6:$B$1018,2025)</f>
        <v>2454.1</v>
      </c>
      <c r="F449" s="21" t="n">
        <f aca="false">SUMIFS('CEMI Raw'!$C$6:$C$1018,'CEMI Raw'!$E$6:$E$1018,$A449,'CEMI Raw'!$B$6:$B$1018,2026)</f>
        <v>58</v>
      </c>
      <c r="G449" s="22" t="n">
        <f aca="false">SUMIFS('CEMI Raw'!$D$6:$D$1018,'CEMI Raw'!$E$6:$E$1018,$A449,'CEMI Raw'!$B$6:$B$1018,2026)</f>
        <v>1758.7</v>
      </c>
      <c r="H449" s="21" t="n">
        <f aca="false">SUMIFS('SALES Raw'!$C$6:$C$603,'SALES Raw'!$E$6:$E$603,$A449,'SALES Raw'!$B$6:$B$603,2025)</f>
        <v>0</v>
      </c>
      <c r="I449" s="22" t="n">
        <f aca="false">SUMIFS('SALES Raw'!$D$6:$D$603,'SALES Raw'!$E$6:$E$603,$A449,'SALES Raw'!$B$6:$B$603,2025)</f>
        <v>0</v>
      </c>
      <c r="J449" s="21" t="n">
        <f aca="false">SUMIFS('SALES Raw'!$C$6:$C$603,'SALES Raw'!$E$6:$E$603,$A449,'SALES Raw'!$B$6:$B$603,2026)</f>
        <v>0</v>
      </c>
      <c r="K449" s="22" t="n">
        <f aca="false">SUMIFS('SALES Raw'!$D$6:$D$603,'SALES Raw'!$E$6:$E$603,$A449,'SALES Raw'!$B$6:$B$603,2026)</f>
        <v>0</v>
      </c>
      <c r="L449" s="21" t="n">
        <f aca="false">D449+H449</f>
        <v>83</v>
      </c>
      <c r="M449" s="22" t="n">
        <f aca="false">E449+I449</f>
        <v>2454.1</v>
      </c>
      <c r="N449" s="21" t="n">
        <f aca="false">F449+J449</f>
        <v>58</v>
      </c>
      <c r="O449" s="22" t="n">
        <f aca="false">G449+K449</f>
        <v>1758.7</v>
      </c>
    </row>
    <row r="450" customFormat="false" ht="15" hidden="false" customHeight="false" outlineLevel="0" collapsed="false">
      <c r="A450" s="20" t="n">
        <v>4413500</v>
      </c>
      <c r="B450" s="20" t="str">
        <f aca="false">IFERROR(INDEX('Catalog'!$B:$B,MATCH($A450,'Catalog'!$A:$A,0)),"")</f>
        <v>95B L מגן מרפק שחור</v>
      </c>
      <c r="C450" s="20" t="str">
        <f aca="false">IFERROR(INDEX('TRANS'!$A:$A,MATCH($A450,'TRANS'!$B:$B,0)),"")</f>
        <v>95B L</v>
      </c>
      <c r="D450" s="21" t="n">
        <f aca="false">SUMIFS('CEMI Raw'!$C$6:$C$1018,'CEMI Raw'!$E$6:$E$1018,$A450,'CEMI Raw'!$B$6:$B$1018,2025)</f>
        <v>94</v>
      </c>
      <c r="E450" s="22" t="n">
        <f aca="false">SUMIFS('CEMI Raw'!$D$6:$D$1018,'CEMI Raw'!$E$6:$E$1018,$A450,'CEMI Raw'!$B$6:$B$1018,2025)</f>
        <v>2669.6</v>
      </c>
      <c r="F450" s="21" t="n">
        <f aca="false">SUMIFS('CEMI Raw'!$C$6:$C$1018,'CEMI Raw'!$E$6:$E$1018,$A450,'CEMI Raw'!$B$6:$B$1018,2026)</f>
        <v>76</v>
      </c>
      <c r="G450" s="22" t="n">
        <f aca="false">SUMIFS('CEMI Raw'!$D$6:$D$1018,'CEMI Raw'!$E$6:$E$1018,$A450,'CEMI Raw'!$B$6:$B$1018,2026)</f>
        <v>2323</v>
      </c>
      <c r="H450" s="21" t="n">
        <f aca="false">SUMIFS('SALES Raw'!$C$6:$C$603,'SALES Raw'!$E$6:$E$603,$A450,'SALES Raw'!$B$6:$B$603,2025)</f>
        <v>0</v>
      </c>
      <c r="I450" s="22" t="n">
        <f aca="false">SUMIFS('SALES Raw'!$D$6:$D$603,'SALES Raw'!$E$6:$E$603,$A450,'SALES Raw'!$B$6:$B$603,2025)</f>
        <v>0</v>
      </c>
      <c r="J450" s="21" t="n">
        <f aca="false">SUMIFS('SALES Raw'!$C$6:$C$603,'SALES Raw'!$E$6:$E$603,$A450,'SALES Raw'!$B$6:$B$603,2026)</f>
        <v>0</v>
      </c>
      <c r="K450" s="22" t="n">
        <f aca="false">SUMIFS('SALES Raw'!$D$6:$D$603,'SALES Raw'!$E$6:$E$603,$A450,'SALES Raw'!$B$6:$B$603,2026)</f>
        <v>0</v>
      </c>
      <c r="L450" s="21" t="n">
        <f aca="false">D450+H450</f>
        <v>94</v>
      </c>
      <c r="M450" s="22" t="n">
        <f aca="false">E450+I450</f>
        <v>2669.6</v>
      </c>
      <c r="N450" s="21" t="n">
        <f aca="false">F450+J450</f>
        <v>76</v>
      </c>
      <c r="O450" s="22" t="n">
        <f aca="false">G450+K450</f>
        <v>2323</v>
      </c>
    </row>
    <row r="451" customFormat="false" ht="15" hidden="false" customHeight="false" outlineLevel="0" collapsed="false">
      <c r="A451" s="20" t="n">
        <v>4413501</v>
      </c>
      <c r="B451" s="20" t="str">
        <f aca="false">IFERROR(INDEX('Catalog'!$B:$B,MATCH($A451,'Catalog'!$A:$A,0)),"")</f>
        <v>95B M מגן מרפק שחור</v>
      </c>
      <c r="C451" s="20" t="str">
        <f aca="false">IFERROR(INDEX('TRANS'!$A:$A,MATCH($A451,'TRANS'!$B:$B,0)),"")</f>
        <v>95B M</v>
      </c>
      <c r="D451" s="21" t="n">
        <f aca="false">SUMIFS('CEMI Raw'!$C$6:$C$1018,'CEMI Raw'!$E$6:$E$1018,$A451,'CEMI Raw'!$B$6:$B$1018,2025)</f>
        <v>169</v>
      </c>
      <c r="E451" s="22" t="n">
        <f aca="false">SUMIFS('CEMI Raw'!$D$6:$D$1018,'CEMI Raw'!$E$6:$E$1018,$A451,'CEMI Raw'!$B$6:$B$1018,2025)</f>
        <v>5003.7</v>
      </c>
      <c r="F451" s="21" t="n">
        <f aca="false">SUMIFS('CEMI Raw'!$C$6:$C$1018,'CEMI Raw'!$E$6:$E$1018,$A451,'CEMI Raw'!$B$6:$B$1018,2026)</f>
        <v>112</v>
      </c>
      <c r="G451" s="22" t="n">
        <f aca="false">SUMIFS('CEMI Raw'!$D$6:$D$1018,'CEMI Raw'!$E$6:$E$1018,$A451,'CEMI Raw'!$B$6:$B$1018,2026)</f>
        <v>3420.6</v>
      </c>
      <c r="H451" s="21" t="n">
        <f aca="false">SUMIFS('SALES Raw'!$C$6:$C$603,'SALES Raw'!$E$6:$E$603,$A451,'SALES Raw'!$B$6:$B$603,2025)</f>
        <v>1</v>
      </c>
      <c r="I451" s="22" t="n">
        <f aca="false">SUMIFS('SALES Raw'!$D$6:$D$603,'SALES Raw'!$E$6:$E$603,$A451,'SALES Raw'!$B$6:$B$603,2025)</f>
        <v>30.89</v>
      </c>
      <c r="J451" s="21" t="n">
        <f aca="false">SUMIFS('SALES Raw'!$C$6:$C$603,'SALES Raw'!$E$6:$E$603,$A451,'SALES Raw'!$B$6:$B$603,2026)</f>
        <v>0</v>
      </c>
      <c r="K451" s="22" t="n">
        <f aca="false">SUMIFS('SALES Raw'!$D$6:$D$603,'SALES Raw'!$E$6:$E$603,$A451,'SALES Raw'!$B$6:$B$603,2026)</f>
        <v>0</v>
      </c>
      <c r="L451" s="21" t="n">
        <f aca="false">D451+H451</f>
        <v>170</v>
      </c>
      <c r="M451" s="22" t="n">
        <f aca="false">E451+I451</f>
        <v>5034.59</v>
      </c>
      <c r="N451" s="21" t="n">
        <f aca="false">F451+J451</f>
        <v>112</v>
      </c>
      <c r="O451" s="22" t="n">
        <f aca="false">G451+K451</f>
        <v>3420.6</v>
      </c>
    </row>
    <row r="452" customFormat="false" ht="15" hidden="false" customHeight="false" outlineLevel="0" collapsed="false">
      <c r="A452" s="20" t="n">
        <v>4413502</v>
      </c>
      <c r="B452" s="20" t="str">
        <f aca="false">IFERROR(INDEX('Catalog'!$B:$B,MATCH($A452,'Catalog'!$A:$A,0)),"")</f>
        <v>95B S מגן מרפק שחור</v>
      </c>
      <c r="C452" s="20" t="str">
        <f aca="false">IFERROR(INDEX('TRANS'!$A:$A,MATCH($A452,'TRANS'!$B:$B,0)),"")</f>
        <v>95B S</v>
      </c>
      <c r="D452" s="21" t="n">
        <f aca="false">SUMIFS('CEMI Raw'!$C$6:$C$1018,'CEMI Raw'!$E$6:$E$1018,$A452,'CEMI Raw'!$B$6:$B$1018,2025)</f>
        <v>119</v>
      </c>
      <c r="E452" s="22" t="n">
        <f aca="false">SUMIFS('CEMI Raw'!$D$6:$D$1018,'CEMI Raw'!$E$6:$E$1018,$A452,'CEMI Raw'!$B$6:$B$1018,2025)</f>
        <v>3561.2</v>
      </c>
      <c r="F452" s="21" t="n">
        <f aca="false">SUMIFS('CEMI Raw'!$C$6:$C$1018,'CEMI Raw'!$E$6:$E$1018,$A452,'CEMI Raw'!$B$6:$B$1018,2026)</f>
        <v>85</v>
      </c>
      <c r="G452" s="22" t="n">
        <f aca="false">SUMIFS('CEMI Raw'!$D$6:$D$1018,'CEMI Raw'!$E$6:$E$1018,$A452,'CEMI Raw'!$B$6:$B$1018,2026)</f>
        <v>2586.5</v>
      </c>
      <c r="H452" s="21" t="n">
        <f aca="false">SUMIFS('SALES Raw'!$C$6:$C$603,'SALES Raw'!$E$6:$E$603,$A452,'SALES Raw'!$B$6:$B$603,2025)</f>
        <v>0</v>
      </c>
      <c r="I452" s="22" t="n">
        <f aca="false">SUMIFS('SALES Raw'!$D$6:$D$603,'SALES Raw'!$E$6:$E$603,$A452,'SALES Raw'!$B$6:$B$603,2025)</f>
        <v>0</v>
      </c>
      <c r="J452" s="21" t="n">
        <f aca="false">SUMIFS('SALES Raw'!$C$6:$C$603,'SALES Raw'!$E$6:$E$603,$A452,'SALES Raw'!$B$6:$B$603,2026)</f>
        <v>0</v>
      </c>
      <c r="K452" s="22" t="n">
        <f aca="false">SUMIFS('SALES Raw'!$D$6:$D$603,'SALES Raw'!$E$6:$E$603,$A452,'SALES Raw'!$B$6:$B$603,2026)</f>
        <v>0</v>
      </c>
      <c r="L452" s="21" t="n">
        <f aca="false">D452+H452</f>
        <v>119</v>
      </c>
      <c r="M452" s="22" t="n">
        <f aca="false">E452+I452</f>
        <v>3561.2</v>
      </c>
      <c r="N452" s="21" t="n">
        <f aca="false">F452+J452</f>
        <v>85</v>
      </c>
      <c r="O452" s="22" t="n">
        <f aca="false">G452+K452</f>
        <v>2586.5</v>
      </c>
    </row>
    <row r="453" customFormat="false" ht="15" hidden="false" customHeight="false" outlineLevel="0" collapsed="false">
      <c r="A453" s="20" t="n">
        <v>4413503</v>
      </c>
      <c r="B453" s="20" t="str">
        <f aca="false">IFERROR(INDEX('Catalog'!$B:$B,MATCH($A453,'Catalog'!$A:$A,0)),"")</f>
        <v>95B XL מגן מרפק שחור</v>
      </c>
      <c r="C453" s="20" t="str">
        <f aca="false">IFERROR(INDEX('TRANS'!$A:$A,MATCH($A453,'TRANS'!$B:$B,0)),"")</f>
        <v>95B XL</v>
      </c>
      <c r="D453" s="21" t="n">
        <f aca="false">SUMIFS('CEMI Raw'!$C$6:$C$1018,'CEMI Raw'!$E$6:$E$1018,$A453,'CEMI Raw'!$B$6:$B$1018,2025)</f>
        <v>92</v>
      </c>
      <c r="E453" s="22" t="n">
        <f aca="false">SUMIFS('CEMI Raw'!$D$6:$D$1018,'CEMI Raw'!$E$6:$E$1018,$A453,'CEMI Raw'!$B$6:$B$1018,2025)</f>
        <v>2705.5</v>
      </c>
      <c r="F453" s="21" t="n">
        <f aca="false">SUMIFS('CEMI Raw'!$C$6:$C$1018,'CEMI Raw'!$E$6:$E$1018,$A453,'CEMI Raw'!$B$6:$B$1018,2026)</f>
        <v>49</v>
      </c>
      <c r="G453" s="22" t="n">
        <f aca="false">SUMIFS('CEMI Raw'!$D$6:$D$1018,'CEMI Raw'!$E$6:$E$1018,$A453,'CEMI Raw'!$B$6:$B$1018,2026)</f>
        <v>1495.1</v>
      </c>
      <c r="H453" s="21" t="n">
        <f aca="false">SUMIFS('SALES Raw'!$C$6:$C$603,'SALES Raw'!$E$6:$E$603,$A453,'SALES Raw'!$B$6:$B$603,2025)</f>
        <v>1</v>
      </c>
      <c r="I453" s="22" t="n">
        <f aca="false">SUMIFS('SALES Raw'!$D$6:$D$603,'SALES Raw'!$E$6:$E$603,$A453,'SALES Raw'!$B$6:$B$603,2025)</f>
        <v>30.89</v>
      </c>
      <c r="J453" s="21" t="n">
        <f aca="false">SUMIFS('SALES Raw'!$C$6:$C$603,'SALES Raw'!$E$6:$E$603,$A453,'SALES Raw'!$B$6:$B$603,2026)</f>
        <v>0</v>
      </c>
      <c r="K453" s="22" t="n">
        <f aca="false">SUMIFS('SALES Raw'!$D$6:$D$603,'SALES Raw'!$E$6:$E$603,$A453,'SALES Raw'!$B$6:$B$603,2026)</f>
        <v>0</v>
      </c>
      <c r="L453" s="21" t="n">
        <f aca="false">D453+H453</f>
        <v>93</v>
      </c>
      <c r="M453" s="22" t="n">
        <f aca="false">E453+I453</f>
        <v>2736.39</v>
      </c>
      <c r="N453" s="21" t="n">
        <f aca="false">F453+J453</f>
        <v>49</v>
      </c>
      <c r="O453" s="22" t="n">
        <f aca="false">G453+K453</f>
        <v>1495.1</v>
      </c>
    </row>
    <row r="454" customFormat="false" ht="15" hidden="false" customHeight="false" outlineLevel="0" collapsed="false">
      <c r="A454" s="20" t="n">
        <v>4413504</v>
      </c>
      <c r="B454" s="20" t="str">
        <f aca="false">IFERROR(INDEX('Catalog'!$B:$B,MATCH($A454,'Catalog'!$A:$A,0)),"")</f>
        <v>95B XXLמגן מרפק שחור</v>
      </c>
      <c r="C454" s="20" t="str">
        <f aca="false">IFERROR(INDEX('TRANS'!$A:$A,MATCH($A454,'TRANS'!$B:$B,0)),"")</f>
        <v>95B XXL</v>
      </c>
      <c r="D454" s="21" t="n">
        <f aca="false">SUMIFS('CEMI Raw'!$C$6:$C$1018,'CEMI Raw'!$E$6:$E$1018,$A454,'CEMI Raw'!$B$6:$B$1018,2025)</f>
        <v>5</v>
      </c>
      <c r="E454" s="22" t="n">
        <f aca="false">SUMIFS('CEMI Raw'!$D$6:$D$1018,'CEMI Raw'!$E$6:$E$1018,$A454,'CEMI Raw'!$B$6:$B$1018,2025)</f>
        <v>147.2</v>
      </c>
      <c r="F454" s="21" t="n">
        <f aca="false">SUMIFS('CEMI Raw'!$C$6:$C$1018,'CEMI Raw'!$E$6:$E$1018,$A454,'CEMI Raw'!$B$6:$B$1018,2026)</f>
        <v>8</v>
      </c>
      <c r="G454" s="22" t="n">
        <f aca="false">SUMIFS('CEMI Raw'!$D$6:$D$1018,'CEMI Raw'!$E$6:$E$1018,$A454,'CEMI Raw'!$B$6:$B$1018,2026)</f>
        <v>236.8</v>
      </c>
      <c r="H454" s="21" t="n">
        <f aca="false">SUMIFS('SALES Raw'!$C$6:$C$603,'SALES Raw'!$E$6:$E$603,$A454,'SALES Raw'!$B$6:$B$603,2025)</f>
        <v>0</v>
      </c>
      <c r="I454" s="22" t="n">
        <f aca="false">SUMIFS('SALES Raw'!$D$6:$D$603,'SALES Raw'!$E$6:$E$603,$A454,'SALES Raw'!$B$6:$B$603,2025)</f>
        <v>0</v>
      </c>
      <c r="J454" s="21" t="n">
        <f aca="false">SUMIFS('SALES Raw'!$C$6:$C$603,'SALES Raw'!$E$6:$E$603,$A454,'SALES Raw'!$B$6:$B$603,2026)</f>
        <v>0</v>
      </c>
      <c r="K454" s="22" t="n">
        <f aca="false">SUMIFS('SALES Raw'!$D$6:$D$603,'SALES Raw'!$E$6:$E$603,$A454,'SALES Raw'!$B$6:$B$603,2026)</f>
        <v>0</v>
      </c>
      <c r="L454" s="21" t="n">
        <f aca="false">D454+H454</f>
        <v>5</v>
      </c>
      <c r="M454" s="22" t="n">
        <f aca="false">E454+I454</f>
        <v>147.2</v>
      </c>
      <c r="N454" s="21" t="n">
        <f aca="false">F454+J454</f>
        <v>8</v>
      </c>
      <c r="O454" s="22" t="n">
        <f aca="false">G454+K454</f>
        <v>236.8</v>
      </c>
    </row>
    <row r="455" customFormat="false" ht="15" hidden="false" customHeight="false" outlineLevel="0" collapsed="false">
      <c r="A455" s="20" t="n">
        <v>4413516</v>
      </c>
      <c r="B455" s="20" t="str">
        <f aca="false">IFERROR(INDEX('Catalog'!$B:$B,MATCH($A455,'Catalog'!$A:$A,0)),"")</f>
        <v>85B L מתלה רשת לזרוע שחור</v>
      </c>
      <c r="C455" s="20" t="str">
        <f aca="false">IFERROR(INDEX('TRANS'!$A:$A,MATCH($A455,'TRANS'!$B:$B,0)),"")</f>
        <v>85B L</v>
      </c>
      <c r="D455" s="21" t="n">
        <f aca="false">SUMIFS('CEMI Raw'!$C$6:$C$1018,'CEMI Raw'!$E$6:$E$1018,$A455,'CEMI Raw'!$B$6:$B$1018,2025)</f>
        <v>241</v>
      </c>
      <c r="E455" s="22" t="n">
        <f aca="false">SUMIFS('CEMI Raw'!$D$6:$D$1018,'CEMI Raw'!$E$6:$E$1018,$A455,'CEMI Raw'!$B$6:$B$1018,2025)</f>
        <v>12736.4</v>
      </c>
      <c r="F455" s="21" t="n">
        <f aca="false">SUMIFS('CEMI Raw'!$C$6:$C$1018,'CEMI Raw'!$E$6:$E$1018,$A455,'CEMI Raw'!$B$6:$B$1018,2026)</f>
        <v>161</v>
      </c>
      <c r="G455" s="22" t="n">
        <f aca="false">SUMIFS('CEMI Raw'!$D$6:$D$1018,'CEMI Raw'!$E$6:$E$1018,$A455,'CEMI Raw'!$B$6:$B$1018,2026)</f>
        <v>8987</v>
      </c>
      <c r="H455" s="21" t="n">
        <f aca="false">SUMIFS('SALES Raw'!$C$6:$C$603,'SALES Raw'!$E$6:$E$603,$A455,'SALES Raw'!$B$6:$B$603,2025)</f>
        <v>0</v>
      </c>
      <c r="I455" s="22" t="n">
        <f aca="false">SUMIFS('SALES Raw'!$D$6:$D$603,'SALES Raw'!$E$6:$E$603,$A455,'SALES Raw'!$B$6:$B$603,2025)</f>
        <v>0</v>
      </c>
      <c r="J455" s="21" t="n">
        <f aca="false">SUMIFS('SALES Raw'!$C$6:$C$603,'SALES Raw'!$E$6:$E$603,$A455,'SALES Raw'!$B$6:$B$603,2026)</f>
        <v>0</v>
      </c>
      <c r="K455" s="22" t="n">
        <f aca="false">SUMIFS('SALES Raw'!$D$6:$D$603,'SALES Raw'!$E$6:$E$603,$A455,'SALES Raw'!$B$6:$B$603,2026)</f>
        <v>0</v>
      </c>
      <c r="L455" s="21" t="n">
        <f aca="false">D455+H455</f>
        <v>241</v>
      </c>
      <c r="M455" s="22" t="n">
        <f aca="false">E455+I455</f>
        <v>12736.4</v>
      </c>
      <c r="N455" s="21" t="n">
        <f aca="false">F455+J455</f>
        <v>161</v>
      </c>
      <c r="O455" s="22" t="n">
        <f aca="false">G455+K455</f>
        <v>8987</v>
      </c>
    </row>
    <row r="456" customFormat="false" ht="15" hidden="false" customHeight="false" outlineLevel="0" collapsed="false">
      <c r="A456" s="20" t="n">
        <v>4413517</v>
      </c>
      <c r="B456" s="20" t="str">
        <f aca="false">IFERROR(INDEX('Catalog'!$B:$B,MATCH($A456,'Catalog'!$A:$A,0)),"")</f>
        <v>85B M מתלה רשת לזרוע שחור</v>
      </c>
      <c r="C456" s="20" t="str">
        <f aca="false">IFERROR(INDEX('TRANS'!$A:$A,MATCH($A456,'TRANS'!$B:$B,0)),"")</f>
        <v>85B M</v>
      </c>
      <c r="D456" s="21" t="n">
        <f aca="false">SUMIFS('CEMI Raw'!$C$6:$C$1018,'CEMI Raw'!$E$6:$E$1018,$A456,'CEMI Raw'!$B$6:$B$1018,2025)</f>
        <v>160</v>
      </c>
      <c r="E456" s="22" t="n">
        <f aca="false">SUMIFS('CEMI Raw'!$D$6:$D$1018,'CEMI Raw'!$E$6:$E$1018,$A456,'CEMI Raw'!$B$6:$B$1018,2025)</f>
        <v>8753.6</v>
      </c>
      <c r="F456" s="21" t="n">
        <f aca="false">SUMIFS('CEMI Raw'!$C$6:$C$1018,'CEMI Raw'!$E$6:$E$1018,$A456,'CEMI Raw'!$B$6:$B$1018,2026)</f>
        <v>115</v>
      </c>
      <c r="G456" s="22" t="n">
        <f aca="false">SUMIFS('CEMI Raw'!$D$6:$D$1018,'CEMI Raw'!$E$6:$E$1018,$A456,'CEMI Raw'!$B$6:$B$1018,2026)</f>
        <v>6429.3</v>
      </c>
      <c r="H456" s="21" t="n">
        <f aca="false">SUMIFS('SALES Raw'!$C$6:$C$603,'SALES Raw'!$E$6:$E$603,$A456,'SALES Raw'!$B$6:$B$603,2025)</f>
        <v>1</v>
      </c>
      <c r="I456" s="22" t="n">
        <f aca="false">SUMIFS('SALES Raw'!$D$6:$D$603,'SALES Raw'!$E$6:$E$603,$A456,'SALES Raw'!$B$6:$B$603,2025)</f>
        <v>56.67</v>
      </c>
      <c r="J456" s="21" t="n">
        <f aca="false">SUMIFS('SALES Raw'!$C$6:$C$603,'SALES Raw'!$E$6:$E$603,$A456,'SALES Raw'!$B$6:$B$603,2026)</f>
        <v>3</v>
      </c>
      <c r="K456" s="22" t="n">
        <f aca="false">SUMIFS('SALES Raw'!$D$6:$D$603,'SALES Raw'!$E$6:$E$603,$A456,'SALES Raw'!$B$6:$B$603,2026)</f>
        <v>170.01</v>
      </c>
      <c r="L456" s="21" t="n">
        <f aca="false">D456+H456</f>
        <v>161</v>
      </c>
      <c r="M456" s="22" t="n">
        <f aca="false">E456+I456</f>
        <v>8810.27</v>
      </c>
      <c r="N456" s="21" t="n">
        <f aca="false">F456+J456</f>
        <v>118</v>
      </c>
      <c r="O456" s="22" t="n">
        <f aca="false">G456+K456</f>
        <v>6599.31</v>
      </c>
    </row>
    <row r="457" customFormat="false" ht="15" hidden="false" customHeight="false" outlineLevel="0" collapsed="false">
      <c r="A457" s="20" t="n">
        <v>4413518</v>
      </c>
      <c r="B457" s="20" t="str">
        <f aca="false">IFERROR(INDEX('Catalog'!$B:$B,MATCH($A457,'Catalog'!$A:$A,0)),"")</f>
        <v>85B XL מתלה רשת לזרוע שחור</v>
      </c>
      <c r="C457" s="20" t="str">
        <f aca="false">IFERROR(INDEX('TRANS'!$A:$A,MATCH($A457,'TRANS'!$B:$B,0)),"")</f>
        <v>85B XL</v>
      </c>
      <c r="D457" s="21" t="n">
        <f aca="false">SUMIFS('CEMI Raw'!$C$6:$C$1018,'CEMI Raw'!$E$6:$E$1018,$A457,'CEMI Raw'!$B$6:$B$1018,2025)</f>
        <v>113</v>
      </c>
      <c r="E457" s="22" t="n">
        <f aca="false">SUMIFS('CEMI Raw'!$D$6:$D$1018,'CEMI Raw'!$E$6:$E$1018,$A457,'CEMI Raw'!$B$6:$B$1018,2025)</f>
        <v>6162.7</v>
      </c>
      <c r="F457" s="21" t="n">
        <f aca="false">SUMIFS('CEMI Raw'!$C$6:$C$1018,'CEMI Raw'!$E$6:$E$1018,$A457,'CEMI Raw'!$B$6:$B$1018,2026)</f>
        <v>89</v>
      </c>
      <c r="G457" s="22" t="n">
        <f aca="false">SUMIFS('CEMI Raw'!$D$6:$D$1018,'CEMI Raw'!$E$6:$E$1018,$A457,'CEMI Raw'!$B$6:$B$1018,2026)</f>
        <v>4876.5</v>
      </c>
      <c r="H457" s="21" t="n">
        <f aca="false">SUMIFS('SALES Raw'!$C$6:$C$603,'SALES Raw'!$E$6:$E$603,$A457,'SALES Raw'!$B$6:$B$603,2025)</f>
        <v>0</v>
      </c>
      <c r="I457" s="22" t="n">
        <f aca="false">SUMIFS('SALES Raw'!$D$6:$D$603,'SALES Raw'!$E$6:$E$603,$A457,'SALES Raw'!$B$6:$B$603,2025)</f>
        <v>0</v>
      </c>
      <c r="J457" s="21" t="n">
        <f aca="false">SUMIFS('SALES Raw'!$C$6:$C$603,'SALES Raw'!$E$6:$E$603,$A457,'SALES Raw'!$B$6:$B$603,2026)</f>
        <v>0</v>
      </c>
      <c r="K457" s="22" t="n">
        <f aca="false">SUMIFS('SALES Raw'!$D$6:$D$603,'SALES Raw'!$E$6:$E$603,$A457,'SALES Raw'!$B$6:$B$603,2026)</f>
        <v>0</v>
      </c>
      <c r="L457" s="21" t="n">
        <f aca="false">D457+H457</f>
        <v>113</v>
      </c>
      <c r="M457" s="22" t="n">
        <f aca="false">E457+I457</f>
        <v>6162.7</v>
      </c>
      <c r="N457" s="21" t="n">
        <f aca="false">F457+J457</f>
        <v>89</v>
      </c>
      <c r="O457" s="22" t="n">
        <f aca="false">G457+K457</f>
        <v>4876.5</v>
      </c>
    </row>
    <row r="458" customFormat="false" ht="15" hidden="false" customHeight="false" outlineLevel="0" collapsed="false">
      <c r="A458" s="20" t="n">
        <v>4413519</v>
      </c>
      <c r="B458" s="20" t="str">
        <f aca="false">IFERROR(INDEX('Catalog'!$B:$B,MATCH($A458,'Catalog'!$A:$A,0)),"")</f>
        <v>85B S מתלה רשת לזרוע שחור</v>
      </c>
      <c r="C458" s="20" t="str">
        <f aca="false">IFERROR(INDEX('TRANS'!$A:$A,MATCH($A458,'TRANS'!$B:$B,0)),"")</f>
        <v>85B S</v>
      </c>
      <c r="D458" s="21" t="n">
        <f aca="false">SUMIFS('CEMI Raw'!$C$6:$C$1018,'CEMI Raw'!$E$6:$E$1018,$A458,'CEMI Raw'!$B$6:$B$1018,2025)</f>
        <v>86</v>
      </c>
      <c r="E458" s="22" t="n">
        <f aca="false">SUMIFS('CEMI Raw'!$D$6:$D$1018,'CEMI Raw'!$E$6:$E$1018,$A458,'CEMI Raw'!$B$6:$B$1018,2025)</f>
        <v>4720.2</v>
      </c>
      <c r="F458" s="21" t="n">
        <f aca="false">SUMIFS('CEMI Raw'!$C$6:$C$1018,'CEMI Raw'!$E$6:$E$1018,$A458,'CEMI Raw'!$B$6:$B$1018,2026)</f>
        <v>46</v>
      </c>
      <c r="G458" s="22" t="n">
        <f aca="false">SUMIFS('CEMI Raw'!$D$6:$D$1018,'CEMI Raw'!$E$6:$E$1018,$A458,'CEMI Raw'!$B$6:$B$1018,2026)</f>
        <v>2565.2</v>
      </c>
      <c r="H458" s="21" t="n">
        <f aca="false">SUMIFS('SALES Raw'!$C$6:$C$603,'SALES Raw'!$E$6:$E$603,$A458,'SALES Raw'!$B$6:$B$603,2025)</f>
        <v>0</v>
      </c>
      <c r="I458" s="22" t="n">
        <f aca="false">SUMIFS('SALES Raw'!$D$6:$D$603,'SALES Raw'!$E$6:$E$603,$A458,'SALES Raw'!$B$6:$B$603,2025)</f>
        <v>0</v>
      </c>
      <c r="J458" s="21" t="n">
        <f aca="false">SUMIFS('SALES Raw'!$C$6:$C$603,'SALES Raw'!$E$6:$E$603,$A458,'SALES Raw'!$B$6:$B$603,2026)</f>
        <v>0</v>
      </c>
      <c r="K458" s="22" t="n">
        <f aca="false">SUMIFS('SALES Raw'!$D$6:$D$603,'SALES Raw'!$E$6:$E$603,$A458,'SALES Raw'!$B$6:$B$603,2026)</f>
        <v>0</v>
      </c>
      <c r="L458" s="21" t="n">
        <f aca="false">D458+H458</f>
        <v>86</v>
      </c>
      <c r="M458" s="22" t="n">
        <f aca="false">E458+I458</f>
        <v>4720.2</v>
      </c>
      <c r="N458" s="21" t="n">
        <f aca="false">F458+J458</f>
        <v>46</v>
      </c>
      <c r="O458" s="22" t="n">
        <f aca="false">G458+K458</f>
        <v>2565.2</v>
      </c>
    </row>
    <row r="459" customFormat="false" ht="15" hidden="false" customHeight="false" outlineLevel="0" collapsed="false">
      <c r="A459" s="20" t="n">
        <v>4413520</v>
      </c>
      <c r="B459" s="20" t="str">
        <f aca="false">IFERROR(INDEX('Catalog'!$B:$B,MATCH($A459,'Catalog'!$A:$A,0)),"")</f>
        <v>מדרסי אפיק ג'ל מולט.ספורט35-38</v>
      </c>
      <c r="C459" s="20" t="str">
        <f aca="false">IFERROR(INDEX('TRANS'!$A:$A,MATCH($A459,'TRANS'!$B:$B,0)),"")</f>
        <v>379MSP-35-38</v>
      </c>
      <c r="D459" s="21" t="n">
        <f aca="false">SUMIFS('CEMI Raw'!$C$6:$C$1018,'CEMI Raw'!$E$6:$E$1018,$A459,'CEMI Raw'!$B$6:$B$1018,2025)</f>
        <v>7</v>
      </c>
      <c r="E459" s="22" t="n">
        <f aca="false">SUMIFS('CEMI Raw'!$D$6:$D$1018,'CEMI Raw'!$E$6:$E$1018,$A459,'CEMI Raw'!$B$6:$B$1018,2025)</f>
        <v>700.1</v>
      </c>
      <c r="F459" s="21" t="n">
        <f aca="false">SUMIFS('CEMI Raw'!$C$6:$C$1018,'CEMI Raw'!$E$6:$E$1018,$A459,'CEMI Raw'!$B$6:$B$1018,2026)</f>
        <v>8</v>
      </c>
      <c r="G459" s="22" t="n">
        <f aca="false">SUMIFS('CEMI Raw'!$D$6:$D$1018,'CEMI Raw'!$E$6:$E$1018,$A459,'CEMI Raw'!$B$6:$B$1018,2026)</f>
        <v>799.7</v>
      </c>
      <c r="H459" s="21" t="n">
        <f aca="false">SUMIFS('SALES Raw'!$C$6:$C$603,'SALES Raw'!$E$6:$E$603,$A459,'SALES Raw'!$B$6:$B$603,2025)</f>
        <v>0</v>
      </c>
      <c r="I459" s="22" t="n">
        <f aca="false">SUMIFS('SALES Raw'!$D$6:$D$603,'SALES Raw'!$E$6:$E$603,$A459,'SALES Raw'!$B$6:$B$603,2025)</f>
        <v>0</v>
      </c>
      <c r="J459" s="21" t="n">
        <f aca="false">SUMIFS('SALES Raw'!$C$6:$C$603,'SALES Raw'!$E$6:$E$603,$A459,'SALES Raw'!$B$6:$B$603,2026)</f>
        <v>0</v>
      </c>
      <c r="K459" s="22" t="n">
        <f aca="false">SUMIFS('SALES Raw'!$D$6:$D$603,'SALES Raw'!$E$6:$E$603,$A459,'SALES Raw'!$B$6:$B$603,2026)</f>
        <v>0</v>
      </c>
      <c r="L459" s="21" t="n">
        <f aca="false">D459+H459</f>
        <v>7</v>
      </c>
      <c r="M459" s="22" t="n">
        <f aca="false">E459+I459</f>
        <v>700.1</v>
      </c>
      <c r="N459" s="21" t="n">
        <f aca="false">F459+J459</f>
        <v>8</v>
      </c>
      <c r="O459" s="22" t="n">
        <f aca="false">G459+K459</f>
        <v>799.7</v>
      </c>
    </row>
    <row r="460" customFormat="false" ht="15" hidden="false" customHeight="false" outlineLevel="0" collapsed="false">
      <c r="A460" s="20" t="n">
        <v>4413521</v>
      </c>
      <c r="B460" s="20" t="str">
        <f aca="false">IFERROR(INDEX('Catalog'!$B:$B,MATCH($A460,'Catalog'!$A:$A,0)),"")</f>
        <v>מדרסי אפיק ג'ל מולטי ספור39-42</v>
      </c>
      <c r="C460" s="20" t="str">
        <f aca="false">IFERROR(INDEX('TRANS'!$A:$A,MATCH($A460,'TRANS'!$B:$B,0)),"")</f>
        <v>379MSP-39-42</v>
      </c>
      <c r="D460" s="21" t="n">
        <f aca="false">SUMIFS('CEMI Raw'!$C$6:$C$1018,'CEMI Raw'!$E$6:$E$1018,$A460,'CEMI Raw'!$B$6:$B$1018,2025)</f>
        <v>21</v>
      </c>
      <c r="E460" s="22" t="n">
        <f aca="false">SUMIFS('CEMI Raw'!$D$6:$D$1018,'CEMI Raw'!$E$6:$E$1018,$A460,'CEMI Raw'!$B$6:$B$1018,2025)</f>
        <v>2137.3</v>
      </c>
      <c r="F460" s="21" t="n">
        <f aca="false">SUMIFS('CEMI Raw'!$C$6:$C$1018,'CEMI Raw'!$E$6:$E$1018,$A460,'CEMI Raw'!$B$6:$B$1018,2026)</f>
        <v>7</v>
      </c>
      <c r="G460" s="22" t="n">
        <f aca="false">SUMIFS('CEMI Raw'!$D$6:$D$1018,'CEMI Raw'!$E$6:$E$1018,$A460,'CEMI Raw'!$B$6:$B$1018,2026)</f>
        <v>678.4</v>
      </c>
      <c r="H460" s="21" t="n">
        <f aca="false">SUMIFS('SALES Raw'!$C$6:$C$603,'SALES Raw'!$E$6:$E$603,$A460,'SALES Raw'!$B$6:$B$603,2025)</f>
        <v>0</v>
      </c>
      <c r="I460" s="22" t="n">
        <f aca="false">SUMIFS('SALES Raw'!$D$6:$D$603,'SALES Raw'!$E$6:$E$603,$A460,'SALES Raw'!$B$6:$B$603,2025)</f>
        <v>0</v>
      </c>
      <c r="J460" s="21" t="n">
        <f aca="false">SUMIFS('SALES Raw'!$C$6:$C$603,'SALES Raw'!$E$6:$E$603,$A460,'SALES Raw'!$B$6:$B$603,2026)</f>
        <v>0</v>
      </c>
      <c r="K460" s="22" t="n">
        <f aca="false">SUMIFS('SALES Raw'!$D$6:$D$603,'SALES Raw'!$E$6:$E$603,$A460,'SALES Raw'!$B$6:$B$603,2026)</f>
        <v>0</v>
      </c>
      <c r="L460" s="21" t="n">
        <f aca="false">D460+H460</f>
        <v>21</v>
      </c>
      <c r="M460" s="22" t="n">
        <f aca="false">E460+I460</f>
        <v>2137.3</v>
      </c>
      <c r="N460" s="21" t="n">
        <f aca="false">F460+J460</f>
        <v>7</v>
      </c>
      <c r="O460" s="22" t="n">
        <f aca="false">G460+K460</f>
        <v>678.4</v>
      </c>
    </row>
    <row r="461" customFormat="false" ht="15" hidden="false" customHeight="false" outlineLevel="0" collapsed="false">
      <c r="A461" s="20" t="n">
        <v>4413522</v>
      </c>
      <c r="B461" s="20" t="str">
        <f aca="false">IFERROR(INDEX('Catalog'!$B:$B,MATCH($A461,'Catalog'!$A:$A,0)),"")</f>
        <v>מדרסי אפיק ג'ל מולט.ספורט43-47</v>
      </c>
      <c r="C461" s="20" t="str">
        <f aca="false">IFERROR(INDEX('TRANS'!$A:$A,MATCH($A461,'TRANS'!$B:$B,0)),"")</f>
        <v>379MSP-43-46</v>
      </c>
      <c r="D461" s="21" t="n">
        <f aca="false">SUMIFS('CEMI Raw'!$C$6:$C$1018,'CEMI Raw'!$E$6:$E$1018,$A461,'CEMI Raw'!$B$6:$B$1018,2025)</f>
        <v>27</v>
      </c>
      <c r="E461" s="22" t="n">
        <f aca="false">SUMIFS('CEMI Raw'!$D$6:$D$1018,'CEMI Raw'!$E$6:$E$1018,$A461,'CEMI Raw'!$B$6:$B$1018,2025)</f>
        <v>2824.7</v>
      </c>
      <c r="F461" s="21" t="n">
        <f aca="false">SUMIFS('CEMI Raw'!$C$6:$C$1018,'CEMI Raw'!$E$6:$E$1018,$A461,'CEMI Raw'!$B$6:$B$1018,2026)</f>
        <v>11</v>
      </c>
      <c r="G461" s="22" t="n">
        <f aca="false">SUMIFS('CEMI Raw'!$D$6:$D$1018,'CEMI Raw'!$E$6:$E$1018,$A461,'CEMI Raw'!$B$6:$B$1018,2026)</f>
        <v>1253.7</v>
      </c>
      <c r="H461" s="21" t="n">
        <f aca="false">SUMIFS('SALES Raw'!$C$6:$C$603,'SALES Raw'!$E$6:$E$603,$A461,'SALES Raw'!$B$6:$B$603,2025)</f>
        <v>0</v>
      </c>
      <c r="I461" s="22" t="n">
        <f aca="false">SUMIFS('SALES Raw'!$D$6:$D$603,'SALES Raw'!$E$6:$E$603,$A461,'SALES Raw'!$B$6:$B$603,2025)</f>
        <v>0</v>
      </c>
      <c r="J461" s="21" t="n">
        <f aca="false">SUMIFS('SALES Raw'!$C$6:$C$603,'SALES Raw'!$E$6:$E$603,$A461,'SALES Raw'!$B$6:$B$603,2026)</f>
        <v>0</v>
      </c>
      <c r="K461" s="22" t="n">
        <f aca="false">SUMIFS('SALES Raw'!$D$6:$D$603,'SALES Raw'!$E$6:$E$603,$A461,'SALES Raw'!$B$6:$B$603,2026)</f>
        <v>0</v>
      </c>
      <c r="L461" s="21" t="n">
        <f aca="false">D461+H461</f>
        <v>27</v>
      </c>
      <c r="M461" s="22" t="n">
        <f aca="false">E461+I461</f>
        <v>2824.7</v>
      </c>
      <c r="N461" s="21" t="n">
        <f aca="false">F461+J461</f>
        <v>11</v>
      </c>
      <c r="O461" s="22" t="n">
        <f aca="false">G461+K461</f>
        <v>1253.7</v>
      </c>
    </row>
    <row r="462" customFormat="false" ht="15" hidden="false" customHeight="false" outlineLevel="0" collapsed="false">
      <c r="A462" s="20" t="n">
        <v>4413523</v>
      </c>
      <c r="B462" s="20" t="str">
        <f aca="false">IFERROR(INDEX('Catalog'!$B:$B,MATCH($A462,'Catalog'!$A:$A,0)),"")</f>
        <v>35-38 מדרסי אפיק ג'ל נוחות</v>
      </c>
      <c r="C462" s="20" t="str">
        <f aca="false">IFERROR(INDEX('TRANS'!$A:$A,MATCH($A462,'TRANS'!$B:$B,0)),"")</f>
        <v>379COM-35-38</v>
      </c>
      <c r="D462" s="21" t="n">
        <f aca="false">SUMIFS('CEMI Raw'!$C$6:$C$1018,'CEMI Raw'!$E$6:$E$1018,$A462,'CEMI Raw'!$B$6:$B$1018,2025)</f>
        <v>7</v>
      </c>
      <c r="E462" s="22" t="n">
        <f aca="false">SUMIFS('CEMI Raw'!$D$6:$D$1018,'CEMI Raw'!$E$6:$E$1018,$A462,'CEMI Raw'!$B$6:$B$1018,2025)</f>
        <v>700.1</v>
      </c>
      <c r="F462" s="21" t="n">
        <f aca="false">SUMIFS('CEMI Raw'!$C$6:$C$1018,'CEMI Raw'!$E$6:$E$1018,$A462,'CEMI Raw'!$B$6:$B$1018,2026)</f>
        <v>8</v>
      </c>
      <c r="G462" s="22" t="n">
        <f aca="false">SUMIFS('CEMI Raw'!$D$6:$D$1018,'CEMI Raw'!$E$6:$E$1018,$A462,'CEMI Raw'!$B$6:$B$1018,2026)</f>
        <v>773</v>
      </c>
      <c r="H462" s="21" t="n">
        <f aca="false">SUMIFS('SALES Raw'!$C$6:$C$603,'SALES Raw'!$E$6:$E$603,$A462,'SALES Raw'!$B$6:$B$603,2025)</f>
        <v>0</v>
      </c>
      <c r="I462" s="22" t="n">
        <f aca="false">SUMIFS('SALES Raw'!$D$6:$D$603,'SALES Raw'!$E$6:$E$603,$A462,'SALES Raw'!$B$6:$B$603,2025)</f>
        <v>0</v>
      </c>
      <c r="J462" s="21" t="n">
        <f aca="false">SUMIFS('SALES Raw'!$C$6:$C$603,'SALES Raw'!$E$6:$E$603,$A462,'SALES Raw'!$B$6:$B$603,2026)</f>
        <v>0</v>
      </c>
      <c r="K462" s="22" t="n">
        <f aca="false">SUMIFS('SALES Raw'!$D$6:$D$603,'SALES Raw'!$E$6:$E$603,$A462,'SALES Raw'!$B$6:$B$603,2026)</f>
        <v>0</v>
      </c>
      <c r="L462" s="21" t="n">
        <f aca="false">D462+H462</f>
        <v>7</v>
      </c>
      <c r="M462" s="22" t="n">
        <f aca="false">E462+I462</f>
        <v>700.1</v>
      </c>
      <c r="N462" s="21" t="n">
        <f aca="false">F462+J462</f>
        <v>8</v>
      </c>
      <c r="O462" s="22" t="n">
        <f aca="false">G462+K462</f>
        <v>773</v>
      </c>
    </row>
    <row r="463" customFormat="false" ht="15" hidden="false" customHeight="false" outlineLevel="0" collapsed="false">
      <c r="A463" s="20" t="n">
        <v>4413524</v>
      </c>
      <c r="B463" s="20" t="str">
        <f aca="false">IFERROR(INDEX('Catalog'!$B:$B,MATCH($A463,'Catalog'!$A:$A,0)),"")</f>
        <v>39-42 מדרסי אפיק ג'ל נוחות</v>
      </c>
      <c r="C463" s="20" t="str">
        <f aca="false">IFERROR(INDEX('TRANS'!$A:$A,MATCH($A463,'TRANS'!$B:$B,0)),"")</f>
        <v>379COM-39-42</v>
      </c>
      <c r="D463" s="21" t="n">
        <f aca="false">SUMIFS('CEMI Raw'!$C$6:$C$1018,'CEMI Raw'!$E$6:$E$1018,$A463,'CEMI Raw'!$B$6:$B$1018,2025)</f>
        <v>23</v>
      </c>
      <c r="E463" s="22" t="n">
        <f aca="false">SUMIFS('CEMI Raw'!$D$6:$D$1018,'CEMI Raw'!$E$6:$E$1018,$A463,'CEMI Raw'!$B$6:$B$1018,2025)</f>
        <v>2384.9</v>
      </c>
      <c r="F463" s="21" t="n">
        <f aca="false">SUMIFS('CEMI Raw'!$C$6:$C$1018,'CEMI Raw'!$E$6:$E$1018,$A463,'CEMI Raw'!$B$6:$B$1018,2026)</f>
        <v>10</v>
      </c>
      <c r="G463" s="22" t="n">
        <f aca="false">SUMIFS('CEMI Raw'!$D$6:$D$1018,'CEMI Raw'!$E$6:$E$1018,$A463,'CEMI Raw'!$B$6:$B$1018,2026)</f>
        <v>1010.1</v>
      </c>
      <c r="H463" s="21" t="n">
        <f aca="false">SUMIFS('SALES Raw'!$C$6:$C$603,'SALES Raw'!$E$6:$E$603,$A463,'SALES Raw'!$B$6:$B$603,2025)</f>
        <v>0</v>
      </c>
      <c r="I463" s="22" t="n">
        <f aca="false">SUMIFS('SALES Raw'!$D$6:$D$603,'SALES Raw'!$E$6:$E$603,$A463,'SALES Raw'!$B$6:$B$603,2025)</f>
        <v>0</v>
      </c>
      <c r="J463" s="21" t="n">
        <f aca="false">SUMIFS('SALES Raw'!$C$6:$C$603,'SALES Raw'!$E$6:$E$603,$A463,'SALES Raw'!$B$6:$B$603,2026)</f>
        <v>0</v>
      </c>
      <c r="K463" s="22" t="n">
        <f aca="false">SUMIFS('SALES Raw'!$D$6:$D$603,'SALES Raw'!$E$6:$E$603,$A463,'SALES Raw'!$B$6:$B$603,2026)</f>
        <v>0</v>
      </c>
      <c r="L463" s="21" t="n">
        <f aca="false">D463+H463</f>
        <v>23</v>
      </c>
      <c r="M463" s="22" t="n">
        <f aca="false">E463+I463</f>
        <v>2384.9</v>
      </c>
      <c r="N463" s="21" t="n">
        <f aca="false">F463+J463</f>
        <v>10</v>
      </c>
      <c r="O463" s="22" t="n">
        <f aca="false">G463+K463</f>
        <v>1010.1</v>
      </c>
    </row>
    <row r="464" customFormat="false" ht="15" hidden="false" customHeight="false" outlineLevel="0" collapsed="false">
      <c r="A464" s="20" t="n">
        <v>4413525</v>
      </c>
      <c r="B464" s="20" t="str">
        <f aca="false">IFERROR(INDEX('Catalog'!$B:$B,MATCH($A464,'Catalog'!$A:$A,0)),"")</f>
        <v>43-47 מדרסי אפיק ג'ל נוחות</v>
      </c>
      <c r="C464" s="20" t="str">
        <f aca="false">IFERROR(INDEX('TRANS'!$A:$A,MATCH($A464,'TRANS'!$B:$B,0)),"")</f>
        <v>379COM-43-46</v>
      </c>
      <c r="D464" s="21" t="n">
        <f aca="false">SUMIFS('CEMI Raw'!$C$6:$C$1018,'CEMI Raw'!$E$6:$E$1018,$A464,'CEMI Raw'!$B$6:$B$1018,2025)</f>
        <v>20</v>
      </c>
      <c r="E464" s="22" t="n">
        <f aca="false">SUMIFS('CEMI Raw'!$D$6:$D$1018,'CEMI Raw'!$E$6:$E$1018,$A464,'CEMI Raw'!$B$6:$B$1018,2025)</f>
        <v>2114</v>
      </c>
      <c r="F464" s="21" t="n">
        <f aca="false">SUMIFS('CEMI Raw'!$C$6:$C$1018,'CEMI Raw'!$E$6:$E$1018,$A464,'CEMI Raw'!$B$6:$B$1018,2026)</f>
        <v>9</v>
      </c>
      <c r="G464" s="22" t="n">
        <f aca="false">SUMIFS('CEMI Raw'!$D$6:$D$1018,'CEMI Raw'!$E$6:$E$1018,$A464,'CEMI Raw'!$B$6:$B$1018,2026)</f>
        <v>953.9</v>
      </c>
      <c r="H464" s="21" t="n">
        <f aca="false">SUMIFS('SALES Raw'!$C$6:$C$603,'SALES Raw'!$E$6:$E$603,$A464,'SALES Raw'!$B$6:$B$603,2025)</f>
        <v>0</v>
      </c>
      <c r="I464" s="22" t="n">
        <f aca="false">SUMIFS('SALES Raw'!$D$6:$D$603,'SALES Raw'!$E$6:$E$603,$A464,'SALES Raw'!$B$6:$B$603,2025)</f>
        <v>0</v>
      </c>
      <c r="J464" s="21" t="n">
        <f aca="false">SUMIFS('SALES Raw'!$C$6:$C$603,'SALES Raw'!$E$6:$E$603,$A464,'SALES Raw'!$B$6:$B$603,2026)</f>
        <v>0</v>
      </c>
      <c r="K464" s="22" t="n">
        <f aca="false">SUMIFS('SALES Raw'!$D$6:$D$603,'SALES Raw'!$E$6:$E$603,$A464,'SALES Raw'!$B$6:$B$603,2026)</f>
        <v>0</v>
      </c>
      <c r="L464" s="21" t="n">
        <f aca="false">D464+H464</f>
        <v>20</v>
      </c>
      <c r="M464" s="22" t="n">
        <f aca="false">E464+I464</f>
        <v>2114</v>
      </c>
      <c r="N464" s="21" t="n">
        <f aca="false">F464+J464</f>
        <v>9</v>
      </c>
      <c r="O464" s="22" t="n">
        <f aca="false">G464+K464</f>
        <v>953.9</v>
      </c>
    </row>
    <row r="465" customFormat="false" ht="15" hidden="false" customHeight="false" outlineLevel="0" collapsed="false">
      <c r="A465" s="20" t="n">
        <v>4413527</v>
      </c>
      <c r="B465" s="20" t="str">
        <f aca="false">IFERROR(INDEX('Catalog'!$B:$B,MATCH($A465,'Catalog'!$A:$A,0)),"")</f>
        <v>35-38 מדרסי אפיק ג'ל עבודה</v>
      </c>
      <c r="C465" s="20" t="str">
        <f aca="false">IFERROR(INDEX('TRANS'!$A:$A,MATCH($A465,'TRANS'!$B:$B,0)),"")</f>
        <v>379WRK-35-38</v>
      </c>
      <c r="D465" s="21" t="n">
        <f aca="false">SUMIFS('CEMI Raw'!$C$6:$C$1018,'CEMI Raw'!$E$6:$E$1018,$A465,'CEMI Raw'!$B$6:$B$1018,2025)</f>
        <v>10</v>
      </c>
      <c r="E465" s="22" t="n">
        <f aca="false">SUMIFS('CEMI Raw'!$D$6:$D$1018,'CEMI Raw'!$E$6:$E$1018,$A465,'CEMI Raw'!$B$6:$B$1018,2025)</f>
        <v>902.8</v>
      </c>
      <c r="F465" s="21" t="n">
        <f aca="false">SUMIFS('CEMI Raw'!$C$6:$C$1018,'CEMI Raw'!$E$6:$E$1018,$A465,'CEMI Raw'!$B$6:$B$1018,2026)</f>
        <v>6</v>
      </c>
      <c r="G465" s="22" t="n">
        <f aca="false">SUMIFS('CEMI Raw'!$D$6:$D$1018,'CEMI Raw'!$E$6:$E$1018,$A465,'CEMI Raw'!$B$6:$B$1018,2026)</f>
        <v>598.3</v>
      </c>
      <c r="H465" s="21" t="n">
        <f aca="false">SUMIFS('SALES Raw'!$C$6:$C$603,'SALES Raw'!$E$6:$E$603,$A465,'SALES Raw'!$B$6:$B$603,2025)</f>
        <v>0</v>
      </c>
      <c r="I465" s="22" t="n">
        <f aca="false">SUMIFS('SALES Raw'!$D$6:$D$603,'SALES Raw'!$E$6:$E$603,$A465,'SALES Raw'!$B$6:$B$603,2025)</f>
        <v>0</v>
      </c>
      <c r="J465" s="21" t="n">
        <f aca="false">SUMIFS('SALES Raw'!$C$6:$C$603,'SALES Raw'!$E$6:$E$603,$A465,'SALES Raw'!$B$6:$B$603,2026)</f>
        <v>0</v>
      </c>
      <c r="K465" s="22" t="n">
        <f aca="false">SUMIFS('SALES Raw'!$D$6:$D$603,'SALES Raw'!$E$6:$E$603,$A465,'SALES Raw'!$B$6:$B$603,2026)</f>
        <v>0</v>
      </c>
      <c r="L465" s="21" t="n">
        <f aca="false">D465+H465</f>
        <v>10</v>
      </c>
      <c r="M465" s="22" t="n">
        <f aca="false">E465+I465</f>
        <v>902.8</v>
      </c>
      <c r="N465" s="21" t="n">
        <f aca="false">F465+J465</f>
        <v>6</v>
      </c>
      <c r="O465" s="22" t="n">
        <f aca="false">G465+K465</f>
        <v>598.3</v>
      </c>
    </row>
    <row r="466" customFormat="false" ht="15" hidden="false" customHeight="false" outlineLevel="0" collapsed="false">
      <c r="A466" s="20" t="n">
        <v>4413528</v>
      </c>
      <c r="B466" s="20" t="str">
        <f aca="false">IFERROR(INDEX('Catalog'!$B:$B,MATCH($A466,'Catalog'!$A:$A,0)),"")</f>
        <v>39-42 מדרסי אפיק ג'ל עבודה</v>
      </c>
      <c r="C466" s="20" t="str">
        <f aca="false">IFERROR(INDEX('TRANS'!$A:$A,MATCH($A466,'TRANS'!$B:$B,0)),"")</f>
        <v>379WRK-39-42</v>
      </c>
      <c r="D466" s="21" t="n">
        <f aca="false">SUMIFS('CEMI Raw'!$C$6:$C$1018,'CEMI Raw'!$E$6:$E$1018,$A466,'CEMI Raw'!$B$6:$B$1018,2025)</f>
        <v>23</v>
      </c>
      <c r="E466" s="22" t="n">
        <f aca="false">SUMIFS('CEMI Raw'!$D$6:$D$1018,'CEMI Raw'!$E$6:$E$1018,$A466,'CEMI Raw'!$B$6:$B$1018,2025)</f>
        <v>2358.5</v>
      </c>
      <c r="F466" s="21" t="n">
        <f aca="false">SUMIFS('CEMI Raw'!$C$6:$C$1018,'CEMI Raw'!$E$6:$E$1018,$A466,'CEMI Raw'!$B$6:$B$1018,2026)</f>
        <v>15</v>
      </c>
      <c r="G466" s="22" t="n">
        <f aca="false">SUMIFS('CEMI Raw'!$D$6:$D$1018,'CEMI Raw'!$E$6:$E$1018,$A466,'CEMI Raw'!$B$6:$B$1018,2026)</f>
        <v>1609.5</v>
      </c>
      <c r="H466" s="21" t="n">
        <f aca="false">SUMIFS('SALES Raw'!$C$6:$C$603,'SALES Raw'!$E$6:$E$603,$A466,'SALES Raw'!$B$6:$B$603,2025)</f>
        <v>0</v>
      </c>
      <c r="I466" s="22" t="n">
        <f aca="false">SUMIFS('SALES Raw'!$D$6:$D$603,'SALES Raw'!$E$6:$E$603,$A466,'SALES Raw'!$B$6:$B$603,2025)</f>
        <v>0</v>
      </c>
      <c r="J466" s="21" t="n">
        <f aca="false">SUMIFS('SALES Raw'!$C$6:$C$603,'SALES Raw'!$E$6:$E$603,$A466,'SALES Raw'!$B$6:$B$603,2026)</f>
        <v>0</v>
      </c>
      <c r="K466" s="22" t="n">
        <f aca="false">SUMIFS('SALES Raw'!$D$6:$D$603,'SALES Raw'!$E$6:$E$603,$A466,'SALES Raw'!$B$6:$B$603,2026)</f>
        <v>0</v>
      </c>
      <c r="L466" s="21" t="n">
        <f aca="false">D466+H466</f>
        <v>23</v>
      </c>
      <c r="M466" s="22" t="n">
        <f aca="false">E466+I466</f>
        <v>2358.5</v>
      </c>
      <c r="N466" s="21" t="n">
        <f aca="false">F466+J466</f>
        <v>15</v>
      </c>
      <c r="O466" s="22" t="n">
        <f aca="false">G466+K466</f>
        <v>1609.5</v>
      </c>
    </row>
    <row r="467" customFormat="false" ht="15" hidden="false" customHeight="false" outlineLevel="0" collapsed="false">
      <c r="A467" s="20" t="n">
        <v>4413529</v>
      </c>
      <c r="B467" s="20" t="str">
        <f aca="false">IFERROR(INDEX('Catalog'!$B:$B,MATCH($A467,'Catalog'!$A:$A,0)),"")</f>
        <v>43-47 מדרסי אפיק ג'ל עבודה</v>
      </c>
      <c r="C467" s="20" t="str">
        <f aca="false">IFERROR(INDEX('TRANS'!$A:$A,MATCH($A467,'TRANS'!$B:$B,0)),"")</f>
        <v>379WRK-43-46</v>
      </c>
      <c r="D467" s="21" t="n">
        <f aca="false">SUMIFS('CEMI Raw'!$C$6:$C$1018,'CEMI Raw'!$E$6:$E$1018,$A467,'CEMI Raw'!$B$6:$B$1018,2025)</f>
        <v>22</v>
      </c>
      <c r="E467" s="22" t="n">
        <f aca="false">SUMIFS('CEMI Raw'!$D$6:$D$1018,'CEMI Raw'!$E$6:$E$1018,$A467,'CEMI Raw'!$B$6:$B$1018,2025)</f>
        <v>2158.5</v>
      </c>
      <c r="F467" s="21" t="n">
        <f aca="false">SUMIFS('CEMI Raw'!$C$6:$C$1018,'CEMI Raw'!$E$6:$E$1018,$A467,'CEMI Raw'!$B$6:$B$1018,2026)</f>
        <v>14</v>
      </c>
      <c r="G467" s="22" t="n">
        <f aca="false">SUMIFS('CEMI Raw'!$D$6:$D$1018,'CEMI Raw'!$E$6:$E$1018,$A467,'CEMI Raw'!$B$6:$B$1018,2026)</f>
        <v>1472.5</v>
      </c>
      <c r="H467" s="21" t="n">
        <f aca="false">SUMIFS('SALES Raw'!$C$6:$C$603,'SALES Raw'!$E$6:$E$603,$A467,'SALES Raw'!$B$6:$B$603,2025)</f>
        <v>0</v>
      </c>
      <c r="I467" s="22" t="n">
        <f aca="false">SUMIFS('SALES Raw'!$D$6:$D$603,'SALES Raw'!$E$6:$E$603,$A467,'SALES Raw'!$B$6:$B$603,2025)</f>
        <v>0</v>
      </c>
      <c r="J467" s="21" t="n">
        <f aca="false">SUMIFS('SALES Raw'!$C$6:$C$603,'SALES Raw'!$E$6:$E$603,$A467,'SALES Raw'!$B$6:$B$603,2026)</f>
        <v>0</v>
      </c>
      <c r="K467" s="22" t="n">
        <f aca="false">SUMIFS('SALES Raw'!$D$6:$D$603,'SALES Raw'!$E$6:$E$603,$A467,'SALES Raw'!$B$6:$B$603,2026)</f>
        <v>0</v>
      </c>
      <c r="L467" s="21" t="n">
        <f aca="false">D467+H467</f>
        <v>22</v>
      </c>
      <c r="M467" s="22" t="n">
        <f aca="false">E467+I467</f>
        <v>2158.5</v>
      </c>
      <c r="N467" s="21" t="n">
        <f aca="false">F467+J467</f>
        <v>14</v>
      </c>
      <c r="O467" s="22" t="n">
        <f aca="false">G467+K467</f>
        <v>1472.5</v>
      </c>
    </row>
    <row r="468" customFormat="false" ht="15" hidden="false" customHeight="false" outlineLevel="0" collapsed="false">
      <c r="A468" s="20" t="n">
        <v>4413530</v>
      </c>
      <c r="B468" s="20" t="str">
        <f aca="false">IFERROR(INDEX('Catalog'!$B:$B,MATCH($A468,'Catalog'!$A:$A,0)),"")</f>
        <v>35C XXL מגן קרסול חום</v>
      </c>
      <c r="C468" s="20" t="str">
        <f aca="false">IFERROR(INDEX('TRANS'!$A:$A,MATCH($A468,'TRANS'!$B:$B,0)),"")</f>
        <v/>
      </c>
      <c r="D468" s="21" t="n">
        <f aca="false">SUMIFS('CEMI Raw'!$C$6:$C$1018,'CEMI Raw'!$E$6:$E$1018,$A468,'CEMI Raw'!$B$6:$B$1018,2025)</f>
        <v>1</v>
      </c>
      <c r="E468" s="22" t="n">
        <f aca="false">SUMIFS('CEMI Raw'!$D$6:$D$1018,'CEMI Raw'!$E$6:$E$1018,$A468,'CEMI Raw'!$B$6:$B$1018,2025)</f>
        <v>28.8</v>
      </c>
      <c r="F468" s="21" t="n">
        <f aca="false">SUMIFS('CEMI Raw'!$C$6:$C$1018,'CEMI Raw'!$E$6:$E$1018,$A468,'CEMI Raw'!$B$6:$B$1018,2026)</f>
        <v>0</v>
      </c>
      <c r="G468" s="22" t="n">
        <f aca="false">SUMIFS('CEMI Raw'!$D$6:$D$1018,'CEMI Raw'!$E$6:$E$1018,$A468,'CEMI Raw'!$B$6:$B$1018,2026)</f>
        <v>0</v>
      </c>
      <c r="H468" s="21" t="n">
        <f aca="false">SUMIFS('SALES Raw'!$C$6:$C$603,'SALES Raw'!$E$6:$E$603,$A468,'SALES Raw'!$B$6:$B$603,2025)</f>
        <v>0</v>
      </c>
      <c r="I468" s="22" t="n">
        <f aca="false">SUMIFS('SALES Raw'!$D$6:$D$603,'SALES Raw'!$E$6:$E$603,$A468,'SALES Raw'!$B$6:$B$603,2025)</f>
        <v>0</v>
      </c>
      <c r="J468" s="21" t="n">
        <f aca="false">SUMIFS('SALES Raw'!$C$6:$C$603,'SALES Raw'!$E$6:$E$603,$A468,'SALES Raw'!$B$6:$B$603,2026)</f>
        <v>0</v>
      </c>
      <c r="K468" s="22" t="n">
        <f aca="false">SUMIFS('SALES Raw'!$D$6:$D$603,'SALES Raw'!$E$6:$E$603,$A468,'SALES Raw'!$B$6:$B$603,2026)</f>
        <v>0</v>
      </c>
      <c r="L468" s="21" t="n">
        <f aca="false">D468+H468</f>
        <v>1</v>
      </c>
      <c r="M468" s="22" t="n">
        <f aca="false">E468+I468</f>
        <v>28.8</v>
      </c>
      <c r="N468" s="21" t="n">
        <f aca="false">F468+J468</f>
        <v>0</v>
      </c>
      <c r="O468" s="22" t="n">
        <f aca="false">G468+K468</f>
        <v>0</v>
      </c>
    </row>
    <row r="469" customFormat="false" ht="15" hidden="false" customHeight="false" outlineLevel="0" collapsed="false">
      <c r="A469" s="20" t="n">
        <v>4413534</v>
      </c>
      <c r="B469" s="20" t="str">
        <f aca="false">IFERROR(INDEX('Catalog'!$B:$B,MATCH($A469,'Catalog'!$A:$A,0)),"")</f>
        <v>SH333 מקבע קרסול</v>
      </c>
      <c r="C469" s="20" t="str">
        <f aca="false">IFERROR(INDEX('TRANS'!$A:$A,MATCH($A469,'TRANS'!$B:$B,0)),"")</f>
        <v>SH333 0</v>
      </c>
      <c r="D469" s="21" t="n">
        <f aca="false">SUMIFS('CEMI Raw'!$C$6:$C$1018,'CEMI Raw'!$E$6:$E$1018,$A469,'CEMI Raw'!$B$6:$B$1018,2025)</f>
        <v>0</v>
      </c>
      <c r="E469" s="22" t="n">
        <f aca="false">SUMIFS('CEMI Raw'!$D$6:$D$1018,'CEMI Raw'!$E$6:$E$1018,$A469,'CEMI Raw'!$B$6:$B$1018,2025)</f>
        <v>0</v>
      </c>
      <c r="F469" s="21" t="n">
        <f aca="false">SUMIFS('CEMI Raw'!$C$6:$C$1018,'CEMI Raw'!$E$6:$E$1018,$A469,'CEMI Raw'!$B$6:$B$1018,2026)</f>
        <v>8</v>
      </c>
      <c r="G469" s="22" t="n">
        <f aca="false">SUMIFS('CEMI Raw'!$D$6:$D$1018,'CEMI Raw'!$E$6:$E$1018,$A469,'CEMI Raw'!$B$6:$B$1018,2026)</f>
        <v>1301.1</v>
      </c>
      <c r="H469" s="21" t="n">
        <f aca="false">SUMIFS('SALES Raw'!$C$6:$C$603,'SALES Raw'!$E$6:$E$603,$A469,'SALES Raw'!$B$6:$B$603,2025)</f>
        <v>0</v>
      </c>
      <c r="I469" s="22" t="n">
        <f aca="false">SUMIFS('SALES Raw'!$D$6:$D$603,'SALES Raw'!$E$6:$E$603,$A469,'SALES Raw'!$B$6:$B$603,2025)</f>
        <v>0</v>
      </c>
      <c r="J469" s="21" t="n">
        <f aca="false">SUMIFS('SALES Raw'!$C$6:$C$603,'SALES Raw'!$E$6:$E$603,$A469,'SALES Raw'!$B$6:$B$603,2026)</f>
        <v>0</v>
      </c>
      <c r="K469" s="22" t="n">
        <f aca="false">SUMIFS('SALES Raw'!$D$6:$D$603,'SALES Raw'!$E$6:$E$603,$A469,'SALES Raw'!$B$6:$B$603,2026)</f>
        <v>0</v>
      </c>
      <c r="L469" s="21" t="n">
        <f aca="false">D469+H469</f>
        <v>0</v>
      </c>
      <c r="M469" s="22" t="n">
        <f aca="false">E469+I469</f>
        <v>0</v>
      </c>
      <c r="N469" s="21" t="n">
        <f aca="false">F469+J469</f>
        <v>8</v>
      </c>
      <c r="O469" s="22" t="n">
        <f aca="false">G469+K469</f>
        <v>1301.1</v>
      </c>
    </row>
    <row r="470" customFormat="false" ht="15" hidden="false" customHeight="false" outlineLevel="0" collapsed="false">
      <c r="A470" s="20" t="n">
        <v>4414000</v>
      </c>
      <c r="B470" s="20" t="str">
        <f aca="false">IFERROR(INDEX('Catalog'!$B:$B,MATCH($A470,'Catalog'!$A:$A,0)),"")</f>
        <v>FC342-נוזל לציפורן חודרנית</v>
      </c>
      <c r="C470" s="20" t="str">
        <f aca="false">IFERROR(INDEX('TRANS'!$A:$A,MATCH($A470,'TRANS'!$B:$B,0)),"")</f>
        <v>FC342 0</v>
      </c>
      <c r="D470" s="21" t="n">
        <f aca="false">SUMIFS('CEMI Raw'!$C$6:$C$1018,'CEMI Raw'!$E$6:$E$1018,$A470,'CEMI Raw'!$B$6:$B$1018,2025)</f>
        <v>710</v>
      </c>
      <c r="E470" s="22" t="n">
        <f aca="false">SUMIFS('CEMI Raw'!$D$6:$D$1018,'CEMI Raw'!$E$6:$E$1018,$A470,'CEMI Raw'!$B$6:$B$1018,2025)</f>
        <v>23268.2</v>
      </c>
      <c r="F470" s="21" t="n">
        <f aca="false">SUMIFS('CEMI Raw'!$C$6:$C$1018,'CEMI Raw'!$E$6:$E$1018,$A470,'CEMI Raw'!$B$6:$B$1018,2026)</f>
        <v>425</v>
      </c>
      <c r="G470" s="22" t="n">
        <f aca="false">SUMIFS('CEMI Raw'!$D$6:$D$1018,'CEMI Raw'!$E$6:$E$1018,$A470,'CEMI Raw'!$B$6:$B$1018,2026)</f>
        <v>15119.6</v>
      </c>
      <c r="H470" s="21" t="n">
        <f aca="false">SUMIFS('SALES Raw'!$C$6:$C$603,'SALES Raw'!$E$6:$E$603,$A470,'SALES Raw'!$B$6:$B$603,2025)</f>
        <v>20</v>
      </c>
      <c r="I470" s="22" t="n">
        <f aca="false">SUMIFS('SALES Raw'!$D$6:$D$603,'SALES Raw'!$E$6:$E$603,$A470,'SALES Raw'!$B$6:$B$603,2025)</f>
        <v>729.69</v>
      </c>
      <c r="J470" s="21" t="n">
        <f aca="false">SUMIFS('SALES Raw'!$C$6:$C$603,'SALES Raw'!$E$6:$E$603,$A470,'SALES Raw'!$B$6:$B$603,2026)</f>
        <v>17</v>
      </c>
      <c r="K470" s="22" t="n">
        <f aca="false">SUMIFS('SALES Raw'!$D$6:$D$603,'SALES Raw'!$E$6:$E$603,$A470,'SALES Raw'!$B$6:$B$603,2026)</f>
        <v>620.79</v>
      </c>
      <c r="L470" s="21" t="n">
        <f aca="false">D470+H470</f>
        <v>730</v>
      </c>
      <c r="M470" s="22" t="n">
        <f aca="false">E470+I470</f>
        <v>23997.89</v>
      </c>
      <c r="N470" s="21" t="n">
        <f aca="false">F470+J470</f>
        <v>442</v>
      </c>
      <c r="O470" s="22" t="n">
        <f aca="false">G470+K470</f>
        <v>15740.39</v>
      </c>
    </row>
    <row r="471" customFormat="false" ht="15" hidden="false" customHeight="false" outlineLevel="0" collapsed="false">
      <c r="A471" s="20" t="n">
        <v>4415000</v>
      </c>
      <c r="B471" s="20" t="str">
        <f aca="false">IFERROR(INDEX('Catalog'!$B:$B,MATCH($A471,'Catalog'!$A:$A,0)),"")</f>
        <v>26 L סד ליד דו צדדי לאחר שבר</v>
      </c>
      <c r="C471" s="20" t="str">
        <f aca="false">IFERROR(INDEX('TRANS'!$A:$A,MATCH($A471,'TRANS'!$B:$B,0)),"")</f>
        <v>26 L</v>
      </c>
      <c r="D471" s="21" t="n">
        <f aca="false">SUMIFS('CEMI Raw'!$C$6:$C$1018,'CEMI Raw'!$E$6:$E$1018,$A471,'CEMI Raw'!$B$6:$B$1018,2025)</f>
        <v>106</v>
      </c>
      <c r="E471" s="22" t="n">
        <f aca="false">SUMIFS('CEMI Raw'!$D$6:$D$1018,'CEMI Raw'!$E$6:$E$1018,$A471,'CEMI Raw'!$B$6:$B$1018,2025)</f>
        <v>10415.4</v>
      </c>
      <c r="F471" s="21" t="n">
        <f aca="false">SUMIFS('CEMI Raw'!$C$6:$C$1018,'CEMI Raw'!$E$6:$E$1018,$A471,'CEMI Raw'!$B$6:$B$1018,2026)</f>
        <v>60</v>
      </c>
      <c r="G471" s="22" t="n">
        <f aca="false">SUMIFS('CEMI Raw'!$D$6:$D$1018,'CEMI Raw'!$E$6:$E$1018,$A471,'CEMI Raw'!$B$6:$B$1018,2026)</f>
        <v>5920.6</v>
      </c>
      <c r="H471" s="21" t="n">
        <f aca="false">SUMIFS('SALES Raw'!$C$6:$C$603,'SALES Raw'!$E$6:$E$603,$A471,'SALES Raw'!$B$6:$B$603,2025)</f>
        <v>0</v>
      </c>
      <c r="I471" s="22" t="n">
        <f aca="false">SUMIFS('SALES Raw'!$D$6:$D$603,'SALES Raw'!$E$6:$E$603,$A471,'SALES Raw'!$B$6:$B$603,2025)</f>
        <v>0</v>
      </c>
      <c r="J471" s="21" t="n">
        <f aca="false">SUMIFS('SALES Raw'!$C$6:$C$603,'SALES Raw'!$E$6:$E$603,$A471,'SALES Raw'!$B$6:$B$603,2026)</f>
        <v>2</v>
      </c>
      <c r="K471" s="22" t="n">
        <f aca="false">SUMIFS('SALES Raw'!$D$6:$D$603,'SALES Raw'!$E$6:$E$603,$A471,'SALES Raw'!$B$6:$B$603,2026)</f>
        <v>206.14</v>
      </c>
      <c r="L471" s="21" t="n">
        <f aca="false">D471+H471</f>
        <v>106</v>
      </c>
      <c r="M471" s="22" t="n">
        <f aca="false">E471+I471</f>
        <v>10415.4</v>
      </c>
      <c r="N471" s="21" t="n">
        <f aca="false">F471+J471</f>
        <v>62</v>
      </c>
      <c r="O471" s="22" t="n">
        <f aca="false">G471+K471</f>
        <v>6126.74</v>
      </c>
    </row>
    <row r="472" customFormat="false" ht="15" hidden="false" customHeight="false" outlineLevel="0" collapsed="false">
      <c r="A472" s="20" t="n">
        <v>4415001</v>
      </c>
      <c r="B472" s="20" t="str">
        <f aca="false">IFERROR(INDEX('Catalog'!$B:$B,MATCH($A472,'Catalog'!$A:$A,0)),"")</f>
        <v>26 M סד ליד דו צדדי לאחר שבר</v>
      </c>
      <c r="C472" s="20" t="str">
        <f aca="false">IFERROR(INDEX('TRANS'!$A:$A,MATCH($A472,'TRANS'!$B:$B,0)),"")</f>
        <v>26 M</v>
      </c>
      <c r="D472" s="21" t="n">
        <f aca="false">SUMIFS('CEMI Raw'!$C$6:$C$1018,'CEMI Raw'!$E$6:$E$1018,$A472,'CEMI Raw'!$B$6:$B$1018,2025)</f>
        <v>91</v>
      </c>
      <c r="E472" s="22" t="n">
        <f aca="false">SUMIFS('CEMI Raw'!$D$6:$D$1018,'CEMI Raw'!$E$6:$E$1018,$A472,'CEMI Raw'!$B$6:$B$1018,2025)</f>
        <v>8969</v>
      </c>
      <c r="F472" s="21" t="n">
        <f aca="false">SUMIFS('CEMI Raw'!$C$6:$C$1018,'CEMI Raw'!$E$6:$E$1018,$A472,'CEMI Raw'!$B$6:$B$1018,2026)</f>
        <v>39</v>
      </c>
      <c r="G472" s="22" t="n">
        <f aca="false">SUMIFS('CEMI Raw'!$D$6:$D$1018,'CEMI Raw'!$E$6:$E$1018,$A472,'CEMI Raw'!$B$6:$B$1018,2026)</f>
        <v>3768.8</v>
      </c>
      <c r="H472" s="21" t="n">
        <f aca="false">SUMIFS('SALES Raw'!$C$6:$C$603,'SALES Raw'!$E$6:$E$603,$A472,'SALES Raw'!$B$6:$B$603,2025)</f>
        <v>0</v>
      </c>
      <c r="I472" s="22" t="n">
        <f aca="false">SUMIFS('SALES Raw'!$D$6:$D$603,'SALES Raw'!$E$6:$E$603,$A472,'SALES Raw'!$B$6:$B$603,2025)</f>
        <v>0</v>
      </c>
      <c r="J472" s="21" t="n">
        <f aca="false">SUMIFS('SALES Raw'!$C$6:$C$603,'SALES Raw'!$E$6:$E$603,$A472,'SALES Raw'!$B$6:$B$603,2026)</f>
        <v>4</v>
      </c>
      <c r="K472" s="22" t="n">
        <f aca="false">SUMIFS('SALES Raw'!$D$6:$D$603,'SALES Raw'!$E$6:$E$603,$A472,'SALES Raw'!$B$6:$B$603,2026)</f>
        <v>412.28</v>
      </c>
      <c r="L472" s="21" t="n">
        <f aca="false">D472+H472</f>
        <v>91</v>
      </c>
      <c r="M472" s="22" t="n">
        <f aca="false">E472+I472</f>
        <v>8969</v>
      </c>
      <c r="N472" s="21" t="n">
        <f aca="false">F472+J472</f>
        <v>43</v>
      </c>
      <c r="O472" s="22" t="n">
        <f aca="false">G472+K472</f>
        <v>4181.08</v>
      </c>
    </row>
    <row r="473" customFormat="false" ht="15" hidden="false" customHeight="false" outlineLevel="0" collapsed="false">
      <c r="A473" s="20" t="n">
        <v>4415002</v>
      </c>
      <c r="B473" s="20" t="str">
        <f aca="false">IFERROR(INDEX('Catalog'!$B:$B,MATCH($A473,'Catalog'!$A:$A,0)),"")</f>
        <v>26 S סד ליד דו צדדי לאחר שבר</v>
      </c>
      <c r="C473" s="20" t="str">
        <f aca="false">IFERROR(INDEX('TRANS'!$A:$A,MATCH($A473,'TRANS'!$B:$B,0)),"")</f>
        <v>26 S</v>
      </c>
      <c r="D473" s="21" t="n">
        <f aca="false">SUMIFS('CEMI Raw'!$C$6:$C$1018,'CEMI Raw'!$E$6:$E$1018,$A473,'CEMI Raw'!$B$6:$B$1018,2025)</f>
        <v>53</v>
      </c>
      <c r="E473" s="22" t="n">
        <f aca="false">SUMIFS('CEMI Raw'!$D$6:$D$1018,'CEMI Raw'!$E$6:$E$1018,$A473,'CEMI Raw'!$B$6:$B$1018,2025)</f>
        <v>5173.7</v>
      </c>
      <c r="F473" s="21" t="n">
        <f aca="false">SUMIFS('CEMI Raw'!$C$6:$C$1018,'CEMI Raw'!$E$6:$E$1018,$A473,'CEMI Raw'!$B$6:$B$1018,2026)</f>
        <v>28</v>
      </c>
      <c r="G473" s="22" t="n">
        <f aca="false">SUMIFS('CEMI Raw'!$D$6:$D$1018,'CEMI Raw'!$E$6:$E$1018,$A473,'CEMI Raw'!$B$6:$B$1018,2026)</f>
        <v>2810.4</v>
      </c>
      <c r="H473" s="21" t="n">
        <f aca="false">SUMIFS('SALES Raw'!$C$6:$C$603,'SALES Raw'!$E$6:$E$603,$A473,'SALES Raw'!$B$6:$B$603,2025)</f>
        <v>0</v>
      </c>
      <c r="I473" s="22" t="n">
        <f aca="false">SUMIFS('SALES Raw'!$D$6:$D$603,'SALES Raw'!$E$6:$E$603,$A473,'SALES Raw'!$B$6:$B$603,2025)</f>
        <v>0</v>
      </c>
      <c r="J473" s="21" t="n">
        <f aca="false">SUMIFS('SALES Raw'!$C$6:$C$603,'SALES Raw'!$E$6:$E$603,$A473,'SALES Raw'!$B$6:$B$603,2026)</f>
        <v>0</v>
      </c>
      <c r="K473" s="22" t="n">
        <f aca="false">SUMIFS('SALES Raw'!$D$6:$D$603,'SALES Raw'!$E$6:$E$603,$A473,'SALES Raw'!$B$6:$B$603,2026)</f>
        <v>0</v>
      </c>
      <c r="L473" s="21" t="n">
        <f aca="false">D473+H473</f>
        <v>53</v>
      </c>
      <c r="M473" s="22" t="n">
        <f aca="false">E473+I473</f>
        <v>5173.7</v>
      </c>
      <c r="N473" s="21" t="n">
        <f aca="false">F473+J473</f>
        <v>28</v>
      </c>
      <c r="O473" s="22" t="n">
        <f aca="false">G473+K473</f>
        <v>2810.4</v>
      </c>
    </row>
    <row r="474" customFormat="false" ht="15" hidden="false" customHeight="false" outlineLevel="0" collapsed="false">
      <c r="A474" s="20" t="n">
        <v>4415003</v>
      </c>
      <c r="B474" s="20" t="str">
        <f aca="false">IFERROR(INDEX('Catalog'!$B:$B,MATCH($A474,'Catalog'!$A:$A,0)),"")</f>
        <v>26 XL סד ליד דו צדדי לאחר שבר</v>
      </c>
      <c r="C474" s="20" t="str">
        <f aca="false">IFERROR(INDEX('TRANS'!$A:$A,MATCH($A474,'TRANS'!$B:$B,0)),"")</f>
        <v>26 XL</v>
      </c>
      <c r="D474" s="21" t="n">
        <f aca="false">SUMIFS('CEMI Raw'!$C$6:$C$1018,'CEMI Raw'!$E$6:$E$1018,$A474,'CEMI Raw'!$B$6:$B$1018,2025)</f>
        <v>70</v>
      </c>
      <c r="E474" s="22" t="n">
        <f aca="false">SUMIFS('CEMI Raw'!$D$6:$D$1018,'CEMI Raw'!$E$6:$E$1018,$A474,'CEMI Raw'!$B$6:$B$1018,2025)</f>
        <v>6818.9</v>
      </c>
      <c r="F474" s="21" t="n">
        <f aca="false">SUMIFS('CEMI Raw'!$C$6:$C$1018,'CEMI Raw'!$E$6:$E$1018,$A474,'CEMI Raw'!$B$6:$B$1018,2026)</f>
        <v>28</v>
      </c>
      <c r="G474" s="22" t="n">
        <f aca="false">SUMIFS('CEMI Raw'!$D$6:$D$1018,'CEMI Raw'!$E$6:$E$1018,$A474,'CEMI Raw'!$B$6:$B$1018,2026)</f>
        <v>2804.5</v>
      </c>
      <c r="H474" s="21" t="n">
        <f aca="false">SUMIFS('SALES Raw'!$C$6:$C$603,'SALES Raw'!$E$6:$E$603,$A474,'SALES Raw'!$B$6:$B$603,2025)</f>
        <v>0</v>
      </c>
      <c r="I474" s="22" t="n">
        <f aca="false">SUMIFS('SALES Raw'!$D$6:$D$603,'SALES Raw'!$E$6:$E$603,$A474,'SALES Raw'!$B$6:$B$603,2025)</f>
        <v>0</v>
      </c>
      <c r="J474" s="21" t="n">
        <f aca="false">SUMIFS('SALES Raw'!$C$6:$C$603,'SALES Raw'!$E$6:$E$603,$A474,'SALES Raw'!$B$6:$B$603,2026)</f>
        <v>0</v>
      </c>
      <c r="K474" s="22" t="n">
        <f aca="false">SUMIFS('SALES Raw'!$D$6:$D$603,'SALES Raw'!$E$6:$E$603,$A474,'SALES Raw'!$B$6:$B$603,2026)</f>
        <v>0</v>
      </c>
      <c r="L474" s="21" t="n">
        <f aca="false">D474+H474</f>
        <v>70</v>
      </c>
      <c r="M474" s="22" t="n">
        <f aca="false">E474+I474</f>
        <v>6818.9</v>
      </c>
      <c r="N474" s="21" t="n">
        <f aca="false">F474+J474</f>
        <v>28</v>
      </c>
      <c r="O474" s="22" t="n">
        <f aca="false">G474+K474</f>
        <v>2804.5</v>
      </c>
    </row>
    <row r="475" customFormat="false" ht="15" hidden="false" customHeight="false" outlineLevel="0" collapsed="false">
      <c r="A475" s="20" t="n">
        <v>4415004</v>
      </c>
      <c r="B475" s="20" t="str">
        <f aca="false">IFERROR(INDEX('Catalog'!$B:$B,MATCH($A475,'Catalog'!$A:$A,0)),"")</f>
        <v>26 XXL סד ליד דו צדדי לאחר שבר</v>
      </c>
      <c r="C475" s="20" t="str">
        <f aca="false">IFERROR(INDEX('TRANS'!$A:$A,MATCH($A475,'TRANS'!$B:$B,0)),"")</f>
        <v>26 XXL</v>
      </c>
      <c r="D475" s="21" t="n">
        <f aca="false">SUMIFS('CEMI Raw'!$C$6:$C$1018,'CEMI Raw'!$E$6:$E$1018,$A475,'CEMI Raw'!$B$6:$B$1018,2025)</f>
        <v>3</v>
      </c>
      <c r="E475" s="22" t="n">
        <f aca="false">SUMIFS('CEMI Raw'!$D$6:$D$1018,'CEMI Raw'!$E$6:$E$1018,$A475,'CEMI Raw'!$B$6:$B$1018,2025)</f>
        <v>309.2</v>
      </c>
      <c r="F475" s="21" t="n">
        <f aca="false">SUMIFS('CEMI Raw'!$C$6:$C$1018,'CEMI Raw'!$E$6:$E$1018,$A475,'CEMI Raw'!$B$6:$B$1018,2026)</f>
        <v>2</v>
      </c>
      <c r="G475" s="22" t="n">
        <f aca="false">SUMIFS('CEMI Raw'!$D$6:$D$1018,'CEMI Raw'!$E$6:$E$1018,$A475,'CEMI Raw'!$B$6:$B$1018,2026)</f>
        <v>206.1</v>
      </c>
      <c r="H475" s="21" t="n">
        <f aca="false">SUMIFS('SALES Raw'!$C$6:$C$603,'SALES Raw'!$E$6:$E$603,$A475,'SALES Raw'!$B$6:$B$603,2025)</f>
        <v>0</v>
      </c>
      <c r="I475" s="22" t="n">
        <f aca="false">SUMIFS('SALES Raw'!$D$6:$D$603,'SALES Raw'!$E$6:$E$603,$A475,'SALES Raw'!$B$6:$B$603,2025)</f>
        <v>0</v>
      </c>
      <c r="J475" s="21" t="n">
        <f aca="false">SUMIFS('SALES Raw'!$C$6:$C$603,'SALES Raw'!$E$6:$E$603,$A475,'SALES Raw'!$B$6:$B$603,2026)</f>
        <v>0</v>
      </c>
      <c r="K475" s="22" t="n">
        <f aca="false">SUMIFS('SALES Raw'!$D$6:$D$603,'SALES Raw'!$E$6:$E$603,$A475,'SALES Raw'!$B$6:$B$603,2026)</f>
        <v>0</v>
      </c>
      <c r="L475" s="21" t="n">
        <f aca="false">D475+H475</f>
        <v>3</v>
      </c>
      <c r="M475" s="22" t="n">
        <f aca="false">E475+I475</f>
        <v>309.2</v>
      </c>
      <c r="N475" s="21" t="n">
        <f aca="false">F475+J475</f>
        <v>2</v>
      </c>
      <c r="O475" s="22" t="n">
        <f aca="false">G475+K475</f>
        <v>206.1</v>
      </c>
    </row>
    <row r="476" customFormat="false" ht="15" hidden="false" customHeight="false" outlineLevel="0" collapsed="false">
      <c r="A476" s="20" t="n">
        <v>4415005</v>
      </c>
      <c r="B476" s="20" t="str">
        <f aca="false">IFERROR(INDEX('Catalog'!$B:$B,MATCH($A476,'Catalog'!$A:$A,0)),"")</f>
        <v>28 L סד לאגודל לאחר שבר</v>
      </c>
      <c r="C476" s="20" t="str">
        <f aca="false">IFERROR(INDEX('TRANS'!$A:$A,MATCH($A476,'TRANS'!$B:$B,0)),"")</f>
        <v>28 L</v>
      </c>
      <c r="D476" s="21" t="n">
        <f aca="false">SUMIFS('CEMI Raw'!$C$6:$C$1018,'CEMI Raw'!$E$6:$E$1018,$A476,'CEMI Raw'!$B$6:$B$1018,2025)</f>
        <v>62</v>
      </c>
      <c r="E476" s="22" t="n">
        <f aca="false">SUMIFS('CEMI Raw'!$D$6:$D$1018,'CEMI Raw'!$E$6:$E$1018,$A476,'CEMI Raw'!$B$6:$B$1018,2025)</f>
        <v>6194.4</v>
      </c>
      <c r="F476" s="21" t="n">
        <f aca="false">SUMIFS('CEMI Raw'!$C$6:$C$1018,'CEMI Raw'!$E$6:$E$1018,$A476,'CEMI Raw'!$B$6:$B$1018,2026)</f>
        <v>32</v>
      </c>
      <c r="G476" s="22" t="n">
        <f aca="false">SUMIFS('CEMI Raw'!$D$6:$D$1018,'CEMI Raw'!$E$6:$E$1018,$A476,'CEMI Raw'!$B$6:$B$1018,2026)</f>
        <v>3194.4</v>
      </c>
      <c r="H476" s="21" t="n">
        <f aca="false">SUMIFS('SALES Raw'!$C$6:$C$603,'SALES Raw'!$E$6:$E$603,$A476,'SALES Raw'!$B$6:$B$603,2025)</f>
        <v>3</v>
      </c>
      <c r="I476" s="22" t="n">
        <f aca="false">SUMIFS('SALES Raw'!$D$6:$D$603,'SALES Raw'!$E$6:$E$603,$A476,'SALES Raw'!$B$6:$B$603,2025)</f>
        <v>300.63</v>
      </c>
      <c r="J476" s="21" t="n">
        <f aca="false">SUMIFS('SALES Raw'!$C$6:$C$603,'SALES Raw'!$E$6:$E$603,$A476,'SALES Raw'!$B$6:$B$603,2026)</f>
        <v>0</v>
      </c>
      <c r="K476" s="22" t="n">
        <f aca="false">SUMIFS('SALES Raw'!$D$6:$D$603,'SALES Raw'!$E$6:$E$603,$A476,'SALES Raw'!$B$6:$B$603,2026)</f>
        <v>0</v>
      </c>
      <c r="L476" s="21" t="n">
        <f aca="false">D476+H476</f>
        <v>65</v>
      </c>
      <c r="M476" s="22" t="n">
        <f aca="false">E476+I476</f>
        <v>6495.03</v>
      </c>
      <c r="N476" s="21" t="n">
        <f aca="false">F476+J476</f>
        <v>32</v>
      </c>
      <c r="O476" s="22" t="n">
        <f aca="false">G476+K476</f>
        <v>3194.4</v>
      </c>
    </row>
    <row r="477" customFormat="false" ht="15" hidden="false" customHeight="false" outlineLevel="0" collapsed="false">
      <c r="A477" s="20" t="n">
        <v>4415006</v>
      </c>
      <c r="B477" s="20" t="str">
        <f aca="false">IFERROR(INDEX('Catalog'!$B:$B,MATCH($A477,'Catalog'!$A:$A,0)),"")</f>
        <v>28 M סד לאגודל לאחר שבר</v>
      </c>
      <c r="C477" s="20" t="str">
        <f aca="false">IFERROR(INDEX('TRANS'!$A:$A,MATCH($A477,'TRANS'!$B:$B,0)),"")</f>
        <v>28 M</v>
      </c>
      <c r="D477" s="21" t="n">
        <f aca="false">SUMIFS('CEMI Raw'!$C$6:$C$1018,'CEMI Raw'!$E$6:$E$1018,$A477,'CEMI Raw'!$B$6:$B$1018,2025)</f>
        <v>80</v>
      </c>
      <c r="E477" s="22" t="n">
        <f aca="false">SUMIFS('CEMI Raw'!$D$6:$D$1018,'CEMI Raw'!$E$6:$E$1018,$A477,'CEMI Raw'!$B$6:$B$1018,2025)</f>
        <v>7782.5</v>
      </c>
      <c r="F477" s="21" t="n">
        <f aca="false">SUMIFS('CEMI Raw'!$C$6:$C$1018,'CEMI Raw'!$E$6:$E$1018,$A477,'CEMI Raw'!$B$6:$B$1018,2026)</f>
        <v>45</v>
      </c>
      <c r="G477" s="22" t="n">
        <f aca="false">SUMIFS('CEMI Raw'!$D$6:$D$1018,'CEMI Raw'!$E$6:$E$1018,$A477,'CEMI Raw'!$B$6:$B$1018,2026)</f>
        <v>4351.2</v>
      </c>
      <c r="H477" s="21" t="n">
        <f aca="false">SUMIFS('SALES Raw'!$C$6:$C$603,'SALES Raw'!$E$6:$E$603,$A477,'SALES Raw'!$B$6:$B$603,2025)</f>
        <v>1</v>
      </c>
      <c r="I477" s="22" t="n">
        <f aca="false">SUMIFS('SALES Raw'!$D$6:$D$603,'SALES Raw'!$E$6:$E$603,$A477,'SALES Raw'!$B$6:$B$603,2025)</f>
        <v>103.07</v>
      </c>
      <c r="J477" s="21" t="n">
        <f aca="false">SUMIFS('SALES Raw'!$C$6:$C$603,'SALES Raw'!$E$6:$E$603,$A477,'SALES Raw'!$B$6:$B$603,2026)</f>
        <v>0</v>
      </c>
      <c r="K477" s="22" t="n">
        <f aca="false">SUMIFS('SALES Raw'!$D$6:$D$603,'SALES Raw'!$E$6:$E$603,$A477,'SALES Raw'!$B$6:$B$603,2026)</f>
        <v>0</v>
      </c>
      <c r="L477" s="21" t="n">
        <f aca="false">D477+H477</f>
        <v>81</v>
      </c>
      <c r="M477" s="22" t="n">
        <f aca="false">E477+I477</f>
        <v>7885.57</v>
      </c>
      <c r="N477" s="21" t="n">
        <f aca="false">F477+J477</f>
        <v>45</v>
      </c>
      <c r="O477" s="22" t="n">
        <f aca="false">G477+K477</f>
        <v>4351.2</v>
      </c>
    </row>
    <row r="478" customFormat="false" ht="15" hidden="false" customHeight="false" outlineLevel="0" collapsed="false">
      <c r="A478" s="20" t="n">
        <v>4415007</v>
      </c>
      <c r="B478" s="20" t="str">
        <f aca="false">IFERROR(INDEX('Catalog'!$B:$B,MATCH($A478,'Catalog'!$A:$A,0)),"")</f>
        <v>28 S סד לאגודל לאחר שבר</v>
      </c>
      <c r="C478" s="20" t="str">
        <f aca="false">IFERROR(INDEX('TRANS'!$A:$A,MATCH($A478,'TRANS'!$B:$B,0)),"")</f>
        <v>28 S</v>
      </c>
      <c r="D478" s="21" t="n">
        <f aca="false">SUMIFS('CEMI Raw'!$C$6:$C$1018,'CEMI Raw'!$E$6:$E$1018,$A478,'CEMI Raw'!$B$6:$B$1018,2025)</f>
        <v>62</v>
      </c>
      <c r="E478" s="22" t="n">
        <f aca="false">SUMIFS('CEMI Raw'!$D$6:$D$1018,'CEMI Raw'!$E$6:$E$1018,$A478,'CEMI Raw'!$B$6:$B$1018,2025)</f>
        <v>6057.7</v>
      </c>
      <c r="F478" s="21" t="n">
        <f aca="false">SUMIFS('CEMI Raw'!$C$6:$C$1018,'CEMI Raw'!$E$6:$E$1018,$A478,'CEMI Raw'!$B$6:$B$1018,2026)</f>
        <v>13</v>
      </c>
      <c r="G478" s="22" t="n">
        <f aca="false">SUMIFS('CEMI Raw'!$D$6:$D$1018,'CEMI Raw'!$E$6:$E$1018,$A478,'CEMI Raw'!$B$6:$B$1018,2026)</f>
        <v>1308.9</v>
      </c>
      <c r="H478" s="21" t="n">
        <f aca="false">SUMIFS('SALES Raw'!$C$6:$C$603,'SALES Raw'!$E$6:$E$603,$A478,'SALES Raw'!$B$6:$B$603,2025)</f>
        <v>1</v>
      </c>
      <c r="I478" s="22" t="n">
        <f aca="false">SUMIFS('SALES Raw'!$D$6:$D$603,'SALES Raw'!$E$6:$E$603,$A478,'SALES Raw'!$B$6:$B$603,2025)</f>
        <v>103.08</v>
      </c>
      <c r="J478" s="21" t="n">
        <f aca="false">SUMIFS('SALES Raw'!$C$6:$C$603,'SALES Raw'!$E$6:$E$603,$A478,'SALES Raw'!$B$6:$B$603,2026)</f>
        <v>1</v>
      </c>
      <c r="K478" s="22" t="n">
        <f aca="false">SUMIFS('SALES Raw'!$D$6:$D$603,'SALES Raw'!$E$6:$E$603,$A478,'SALES Raw'!$B$6:$B$603,2026)</f>
        <v>103.07</v>
      </c>
      <c r="L478" s="21" t="n">
        <f aca="false">D478+H478</f>
        <v>63</v>
      </c>
      <c r="M478" s="22" t="n">
        <f aca="false">E478+I478</f>
        <v>6160.78</v>
      </c>
      <c r="N478" s="21" t="n">
        <f aca="false">F478+J478</f>
        <v>14</v>
      </c>
      <c r="O478" s="22" t="n">
        <f aca="false">G478+K478</f>
        <v>1411.97</v>
      </c>
    </row>
    <row r="479" customFormat="false" ht="15" hidden="false" customHeight="false" outlineLevel="0" collapsed="false">
      <c r="A479" s="20" t="n">
        <v>4415008</v>
      </c>
      <c r="B479" s="20" t="str">
        <f aca="false">IFERROR(INDEX('Catalog'!$B:$B,MATCH($A479,'Catalog'!$A:$A,0)),"")</f>
        <v>28 XL סד לאגודל לאחר שבר</v>
      </c>
      <c r="C479" s="20" t="str">
        <f aca="false">IFERROR(INDEX('TRANS'!$A:$A,MATCH($A479,'TRANS'!$B:$B,0)),"")</f>
        <v>28 XL</v>
      </c>
      <c r="D479" s="21" t="n">
        <f aca="false">SUMIFS('CEMI Raw'!$C$6:$C$1018,'CEMI Raw'!$E$6:$E$1018,$A479,'CEMI Raw'!$B$6:$B$1018,2025)</f>
        <v>33</v>
      </c>
      <c r="E479" s="22" t="n">
        <f aca="false">SUMIFS('CEMI Raw'!$D$6:$D$1018,'CEMI Raw'!$E$6:$E$1018,$A479,'CEMI Raw'!$B$6:$B$1018,2025)</f>
        <v>3312.8</v>
      </c>
      <c r="F479" s="21" t="n">
        <f aca="false">SUMIFS('CEMI Raw'!$C$6:$C$1018,'CEMI Raw'!$E$6:$E$1018,$A479,'CEMI Raw'!$B$6:$B$1018,2026)</f>
        <v>19</v>
      </c>
      <c r="G479" s="22" t="n">
        <f aca="false">SUMIFS('CEMI Raw'!$D$6:$D$1018,'CEMI Raw'!$E$6:$E$1018,$A479,'CEMI Raw'!$B$6:$B$1018,2026)</f>
        <v>1880.3</v>
      </c>
      <c r="H479" s="21" t="n">
        <f aca="false">SUMIFS('SALES Raw'!$C$6:$C$603,'SALES Raw'!$E$6:$E$603,$A479,'SALES Raw'!$B$6:$B$603,2025)</f>
        <v>2</v>
      </c>
      <c r="I479" s="22" t="n">
        <f aca="false">SUMIFS('SALES Raw'!$D$6:$D$603,'SALES Raw'!$E$6:$E$603,$A479,'SALES Raw'!$B$6:$B$603,2025)</f>
        <v>197.57</v>
      </c>
      <c r="J479" s="21" t="n">
        <f aca="false">SUMIFS('SALES Raw'!$C$6:$C$603,'SALES Raw'!$E$6:$E$603,$A479,'SALES Raw'!$B$6:$B$603,2026)</f>
        <v>0</v>
      </c>
      <c r="K479" s="22" t="n">
        <f aca="false">SUMIFS('SALES Raw'!$D$6:$D$603,'SALES Raw'!$E$6:$E$603,$A479,'SALES Raw'!$B$6:$B$603,2026)</f>
        <v>0</v>
      </c>
      <c r="L479" s="21" t="n">
        <f aca="false">D479+H479</f>
        <v>35</v>
      </c>
      <c r="M479" s="22" t="n">
        <f aca="false">E479+I479</f>
        <v>3510.37</v>
      </c>
      <c r="N479" s="21" t="n">
        <f aca="false">F479+J479</f>
        <v>19</v>
      </c>
      <c r="O479" s="22" t="n">
        <f aca="false">G479+K479</f>
        <v>1880.3</v>
      </c>
    </row>
    <row r="480" customFormat="false" ht="15" hidden="false" customHeight="false" outlineLevel="0" collapsed="false">
      <c r="A480" s="20" t="n">
        <v>4415012</v>
      </c>
      <c r="B480" s="20" t="str">
        <f aca="false">IFERROR(INDEX('Catalog'!$B:$B,MATCH($A480,'Catalog'!$A:$A,0)),"")</f>
        <v>32 M  סד קרסול+מוטות אלומיניום</v>
      </c>
      <c r="C480" s="20" t="str">
        <f aca="false">IFERROR(INDEX('TRANS'!$A:$A,MATCH($A480,'TRANS'!$B:$B,0)),"")</f>
        <v/>
      </c>
      <c r="D480" s="21" t="n">
        <f aca="false">SUMIFS('CEMI Raw'!$C$6:$C$1018,'CEMI Raw'!$E$6:$E$1018,$A480,'CEMI Raw'!$B$6:$B$1018,2025)</f>
        <v>1</v>
      </c>
      <c r="E480" s="22" t="n">
        <f aca="false">SUMIFS('CEMI Raw'!$D$6:$D$1018,'CEMI Raw'!$E$6:$E$1018,$A480,'CEMI Raw'!$B$6:$B$1018,2025)</f>
        <v>198.6</v>
      </c>
      <c r="F480" s="21" t="n">
        <f aca="false">SUMIFS('CEMI Raw'!$C$6:$C$1018,'CEMI Raw'!$E$6:$E$1018,$A480,'CEMI Raw'!$B$6:$B$1018,2026)</f>
        <v>0</v>
      </c>
      <c r="G480" s="22" t="n">
        <f aca="false">SUMIFS('CEMI Raw'!$D$6:$D$1018,'CEMI Raw'!$E$6:$E$1018,$A480,'CEMI Raw'!$B$6:$B$1018,2026)</f>
        <v>0</v>
      </c>
      <c r="H480" s="21" t="n">
        <f aca="false">SUMIFS('SALES Raw'!$C$6:$C$603,'SALES Raw'!$E$6:$E$603,$A480,'SALES Raw'!$B$6:$B$603,2025)</f>
        <v>0</v>
      </c>
      <c r="I480" s="22" t="n">
        <f aca="false">SUMIFS('SALES Raw'!$D$6:$D$603,'SALES Raw'!$E$6:$E$603,$A480,'SALES Raw'!$B$6:$B$603,2025)</f>
        <v>0</v>
      </c>
      <c r="J480" s="21" t="n">
        <f aca="false">SUMIFS('SALES Raw'!$C$6:$C$603,'SALES Raw'!$E$6:$E$603,$A480,'SALES Raw'!$B$6:$B$603,2026)</f>
        <v>0</v>
      </c>
      <c r="K480" s="22" t="n">
        <f aca="false">SUMIFS('SALES Raw'!$D$6:$D$603,'SALES Raw'!$E$6:$E$603,$A480,'SALES Raw'!$B$6:$B$603,2026)</f>
        <v>0</v>
      </c>
      <c r="L480" s="21" t="n">
        <f aca="false">D480+H480</f>
        <v>1</v>
      </c>
      <c r="M480" s="22" t="n">
        <f aca="false">E480+I480</f>
        <v>198.6</v>
      </c>
      <c r="N480" s="21" t="n">
        <f aca="false">F480+J480</f>
        <v>0</v>
      </c>
      <c r="O480" s="22" t="n">
        <f aca="false">G480+K480</f>
        <v>0</v>
      </c>
    </row>
    <row r="481" customFormat="false" ht="15" hidden="false" customHeight="false" outlineLevel="0" collapsed="false">
      <c r="A481" s="20" t="n">
        <v>4415013</v>
      </c>
      <c r="B481" s="20" t="str">
        <f aca="false">IFERROR(INDEX('Catalog'!$B:$B,MATCH($A481,'Catalog'!$A:$A,0)),"")</f>
        <v>32 XL סד קרסול+מוטות אלומיניום</v>
      </c>
      <c r="C481" s="20" t="str">
        <f aca="false">IFERROR(INDEX('TRANS'!$A:$A,MATCH($A481,'TRANS'!$B:$B,0)),"")</f>
        <v>32 XL</v>
      </c>
      <c r="D481" s="21" t="n">
        <f aca="false">SUMIFS('CEMI Raw'!$C$6:$C$1018,'CEMI Raw'!$E$6:$E$1018,$A481,'CEMI Raw'!$B$6:$B$1018,2025)</f>
        <v>0</v>
      </c>
      <c r="E481" s="22" t="n">
        <f aca="false">SUMIFS('CEMI Raw'!$D$6:$D$1018,'CEMI Raw'!$E$6:$E$1018,$A481,'CEMI Raw'!$B$6:$B$1018,2025)</f>
        <v>0</v>
      </c>
      <c r="F481" s="21" t="n">
        <f aca="false">SUMIFS('CEMI Raw'!$C$6:$C$1018,'CEMI Raw'!$E$6:$E$1018,$A481,'CEMI Raw'!$B$6:$B$1018,2026)</f>
        <v>2</v>
      </c>
      <c r="G481" s="22" t="n">
        <f aca="false">SUMIFS('CEMI Raw'!$D$6:$D$1018,'CEMI Raw'!$E$6:$E$1018,$A481,'CEMI Raw'!$B$6:$B$1018,2026)</f>
        <v>425.5</v>
      </c>
      <c r="H481" s="21" t="n">
        <f aca="false">SUMIFS('SALES Raw'!$C$6:$C$603,'SALES Raw'!$E$6:$E$603,$A481,'SALES Raw'!$B$6:$B$603,2025)</f>
        <v>0</v>
      </c>
      <c r="I481" s="22" t="n">
        <f aca="false">SUMIFS('SALES Raw'!$D$6:$D$603,'SALES Raw'!$E$6:$E$603,$A481,'SALES Raw'!$B$6:$B$603,2025)</f>
        <v>0</v>
      </c>
      <c r="J481" s="21" t="n">
        <f aca="false">SUMIFS('SALES Raw'!$C$6:$C$603,'SALES Raw'!$E$6:$E$603,$A481,'SALES Raw'!$B$6:$B$603,2026)</f>
        <v>0</v>
      </c>
      <c r="K481" s="22" t="n">
        <f aca="false">SUMIFS('SALES Raw'!$D$6:$D$603,'SALES Raw'!$E$6:$E$603,$A481,'SALES Raw'!$B$6:$B$603,2026)</f>
        <v>0</v>
      </c>
      <c r="L481" s="21" t="n">
        <f aca="false">D481+H481</f>
        <v>0</v>
      </c>
      <c r="M481" s="22" t="n">
        <f aca="false">E481+I481</f>
        <v>0</v>
      </c>
      <c r="N481" s="21" t="n">
        <f aca="false">F481+J481</f>
        <v>2</v>
      </c>
      <c r="O481" s="22" t="n">
        <f aca="false">G481+K481</f>
        <v>425.5</v>
      </c>
    </row>
    <row r="482" customFormat="false" ht="15" hidden="false" customHeight="false" outlineLevel="0" collapsed="false">
      <c r="A482" s="20" t="n">
        <v>4415019</v>
      </c>
      <c r="B482" s="20" t="str">
        <f aca="false">IFERROR(INDEX('Catalog'!$B:$B,MATCH($A482,'Catalog'!$A:$A,0)),"")</f>
        <v>333 סד לקרסול עם כריות אויר</v>
      </c>
      <c r="C482" s="20" t="str">
        <f aca="false">IFERROR(INDEX('TRANS'!$A:$A,MATCH($A482,'TRANS'!$B:$B,0)),"")</f>
        <v>333 0</v>
      </c>
      <c r="D482" s="21" t="n">
        <f aca="false">SUMIFS('CEMI Raw'!$C$6:$C$1018,'CEMI Raw'!$E$6:$E$1018,$A482,'CEMI Raw'!$B$6:$B$1018,2025)</f>
        <v>10</v>
      </c>
      <c r="E482" s="22" t="n">
        <f aca="false">SUMIFS('CEMI Raw'!$D$6:$D$1018,'CEMI Raw'!$E$6:$E$1018,$A482,'CEMI Raw'!$B$6:$B$1018,2025)</f>
        <v>1362.8</v>
      </c>
      <c r="F482" s="21" t="n">
        <f aca="false">SUMIFS('CEMI Raw'!$C$6:$C$1018,'CEMI Raw'!$E$6:$E$1018,$A482,'CEMI Raw'!$B$6:$B$1018,2026)</f>
        <v>9</v>
      </c>
      <c r="G482" s="22" t="n">
        <f aca="false">SUMIFS('CEMI Raw'!$D$6:$D$1018,'CEMI Raw'!$E$6:$E$1018,$A482,'CEMI Raw'!$B$6:$B$1018,2026)</f>
        <v>1094.9</v>
      </c>
      <c r="H482" s="21" t="n">
        <f aca="false">SUMIFS('SALES Raw'!$C$6:$C$603,'SALES Raw'!$E$6:$E$603,$A482,'SALES Raw'!$B$6:$B$603,2025)</f>
        <v>0</v>
      </c>
      <c r="I482" s="22" t="n">
        <f aca="false">SUMIFS('SALES Raw'!$D$6:$D$603,'SALES Raw'!$E$6:$E$603,$A482,'SALES Raw'!$B$6:$B$603,2025)</f>
        <v>0</v>
      </c>
      <c r="J482" s="21" t="n">
        <f aca="false">SUMIFS('SALES Raw'!$C$6:$C$603,'SALES Raw'!$E$6:$E$603,$A482,'SALES Raw'!$B$6:$B$603,2026)</f>
        <v>0</v>
      </c>
      <c r="K482" s="22" t="n">
        <f aca="false">SUMIFS('SALES Raw'!$D$6:$D$603,'SALES Raw'!$E$6:$E$603,$A482,'SALES Raw'!$B$6:$B$603,2026)</f>
        <v>0</v>
      </c>
      <c r="L482" s="21" t="n">
        <f aca="false">D482+H482</f>
        <v>10</v>
      </c>
      <c r="M482" s="22" t="n">
        <f aca="false">E482+I482</f>
        <v>1362.8</v>
      </c>
      <c r="N482" s="21" t="n">
        <f aca="false">F482+J482</f>
        <v>9</v>
      </c>
      <c r="O482" s="22" t="n">
        <f aca="false">G482+K482</f>
        <v>1094.9</v>
      </c>
    </row>
    <row r="483" customFormat="false" ht="15" hidden="false" customHeight="false" outlineLevel="0" collapsed="false">
      <c r="A483" s="20" t="n">
        <v>4415025</v>
      </c>
      <c r="B483" s="20" t="str">
        <f aca="false">IFERROR(INDEX('Catalog'!$B:$B,MATCH($A483,'Catalog'!$A:$A,0)),"")</f>
        <v>28-XS סד לאגודל לאחר שבר</v>
      </c>
      <c r="C483" s="20" t="str">
        <f aca="false">IFERROR(INDEX('TRANS'!$A:$A,MATCH($A483,'TRANS'!$B:$B,0)),"")</f>
        <v>28 XS</v>
      </c>
      <c r="D483" s="21" t="n">
        <f aca="false">SUMIFS('CEMI Raw'!$C$6:$C$1018,'CEMI Raw'!$E$6:$E$1018,$A483,'CEMI Raw'!$B$6:$B$1018,2025)</f>
        <v>2</v>
      </c>
      <c r="E483" s="22" t="n">
        <f aca="false">SUMIFS('CEMI Raw'!$D$6:$D$1018,'CEMI Raw'!$E$6:$E$1018,$A483,'CEMI Raw'!$B$6:$B$1018,2025)</f>
        <v>199.3</v>
      </c>
      <c r="F483" s="21" t="n">
        <f aca="false">SUMIFS('CEMI Raw'!$C$6:$C$1018,'CEMI Raw'!$E$6:$E$1018,$A483,'CEMI Raw'!$B$6:$B$1018,2026)</f>
        <v>0</v>
      </c>
      <c r="G483" s="22" t="n">
        <f aca="false">SUMIFS('CEMI Raw'!$D$6:$D$1018,'CEMI Raw'!$E$6:$E$1018,$A483,'CEMI Raw'!$B$6:$B$1018,2026)</f>
        <v>0</v>
      </c>
      <c r="H483" s="21" t="n">
        <f aca="false">SUMIFS('SALES Raw'!$C$6:$C$603,'SALES Raw'!$E$6:$E$603,$A483,'SALES Raw'!$B$6:$B$603,2025)</f>
        <v>0</v>
      </c>
      <c r="I483" s="22" t="n">
        <f aca="false">SUMIFS('SALES Raw'!$D$6:$D$603,'SALES Raw'!$E$6:$E$603,$A483,'SALES Raw'!$B$6:$B$603,2025)</f>
        <v>0</v>
      </c>
      <c r="J483" s="21" t="n">
        <f aca="false">SUMIFS('SALES Raw'!$C$6:$C$603,'SALES Raw'!$E$6:$E$603,$A483,'SALES Raw'!$B$6:$B$603,2026)</f>
        <v>1</v>
      </c>
      <c r="K483" s="22" t="n">
        <f aca="false">SUMIFS('SALES Raw'!$D$6:$D$603,'SALES Raw'!$E$6:$E$603,$A483,'SALES Raw'!$B$6:$B$603,2026)</f>
        <v>103.09</v>
      </c>
      <c r="L483" s="21" t="n">
        <f aca="false">D483+H483</f>
        <v>2</v>
      </c>
      <c r="M483" s="22" t="n">
        <f aca="false">E483+I483</f>
        <v>199.3</v>
      </c>
      <c r="N483" s="21" t="n">
        <f aca="false">F483+J483</f>
        <v>1</v>
      </c>
      <c r="O483" s="22" t="n">
        <f aca="false">G483+K483</f>
        <v>103.09</v>
      </c>
    </row>
    <row r="484" customFormat="false" ht="15" hidden="false" customHeight="false" outlineLevel="0" collapsed="false">
      <c r="A484" s="20" t="n">
        <v>4415026</v>
      </c>
      <c r="B484" s="20" t="str">
        <f aca="false">IFERROR(INDEX('Catalog'!$B:$B,MATCH($A484,'Catalog'!$A:$A,0)),"")</f>
        <v>AC-27L סד לש.כף יד שמאל</v>
      </c>
      <c r="C484" s="20" t="str">
        <f aca="false">IFERROR(INDEX('TRANS'!$A:$A,MATCH($A484,'TRANS'!$B:$B,0)),"")</f>
        <v>AC27L 0</v>
      </c>
      <c r="D484" s="21" t="n">
        <f aca="false">SUMIFS('CEMI Raw'!$C$6:$C$1018,'CEMI Raw'!$E$6:$E$1018,$A484,'CEMI Raw'!$B$6:$B$1018,2025)</f>
        <v>364</v>
      </c>
      <c r="E484" s="22" t="n">
        <f aca="false">SUMIFS('CEMI Raw'!$D$6:$D$1018,'CEMI Raw'!$E$6:$E$1018,$A484,'CEMI Raw'!$B$6:$B$1018,2025)</f>
        <v>15021.6</v>
      </c>
      <c r="F484" s="21" t="n">
        <f aca="false">SUMIFS('CEMI Raw'!$C$6:$C$1018,'CEMI Raw'!$E$6:$E$1018,$A484,'CEMI Raw'!$B$6:$B$1018,2026)</f>
        <v>199</v>
      </c>
      <c r="G484" s="22" t="n">
        <f aca="false">SUMIFS('CEMI Raw'!$D$6:$D$1018,'CEMI Raw'!$E$6:$E$1018,$A484,'CEMI Raw'!$B$6:$B$1018,2026)</f>
        <v>8065</v>
      </c>
      <c r="H484" s="21" t="n">
        <f aca="false">SUMIFS('SALES Raw'!$C$6:$C$603,'SALES Raw'!$E$6:$E$603,$A484,'SALES Raw'!$B$6:$B$603,2025)</f>
        <v>7</v>
      </c>
      <c r="I484" s="22" t="n">
        <f aca="false">SUMIFS('SALES Raw'!$D$6:$D$603,'SALES Raw'!$E$6:$E$603,$A484,'SALES Raw'!$B$6:$B$603,2025)</f>
        <v>280.94</v>
      </c>
      <c r="J484" s="21" t="n">
        <f aca="false">SUMIFS('SALES Raw'!$C$6:$C$603,'SALES Raw'!$E$6:$E$603,$A484,'SALES Raw'!$B$6:$B$603,2026)</f>
        <v>5</v>
      </c>
      <c r="K484" s="22" t="n">
        <f aca="false">SUMIFS('SALES Raw'!$D$6:$D$603,'SALES Raw'!$E$6:$E$603,$A484,'SALES Raw'!$B$6:$B$603,2026)</f>
        <v>234.09</v>
      </c>
      <c r="L484" s="21" t="n">
        <f aca="false">D484+H484</f>
        <v>371</v>
      </c>
      <c r="M484" s="22" t="n">
        <f aca="false">E484+I484</f>
        <v>15302.54</v>
      </c>
      <c r="N484" s="21" t="n">
        <f aca="false">F484+J484</f>
        <v>204</v>
      </c>
      <c r="O484" s="22" t="n">
        <f aca="false">G484+K484</f>
        <v>8299.09</v>
      </c>
    </row>
    <row r="485" customFormat="false" ht="15" hidden="false" customHeight="false" outlineLevel="0" collapsed="false">
      <c r="A485" s="20" t="n">
        <v>4415027</v>
      </c>
      <c r="B485" s="20" t="str">
        <f aca="false">IFERROR(INDEX('Catalog'!$B:$B,MATCH($A485,'Catalog'!$A:$A,0)),"")</f>
        <v>AC-27R סד לש.כף יד ימין</v>
      </c>
      <c r="C485" s="20" t="str">
        <f aca="false">IFERROR(INDEX('TRANS'!$A:$A,MATCH($A485,'TRANS'!$B:$B,0)),"")</f>
        <v>AC27R 0</v>
      </c>
      <c r="D485" s="21" t="n">
        <f aca="false">SUMIFS('CEMI Raw'!$C$6:$C$1018,'CEMI Raw'!$E$6:$E$1018,$A485,'CEMI Raw'!$B$6:$B$1018,2025)</f>
        <v>413</v>
      </c>
      <c r="E485" s="22" t="n">
        <f aca="false">SUMIFS('CEMI Raw'!$D$6:$D$1018,'CEMI Raw'!$E$6:$E$1018,$A485,'CEMI Raw'!$B$6:$B$1018,2025)</f>
        <v>16528.7</v>
      </c>
      <c r="F485" s="21" t="n">
        <f aca="false">SUMIFS('CEMI Raw'!$C$6:$C$1018,'CEMI Raw'!$E$6:$E$1018,$A485,'CEMI Raw'!$B$6:$B$1018,2026)</f>
        <v>280</v>
      </c>
      <c r="G485" s="22" t="n">
        <f aca="false">SUMIFS('CEMI Raw'!$D$6:$D$1018,'CEMI Raw'!$E$6:$E$1018,$A485,'CEMI Raw'!$B$6:$B$1018,2026)</f>
        <v>11920.6</v>
      </c>
      <c r="H485" s="21" t="n">
        <f aca="false">SUMIFS('SALES Raw'!$C$6:$C$603,'SALES Raw'!$E$6:$E$603,$A485,'SALES Raw'!$B$6:$B$603,2025)</f>
        <v>5</v>
      </c>
      <c r="I485" s="22" t="n">
        <f aca="false">SUMIFS('SALES Raw'!$D$6:$D$603,'SALES Raw'!$E$6:$E$603,$A485,'SALES Raw'!$B$6:$B$603,2025)</f>
        <v>187.3</v>
      </c>
      <c r="J485" s="21" t="n">
        <f aca="false">SUMIFS('SALES Raw'!$C$6:$C$603,'SALES Raw'!$E$6:$E$603,$A485,'SALES Raw'!$B$6:$B$603,2026)</f>
        <v>1</v>
      </c>
      <c r="K485" s="22" t="n">
        <f aca="false">SUMIFS('SALES Raw'!$D$6:$D$603,'SALES Raw'!$E$6:$E$603,$A485,'SALES Raw'!$B$6:$B$603,2026)</f>
        <v>46.82</v>
      </c>
      <c r="L485" s="21" t="n">
        <f aca="false">D485+H485</f>
        <v>418</v>
      </c>
      <c r="M485" s="22" t="n">
        <f aca="false">E485+I485</f>
        <v>16716</v>
      </c>
      <c r="N485" s="21" t="n">
        <f aca="false">F485+J485</f>
        <v>281</v>
      </c>
      <c r="O485" s="22" t="n">
        <f aca="false">G485+K485</f>
        <v>11967.42</v>
      </c>
    </row>
    <row r="486" customFormat="false" ht="15" hidden="false" customHeight="false" outlineLevel="0" collapsed="false">
      <c r="A486" s="20" t="n">
        <v>4415028</v>
      </c>
      <c r="B486" s="20" t="str">
        <f aca="false">IFERROR(INDEX('Catalog'!$B:$B,MATCH($A486,'Catalog'!$A:$A,0)),"")</f>
        <v>AC-28 סד לאגודל</v>
      </c>
      <c r="C486" s="20" t="str">
        <f aca="false">IFERROR(INDEX('TRANS'!$A:$A,MATCH($A486,'TRANS'!$B:$B,0)),"")</f>
        <v>AC28 0</v>
      </c>
      <c r="D486" s="21" t="n">
        <f aca="false">SUMIFS('CEMI Raw'!$C$6:$C$1018,'CEMI Raw'!$E$6:$E$1018,$A486,'CEMI Raw'!$B$6:$B$1018,2025)</f>
        <v>652</v>
      </c>
      <c r="E486" s="22" t="n">
        <f aca="false">SUMIFS('CEMI Raw'!$D$6:$D$1018,'CEMI Raw'!$E$6:$E$1018,$A486,'CEMI Raw'!$B$6:$B$1018,2025)</f>
        <v>23480.4</v>
      </c>
      <c r="F486" s="21" t="n">
        <f aca="false">SUMIFS('CEMI Raw'!$C$6:$C$1018,'CEMI Raw'!$E$6:$E$1018,$A486,'CEMI Raw'!$B$6:$B$1018,2026)</f>
        <v>451</v>
      </c>
      <c r="G486" s="22" t="n">
        <f aca="false">SUMIFS('CEMI Raw'!$D$6:$D$1018,'CEMI Raw'!$E$6:$E$1018,$A486,'CEMI Raw'!$B$6:$B$1018,2026)</f>
        <v>17531.8</v>
      </c>
      <c r="H486" s="21" t="n">
        <f aca="false">SUMIFS('SALES Raw'!$C$6:$C$603,'SALES Raw'!$E$6:$E$603,$A486,'SALES Raw'!$B$6:$B$603,2025)</f>
        <v>52</v>
      </c>
      <c r="I486" s="22" t="n">
        <f aca="false">SUMIFS('SALES Raw'!$D$6:$D$603,'SALES Raw'!$E$6:$E$603,$A486,'SALES Raw'!$B$6:$B$603,2025)</f>
        <v>2006.41</v>
      </c>
      <c r="J486" s="21" t="n">
        <f aca="false">SUMIFS('SALES Raw'!$C$6:$C$603,'SALES Raw'!$E$6:$E$603,$A486,'SALES Raw'!$B$6:$B$603,2026)</f>
        <v>38</v>
      </c>
      <c r="K486" s="22" t="n">
        <f aca="false">SUMIFS('SALES Raw'!$D$6:$D$603,'SALES Raw'!$E$6:$E$603,$A486,'SALES Raw'!$B$6:$B$603,2026)</f>
        <v>1558.97</v>
      </c>
      <c r="L486" s="21" t="n">
        <f aca="false">D486+H486</f>
        <v>704</v>
      </c>
      <c r="M486" s="22" t="n">
        <f aca="false">E486+I486</f>
        <v>25486.81</v>
      </c>
      <c r="N486" s="21" t="n">
        <f aca="false">F486+J486</f>
        <v>489</v>
      </c>
      <c r="O486" s="22" t="n">
        <f aca="false">G486+K486</f>
        <v>19090.77</v>
      </c>
    </row>
    <row r="487" customFormat="false" ht="15" hidden="false" customHeight="false" outlineLevel="0" collapsed="false">
      <c r="A487" s="20" t="n">
        <v>4415029</v>
      </c>
      <c r="B487" s="20" t="str">
        <f aca="false">IFERROR(INDEX('Catalog'!$B:$B,MATCH($A487,'Catalog'!$A:$A,0)),"")</f>
        <v>סד קיבוע לאצבע הדק</v>
      </c>
      <c r="C487" s="20" t="str">
        <f aca="false">IFERROR(INDEX('TRANS'!$A:$A,MATCH($A487,'TRANS'!$B:$B,0)),"")</f>
        <v>237 0</v>
      </c>
      <c r="D487" s="21" t="n">
        <f aca="false">SUMIFS('CEMI Raw'!$C$6:$C$1018,'CEMI Raw'!$E$6:$E$1018,$A487,'CEMI Raw'!$B$6:$B$1018,2025)</f>
        <v>44</v>
      </c>
      <c r="E487" s="22" t="n">
        <f aca="false">SUMIFS('CEMI Raw'!$D$6:$D$1018,'CEMI Raw'!$E$6:$E$1018,$A487,'CEMI Raw'!$B$6:$B$1018,2025)</f>
        <v>1297.9</v>
      </c>
      <c r="F487" s="21" t="n">
        <f aca="false">SUMIFS('CEMI Raw'!$C$6:$C$1018,'CEMI Raw'!$E$6:$E$1018,$A487,'CEMI Raw'!$B$6:$B$1018,2026)</f>
        <v>38</v>
      </c>
      <c r="G487" s="22" t="n">
        <f aca="false">SUMIFS('CEMI Raw'!$D$6:$D$1018,'CEMI Raw'!$E$6:$E$1018,$A487,'CEMI Raw'!$B$6:$B$1018,2026)</f>
        <v>1141.8</v>
      </c>
      <c r="H487" s="21" t="n">
        <f aca="false">SUMIFS('SALES Raw'!$C$6:$C$603,'SALES Raw'!$E$6:$E$603,$A487,'SALES Raw'!$B$6:$B$603,2025)</f>
        <v>10</v>
      </c>
      <c r="I487" s="22" t="n">
        <f aca="false">SUMIFS('SALES Raw'!$D$6:$D$603,'SALES Raw'!$E$6:$E$603,$A487,'SALES Raw'!$B$6:$B$603,2025)</f>
        <v>297.94</v>
      </c>
      <c r="J487" s="21" t="n">
        <f aca="false">SUMIFS('SALES Raw'!$C$6:$C$603,'SALES Raw'!$E$6:$E$603,$A487,'SALES Raw'!$B$6:$B$603,2026)</f>
        <v>18</v>
      </c>
      <c r="K487" s="22" t="n">
        <f aca="false">SUMIFS('SALES Raw'!$D$6:$D$603,'SALES Raw'!$E$6:$E$603,$A487,'SALES Raw'!$B$6:$B$603,2026)</f>
        <v>547.56</v>
      </c>
      <c r="L487" s="21" t="n">
        <f aca="false">D487+H487</f>
        <v>54</v>
      </c>
      <c r="M487" s="22" t="n">
        <f aca="false">E487+I487</f>
        <v>1595.84</v>
      </c>
      <c r="N487" s="21" t="n">
        <f aca="false">F487+J487</f>
        <v>56</v>
      </c>
      <c r="O487" s="22" t="n">
        <f aca="false">G487+K487</f>
        <v>1689.36</v>
      </c>
    </row>
    <row r="488" customFormat="false" ht="15" hidden="false" customHeight="false" outlineLevel="0" collapsed="false">
      <c r="A488" s="20" t="n">
        <v>4415067</v>
      </c>
      <c r="B488" s="20" t="str">
        <f aca="false">IFERROR(INDEX('Catalog'!$B:$B,MATCH($A488,'Catalog'!$A:$A,0)),"")</f>
        <v>T28 XL סד לאגודל כפפה</v>
      </c>
      <c r="C488" s="20" t="str">
        <f aca="false">IFERROR(INDEX('TRANS'!$A:$A,MATCH($A488,'TRANS'!$B:$B,0)),"")</f>
        <v>T28 XL</v>
      </c>
      <c r="D488" s="21" t="n">
        <f aca="false">SUMIFS('CEMI Raw'!$C$6:$C$1018,'CEMI Raw'!$E$6:$E$1018,$A488,'CEMI Raw'!$B$6:$B$1018,2025)</f>
        <v>0</v>
      </c>
      <c r="E488" s="22" t="n">
        <f aca="false">SUMIFS('CEMI Raw'!$D$6:$D$1018,'CEMI Raw'!$E$6:$E$1018,$A488,'CEMI Raw'!$B$6:$B$1018,2025)</f>
        <v>-13</v>
      </c>
      <c r="F488" s="21" t="n">
        <f aca="false">SUMIFS('CEMI Raw'!$C$6:$C$1018,'CEMI Raw'!$E$6:$E$1018,$A488,'CEMI Raw'!$B$6:$B$1018,2026)</f>
        <v>3</v>
      </c>
      <c r="G488" s="22" t="n">
        <f aca="false">SUMIFS('CEMI Raw'!$D$6:$D$1018,'CEMI Raw'!$E$6:$E$1018,$A488,'CEMI Raw'!$B$6:$B$1018,2026)</f>
        <v>209.7</v>
      </c>
      <c r="H488" s="21" t="n">
        <f aca="false">SUMIFS('SALES Raw'!$C$6:$C$603,'SALES Raw'!$E$6:$E$603,$A488,'SALES Raw'!$B$6:$B$603,2025)</f>
        <v>0</v>
      </c>
      <c r="I488" s="22" t="n">
        <f aca="false">SUMIFS('SALES Raw'!$D$6:$D$603,'SALES Raw'!$E$6:$E$603,$A488,'SALES Raw'!$B$6:$B$603,2025)</f>
        <v>0</v>
      </c>
      <c r="J488" s="21" t="n">
        <f aca="false">SUMIFS('SALES Raw'!$C$6:$C$603,'SALES Raw'!$E$6:$E$603,$A488,'SALES Raw'!$B$6:$B$603,2026)</f>
        <v>0</v>
      </c>
      <c r="K488" s="22" t="n">
        <f aca="false">SUMIFS('SALES Raw'!$D$6:$D$603,'SALES Raw'!$E$6:$E$603,$A488,'SALES Raw'!$B$6:$B$603,2026)</f>
        <v>0</v>
      </c>
      <c r="L488" s="21" t="n">
        <f aca="false">D488+H488</f>
        <v>0</v>
      </c>
      <c r="M488" s="22" t="n">
        <f aca="false">E488+I488</f>
        <v>-13</v>
      </c>
      <c r="N488" s="21" t="n">
        <f aca="false">F488+J488</f>
        <v>3</v>
      </c>
      <c r="O488" s="22" t="n">
        <f aca="false">G488+K488</f>
        <v>209.7</v>
      </c>
    </row>
    <row r="489" customFormat="false" ht="15" hidden="false" customHeight="false" outlineLevel="0" collapsed="false">
      <c r="A489" s="20" t="n">
        <v>4415069</v>
      </c>
      <c r="B489" s="20" t="str">
        <f aca="false">IFERROR(INDEX('Catalog'!$B:$B,MATCH($A489,'Catalog'!$A:$A,0)),"")</f>
        <v>T28C L סד לאגודל כפפה</v>
      </c>
      <c r="C489" s="20" t="str">
        <f aca="false">IFERROR(INDEX('TRANS'!$A:$A,MATCH($A489,'TRANS'!$B:$B,0)),"")</f>
        <v>T28C L</v>
      </c>
      <c r="D489" s="21" t="n">
        <f aca="false">SUMIFS('CEMI Raw'!$C$6:$C$1018,'CEMI Raw'!$E$6:$E$1018,$A489,'CEMI Raw'!$B$6:$B$1018,2025)</f>
        <v>7</v>
      </c>
      <c r="E489" s="22" t="n">
        <f aca="false">SUMIFS('CEMI Raw'!$D$6:$D$1018,'CEMI Raw'!$E$6:$E$1018,$A489,'CEMI Raw'!$B$6:$B$1018,2025)</f>
        <v>486.6</v>
      </c>
      <c r="F489" s="21" t="n">
        <f aca="false">SUMIFS('CEMI Raw'!$C$6:$C$1018,'CEMI Raw'!$E$6:$E$1018,$A489,'CEMI Raw'!$B$6:$B$1018,2026)</f>
        <v>5</v>
      </c>
      <c r="G489" s="22" t="n">
        <f aca="false">SUMIFS('CEMI Raw'!$D$6:$D$1018,'CEMI Raw'!$E$6:$E$1018,$A489,'CEMI Raw'!$B$6:$B$1018,2026)</f>
        <v>354.3</v>
      </c>
      <c r="H489" s="21" t="n">
        <f aca="false">SUMIFS('SALES Raw'!$C$6:$C$603,'SALES Raw'!$E$6:$E$603,$A489,'SALES Raw'!$B$6:$B$603,2025)</f>
        <v>0</v>
      </c>
      <c r="I489" s="22" t="n">
        <f aca="false">SUMIFS('SALES Raw'!$D$6:$D$603,'SALES Raw'!$E$6:$E$603,$A489,'SALES Raw'!$B$6:$B$603,2025)</f>
        <v>0</v>
      </c>
      <c r="J489" s="21" t="n">
        <f aca="false">SUMIFS('SALES Raw'!$C$6:$C$603,'SALES Raw'!$E$6:$E$603,$A489,'SALES Raw'!$B$6:$B$603,2026)</f>
        <v>0</v>
      </c>
      <c r="K489" s="22" t="n">
        <f aca="false">SUMIFS('SALES Raw'!$D$6:$D$603,'SALES Raw'!$E$6:$E$603,$A489,'SALES Raw'!$B$6:$B$603,2026)</f>
        <v>0</v>
      </c>
      <c r="L489" s="21" t="n">
        <f aca="false">D489+H489</f>
        <v>7</v>
      </c>
      <c r="M489" s="22" t="n">
        <f aca="false">E489+I489</f>
        <v>486.6</v>
      </c>
      <c r="N489" s="21" t="n">
        <f aca="false">F489+J489</f>
        <v>5</v>
      </c>
      <c r="O489" s="22" t="n">
        <f aca="false">G489+K489</f>
        <v>354.3</v>
      </c>
    </row>
    <row r="490" customFormat="false" ht="15" hidden="false" customHeight="false" outlineLevel="0" collapsed="false">
      <c r="A490" s="20" t="n">
        <v>4415070</v>
      </c>
      <c r="B490" s="20" t="str">
        <f aca="false">IFERROR(INDEX('Catalog'!$B:$B,MATCH($A490,'Catalog'!$A:$A,0)),"")</f>
        <v>T28C M סד לאגודל כפפה</v>
      </c>
      <c r="C490" s="20" t="str">
        <f aca="false">IFERROR(INDEX('TRANS'!$A:$A,MATCH($A490,'TRANS'!$B:$B,0)),"")</f>
        <v/>
      </c>
      <c r="D490" s="21" t="n">
        <f aca="false">SUMIFS('CEMI Raw'!$C$6:$C$1018,'CEMI Raw'!$E$6:$E$1018,$A490,'CEMI Raw'!$B$6:$B$1018,2025)</f>
        <v>1</v>
      </c>
      <c r="E490" s="22" t="n">
        <f aca="false">SUMIFS('CEMI Raw'!$D$6:$D$1018,'CEMI Raw'!$E$6:$E$1018,$A490,'CEMI Raw'!$B$6:$B$1018,2025)</f>
        <v>66.1</v>
      </c>
      <c r="F490" s="21" t="n">
        <f aca="false">SUMIFS('CEMI Raw'!$C$6:$C$1018,'CEMI Raw'!$E$6:$E$1018,$A490,'CEMI Raw'!$B$6:$B$1018,2026)</f>
        <v>0</v>
      </c>
      <c r="G490" s="22" t="n">
        <f aca="false">SUMIFS('CEMI Raw'!$D$6:$D$1018,'CEMI Raw'!$E$6:$E$1018,$A490,'CEMI Raw'!$B$6:$B$1018,2026)</f>
        <v>0</v>
      </c>
      <c r="H490" s="21" t="n">
        <f aca="false">SUMIFS('SALES Raw'!$C$6:$C$603,'SALES Raw'!$E$6:$E$603,$A490,'SALES Raw'!$B$6:$B$603,2025)</f>
        <v>0</v>
      </c>
      <c r="I490" s="22" t="n">
        <f aca="false">SUMIFS('SALES Raw'!$D$6:$D$603,'SALES Raw'!$E$6:$E$603,$A490,'SALES Raw'!$B$6:$B$603,2025)</f>
        <v>0</v>
      </c>
      <c r="J490" s="21" t="n">
        <f aca="false">SUMIFS('SALES Raw'!$C$6:$C$603,'SALES Raw'!$E$6:$E$603,$A490,'SALES Raw'!$B$6:$B$603,2026)</f>
        <v>0</v>
      </c>
      <c r="K490" s="22" t="n">
        <f aca="false">SUMIFS('SALES Raw'!$D$6:$D$603,'SALES Raw'!$E$6:$E$603,$A490,'SALES Raw'!$B$6:$B$603,2026)</f>
        <v>0</v>
      </c>
      <c r="L490" s="21" t="n">
        <f aca="false">D490+H490</f>
        <v>1</v>
      </c>
      <c r="M490" s="22" t="n">
        <f aca="false">E490+I490</f>
        <v>66.1</v>
      </c>
      <c r="N490" s="21" t="n">
        <f aca="false">F490+J490</f>
        <v>0</v>
      </c>
      <c r="O490" s="22" t="n">
        <f aca="false">G490+K490</f>
        <v>0</v>
      </c>
    </row>
    <row r="491" customFormat="false" ht="15" hidden="false" customHeight="false" outlineLevel="0" collapsed="false">
      <c r="A491" s="20" t="n">
        <v>4415071</v>
      </c>
      <c r="B491" s="20" t="str">
        <f aca="false">IFERROR(INDEX('Catalog'!$B:$B,MATCH($A491,'Catalog'!$A:$A,0)),"")</f>
        <v>T28C  XL סד לאגודל כפפה</v>
      </c>
      <c r="C491" s="20" t="str">
        <f aca="false">IFERROR(INDEX('TRANS'!$A:$A,MATCH($A491,'TRANS'!$B:$B,0)),"")</f>
        <v>T28C XL</v>
      </c>
      <c r="D491" s="21" t="n">
        <f aca="false">SUMIFS('CEMI Raw'!$C$6:$C$1018,'CEMI Raw'!$E$6:$E$1018,$A491,'CEMI Raw'!$B$6:$B$1018,2025)</f>
        <v>4</v>
      </c>
      <c r="E491" s="22" t="n">
        <f aca="false">SUMIFS('CEMI Raw'!$D$6:$D$1018,'CEMI Raw'!$E$6:$E$1018,$A491,'CEMI Raw'!$B$6:$B$1018,2025)</f>
        <v>274</v>
      </c>
      <c r="F491" s="21" t="n">
        <f aca="false">SUMIFS('CEMI Raw'!$C$6:$C$1018,'CEMI Raw'!$E$6:$E$1018,$A491,'CEMI Raw'!$B$6:$B$1018,2026)</f>
        <v>1</v>
      </c>
      <c r="G491" s="22" t="n">
        <f aca="false">SUMIFS('CEMI Raw'!$D$6:$D$1018,'CEMI Raw'!$E$6:$E$1018,$A491,'CEMI Raw'!$B$6:$B$1018,2026)</f>
        <v>70.9</v>
      </c>
      <c r="H491" s="21" t="n">
        <f aca="false">SUMIFS('SALES Raw'!$C$6:$C$603,'SALES Raw'!$E$6:$E$603,$A491,'SALES Raw'!$B$6:$B$603,2025)</f>
        <v>0</v>
      </c>
      <c r="I491" s="22" t="n">
        <f aca="false">SUMIFS('SALES Raw'!$D$6:$D$603,'SALES Raw'!$E$6:$E$603,$A491,'SALES Raw'!$B$6:$B$603,2025)</f>
        <v>0</v>
      </c>
      <c r="J491" s="21" t="n">
        <f aca="false">SUMIFS('SALES Raw'!$C$6:$C$603,'SALES Raw'!$E$6:$E$603,$A491,'SALES Raw'!$B$6:$B$603,2026)</f>
        <v>0</v>
      </c>
      <c r="K491" s="22" t="n">
        <f aca="false">SUMIFS('SALES Raw'!$D$6:$D$603,'SALES Raw'!$E$6:$E$603,$A491,'SALES Raw'!$B$6:$B$603,2026)</f>
        <v>0</v>
      </c>
      <c r="L491" s="21" t="n">
        <f aca="false">D491+H491</f>
        <v>4</v>
      </c>
      <c r="M491" s="22" t="n">
        <f aca="false">E491+I491</f>
        <v>274</v>
      </c>
      <c r="N491" s="21" t="n">
        <f aca="false">F491+J491</f>
        <v>1</v>
      </c>
      <c r="O491" s="22" t="n">
        <f aca="false">G491+K491</f>
        <v>70.9</v>
      </c>
    </row>
    <row r="492" customFormat="false" ht="15" hidden="false" customHeight="false" outlineLevel="0" collapsed="false">
      <c r="A492" s="20" t="n">
        <v>4415072</v>
      </c>
      <c r="B492" s="20" t="str">
        <f aca="false">IFERROR(INDEX('Catalog'!$B:$B,MATCH($A492,'Catalog'!$A:$A,0)),"")</f>
        <v>T28A S-M סד לאגודל</v>
      </c>
      <c r="C492" s="20" t="str">
        <f aca="false">IFERROR(INDEX('TRANS'!$A:$A,MATCH($A492,'TRANS'!$B:$B,0)),"")</f>
        <v>T28A-S-M</v>
      </c>
      <c r="D492" s="21" t="n">
        <f aca="false">SUMIFS('CEMI Raw'!$C$6:$C$1018,'CEMI Raw'!$E$6:$E$1018,$A492,'CEMI Raw'!$B$6:$B$1018,2025)</f>
        <v>47</v>
      </c>
      <c r="E492" s="22" t="n">
        <f aca="false">SUMIFS('CEMI Raw'!$D$6:$D$1018,'CEMI Raw'!$E$6:$E$1018,$A492,'CEMI Raw'!$B$6:$B$1018,2025)</f>
        <v>3144.3</v>
      </c>
      <c r="F492" s="21" t="n">
        <f aca="false">SUMIFS('CEMI Raw'!$C$6:$C$1018,'CEMI Raw'!$E$6:$E$1018,$A492,'CEMI Raw'!$B$6:$B$1018,2026)</f>
        <v>36</v>
      </c>
      <c r="G492" s="22" t="n">
        <f aca="false">SUMIFS('CEMI Raw'!$D$6:$D$1018,'CEMI Raw'!$E$6:$E$1018,$A492,'CEMI Raw'!$B$6:$B$1018,2026)</f>
        <v>2425.4</v>
      </c>
      <c r="H492" s="21" t="n">
        <f aca="false">SUMIFS('SALES Raw'!$C$6:$C$603,'SALES Raw'!$E$6:$E$603,$A492,'SALES Raw'!$B$6:$B$603,2025)</f>
        <v>0</v>
      </c>
      <c r="I492" s="22" t="n">
        <f aca="false">SUMIFS('SALES Raw'!$D$6:$D$603,'SALES Raw'!$E$6:$E$603,$A492,'SALES Raw'!$B$6:$B$603,2025)</f>
        <v>0</v>
      </c>
      <c r="J492" s="21" t="n">
        <f aca="false">SUMIFS('SALES Raw'!$C$6:$C$603,'SALES Raw'!$E$6:$E$603,$A492,'SALES Raw'!$B$6:$B$603,2026)</f>
        <v>0</v>
      </c>
      <c r="K492" s="22" t="n">
        <f aca="false">SUMIFS('SALES Raw'!$D$6:$D$603,'SALES Raw'!$E$6:$E$603,$A492,'SALES Raw'!$B$6:$B$603,2026)</f>
        <v>0</v>
      </c>
      <c r="L492" s="21" t="n">
        <f aca="false">D492+H492</f>
        <v>47</v>
      </c>
      <c r="M492" s="22" t="n">
        <f aca="false">E492+I492</f>
        <v>3144.3</v>
      </c>
      <c r="N492" s="21" t="n">
        <f aca="false">F492+J492</f>
        <v>36</v>
      </c>
      <c r="O492" s="22" t="n">
        <f aca="false">G492+K492</f>
        <v>2425.4</v>
      </c>
    </row>
    <row r="493" customFormat="false" ht="15" hidden="false" customHeight="false" outlineLevel="0" collapsed="false">
      <c r="A493" s="20" t="n">
        <v>4415073</v>
      </c>
      <c r="B493" s="20" t="str">
        <f aca="false">IFERROR(INDEX('Catalog'!$B:$B,MATCH($A493,'Catalog'!$A:$A,0)),"")</f>
        <v>T28A L-XL סד לאגודל</v>
      </c>
      <c r="C493" s="20" t="str">
        <f aca="false">IFERROR(INDEX('TRANS'!$A:$A,MATCH($A493,'TRANS'!$B:$B,0)),"")</f>
        <v>T28A-L-XL</v>
      </c>
      <c r="D493" s="21" t="n">
        <f aca="false">SUMIFS('CEMI Raw'!$C$6:$C$1018,'CEMI Raw'!$E$6:$E$1018,$A493,'CEMI Raw'!$B$6:$B$1018,2025)</f>
        <v>43</v>
      </c>
      <c r="E493" s="22" t="n">
        <f aca="false">SUMIFS('CEMI Raw'!$D$6:$D$1018,'CEMI Raw'!$E$6:$E$1018,$A493,'CEMI Raw'!$B$6:$B$1018,2025)</f>
        <v>2839.6</v>
      </c>
      <c r="F493" s="21" t="n">
        <f aca="false">SUMIFS('CEMI Raw'!$C$6:$C$1018,'CEMI Raw'!$E$6:$E$1018,$A493,'CEMI Raw'!$B$6:$B$1018,2026)</f>
        <v>33</v>
      </c>
      <c r="G493" s="22" t="n">
        <f aca="false">SUMIFS('CEMI Raw'!$D$6:$D$1018,'CEMI Raw'!$E$6:$E$1018,$A493,'CEMI Raw'!$B$6:$B$1018,2026)</f>
        <v>2239.7</v>
      </c>
      <c r="H493" s="21" t="n">
        <f aca="false">SUMIFS('SALES Raw'!$C$6:$C$603,'SALES Raw'!$E$6:$E$603,$A493,'SALES Raw'!$B$6:$B$603,2025)</f>
        <v>1</v>
      </c>
      <c r="I493" s="22" t="n">
        <f aca="false">SUMIFS('SALES Raw'!$D$6:$D$603,'SALES Raw'!$E$6:$E$603,$A493,'SALES Raw'!$B$6:$B$603,2025)</f>
        <v>70.26</v>
      </c>
      <c r="J493" s="21" t="n">
        <f aca="false">SUMIFS('SALES Raw'!$C$6:$C$603,'SALES Raw'!$E$6:$E$603,$A493,'SALES Raw'!$B$6:$B$603,2026)</f>
        <v>0</v>
      </c>
      <c r="K493" s="22" t="n">
        <f aca="false">SUMIFS('SALES Raw'!$D$6:$D$603,'SALES Raw'!$E$6:$E$603,$A493,'SALES Raw'!$B$6:$B$603,2026)</f>
        <v>0</v>
      </c>
      <c r="L493" s="21" t="n">
        <f aca="false">D493+H493</f>
        <v>44</v>
      </c>
      <c r="M493" s="22" t="n">
        <f aca="false">E493+I493</f>
        <v>2909.86</v>
      </c>
      <c r="N493" s="21" t="n">
        <f aca="false">F493+J493</f>
        <v>33</v>
      </c>
      <c r="O493" s="22" t="n">
        <f aca="false">G493+K493</f>
        <v>2239.7</v>
      </c>
    </row>
    <row r="494" customFormat="false" ht="15" hidden="false" customHeight="false" outlineLevel="0" collapsed="false">
      <c r="A494" s="20" t="n">
        <v>4415074</v>
      </c>
      <c r="B494" s="20" t="str">
        <f aca="false">IFERROR(INDEX('Catalog'!$B:$B,MATCH($A494,'Catalog'!$A:$A,0)),"")</f>
        <v>T28AC S-M סד לאגודל</v>
      </c>
      <c r="C494" s="20" t="str">
        <f aca="false">IFERROR(INDEX('TRANS'!$A:$A,MATCH($A494,'TRANS'!$B:$B,0)),"")</f>
        <v>T28AC-S-M</v>
      </c>
      <c r="D494" s="21" t="n">
        <f aca="false">SUMIFS('CEMI Raw'!$C$6:$C$1018,'CEMI Raw'!$E$6:$E$1018,$A494,'CEMI Raw'!$B$6:$B$1018,2025)</f>
        <v>88</v>
      </c>
      <c r="E494" s="22" t="n">
        <f aca="false">SUMIFS('CEMI Raw'!$D$6:$D$1018,'CEMI Raw'!$E$6:$E$1018,$A494,'CEMI Raw'!$B$6:$B$1018,2025)</f>
        <v>5922.8</v>
      </c>
      <c r="F494" s="21" t="n">
        <f aca="false">SUMIFS('CEMI Raw'!$C$6:$C$1018,'CEMI Raw'!$E$6:$E$1018,$A494,'CEMI Raw'!$B$6:$B$1018,2026)</f>
        <v>63</v>
      </c>
      <c r="G494" s="22" t="n">
        <f aca="false">SUMIFS('CEMI Raw'!$D$6:$D$1018,'CEMI Raw'!$E$6:$E$1018,$A494,'CEMI Raw'!$B$6:$B$1018,2026)</f>
        <v>4281.1</v>
      </c>
      <c r="H494" s="21" t="n">
        <f aca="false">SUMIFS('SALES Raw'!$C$6:$C$603,'SALES Raw'!$E$6:$E$603,$A494,'SALES Raw'!$B$6:$B$603,2025)</f>
        <v>0</v>
      </c>
      <c r="I494" s="22" t="n">
        <f aca="false">SUMIFS('SALES Raw'!$D$6:$D$603,'SALES Raw'!$E$6:$E$603,$A494,'SALES Raw'!$B$6:$B$603,2025)</f>
        <v>0</v>
      </c>
      <c r="J494" s="21" t="n">
        <f aca="false">SUMIFS('SALES Raw'!$C$6:$C$603,'SALES Raw'!$E$6:$E$603,$A494,'SALES Raw'!$B$6:$B$603,2026)</f>
        <v>0</v>
      </c>
      <c r="K494" s="22" t="n">
        <f aca="false">SUMIFS('SALES Raw'!$D$6:$D$603,'SALES Raw'!$E$6:$E$603,$A494,'SALES Raw'!$B$6:$B$603,2026)</f>
        <v>0</v>
      </c>
      <c r="L494" s="21" t="n">
        <f aca="false">D494+H494</f>
        <v>88</v>
      </c>
      <c r="M494" s="22" t="n">
        <f aca="false">E494+I494</f>
        <v>5922.8</v>
      </c>
      <c r="N494" s="21" t="n">
        <f aca="false">F494+J494</f>
        <v>63</v>
      </c>
      <c r="O494" s="22" t="n">
        <f aca="false">G494+K494</f>
        <v>4281.1</v>
      </c>
    </row>
    <row r="495" customFormat="false" ht="15" hidden="false" customHeight="false" outlineLevel="0" collapsed="false">
      <c r="A495" s="20" t="n">
        <v>4415075</v>
      </c>
      <c r="B495" s="20" t="str">
        <f aca="false">IFERROR(INDEX('Catalog'!$B:$B,MATCH($A495,'Catalog'!$A:$A,0)),"")</f>
        <v>T28AC L-XL סד לאגודל</v>
      </c>
      <c r="C495" s="20" t="str">
        <f aca="false">IFERROR(INDEX('TRANS'!$A:$A,MATCH($A495,'TRANS'!$B:$B,0)),"")</f>
        <v>T28AC-L-XL</v>
      </c>
      <c r="D495" s="21" t="n">
        <f aca="false">SUMIFS('CEMI Raw'!$C$6:$C$1018,'CEMI Raw'!$E$6:$E$1018,$A495,'CEMI Raw'!$B$6:$B$1018,2025)</f>
        <v>47</v>
      </c>
      <c r="E495" s="22" t="n">
        <f aca="false">SUMIFS('CEMI Raw'!$D$6:$D$1018,'CEMI Raw'!$E$6:$E$1018,$A495,'CEMI Raw'!$B$6:$B$1018,2025)</f>
        <v>3181.8</v>
      </c>
      <c r="F495" s="21" t="n">
        <f aca="false">SUMIFS('CEMI Raw'!$C$6:$C$1018,'CEMI Raw'!$E$6:$E$1018,$A495,'CEMI Raw'!$B$6:$B$1018,2026)</f>
        <v>38</v>
      </c>
      <c r="G495" s="22" t="n">
        <f aca="false">SUMIFS('CEMI Raw'!$D$6:$D$1018,'CEMI Raw'!$E$6:$E$1018,$A495,'CEMI Raw'!$B$6:$B$1018,2026)</f>
        <v>2578.7</v>
      </c>
      <c r="H495" s="21" t="n">
        <f aca="false">SUMIFS('SALES Raw'!$C$6:$C$603,'SALES Raw'!$E$6:$E$603,$A495,'SALES Raw'!$B$6:$B$603,2025)</f>
        <v>0</v>
      </c>
      <c r="I495" s="22" t="n">
        <f aca="false">SUMIFS('SALES Raw'!$D$6:$D$603,'SALES Raw'!$E$6:$E$603,$A495,'SALES Raw'!$B$6:$B$603,2025)</f>
        <v>0</v>
      </c>
      <c r="J495" s="21" t="n">
        <f aca="false">SUMIFS('SALES Raw'!$C$6:$C$603,'SALES Raw'!$E$6:$E$603,$A495,'SALES Raw'!$B$6:$B$603,2026)</f>
        <v>0</v>
      </c>
      <c r="K495" s="22" t="n">
        <f aca="false">SUMIFS('SALES Raw'!$D$6:$D$603,'SALES Raw'!$E$6:$E$603,$A495,'SALES Raw'!$B$6:$B$603,2026)</f>
        <v>0</v>
      </c>
      <c r="L495" s="21" t="n">
        <f aca="false">D495+H495</f>
        <v>47</v>
      </c>
      <c r="M495" s="22" t="n">
        <f aca="false">E495+I495</f>
        <v>3181.8</v>
      </c>
      <c r="N495" s="21" t="n">
        <f aca="false">F495+J495</f>
        <v>38</v>
      </c>
      <c r="O495" s="22" t="n">
        <f aca="false">G495+K495</f>
        <v>2578.7</v>
      </c>
    </row>
    <row r="496" customFormat="false" ht="15" hidden="false" customHeight="false" outlineLevel="0" collapsed="false">
      <c r="A496" s="20" t="n">
        <v>4415080</v>
      </c>
      <c r="B496" s="20" t="str">
        <f aca="false">IFERROR(INDEX('Catalog'!$B:$B,MATCH($A496,'Catalog'!$A:$A,0)),"")</f>
        <v>PD346-10 סכינים למקצוע</v>
      </c>
      <c r="C496" s="20" t="str">
        <f aca="false">IFERROR(INDEX('TRANS'!$A:$A,MATCH($A496,'TRANS'!$B:$B,0)),"")</f>
        <v>PD346 0</v>
      </c>
      <c r="D496" s="21" t="n">
        <f aca="false">SUMIFS('CEMI Raw'!$C$6:$C$1018,'CEMI Raw'!$E$6:$E$1018,$A496,'CEMI Raw'!$B$6:$B$1018,2025)</f>
        <v>44</v>
      </c>
      <c r="E496" s="22" t="n">
        <f aca="false">SUMIFS('CEMI Raw'!$D$6:$D$1018,'CEMI Raw'!$E$6:$E$1018,$A496,'CEMI Raw'!$B$6:$B$1018,2025)</f>
        <v>419.3</v>
      </c>
      <c r="F496" s="21" t="n">
        <f aca="false">SUMIFS('CEMI Raw'!$C$6:$C$1018,'CEMI Raw'!$E$6:$E$1018,$A496,'CEMI Raw'!$B$6:$B$1018,2026)</f>
        <v>119</v>
      </c>
      <c r="G496" s="22" t="n">
        <f aca="false">SUMIFS('CEMI Raw'!$D$6:$D$1018,'CEMI Raw'!$E$6:$E$1018,$A496,'CEMI Raw'!$B$6:$B$1018,2026)</f>
        <v>1128.9</v>
      </c>
      <c r="H496" s="21" t="n">
        <f aca="false">SUMIFS('SALES Raw'!$C$6:$C$603,'SALES Raw'!$E$6:$E$603,$A496,'SALES Raw'!$B$6:$B$603,2025)</f>
        <v>0</v>
      </c>
      <c r="I496" s="22" t="n">
        <f aca="false">SUMIFS('SALES Raw'!$D$6:$D$603,'SALES Raw'!$E$6:$E$603,$A496,'SALES Raw'!$B$6:$B$603,2025)</f>
        <v>0</v>
      </c>
      <c r="J496" s="21" t="n">
        <f aca="false">SUMIFS('SALES Raw'!$C$6:$C$603,'SALES Raw'!$E$6:$E$603,$A496,'SALES Raw'!$B$6:$B$603,2026)</f>
        <v>0</v>
      </c>
      <c r="K496" s="22" t="n">
        <f aca="false">SUMIFS('SALES Raw'!$D$6:$D$603,'SALES Raw'!$E$6:$E$603,$A496,'SALES Raw'!$B$6:$B$603,2026)</f>
        <v>0</v>
      </c>
      <c r="L496" s="21" t="n">
        <f aca="false">D496+H496</f>
        <v>44</v>
      </c>
      <c r="M496" s="22" t="n">
        <f aca="false">E496+I496</f>
        <v>419.3</v>
      </c>
      <c r="N496" s="21" t="n">
        <f aca="false">F496+J496</f>
        <v>119</v>
      </c>
      <c r="O496" s="22" t="n">
        <f aca="false">G496+K496</f>
        <v>1128.9</v>
      </c>
    </row>
    <row r="497" customFormat="false" ht="15" hidden="false" customHeight="false" outlineLevel="0" collapsed="false">
      <c r="A497" s="20" t="n">
        <v>4415083</v>
      </c>
      <c r="B497" s="20" t="str">
        <f aca="false">IFERROR(INDEX('Catalog'!$B:$B,MATCH($A497,'Catalog'!$A:$A,0)),"")</f>
        <v>T33  M  סד לקרסול</v>
      </c>
      <c r="C497" s="20" t="str">
        <f aca="false">IFERROR(INDEX('TRANS'!$A:$A,MATCH($A497,'TRANS'!$B:$B,0)),"")</f>
        <v/>
      </c>
      <c r="D497" s="21" t="n">
        <f aca="false">SUMIFS('CEMI Raw'!$C$6:$C$1018,'CEMI Raw'!$E$6:$E$1018,$A497,'CEMI Raw'!$B$6:$B$1018,2025)</f>
        <v>4</v>
      </c>
      <c r="E497" s="22" t="n">
        <f aca="false">SUMIFS('CEMI Raw'!$D$6:$D$1018,'CEMI Raw'!$E$6:$E$1018,$A497,'CEMI Raw'!$B$6:$B$1018,2025)</f>
        <v>438.5</v>
      </c>
      <c r="F497" s="21" t="n">
        <f aca="false">SUMIFS('CEMI Raw'!$C$6:$C$1018,'CEMI Raw'!$E$6:$E$1018,$A497,'CEMI Raw'!$B$6:$B$1018,2026)</f>
        <v>0</v>
      </c>
      <c r="G497" s="22" t="n">
        <f aca="false">SUMIFS('CEMI Raw'!$D$6:$D$1018,'CEMI Raw'!$E$6:$E$1018,$A497,'CEMI Raw'!$B$6:$B$1018,2026)</f>
        <v>0</v>
      </c>
      <c r="H497" s="21" t="n">
        <f aca="false">SUMIFS('SALES Raw'!$C$6:$C$603,'SALES Raw'!$E$6:$E$603,$A497,'SALES Raw'!$B$6:$B$603,2025)</f>
        <v>0</v>
      </c>
      <c r="I497" s="22" t="n">
        <f aca="false">SUMIFS('SALES Raw'!$D$6:$D$603,'SALES Raw'!$E$6:$E$603,$A497,'SALES Raw'!$B$6:$B$603,2025)</f>
        <v>0</v>
      </c>
      <c r="J497" s="21" t="n">
        <f aca="false">SUMIFS('SALES Raw'!$C$6:$C$603,'SALES Raw'!$E$6:$E$603,$A497,'SALES Raw'!$B$6:$B$603,2026)</f>
        <v>0</v>
      </c>
      <c r="K497" s="22" t="n">
        <f aca="false">SUMIFS('SALES Raw'!$D$6:$D$603,'SALES Raw'!$E$6:$E$603,$A497,'SALES Raw'!$B$6:$B$603,2026)</f>
        <v>0</v>
      </c>
      <c r="L497" s="21" t="n">
        <f aca="false">D497+H497</f>
        <v>4</v>
      </c>
      <c r="M497" s="22" t="n">
        <f aca="false">E497+I497</f>
        <v>438.5</v>
      </c>
      <c r="N497" s="21" t="n">
        <f aca="false">F497+J497</f>
        <v>0</v>
      </c>
      <c r="O497" s="22" t="n">
        <f aca="false">G497+K497</f>
        <v>0</v>
      </c>
    </row>
    <row r="498" customFormat="false" ht="15" hidden="false" customHeight="false" outlineLevel="0" collapsed="false">
      <c r="A498" s="20" t="n">
        <v>4415084</v>
      </c>
      <c r="B498" s="20" t="str">
        <f aca="false">IFERROR(INDEX('Catalog'!$B:$B,MATCH($A498,'Catalog'!$A:$A,0)),"")</f>
        <v>T33  L  סד לקרסול</v>
      </c>
      <c r="C498" s="20" t="str">
        <f aca="false">IFERROR(INDEX('TRANS'!$A:$A,MATCH($A498,'TRANS'!$B:$B,0)),"")</f>
        <v/>
      </c>
      <c r="D498" s="21" t="n">
        <f aca="false">SUMIFS('CEMI Raw'!$C$6:$C$1018,'CEMI Raw'!$E$6:$E$1018,$A498,'CEMI Raw'!$B$6:$B$1018,2025)</f>
        <v>4</v>
      </c>
      <c r="E498" s="22" t="n">
        <f aca="false">SUMIFS('CEMI Raw'!$D$6:$D$1018,'CEMI Raw'!$E$6:$E$1018,$A498,'CEMI Raw'!$B$6:$B$1018,2025)</f>
        <v>449.8</v>
      </c>
      <c r="F498" s="21" t="n">
        <f aca="false">SUMIFS('CEMI Raw'!$C$6:$C$1018,'CEMI Raw'!$E$6:$E$1018,$A498,'CEMI Raw'!$B$6:$B$1018,2026)</f>
        <v>0</v>
      </c>
      <c r="G498" s="22" t="n">
        <f aca="false">SUMIFS('CEMI Raw'!$D$6:$D$1018,'CEMI Raw'!$E$6:$E$1018,$A498,'CEMI Raw'!$B$6:$B$1018,2026)</f>
        <v>0</v>
      </c>
      <c r="H498" s="21" t="n">
        <f aca="false">SUMIFS('SALES Raw'!$C$6:$C$603,'SALES Raw'!$E$6:$E$603,$A498,'SALES Raw'!$B$6:$B$603,2025)</f>
        <v>0</v>
      </c>
      <c r="I498" s="22" t="n">
        <f aca="false">SUMIFS('SALES Raw'!$D$6:$D$603,'SALES Raw'!$E$6:$E$603,$A498,'SALES Raw'!$B$6:$B$603,2025)</f>
        <v>0</v>
      </c>
      <c r="J498" s="21" t="n">
        <f aca="false">SUMIFS('SALES Raw'!$C$6:$C$603,'SALES Raw'!$E$6:$E$603,$A498,'SALES Raw'!$B$6:$B$603,2026)</f>
        <v>0</v>
      </c>
      <c r="K498" s="22" t="n">
        <f aca="false">SUMIFS('SALES Raw'!$D$6:$D$603,'SALES Raw'!$E$6:$E$603,$A498,'SALES Raw'!$B$6:$B$603,2026)</f>
        <v>0</v>
      </c>
      <c r="L498" s="21" t="n">
        <f aca="false">D498+H498</f>
        <v>4</v>
      </c>
      <c r="M498" s="22" t="n">
        <f aca="false">E498+I498</f>
        <v>449.8</v>
      </c>
      <c r="N498" s="21" t="n">
        <f aca="false">F498+J498</f>
        <v>0</v>
      </c>
      <c r="O498" s="22" t="n">
        <f aca="false">G498+K498</f>
        <v>0</v>
      </c>
    </row>
    <row r="499" customFormat="false" ht="15" hidden="false" customHeight="false" outlineLevel="0" collapsed="false">
      <c r="A499" s="20" t="n">
        <v>4415089</v>
      </c>
      <c r="B499" s="20" t="str">
        <f aca="false">IFERROR(INDEX('Catalog'!$B:$B,MATCH($A499,'Catalog'!$A:$A,0)),"")</f>
        <v>27L M סד ליד שמאל</v>
      </c>
      <c r="C499" s="20" t="str">
        <f aca="false">IFERROR(INDEX('TRANS'!$A:$A,MATCH($A499,'TRANS'!$B:$B,0)),"")</f>
        <v/>
      </c>
      <c r="D499" s="21" t="n">
        <f aca="false">SUMIFS('CEMI Raw'!$C$6:$C$1018,'CEMI Raw'!$E$6:$E$1018,$A499,'CEMI Raw'!$B$6:$B$1018,2025)</f>
        <v>1</v>
      </c>
      <c r="E499" s="22" t="n">
        <f aca="false">SUMIFS('CEMI Raw'!$D$6:$D$1018,'CEMI Raw'!$E$6:$E$1018,$A499,'CEMI Raw'!$B$6:$B$1018,2025)</f>
        <v>90.1</v>
      </c>
      <c r="F499" s="21" t="n">
        <f aca="false">SUMIFS('CEMI Raw'!$C$6:$C$1018,'CEMI Raw'!$E$6:$E$1018,$A499,'CEMI Raw'!$B$6:$B$1018,2026)</f>
        <v>0</v>
      </c>
      <c r="G499" s="22" t="n">
        <f aca="false">SUMIFS('CEMI Raw'!$D$6:$D$1018,'CEMI Raw'!$E$6:$E$1018,$A499,'CEMI Raw'!$B$6:$B$1018,2026)</f>
        <v>0</v>
      </c>
      <c r="H499" s="21" t="n">
        <f aca="false">SUMIFS('SALES Raw'!$C$6:$C$603,'SALES Raw'!$E$6:$E$603,$A499,'SALES Raw'!$B$6:$B$603,2025)</f>
        <v>0</v>
      </c>
      <c r="I499" s="22" t="n">
        <f aca="false">SUMIFS('SALES Raw'!$D$6:$D$603,'SALES Raw'!$E$6:$E$603,$A499,'SALES Raw'!$B$6:$B$603,2025)</f>
        <v>0</v>
      </c>
      <c r="J499" s="21" t="n">
        <f aca="false">SUMIFS('SALES Raw'!$C$6:$C$603,'SALES Raw'!$E$6:$E$603,$A499,'SALES Raw'!$B$6:$B$603,2026)</f>
        <v>0</v>
      </c>
      <c r="K499" s="22" t="n">
        <f aca="false">SUMIFS('SALES Raw'!$D$6:$D$603,'SALES Raw'!$E$6:$E$603,$A499,'SALES Raw'!$B$6:$B$603,2026)</f>
        <v>0</v>
      </c>
      <c r="L499" s="21" t="n">
        <f aca="false">D499+H499</f>
        <v>1</v>
      </c>
      <c r="M499" s="22" t="n">
        <f aca="false">E499+I499</f>
        <v>90.1</v>
      </c>
      <c r="N499" s="21" t="n">
        <f aca="false">F499+J499</f>
        <v>0</v>
      </c>
      <c r="O499" s="22" t="n">
        <f aca="false">G499+K499</f>
        <v>0</v>
      </c>
    </row>
    <row r="500" customFormat="false" ht="15" hidden="false" customHeight="false" outlineLevel="0" collapsed="false">
      <c r="A500" s="20" t="n">
        <v>4415090</v>
      </c>
      <c r="B500" s="20" t="str">
        <f aca="false">IFERROR(INDEX('Catalog'!$B:$B,MATCH($A500,'Catalog'!$A:$A,0)),"")</f>
        <v>27L L סד ליד שמאל</v>
      </c>
      <c r="C500" s="20" t="str">
        <f aca="false">IFERROR(INDEX('TRANS'!$A:$A,MATCH($A500,'TRANS'!$B:$B,0)),"")</f>
        <v/>
      </c>
      <c r="D500" s="21" t="n">
        <f aca="false">SUMIFS('CEMI Raw'!$C$6:$C$1018,'CEMI Raw'!$E$6:$E$1018,$A500,'CEMI Raw'!$B$6:$B$1018,2025)</f>
        <v>1</v>
      </c>
      <c r="E500" s="22" t="n">
        <f aca="false">SUMIFS('CEMI Raw'!$D$6:$D$1018,'CEMI Raw'!$E$6:$E$1018,$A500,'CEMI Raw'!$B$6:$B$1018,2025)</f>
        <v>90.1</v>
      </c>
      <c r="F500" s="21" t="n">
        <f aca="false">SUMIFS('CEMI Raw'!$C$6:$C$1018,'CEMI Raw'!$E$6:$E$1018,$A500,'CEMI Raw'!$B$6:$B$1018,2026)</f>
        <v>0</v>
      </c>
      <c r="G500" s="22" t="n">
        <f aca="false">SUMIFS('CEMI Raw'!$D$6:$D$1018,'CEMI Raw'!$E$6:$E$1018,$A500,'CEMI Raw'!$B$6:$B$1018,2026)</f>
        <v>0</v>
      </c>
      <c r="H500" s="21" t="n">
        <f aca="false">SUMIFS('SALES Raw'!$C$6:$C$603,'SALES Raw'!$E$6:$E$603,$A500,'SALES Raw'!$B$6:$B$603,2025)</f>
        <v>0</v>
      </c>
      <c r="I500" s="22" t="n">
        <f aca="false">SUMIFS('SALES Raw'!$D$6:$D$603,'SALES Raw'!$E$6:$E$603,$A500,'SALES Raw'!$B$6:$B$603,2025)</f>
        <v>0</v>
      </c>
      <c r="J500" s="21" t="n">
        <f aca="false">SUMIFS('SALES Raw'!$C$6:$C$603,'SALES Raw'!$E$6:$E$603,$A500,'SALES Raw'!$B$6:$B$603,2026)</f>
        <v>0</v>
      </c>
      <c r="K500" s="22" t="n">
        <f aca="false">SUMIFS('SALES Raw'!$D$6:$D$603,'SALES Raw'!$E$6:$E$603,$A500,'SALES Raw'!$B$6:$B$603,2026)</f>
        <v>0</v>
      </c>
      <c r="L500" s="21" t="n">
        <f aca="false">D500+H500</f>
        <v>1</v>
      </c>
      <c r="M500" s="22" t="n">
        <f aca="false">E500+I500</f>
        <v>90.1</v>
      </c>
      <c r="N500" s="21" t="n">
        <f aca="false">F500+J500</f>
        <v>0</v>
      </c>
      <c r="O500" s="22" t="n">
        <f aca="false">G500+K500</f>
        <v>0</v>
      </c>
    </row>
    <row r="501" customFormat="false" ht="15" hidden="false" customHeight="false" outlineLevel="0" collapsed="false">
      <c r="A501" s="20" t="n">
        <v>4415091</v>
      </c>
      <c r="B501" s="20" t="str">
        <f aca="false">IFERROR(INDEX('Catalog'!$B:$B,MATCH($A501,'Catalog'!$A:$A,0)),"")</f>
        <v>27L XLסד ליד שמאל</v>
      </c>
      <c r="C501" s="20" t="str">
        <f aca="false">IFERROR(INDEX('TRANS'!$A:$A,MATCH($A501,'TRANS'!$B:$B,0)),"")</f>
        <v/>
      </c>
      <c r="D501" s="21" t="n">
        <f aca="false">SUMIFS('CEMI Raw'!$C$6:$C$1018,'CEMI Raw'!$E$6:$E$1018,$A501,'CEMI Raw'!$B$6:$B$1018,2025)</f>
        <v>0</v>
      </c>
      <c r="E501" s="22" t="n">
        <f aca="false">SUMIFS('CEMI Raw'!$D$6:$D$1018,'CEMI Raw'!$E$6:$E$1018,$A501,'CEMI Raw'!$B$6:$B$1018,2025)</f>
        <v>0</v>
      </c>
      <c r="F501" s="21" t="n">
        <f aca="false">SUMIFS('CEMI Raw'!$C$6:$C$1018,'CEMI Raw'!$E$6:$E$1018,$A501,'CEMI Raw'!$B$6:$B$1018,2026)</f>
        <v>-2</v>
      </c>
      <c r="G501" s="22" t="n">
        <f aca="false">SUMIFS('CEMI Raw'!$D$6:$D$1018,'CEMI Raw'!$E$6:$E$1018,$A501,'CEMI Raw'!$B$6:$B$1018,2026)</f>
        <v>-194</v>
      </c>
      <c r="H501" s="21" t="n">
        <f aca="false">SUMIFS('SALES Raw'!$C$6:$C$603,'SALES Raw'!$E$6:$E$603,$A501,'SALES Raw'!$B$6:$B$603,2025)</f>
        <v>0</v>
      </c>
      <c r="I501" s="22" t="n">
        <f aca="false">SUMIFS('SALES Raw'!$D$6:$D$603,'SALES Raw'!$E$6:$E$603,$A501,'SALES Raw'!$B$6:$B$603,2025)</f>
        <v>0</v>
      </c>
      <c r="J501" s="21" t="n">
        <f aca="false">SUMIFS('SALES Raw'!$C$6:$C$603,'SALES Raw'!$E$6:$E$603,$A501,'SALES Raw'!$B$6:$B$603,2026)</f>
        <v>0</v>
      </c>
      <c r="K501" s="22" t="n">
        <f aca="false">SUMIFS('SALES Raw'!$D$6:$D$603,'SALES Raw'!$E$6:$E$603,$A501,'SALES Raw'!$B$6:$B$603,2026)</f>
        <v>0</v>
      </c>
      <c r="L501" s="21" t="n">
        <f aca="false">D501+H501</f>
        <v>0</v>
      </c>
      <c r="M501" s="22" t="n">
        <f aca="false">E501+I501</f>
        <v>0</v>
      </c>
      <c r="N501" s="21" t="n">
        <f aca="false">F501+J501</f>
        <v>-2</v>
      </c>
      <c r="O501" s="22" t="n">
        <f aca="false">G501+K501</f>
        <v>-194</v>
      </c>
    </row>
    <row r="502" customFormat="false" ht="15" hidden="false" customHeight="false" outlineLevel="0" collapsed="false">
      <c r="A502" s="20" t="n">
        <v>4415120</v>
      </c>
      <c r="B502" s="20" t="str">
        <f aca="false">IFERROR(INDEX('Catalog'!$B:$B,MATCH($A502,'Catalog'!$A:$A,0)),"")</f>
        <v>T33 XXL סד לקרסול</v>
      </c>
      <c r="C502" s="20" t="str">
        <f aca="false">IFERROR(INDEX('TRANS'!$A:$A,MATCH($A502,'TRANS'!$B:$B,0)),"")</f>
        <v/>
      </c>
      <c r="D502" s="21" t="n">
        <f aca="false">SUMIFS('CEMI Raw'!$C$6:$C$1018,'CEMI Raw'!$E$6:$E$1018,$A502,'CEMI Raw'!$B$6:$B$1018,2025)</f>
        <v>1</v>
      </c>
      <c r="E502" s="22" t="n">
        <f aca="false">SUMIFS('CEMI Raw'!$D$6:$D$1018,'CEMI Raw'!$E$6:$E$1018,$A502,'CEMI Raw'!$B$6:$B$1018,2025)</f>
        <v>137</v>
      </c>
      <c r="F502" s="21" t="n">
        <f aca="false">SUMIFS('CEMI Raw'!$C$6:$C$1018,'CEMI Raw'!$E$6:$E$1018,$A502,'CEMI Raw'!$B$6:$B$1018,2026)</f>
        <v>0</v>
      </c>
      <c r="G502" s="22" t="n">
        <f aca="false">SUMIFS('CEMI Raw'!$D$6:$D$1018,'CEMI Raw'!$E$6:$E$1018,$A502,'CEMI Raw'!$B$6:$B$1018,2026)</f>
        <v>0</v>
      </c>
      <c r="H502" s="21" t="n">
        <f aca="false">SUMIFS('SALES Raw'!$C$6:$C$603,'SALES Raw'!$E$6:$E$603,$A502,'SALES Raw'!$B$6:$B$603,2025)</f>
        <v>0</v>
      </c>
      <c r="I502" s="22" t="n">
        <f aca="false">SUMIFS('SALES Raw'!$D$6:$D$603,'SALES Raw'!$E$6:$E$603,$A502,'SALES Raw'!$B$6:$B$603,2025)</f>
        <v>0</v>
      </c>
      <c r="J502" s="21" t="n">
        <f aca="false">SUMIFS('SALES Raw'!$C$6:$C$603,'SALES Raw'!$E$6:$E$603,$A502,'SALES Raw'!$B$6:$B$603,2026)</f>
        <v>0</v>
      </c>
      <c r="K502" s="22" t="n">
        <f aca="false">SUMIFS('SALES Raw'!$D$6:$D$603,'SALES Raw'!$E$6:$E$603,$A502,'SALES Raw'!$B$6:$B$603,2026)</f>
        <v>0</v>
      </c>
      <c r="L502" s="21" t="n">
        <f aca="false">D502+H502</f>
        <v>1</v>
      </c>
      <c r="M502" s="22" t="n">
        <f aca="false">E502+I502</f>
        <v>137</v>
      </c>
      <c r="N502" s="21" t="n">
        <f aca="false">F502+J502</f>
        <v>0</v>
      </c>
      <c r="O502" s="22" t="n">
        <f aca="false">G502+K502</f>
        <v>0</v>
      </c>
    </row>
    <row r="503" customFormat="false" ht="15" hidden="false" customHeight="false" outlineLevel="0" collapsed="false">
      <c r="A503" s="20" t="n">
        <v>4415131</v>
      </c>
      <c r="B503" s="20" t="str">
        <f aca="false">IFERROR(INDEX('Catalog'!$B:$B,MATCH($A503,'Catalog'!$A:$A,0)),"")</f>
        <v>T27L M סד ליד שמאל</v>
      </c>
      <c r="C503" s="20" t="str">
        <f aca="false">IFERROR(INDEX('TRANS'!$A:$A,MATCH($A503,'TRANS'!$B:$B,0)),"")</f>
        <v/>
      </c>
      <c r="D503" s="21" t="n">
        <f aca="false">SUMIFS('CEMI Raw'!$C$6:$C$1018,'CEMI Raw'!$E$6:$E$1018,$A503,'CEMI Raw'!$B$6:$B$1018,2025)</f>
        <v>1</v>
      </c>
      <c r="E503" s="22" t="n">
        <f aca="false">SUMIFS('CEMI Raw'!$D$6:$D$1018,'CEMI Raw'!$E$6:$E$1018,$A503,'CEMI Raw'!$B$6:$B$1018,2025)</f>
        <v>94.5</v>
      </c>
      <c r="F503" s="21" t="n">
        <f aca="false">SUMIFS('CEMI Raw'!$C$6:$C$1018,'CEMI Raw'!$E$6:$E$1018,$A503,'CEMI Raw'!$B$6:$B$1018,2026)</f>
        <v>0</v>
      </c>
      <c r="G503" s="22" t="n">
        <f aca="false">SUMIFS('CEMI Raw'!$D$6:$D$1018,'CEMI Raw'!$E$6:$E$1018,$A503,'CEMI Raw'!$B$6:$B$1018,2026)</f>
        <v>0</v>
      </c>
      <c r="H503" s="21" t="n">
        <f aca="false">SUMIFS('SALES Raw'!$C$6:$C$603,'SALES Raw'!$E$6:$E$603,$A503,'SALES Raw'!$B$6:$B$603,2025)</f>
        <v>0</v>
      </c>
      <c r="I503" s="22" t="n">
        <f aca="false">SUMIFS('SALES Raw'!$D$6:$D$603,'SALES Raw'!$E$6:$E$603,$A503,'SALES Raw'!$B$6:$B$603,2025)</f>
        <v>0</v>
      </c>
      <c r="J503" s="21" t="n">
        <f aca="false">SUMIFS('SALES Raw'!$C$6:$C$603,'SALES Raw'!$E$6:$E$603,$A503,'SALES Raw'!$B$6:$B$603,2026)</f>
        <v>0</v>
      </c>
      <c r="K503" s="22" t="n">
        <f aca="false">SUMIFS('SALES Raw'!$D$6:$D$603,'SALES Raw'!$E$6:$E$603,$A503,'SALES Raw'!$B$6:$B$603,2026)</f>
        <v>0</v>
      </c>
      <c r="L503" s="21" t="n">
        <f aca="false">D503+H503</f>
        <v>1</v>
      </c>
      <c r="M503" s="22" t="n">
        <f aca="false">E503+I503</f>
        <v>94.5</v>
      </c>
      <c r="N503" s="21" t="n">
        <f aca="false">F503+J503</f>
        <v>0</v>
      </c>
      <c r="O503" s="22" t="n">
        <f aca="false">G503+K503</f>
        <v>0</v>
      </c>
    </row>
    <row r="504" customFormat="false" ht="15" hidden="false" customHeight="false" outlineLevel="0" collapsed="false">
      <c r="A504" s="20" t="n">
        <v>4415158</v>
      </c>
      <c r="B504" s="20" t="str">
        <f aca="false">IFERROR(INDEX('Catalog'!$B:$B,MATCH($A504,'Catalog'!$A:$A,0)),"")</f>
        <v>266 סד ליד דו צדדי</v>
      </c>
      <c r="C504" s="20" t="str">
        <f aca="false">IFERROR(INDEX('TRANS'!$A:$A,MATCH($A504,'TRANS'!$B:$B,0)),"")</f>
        <v>266 0</v>
      </c>
      <c r="D504" s="21" t="n">
        <f aca="false">SUMIFS('CEMI Raw'!$C$6:$C$1018,'CEMI Raw'!$E$6:$E$1018,$A504,'CEMI Raw'!$B$6:$B$1018,2025)</f>
        <v>502</v>
      </c>
      <c r="E504" s="22" t="n">
        <f aca="false">SUMIFS('CEMI Raw'!$D$6:$D$1018,'CEMI Raw'!$E$6:$E$1018,$A504,'CEMI Raw'!$B$6:$B$1018,2025)</f>
        <v>38890.7</v>
      </c>
      <c r="F504" s="21" t="n">
        <f aca="false">SUMIFS('CEMI Raw'!$C$6:$C$1018,'CEMI Raw'!$E$6:$E$1018,$A504,'CEMI Raw'!$B$6:$B$1018,2026)</f>
        <v>336</v>
      </c>
      <c r="G504" s="22" t="n">
        <f aca="false">SUMIFS('CEMI Raw'!$D$6:$D$1018,'CEMI Raw'!$E$6:$E$1018,$A504,'CEMI Raw'!$B$6:$B$1018,2026)</f>
        <v>26201.4</v>
      </c>
      <c r="H504" s="21" t="n">
        <f aca="false">SUMIFS('SALES Raw'!$C$6:$C$603,'SALES Raw'!$E$6:$E$603,$A504,'SALES Raw'!$B$6:$B$603,2025)</f>
        <v>18</v>
      </c>
      <c r="I504" s="22" t="n">
        <f aca="false">SUMIFS('SALES Raw'!$D$6:$D$603,'SALES Raw'!$E$6:$E$603,$A504,'SALES Raw'!$B$6:$B$603,2025)</f>
        <v>1362.88</v>
      </c>
      <c r="J504" s="21" t="n">
        <f aca="false">SUMIFS('SALES Raw'!$C$6:$C$603,'SALES Raw'!$E$6:$E$603,$A504,'SALES Raw'!$B$6:$B$603,2026)</f>
        <v>12</v>
      </c>
      <c r="K504" s="22" t="n">
        <f aca="false">SUMIFS('SALES Raw'!$D$6:$D$603,'SALES Raw'!$E$6:$E$603,$A504,'SALES Raw'!$B$6:$B$603,2026)</f>
        <v>896.74</v>
      </c>
      <c r="L504" s="21" t="n">
        <f aca="false">D504+H504</f>
        <v>520</v>
      </c>
      <c r="M504" s="22" t="n">
        <f aca="false">E504+I504</f>
        <v>40253.58</v>
      </c>
      <c r="N504" s="21" t="n">
        <f aca="false">F504+J504</f>
        <v>348</v>
      </c>
      <c r="O504" s="22" t="n">
        <f aca="false">G504+K504</f>
        <v>27098.14</v>
      </c>
    </row>
    <row r="505" customFormat="false" ht="15" hidden="false" customHeight="false" outlineLevel="0" collapsed="false">
      <c r="A505" s="20" t="n">
        <v>4415159</v>
      </c>
      <c r="B505" s="20" t="str">
        <f aca="false">IFERROR(INDEX('Catalog'!$B:$B,MATCH($A505,'Catalog'!$A:$A,0)),"")</f>
        <v>268 סד לאגודל</v>
      </c>
      <c r="C505" s="20" t="str">
        <f aca="false">IFERROR(INDEX('TRANS'!$A:$A,MATCH($A505,'TRANS'!$B:$B,0)),"")</f>
        <v>268 0</v>
      </c>
      <c r="D505" s="21" t="n">
        <f aca="false">SUMIFS('CEMI Raw'!$C$6:$C$1018,'CEMI Raw'!$E$6:$E$1018,$A505,'CEMI Raw'!$B$6:$B$1018,2025)</f>
        <v>120</v>
      </c>
      <c r="E505" s="22" t="n">
        <f aca="false">SUMIFS('CEMI Raw'!$D$6:$D$1018,'CEMI Raw'!$E$6:$E$1018,$A505,'CEMI Raw'!$B$6:$B$1018,2025)</f>
        <v>13916.1</v>
      </c>
      <c r="F505" s="21" t="n">
        <f aca="false">SUMIFS('CEMI Raw'!$C$6:$C$1018,'CEMI Raw'!$E$6:$E$1018,$A505,'CEMI Raw'!$B$6:$B$1018,2026)</f>
        <v>105</v>
      </c>
      <c r="G505" s="22" t="n">
        <f aca="false">SUMIFS('CEMI Raw'!$D$6:$D$1018,'CEMI Raw'!$E$6:$E$1018,$A505,'CEMI Raw'!$B$6:$B$1018,2026)</f>
        <v>12242</v>
      </c>
      <c r="H505" s="21" t="n">
        <f aca="false">SUMIFS('SALES Raw'!$C$6:$C$603,'SALES Raw'!$E$6:$E$603,$A505,'SALES Raw'!$B$6:$B$603,2025)</f>
        <v>14</v>
      </c>
      <c r="I505" s="22" t="n">
        <f aca="false">SUMIFS('SALES Raw'!$D$6:$D$603,'SALES Raw'!$E$6:$E$603,$A505,'SALES Raw'!$B$6:$B$603,2025)</f>
        <v>1492.07</v>
      </c>
      <c r="J505" s="21" t="n">
        <f aca="false">SUMIFS('SALES Raw'!$C$6:$C$603,'SALES Raw'!$E$6:$E$603,$A505,'SALES Raw'!$B$6:$B$603,2026)</f>
        <v>10</v>
      </c>
      <c r="K505" s="22" t="n">
        <f aca="false">SUMIFS('SALES Raw'!$D$6:$D$603,'SALES Raw'!$E$6:$E$603,$A505,'SALES Raw'!$B$6:$B$603,2026)</f>
        <v>1150.26</v>
      </c>
      <c r="L505" s="21" t="n">
        <f aca="false">D505+H505</f>
        <v>134</v>
      </c>
      <c r="M505" s="22" t="n">
        <f aca="false">E505+I505</f>
        <v>15408.17</v>
      </c>
      <c r="N505" s="21" t="n">
        <f aca="false">F505+J505</f>
        <v>115</v>
      </c>
      <c r="O505" s="22" t="n">
        <f aca="false">G505+K505</f>
        <v>13392.26</v>
      </c>
    </row>
    <row r="506" customFormat="false" ht="15" hidden="false" customHeight="false" outlineLevel="0" collapsed="false">
      <c r="A506" s="20" t="n">
        <v>4415160</v>
      </c>
      <c r="B506" s="20" t="str">
        <f aca="false">IFERROR(INDEX('Catalog'!$B:$B,MATCH($A506,'Catalog'!$A:$A,0)),"")</f>
        <v>238S סד ליישור אצבע</v>
      </c>
      <c r="C506" s="20" t="str">
        <f aca="false">IFERROR(INDEX('TRANS'!$A:$A,MATCH($A506,'TRANS'!$B:$B,0)),"")</f>
        <v>238 S</v>
      </c>
      <c r="D506" s="21" t="n">
        <f aca="false">SUMIFS('CEMI Raw'!$C$6:$C$1018,'CEMI Raw'!$E$6:$E$1018,$A506,'CEMI Raw'!$B$6:$B$1018,2025)</f>
        <v>278</v>
      </c>
      <c r="E506" s="22" t="n">
        <f aca="false">SUMIFS('CEMI Raw'!$D$6:$D$1018,'CEMI Raw'!$E$6:$E$1018,$A506,'CEMI Raw'!$B$6:$B$1018,2025)</f>
        <v>5307.5</v>
      </c>
      <c r="F506" s="21" t="n">
        <f aca="false">SUMIFS('CEMI Raw'!$C$6:$C$1018,'CEMI Raw'!$E$6:$E$1018,$A506,'CEMI Raw'!$B$6:$B$1018,2026)</f>
        <v>221</v>
      </c>
      <c r="G506" s="22" t="n">
        <f aca="false">SUMIFS('CEMI Raw'!$D$6:$D$1018,'CEMI Raw'!$E$6:$E$1018,$A506,'CEMI Raw'!$B$6:$B$1018,2026)</f>
        <v>4346.2</v>
      </c>
      <c r="H506" s="21" t="n">
        <f aca="false">SUMIFS('SALES Raw'!$C$6:$C$603,'SALES Raw'!$E$6:$E$603,$A506,'SALES Raw'!$B$6:$B$603,2025)</f>
        <v>10</v>
      </c>
      <c r="I506" s="22" t="n">
        <f aca="false">SUMIFS('SALES Raw'!$D$6:$D$603,'SALES Raw'!$E$6:$E$603,$A506,'SALES Raw'!$B$6:$B$603,2025)</f>
        <v>185.74</v>
      </c>
      <c r="J506" s="21" t="n">
        <f aca="false">SUMIFS('SALES Raw'!$C$6:$C$603,'SALES Raw'!$E$6:$E$603,$A506,'SALES Raw'!$B$6:$B$603,2026)</f>
        <v>4</v>
      </c>
      <c r="K506" s="22" t="n">
        <f aca="false">SUMIFS('SALES Raw'!$D$6:$D$603,'SALES Raw'!$E$6:$E$603,$A506,'SALES Raw'!$B$6:$B$603,2026)</f>
        <v>80.43</v>
      </c>
      <c r="L506" s="21" t="n">
        <f aca="false">D506+H506</f>
        <v>288</v>
      </c>
      <c r="M506" s="22" t="n">
        <f aca="false">E506+I506</f>
        <v>5493.24</v>
      </c>
      <c r="N506" s="21" t="n">
        <f aca="false">F506+J506</f>
        <v>225</v>
      </c>
      <c r="O506" s="22" t="n">
        <f aca="false">G506+K506</f>
        <v>4426.63</v>
      </c>
    </row>
    <row r="507" customFormat="false" ht="15" hidden="false" customHeight="false" outlineLevel="0" collapsed="false">
      <c r="A507" s="20" t="n">
        <v>4415161</v>
      </c>
      <c r="B507" s="20" t="str">
        <f aca="false">IFERROR(INDEX('Catalog'!$B:$B,MATCH($A507,'Catalog'!$A:$A,0)),"")</f>
        <v>238M סד ליישור אצבע</v>
      </c>
      <c r="C507" s="20" t="str">
        <f aca="false">IFERROR(INDEX('TRANS'!$A:$A,MATCH($A507,'TRANS'!$B:$B,0)),"")</f>
        <v>238 M</v>
      </c>
      <c r="D507" s="21" t="n">
        <f aca="false">SUMIFS('CEMI Raw'!$C$6:$C$1018,'CEMI Raw'!$E$6:$E$1018,$A507,'CEMI Raw'!$B$6:$B$1018,2025)</f>
        <v>390</v>
      </c>
      <c r="E507" s="22" t="n">
        <f aca="false">SUMIFS('CEMI Raw'!$D$6:$D$1018,'CEMI Raw'!$E$6:$E$1018,$A507,'CEMI Raw'!$B$6:$B$1018,2025)</f>
        <v>7446.8</v>
      </c>
      <c r="F507" s="21" t="n">
        <f aca="false">SUMIFS('CEMI Raw'!$C$6:$C$1018,'CEMI Raw'!$E$6:$E$1018,$A507,'CEMI Raw'!$B$6:$B$1018,2026)</f>
        <v>352</v>
      </c>
      <c r="G507" s="22" t="n">
        <f aca="false">SUMIFS('CEMI Raw'!$D$6:$D$1018,'CEMI Raw'!$E$6:$E$1018,$A507,'CEMI Raw'!$B$6:$B$1018,2026)</f>
        <v>6911.7</v>
      </c>
      <c r="H507" s="21" t="n">
        <f aca="false">SUMIFS('SALES Raw'!$C$6:$C$603,'SALES Raw'!$E$6:$E$603,$A507,'SALES Raw'!$B$6:$B$603,2025)</f>
        <v>22</v>
      </c>
      <c r="I507" s="22" t="n">
        <f aca="false">SUMIFS('SALES Raw'!$D$6:$D$603,'SALES Raw'!$E$6:$E$603,$A507,'SALES Raw'!$B$6:$B$603,2025)</f>
        <v>418.29</v>
      </c>
      <c r="J507" s="21" t="n">
        <f aca="false">SUMIFS('SALES Raw'!$C$6:$C$603,'SALES Raw'!$E$6:$E$603,$A507,'SALES Raw'!$B$6:$B$603,2026)</f>
        <v>10</v>
      </c>
      <c r="K507" s="22" t="n">
        <f aca="false">SUMIFS('SALES Raw'!$D$6:$D$603,'SALES Raw'!$E$6:$E$603,$A507,'SALES Raw'!$B$6:$B$603,2026)</f>
        <v>201.07</v>
      </c>
      <c r="L507" s="21" t="n">
        <f aca="false">D507+H507</f>
        <v>412</v>
      </c>
      <c r="M507" s="22" t="n">
        <f aca="false">E507+I507</f>
        <v>7865.09</v>
      </c>
      <c r="N507" s="21" t="n">
        <f aca="false">F507+J507</f>
        <v>362</v>
      </c>
      <c r="O507" s="22" t="n">
        <f aca="false">G507+K507</f>
        <v>7112.77</v>
      </c>
    </row>
    <row r="508" customFormat="false" ht="15" hidden="false" customHeight="false" outlineLevel="0" collapsed="false">
      <c r="A508" s="20" t="n">
        <v>4415162</v>
      </c>
      <c r="B508" s="20" t="str">
        <f aca="false">IFERROR(INDEX('Catalog'!$B:$B,MATCH($A508,'Catalog'!$A:$A,0)),"")</f>
        <v>238L סד ליישור אצבע</v>
      </c>
      <c r="C508" s="20" t="str">
        <f aca="false">IFERROR(INDEX('TRANS'!$A:$A,MATCH($A508,'TRANS'!$B:$B,0)),"")</f>
        <v>238 L</v>
      </c>
      <c r="D508" s="21" t="n">
        <f aca="false">SUMIFS('CEMI Raw'!$C$6:$C$1018,'CEMI Raw'!$E$6:$E$1018,$A508,'CEMI Raw'!$B$6:$B$1018,2025)</f>
        <v>382</v>
      </c>
      <c r="E508" s="22" t="n">
        <f aca="false">SUMIFS('CEMI Raw'!$D$6:$D$1018,'CEMI Raw'!$E$6:$E$1018,$A508,'CEMI Raw'!$B$6:$B$1018,2025)</f>
        <v>7315.8</v>
      </c>
      <c r="F508" s="21" t="n">
        <f aca="false">SUMIFS('CEMI Raw'!$C$6:$C$1018,'CEMI Raw'!$E$6:$E$1018,$A508,'CEMI Raw'!$B$6:$B$1018,2026)</f>
        <v>301</v>
      </c>
      <c r="G508" s="22" t="n">
        <f aca="false">SUMIFS('CEMI Raw'!$D$6:$D$1018,'CEMI Raw'!$E$6:$E$1018,$A508,'CEMI Raw'!$B$6:$B$1018,2026)</f>
        <v>5909.1</v>
      </c>
      <c r="H508" s="21" t="n">
        <f aca="false">SUMIFS('SALES Raw'!$C$6:$C$603,'SALES Raw'!$E$6:$E$603,$A508,'SALES Raw'!$B$6:$B$603,2025)</f>
        <v>17</v>
      </c>
      <c r="I508" s="22" t="n">
        <f aca="false">SUMIFS('SALES Raw'!$D$6:$D$603,'SALES Raw'!$E$6:$E$603,$A508,'SALES Raw'!$B$6:$B$603,2025)</f>
        <v>330.87</v>
      </c>
      <c r="J508" s="21" t="n">
        <f aca="false">SUMIFS('SALES Raw'!$C$6:$C$603,'SALES Raw'!$E$6:$E$603,$A508,'SALES Raw'!$B$6:$B$603,2026)</f>
        <v>6</v>
      </c>
      <c r="K508" s="22" t="n">
        <f aca="false">SUMIFS('SALES Raw'!$D$6:$D$603,'SALES Raw'!$E$6:$E$603,$A508,'SALES Raw'!$B$6:$B$603,2026)</f>
        <v>120.67</v>
      </c>
      <c r="L508" s="21" t="n">
        <f aca="false">D508+H508</f>
        <v>399</v>
      </c>
      <c r="M508" s="22" t="n">
        <f aca="false">E508+I508</f>
        <v>7646.67</v>
      </c>
      <c r="N508" s="21" t="n">
        <f aca="false">F508+J508</f>
        <v>307</v>
      </c>
      <c r="O508" s="22" t="n">
        <f aca="false">G508+K508</f>
        <v>6029.77</v>
      </c>
    </row>
    <row r="509" customFormat="false" ht="15" hidden="false" customHeight="false" outlineLevel="0" collapsed="false">
      <c r="A509" s="20" t="n">
        <v>4415163</v>
      </c>
      <c r="B509" s="20" t="str">
        <f aca="false">IFERROR(INDEX('Catalog'!$B:$B,MATCH($A509,'Catalog'!$A:$A,0)),"")</f>
        <v>238XL סד ליישור אצבע</v>
      </c>
      <c r="C509" s="20" t="str">
        <f aca="false">IFERROR(INDEX('TRANS'!$A:$A,MATCH($A509,'TRANS'!$B:$B,0)),"")</f>
        <v>238 XL</v>
      </c>
      <c r="D509" s="21" t="n">
        <f aca="false">SUMIFS('CEMI Raw'!$C$6:$C$1018,'CEMI Raw'!$E$6:$E$1018,$A509,'CEMI Raw'!$B$6:$B$1018,2025)</f>
        <v>222</v>
      </c>
      <c r="E509" s="22" t="n">
        <f aca="false">SUMIFS('CEMI Raw'!$D$6:$D$1018,'CEMI Raw'!$E$6:$E$1018,$A509,'CEMI Raw'!$B$6:$B$1018,2025)</f>
        <v>4293</v>
      </c>
      <c r="F509" s="21" t="n">
        <f aca="false">SUMIFS('CEMI Raw'!$C$6:$C$1018,'CEMI Raw'!$E$6:$E$1018,$A509,'CEMI Raw'!$B$6:$B$1018,2026)</f>
        <v>154</v>
      </c>
      <c r="G509" s="22" t="n">
        <f aca="false">SUMIFS('CEMI Raw'!$D$6:$D$1018,'CEMI Raw'!$E$6:$E$1018,$A509,'CEMI Raw'!$B$6:$B$1018,2026)</f>
        <v>3046.2</v>
      </c>
      <c r="H509" s="21" t="n">
        <f aca="false">SUMIFS('SALES Raw'!$C$6:$C$603,'SALES Raw'!$E$6:$E$603,$A509,'SALES Raw'!$B$6:$B$603,2025)</f>
        <v>9</v>
      </c>
      <c r="I509" s="22" t="n">
        <f aca="false">SUMIFS('SALES Raw'!$D$6:$D$603,'SALES Raw'!$E$6:$E$603,$A509,'SALES Raw'!$B$6:$B$603,2025)</f>
        <v>170.02</v>
      </c>
      <c r="J509" s="21" t="n">
        <f aca="false">SUMIFS('SALES Raw'!$C$6:$C$603,'SALES Raw'!$E$6:$E$603,$A509,'SALES Raw'!$B$6:$B$603,2026)</f>
        <v>6</v>
      </c>
      <c r="K509" s="22" t="n">
        <f aca="false">SUMIFS('SALES Raw'!$D$6:$D$603,'SALES Raw'!$E$6:$E$603,$A509,'SALES Raw'!$B$6:$B$603,2026)</f>
        <v>120.64</v>
      </c>
      <c r="L509" s="21" t="n">
        <f aca="false">D509+H509</f>
        <v>231</v>
      </c>
      <c r="M509" s="22" t="n">
        <f aca="false">E509+I509</f>
        <v>4463.02</v>
      </c>
      <c r="N509" s="21" t="n">
        <f aca="false">F509+J509</f>
        <v>160</v>
      </c>
      <c r="O509" s="22" t="n">
        <f aca="false">G509+K509</f>
        <v>3166.84</v>
      </c>
    </row>
    <row r="510" customFormat="false" ht="15" hidden="false" customHeight="false" outlineLevel="0" collapsed="false">
      <c r="A510" s="20" t="n">
        <v>4415164</v>
      </c>
      <c r="B510" s="20" t="str">
        <f aca="false">IFERROR(INDEX('Catalog'!$B:$B,MATCH($A510,'Catalog'!$A:$A,0)),"")</f>
        <v>267LC  L-XL 'סד יד שמאל בז</v>
      </c>
      <c r="C510" s="20" t="str">
        <f aca="false">IFERROR(INDEX('TRANS'!$A:$A,MATCH($A510,'TRANS'!$B:$B,0)),"")</f>
        <v/>
      </c>
      <c r="D510" s="21" t="n">
        <f aca="false">SUMIFS('CEMI Raw'!$C$6:$C$1018,'CEMI Raw'!$E$6:$E$1018,$A510,'CEMI Raw'!$B$6:$B$1018,2025)</f>
        <v>1</v>
      </c>
      <c r="E510" s="22" t="n">
        <f aca="false">SUMIFS('CEMI Raw'!$D$6:$D$1018,'CEMI Raw'!$E$6:$E$1018,$A510,'CEMI Raw'!$B$6:$B$1018,2025)</f>
        <v>108.7</v>
      </c>
      <c r="F510" s="21" t="n">
        <f aca="false">SUMIFS('CEMI Raw'!$C$6:$C$1018,'CEMI Raw'!$E$6:$E$1018,$A510,'CEMI Raw'!$B$6:$B$1018,2026)</f>
        <v>0</v>
      </c>
      <c r="G510" s="22" t="n">
        <f aca="false">SUMIFS('CEMI Raw'!$D$6:$D$1018,'CEMI Raw'!$E$6:$E$1018,$A510,'CEMI Raw'!$B$6:$B$1018,2026)</f>
        <v>0</v>
      </c>
      <c r="H510" s="21" t="n">
        <f aca="false">SUMIFS('SALES Raw'!$C$6:$C$603,'SALES Raw'!$E$6:$E$603,$A510,'SALES Raw'!$B$6:$B$603,2025)</f>
        <v>0</v>
      </c>
      <c r="I510" s="22" t="n">
        <f aca="false">SUMIFS('SALES Raw'!$D$6:$D$603,'SALES Raw'!$E$6:$E$603,$A510,'SALES Raw'!$B$6:$B$603,2025)</f>
        <v>0</v>
      </c>
      <c r="J510" s="21" t="n">
        <f aca="false">SUMIFS('SALES Raw'!$C$6:$C$603,'SALES Raw'!$E$6:$E$603,$A510,'SALES Raw'!$B$6:$B$603,2026)</f>
        <v>0</v>
      </c>
      <c r="K510" s="22" t="n">
        <f aca="false">SUMIFS('SALES Raw'!$D$6:$D$603,'SALES Raw'!$E$6:$E$603,$A510,'SALES Raw'!$B$6:$B$603,2026)</f>
        <v>0</v>
      </c>
      <c r="L510" s="21" t="n">
        <f aca="false">D510+H510</f>
        <v>1</v>
      </c>
      <c r="M510" s="22" t="n">
        <f aca="false">E510+I510</f>
        <v>108.7</v>
      </c>
      <c r="N510" s="21" t="n">
        <f aca="false">F510+J510</f>
        <v>0</v>
      </c>
      <c r="O510" s="22" t="n">
        <f aca="false">G510+K510</f>
        <v>0</v>
      </c>
    </row>
    <row r="511" customFormat="false" ht="15" hidden="false" customHeight="false" outlineLevel="0" collapsed="false">
      <c r="A511" s="20" t="n">
        <v>4415165</v>
      </c>
      <c r="B511" s="20" t="str">
        <f aca="false">IFERROR(INDEX('Catalog'!$B:$B,MATCH($A511,'Catalog'!$A:$A,0)),"")</f>
        <v>267LC   S-M'סד יד שמאל בז</v>
      </c>
      <c r="C511" s="20" t="str">
        <f aca="false">IFERROR(INDEX('TRANS'!$A:$A,MATCH($A511,'TRANS'!$B:$B,0)),"")</f>
        <v/>
      </c>
      <c r="D511" s="21" t="n">
        <f aca="false">SUMIFS('CEMI Raw'!$C$6:$C$1018,'CEMI Raw'!$E$6:$E$1018,$A511,'CEMI Raw'!$B$6:$B$1018,2025)</f>
        <v>1</v>
      </c>
      <c r="E511" s="22" t="n">
        <f aca="false">SUMIFS('CEMI Raw'!$D$6:$D$1018,'CEMI Raw'!$E$6:$E$1018,$A511,'CEMI Raw'!$B$6:$B$1018,2025)</f>
        <v>108.7</v>
      </c>
      <c r="F511" s="21" t="n">
        <f aca="false">SUMIFS('CEMI Raw'!$C$6:$C$1018,'CEMI Raw'!$E$6:$E$1018,$A511,'CEMI Raw'!$B$6:$B$1018,2026)</f>
        <v>0</v>
      </c>
      <c r="G511" s="22" t="n">
        <f aca="false">SUMIFS('CEMI Raw'!$D$6:$D$1018,'CEMI Raw'!$E$6:$E$1018,$A511,'CEMI Raw'!$B$6:$B$1018,2026)</f>
        <v>0</v>
      </c>
      <c r="H511" s="21" t="n">
        <f aca="false">SUMIFS('SALES Raw'!$C$6:$C$603,'SALES Raw'!$E$6:$E$603,$A511,'SALES Raw'!$B$6:$B$603,2025)</f>
        <v>0</v>
      </c>
      <c r="I511" s="22" t="n">
        <f aca="false">SUMIFS('SALES Raw'!$D$6:$D$603,'SALES Raw'!$E$6:$E$603,$A511,'SALES Raw'!$B$6:$B$603,2025)</f>
        <v>0</v>
      </c>
      <c r="J511" s="21" t="n">
        <f aca="false">SUMIFS('SALES Raw'!$C$6:$C$603,'SALES Raw'!$E$6:$E$603,$A511,'SALES Raw'!$B$6:$B$603,2026)</f>
        <v>0</v>
      </c>
      <c r="K511" s="22" t="n">
        <f aca="false">SUMIFS('SALES Raw'!$D$6:$D$603,'SALES Raw'!$E$6:$E$603,$A511,'SALES Raw'!$B$6:$B$603,2026)</f>
        <v>0</v>
      </c>
      <c r="L511" s="21" t="n">
        <f aca="false">D511+H511</f>
        <v>1</v>
      </c>
      <c r="M511" s="22" t="n">
        <f aca="false">E511+I511</f>
        <v>108.7</v>
      </c>
      <c r="N511" s="21" t="n">
        <f aca="false">F511+J511</f>
        <v>0</v>
      </c>
      <c r="O511" s="22" t="n">
        <f aca="false">G511+K511</f>
        <v>0</v>
      </c>
    </row>
    <row r="512" customFormat="false" ht="15" hidden="false" customHeight="false" outlineLevel="0" collapsed="false">
      <c r="A512" s="20" t="n">
        <v>4415167</v>
      </c>
      <c r="B512" s="20" t="str">
        <f aca="false">IFERROR(INDEX('Catalog'!$B:$B,MATCH($A512,'Catalog'!$A:$A,0)),"")</f>
        <v>267RC  L-XL 'סד יד ימין בז</v>
      </c>
      <c r="C512" s="20" t="str">
        <f aca="false">IFERROR(INDEX('TRANS'!$A:$A,MATCH($A512,'TRANS'!$B:$B,0)),"")</f>
        <v/>
      </c>
      <c r="D512" s="21" t="n">
        <f aca="false">SUMIFS('CEMI Raw'!$C$6:$C$1018,'CEMI Raw'!$E$6:$E$1018,$A512,'CEMI Raw'!$B$6:$B$1018,2025)</f>
        <v>1</v>
      </c>
      <c r="E512" s="22" t="n">
        <f aca="false">SUMIFS('CEMI Raw'!$D$6:$D$1018,'CEMI Raw'!$E$6:$E$1018,$A512,'CEMI Raw'!$B$6:$B$1018,2025)</f>
        <v>108.7</v>
      </c>
      <c r="F512" s="21" t="n">
        <f aca="false">SUMIFS('CEMI Raw'!$C$6:$C$1018,'CEMI Raw'!$E$6:$E$1018,$A512,'CEMI Raw'!$B$6:$B$1018,2026)</f>
        <v>0</v>
      </c>
      <c r="G512" s="22" t="n">
        <f aca="false">SUMIFS('CEMI Raw'!$D$6:$D$1018,'CEMI Raw'!$E$6:$E$1018,$A512,'CEMI Raw'!$B$6:$B$1018,2026)</f>
        <v>0</v>
      </c>
      <c r="H512" s="21" t="n">
        <f aca="false">SUMIFS('SALES Raw'!$C$6:$C$603,'SALES Raw'!$E$6:$E$603,$A512,'SALES Raw'!$B$6:$B$603,2025)</f>
        <v>0</v>
      </c>
      <c r="I512" s="22" t="n">
        <f aca="false">SUMIFS('SALES Raw'!$D$6:$D$603,'SALES Raw'!$E$6:$E$603,$A512,'SALES Raw'!$B$6:$B$603,2025)</f>
        <v>0</v>
      </c>
      <c r="J512" s="21" t="n">
        <f aca="false">SUMIFS('SALES Raw'!$C$6:$C$603,'SALES Raw'!$E$6:$E$603,$A512,'SALES Raw'!$B$6:$B$603,2026)</f>
        <v>0</v>
      </c>
      <c r="K512" s="22" t="n">
        <f aca="false">SUMIFS('SALES Raw'!$D$6:$D$603,'SALES Raw'!$E$6:$E$603,$A512,'SALES Raw'!$B$6:$B$603,2026)</f>
        <v>0</v>
      </c>
      <c r="L512" s="21" t="n">
        <f aca="false">D512+H512</f>
        <v>1</v>
      </c>
      <c r="M512" s="22" t="n">
        <f aca="false">E512+I512</f>
        <v>108.7</v>
      </c>
      <c r="N512" s="21" t="n">
        <f aca="false">F512+J512</f>
        <v>0</v>
      </c>
      <c r="O512" s="22" t="n">
        <f aca="false">G512+K512</f>
        <v>0</v>
      </c>
    </row>
    <row r="513" customFormat="false" ht="15" hidden="false" customHeight="false" outlineLevel="0" collapsed="false">
      <c r="A513" s="20" t="n">
        <v>4415168</v>
      </c>
      <c r="B513" s="20" t="str">
        <f aca="false">IFERROR(INDEX('Catalog'!$B:$B,MATCH($A513,'Catalog'!$A:$A,0)),"")</f>
        <v>267RC  S-M 'סד יד ימין בז</v>
      </c>
      <c r="C513" s="20" t="str">
        <f aca="false">IFERROR(INDEX('TRANS'!$A:$A,MATCH($A513,'TRANS'!$B:$B,0)),"")</f>
        <v/>
      </c>
      <c r="D513" s="21" t="n">
        <f aca="false">SUMIFS('CEMI Raw'!$C$6:$C$1018,'CEMI Raw'!$E$6:$E$1018,$A513,'CEMI Raw'!$B$6:$B$1018,2025)</f>
        <v>1</v>
      </c>
      <c r="E513" s="22" t="n">
        <f aca="false">SUMIFS('CEMI Raw'!$D$6:$D$1018,'CEMI Raw'!$E$6:$E$1018,$A513,'CEMI Raw'!$B$6:$B$1018,2025)</f>
        <v>108.7</v>
      </c>
      <c r="F513" s="21" t="n">
        <f aca="false">SUMIFS('CEMI Raw'!$C$6:$C$1018,'CEMI Raw'!$E$6:$E$1018,$A513,'CEMI Raw'!$B$6:$B$1018,2026)</f>
        <v>0</v>
      </c>
      <c r="G513" s="22" t="n">
        <f aca="false">SUMIFS('CEMI Raw'!$D$6:$D$1018,'CEMI Raw'!$E$6:$E$1018,$A513,'CEMI Raw'!$B$6:$B$1018,2026)</f>
        <v>0</v>
      </c>
      <c r="H513" s="21" t="n">
        <f aca="false">SUMIFS('SALES Raw'!$C$6:$C$603,'SALES Raw'!$E$6:$E$603,$A513,'SALES Raw'!$B$6:$B$603,2025)</f>
        <v>0</v>
      </c>
      <c r="I513" s="22" t="n">
        <f aca="false">SUMIFS('SALES Raw'!$D$6:$D$603,'SALES Raw'!$E$6:$E$603,$A513,'SALES Raw'!$B$6:$B$603,2025)</f>
        <v>0</v>
      </c>
      <c r="J513" s="21" t="n">
        <f aca="false">SUMIFS('SALES Raw'!$C$6:$C$603,'SALES Raw'!$E$6:$E$603,$A513,'SALES Raw'!$B$6:$B$603,2026)</f>
        <v>0</v>
      </c>
      <c r="K513" s="22" t="n">
        <f aca="false">SUMIFS('SALES Raw'!$D$6:$D$603,'SALES Raw'!$E$6:$E$603,$A513,'SALES Raw'!$B$6:$B$603,2026)</f>
        <v>0</v>
      </c>
      <c r="L513" s="21" t="n">
        <f aca="false">D513+H513</f>
        <v>1</v>
      </c>
      <c r="M513" s="22" t="n">
        <f aca="false">E513+I513</f>
        <v>108.7</v>
      </c>
      <c r="N513" s="21" t="n">
        <f aca="false">F513+J513</f>
        <v>0</v>
      </c>
      <c r="O513" s="22" t="n">
        <f aca="false">G513+K513</f>
        <v>0</v>
      </c>
    </row>
    <row r="514" customFormat="false" ht="15" hidden="false" customHeight="false" outlineLevel="0" collapsed="false">
      <c r="A514" s="20" t="n">
        <v>4415170</v>
      </c>
      <c r="B514" s="20" t="str">
        <f aca="false">IFERROR(INDEX('Catalog'!$B:$B,MATCH($A514,'Catalog'!$A:$A,0)),"")</f>
        <v>267LB  L-XLסד יד שמאל שחור</v>
      </c>
      <c r="C514" s="20" t="str">
        <f aca="false">IFERROR(INDEX('TRANS'!$A:$A,MATCH($A514,'TRANS'!$B:$B,0)),"")</f>
        <v/>
      </c>
      <c r="D514" s="21" t="n">
        <f aca="false">SUMIFS('CEMI Raw'!$C$6:$C$1018,'CEMI Raw'!$E$6:$E$1018,$A514,'CEMI Raw'!$B$6:$B$1018,2025)</f>
        <v>1</v>
      </c>
      <c r="E514" s="22" t="n">
        <f aca="false">SUMIFS('CEMI Raw'!$D$6:$D$1018,'CEMI Raw'!$E$6:$E$1018,$A514,'CEMI Raw'!$B$6:$B$1018,2025)</f>
        <v>108.7</v>
      </c>
      <c r="F514" s="21" t="n">
        <f aca="false">SUMIFS('CEMI Raw'!$C$6:$C$1018,'CEMI Raw'!$E$6:$E$1018,$A514,'CEMI Raw'!$B$6:$B$1018,2026)</f>
        <v>0</v>
      </c>
      <c r="G514" s="22" t="n">
        <f aca="false">SUMIFS('CEMI Raw'!$D$6:$D$1018,'CEMI Raw'!$E$6:$E$1018,$A514,'CEMI Raw'!$B$6:$B$1018,2026)</f>
        <v>0</v>
      </c>
      <c r="H514" s="21" t="n">
        <f aca="false">SUMIFS('SALES Raw'!$C$6:$C$603,'SALES Raw'!$E$6:$E$603,$A514,'SALES Raw'!$B$6:$B$603,2025)</f>
        <v>0</v>
      </c>
      <c r="I514" s="22" t="n">
        <f aca="false">SUMIFS('SALES Raw'!$D$6:$D$603,'SALES Raw'!$E$6:$E$603,$A514,'SALES Raw'!$B$6:$B$603,2025)</f>
        <v>0</v>
      </c>
      <c r="J514" s="21" t="n">
        <f aca="false">SUMIFS('SALES Raw'!$C$6:$C$603,'SALES Raw'!$E$6:$E$603,$A514,'SALES Raw'!$B$6:$B$603,2026)</f>
        <v>0</v>
      </c>
      <c r="K514" s="22" t="n">
        <f aca="false">SUMIFS('SALES Raw'!$D$6:$D$603,'SALES Raw'!$E$6:$E$603,$A514,'SALES Raw'!$B$6:$B$603,2026)</f>
        <v>0</v>
      </c>
      <c r="L514" s="21" t="n">
        <f aca="false">D514+H514</f>
        <v>1</v>
      </c>
      <c r="M514" s="22" t="n">
        <f aca="false">E514+I514</f>
        <v>108.7</v>
      </c>
      <c r="N514" s="21" t="n">
        <f aca="false">F514+J514</f>
        <v>0</v>
      </c>
      <c r="O514" s="22" t="n">
        <f aca="false">G514+K514</f>
        <v>0</v>
      </c>
    </row>
    <row r="515" customFormat="false" ht="15" hidden="false" customHeight="false" outlineLevel="0" collapsed="false">
      <c r="A515" s="20" t="n">
        <v>4415171</v>
      </c>
      <c r="B515" s="20" t="str">
        <f aca="false">IFERROR(INDEX('Catalog'!$B:$B,MATCH($A515,'Catalog'!$A:$A,0)),"")</f>
        <v>267LB  S-M סד יד שמאל שחור</v>
      </c>
      <c r="C515" s="20" t="str">
        <f aca="false">IFERROR(INDEX('TRANS'!$A:$A,MATCH($A515,'TRANS'!$B:$B,0)),"")</f>
        <v/>
      </c>
      <c r="D515" s="21" t="n">
        <f aca="false">SUMIFS('CEMI Raw'!$C$6:$C$1018,'CEMI Raw'!$E$6:$E$1018,$A515,'CEMI Raw'!$B$6:$B$1018,2025)</f>
        <v>1</v>
      </c>
      <c r="E515" s="22" t="n">
        <f aca="false">SUMIFS('CEMI Raw'!$D$6:$D$1018,'CEMI Raw'!$E$6:$E$1018,$A515,'CEMI Raw'!$B$6:$B$1018,2025)</f>
        <v>108.7</v>
      </c>
      <c r="F515" s="21" t="n">
        <f aca="false">SUMIFS('CEMI Raw'!$C$6:$C$1018,'CEMI Raw'!$E$6:$E$1018,$A515,'CEMI Raw'!$B$6:$B$1018,2026)</f>
        <v>0</v>
      </c>
      <c r="G515" s="22" t="n">
        <f aca="false">SUMIFS('CEMI Raw'!$D$6:$D$1018,'CEMI Raw'!$E$6:$E$1018,$A515,'CEMI Raw'!$B$6:$B$1018,2026)</f>
        <v>0</v>
      </c>
      <c r="H515" s="21" t="n">
        <f aca="false">SUMIFS('SALES Raw'!$C$6:$C$603,'SALES Raw'!$E$6:$E$603,$A515,'SALES Raw'!$B$6:$B$603,2025)</f>
        <v>0</v>
      </c>
      <c r="I515" s="22" t="n">
        <f aca="false">SUMIFS('SALES Raw'!$D$6:$D$603,'SALES Raw'!$E$6:$E$603,$A515,'SALES Raw'!$B$6:$B$603,2025)</f>
        <v>0</v>
      </c>
      <c r="J515" s="21" t="n">
        <f aca="false">SUMIFS('SALES Raw'!$C$6:$C$603,'SALES Raw'!$E$6:$E$603,$A515,'SALES Raw'!$B$6:$B$603,2026)</f>
        <v>0</v>
      </c>
      <c r="K515" s="22" t="n">
        <f aca="false">SUMIFS('SALES Raw'!$D$6:$D$603,'SALES Raw'!$E$6:$E$603,$A515,'SALES Raw'!$B$6:$B$603,2026)</f>
        <v>0</v>
      </c>
      <c r="L515" s="21" t="n">
        <f aca="false">D515+H515</f>
        <v>1</v>
      </c>
      <c r="M515" s="22" t="n">
        <f aca="false">E515+I515</f>
        <v>108.7</v>
      </c>
      <c r="N515" s="21" t="n">
        <f aca="false">F515+J515</f>
        <v>0</v>
      </c>
      <c r="O515" s="22" t="n">
        <f aca="false">G515+K515</f>
        <v>0</v>
      </c>
    </row>
    <row r="516" customFormat="false" ht="15" hidden="false" customHeight="false" outlineLevel="0" collapsed="false">
      <c r="A516" s="20" t="n">
        <v>4415173</v>
      </c>
      <c r="B516" s="20" t="str">
        <f aca="false">IFERROR(INDEX('Catalog'!$B:$B,MATCH($A516,'Catalog'!$A:$A,0)),"")</f>
        <v>267RB  L-XLסד יד ימין שחור</v>
      </c>
      <c r="C516" s="20" t="str">
        <f aca="false">IFERROR(INDEX('TRANS'!$A:$A,MATCH($A516,'TRANS'!$B:$B,0)),"")</f>
        <v/>
      </c>
      <c r="D516" s="21" t="n">
        <f aca="false">SUMIFS('CEMI Raw'!$C$6:$C$1018,'CEMI Raw'!$E$6:$E$1018,$A516,'CEMI Raw'!$B$6:$B$1018,2025)</f>
        <v>1</v>
      </c>
      <c r="E516" s="22" t="n">
        <f aca="false">SUMIFS('CEMI Raw'!$D$6:$D$1018,'CEMI Raw'!$E$6:$E$1018,$A516,'CEMI Raw'!$B$6:$B$1018,2025)</f>
        <v>108.7</v>
      </c>
      <c r="F516" s="21" t="n">
        <f aca="false">SUMIFS('CEMI Raw'!$C$6:$C$1018,'CEMI Raw'!$E$6:$E$1018,$A516,'CEMI Raw'!$B$6:$B$1018,2026)</f>
        <v>0</v>
      </c>
      <c r="G516" s="22" t="n">
        <f aca="false">SUMIFS('CEMI Raw'!$D$6:$D$1018,'CEMI Raw'!$E$6:$E$1018,$A516,'CEMI Raw'!$B$6:$B$1018,2026)</f>
        <v>0</v>
      </c>
      <c r="H516" s="21" t="n">
        <f aca="false">SUMIFS('SALES Raw'!$C$6:$C$603,'SALES Raw'!$E$6:$E$603,$A516,'SALES Raw'!$B$6:$B$603,2025)</f>
        <v>0</v>
      </c>
      <c r="I516" s="22" t="n">
        <f aca="false">SUMIFS('SALES Raw'!$D$6:$D$603,'SALES Raw'!$E$6:$E$603,$A516,'SALES Raw'!$B$6:$B$603,2025)</f>
        <v>0</v>
      </c>
      <c r="J516" s="21" t="n">
        <f aca="false">SUMIFS('SALES Raw'!$C$6:$C$603,'SALES Raw'!$E$6:$E$603,$A516,'SALES Raw'!$B$6:$B$603,2026)</f>
        <v>0</v>
      </c>
      <c r="K516" s="22" t="n">
        <f aca="false">SUMIFS('SALES Raw'!$D$6:$D$603,'SALES Raw'!$E$6:$E$603,$A516,'SALES Raw'!$B$6:$B$603,2026)</f>
        <v>0</v>
      </c>
      <c r="L516" s="21" t="n">
        <f aca="false">D516+H516</f>
        <v>1</v>
      </c>
      <c r="M516" s="22" t="n">
        <f aca="false">E516+I516</f>
        <v>108.7</v>
      </c>
      <c r="N516" s="21" t="n">
        <f aca="false">F516+J516</f>
        <v>0</v>
      </c>
      <c r="O516" s="22" t="n">
        <f aca="false">G516+K516</f>
        <v>0</v>
      </c>
    </row>
    <row r="517" customFormat="false" ht="15" hidden="false" customHeight="false" outlineLevel="0" collapsed="false">
      <c r="A517" s="20" t="n">
        <v>4415174</v>
      </c>
      <c r="B517" s="20" t="str">
        <f aca="false">IFERROR(INDEX('Catalog'!$B:$B,MATCH($A517,'Catalog'!$A:$A,0)),"")</f>
        <v>267RB  S-M סד יד ימין שחור</v>
      </c>
      <c r="C517" s="20" t="str">
        <f aca="false">IFERROR(INDEX('TRANS'!$A:$A,MATCH($A517,'TRANS'!$B:$B,0)),"")</f>
        <v/>
      </c>
      <c r="D517" s="21" t="n">
        <f aca="false">SUMIFS('CEMI Raw'!$C$6:$C$1018,'CEMI Raw'!$E$6:$E$1018,$A517,'CEMI Raw'!$B$6:$B$1018,2025)</f>
        <v>1</v>
      </c>
      <c r="E517" s="22" t="n">
        <f aca="false">SUMIFS('CEMI Raw'!$D$6:$D$1018,'CEMI Raw'!$E$6:$E$1018,$A517,'CEMI Raw'!$B$6:$B$1018,2025)</f>
        <v>108.7</v>
      </c>
      <c r="F517" s="21" t="n">
        <f aca="false">SUMIFS('CEMI Raw'!$C$6:$C$1018,'CEMI Raw'!$E$6:$E$1018,$A517,'CEMI Raw'!$B$6:$B$1018,2026)</f>
        <v>0</v>
      </c>
      <c r="G517" s="22" t="n">
        <f aca="false">SUMIFS('CEMI Raw'!$D$6:$D$1018,'CEMI Raw'!$E$6:$E$1018,$A517,'CEMI Raw'!$B$6:$B$1018,2026)</f>
        <v>0</v>
      </c>
      <c r="H517" s="21" t="n">
        <f aca="false">SUMIFS('SALES Raw'!$C$6:$C$603,'SALES Raw'!$E$6:$E$603,$A517,'SALES Raw'!$B$6:$B$603,2025)</f>
        <v>0</v>
      </c>
      <c r="I517" s="22" t="n">
        <f aca="false">SUMIFS('SALES Raw'!$D$6:$D$603,'SALES Raw'!$E$6:$E$603,$A517,'SALES Raw'!$B$6:$B$603,2025)</f>
        <v>0</v>
      </c>
      <c r="J517" s="21" t="n">
        <f aca="false">SUMIFS('SALES Raw'!$C$6:$C$603,'SALES Raw'!$E$6:$E$603,$A517,'SALES Raw'!$B$6:$B$603,2026)</f>
        <v>0</v>
      </c>
      <c r="K517" s="22" t="n">
        <f aca="false">SUMIFS('SALES Raw'!$D$6:$D$603,'SALES Raw'!$E$6:$E$603,$A517,'SALES Raw'!$B$6:$B$603,2026)</f>
        <v>0</v>
      </c>
      <c r="L517" s="21" t="n">
        <f aca="false">D517+H517</f>
        <v>1</v>
      </c>
      <c r="M517" s="22" t="n">
        <f aca="false">E517+I517</f>
        <v>108.7</v>
      </c>
      <c r="N517" s="21" t="n">
        <f aca="false">F517+J517</f>
        <v>0</v>
      </c>
      <c r="O517" s="22" t="n">
        <f aca="false">G517+K517</f>
        <v>0</v>
      </c>
    </row>
    <row r="518" customFormat="false" ht="15" hidden="false" customHeight="false" outlineLevel="0" collapsed="false">
      <c r="A518" s="20" t="n">
        <v>4415297</v>
      </c>
      <c r="B518" s="20" t="str">
        <f aca="false">IFERROR(INDEX('Catalog'!$B:$B,MATCH($A518,'Catalog'!$A:$A,0)),"")</f>
        <v>313 סט פלסטרים נגד שפשופים</v>
      </c>
      <c r="C518" s="20" t="str">
        <f aca="false">IFERROR(INDEX('TRANS'!$A:$A,MATCH($A518,'TRANS'!$B:$B,0)),"")</f>
        <v>313 0</v>
      </c>
      <c r="D518" s="21" t="n">
        <f aca="false">SUMIFS('CEMI Raw'!$C$6:$C$1018,'CEMI Raw'!$E$6:$E$1018,$A518,'CEMI Raw'!$B$6:$B$1018,2025)</f>
        <v>316</v>
      </c>
      <c r="E518" s="22" t="n">
        <f aca="false">SUMIFS('CEMI Raw'!$D$6:$D$1018,'CEMI Raw'!$E$6:$E$1018,$A518,'CEMI Raw'!$B$6:$B$1018,2025)</f>
        <v>7117.5</v>
      </c>
      <c r="F518" s="21" t="n">
        <f aca="false">SUMIFS('CEMI Raw'!$C$6:$C$1018,'CEMI Raw'!$E$6:$E$1018,$A518,'CEMI Raw'!$B$6:$B$1018,2026)</f>
        <v>110</v>
      </c>
      <c r="G518" s="22" t="n">
        <f aca="false">SUMIFS('CEMI Raw'!$D$6:$D$1018,'CEMI Raw'!$E$6:$E$1018,$A518,'CEMI Raw'!$B$6:$B$1018,2026)</f>
        <v>2439.4</v>
      </c>
      <c r="H518" s="21" t="n">
        <f aca="false">SUMIFS('SALES Raw'!$C$6:$C$603,'SALES Raw'!$E$6:$E$603,$A518,'SALES Raw'!$B$6:$B$603,2025)</f>
        <v>4</v>
      </c>
      <c r="I518" s="22" t="n">
        <f aca="false">SUMIFS('SALES Raw'!$D$6:$D$603,'SALES Raw'!$E$6:$E$603,$A518,'SALES Raw'!$B$6:$B$603,2025)</f>
        <v>94.89</v>
      </c>
      <c r="J518" s="21" t="n">
        <f aca="false">SUMIFS('SALES Raw'!$C$6:$C$603,'SALES Raw'!$E$6:$E$603,$A518,'SALES Raw'!$B$6:$B$603,2026)</f>
        <v>5</v>
      </c>
      <c r="K518" s="22" t="n">
        <f aca="false">SUMIFS('SALES Raw'!$D$6:$D$603,'SALES Raw'!$E$6:$E$603,$A518,'SALES Raw'!$B$6:$B$603,2026)</f>
        <v>119.29</v>
      </c>
      <c r="L518" s="21" t="n">
        <f aca="false">D518+H518</f>
        <v>320</v>
      </c>
      <c r="M518" s="22" t="n">
        <f aca="false">E518+I518</f>
        <v>7212.39</v>
      </c>
      <c r="N518" s="21" t="n">
        <f aca="false">F518+J518</f>
        <v>115</v>
      </c>
      <c r="O518" s="22" t="n">
        <f aca="false">G518+K518</f>
        <v>2558.69</v>
      </c>
    </row>
    <row r="519" customFormat="false" ht="15" hidden="false" customHeight="false" outlineLevel="0" collapsed="false">
      <c r="A519" s="20" t="n">
        <v>4415298</v>
      </c>
      <c r="B519" s="20" t="str">
        <f aca="false">IFERROR(INDEX('Catalog'!$B:$B,MATCH($A519,'Catalog'!$A:$A,0)),"")</f>
        <v>388B L סד לילה שחור לבוהן שמאל</v>
      </c>
      <c r="C519" s="20" t="str">
        <f aca="false">IFERROR(INDEX('TRANS'!$A:$A,MATCH($A519,'TRANS'!$B:$B,0)),"")</f>
        <v>388BL 0</v>
      </c>
      <c r="D519" s="21" t="n">
        <f aca="false">SUMIFS('CEMI Raw'!$C$6:$C$1018,'CEMI Raw'!$E$6:$E$1018,$A519,'CEMI Raw'!$B$6:$B$1018,2025)</f>
        <v>43</v>
      </c>
      <c r="E519" s="22" t="n">
        <f aca="false">SUMIFS('CEMI Raw'!$D$6:$D$1018,'CEMI Raw'!$E$6:$E$1018,$A519,'CEMI Raw'!$B$6:$B$1018,2025)</f>
        <v>2988.8</v>
      </c>
      <c r="F519" s="21" t="n">
        <f aca="false">SUMIFS('CEMI Raw'!$C$6:$C$1018,'CEMI Raw'!$E$6:$E$1018,$A519,'CEMI Raw'!$B$6:$B$1018,2026)</f>
        <v>17</v>
      </c>
      <c r="G519" s="22" t="n">
        <f aca="false">SUMIFS('CEMI Raw'!$D$6:$D$1018,'CEMI Raw'!$E$6:$E$1018,$A519,'CEMI Raw'!$B$6:$B$1018,2026)</f>
        <v>1132.5</v>
      </c>
      <c r="H519" s="21" t="n">
        <f aca="false">SUMIFS('SALES Raw'!$C$6:$C$603,'SALES Raw'!$E$6:$E$603,$A519,'SALES Raw'!$B$6:$B$603,2025)</f>
        <v>4</v>
      </c>
      <c r="I519" s="22" t="n">
        <f aca="false">SUMIFS('SALES Raw'!$D$6:$D$603,'SALES Raw'!$E$6:$E$603,$A519,'SALES Raw'!$B$6:$B$603,2025)</f>
        <v>240</v>
      </c>
      <c r="J519" s="21" t="n">
        <f aca="false">SUMIFS('SALES Raw'!$C$6:$C$603,'SALES Raw'!$E$6:$E$603,$A519,'SALES Raw'!$B$6:$B$603,2026)</f>
        <v>4</v>
      </c>
      <c r="K519" s="22" t="n">
        <f aca="false">SUMIFS('SALES Raw'!$D$6:$D$603,'SALES Raw'!$E$6:$E$603,$A519,'SALES Raw'!$B$6:$B$603,2026)</f>
        <v>253.55</v>
      </c>
      <c r="L519" s="21" t="n">
        <f aca="false">D519+H519</f>
        <v>47</v>
      </c>
      <c r="M519" s="22" t="n">
        <f aca="false">E519+I519</f>
        <v>3228.8</v>
      </c>
      <c r="N519" s="21" t="n">
        <f aca="false">F519+J519</f>
        <v>21</v>
      </c>
      <c r="O519" s="22" t="n">
        <f aca="false">G519+K519</f>
        <v>1386.05</v>
      </c>
    </row>
    <row r="520" customFormat="false" ht="15" hidden="false" customHeight="false" outlineLevel="0" collapsed="false">
      <c r="A520" s="20" t="n">
        <v>4415299</v>
      </c>
      <c r="B520" s="20" t="str">
        <f aca="false">IFERROR(INDEX('Catalog'!$B:$B,MATCH($A520,'Catalog'!$A:$A,0)),"")</f>
        <v>388B L סד לילה שחור לבוהן ימין</v>
      </c>
      <c r="C520" s="20" t="str">
        <f aca="false">IFERROR(INDEX('TRANS'!$A:$A,MATCH($A520,'TRANS'!$B:$B,0)),"")</f>
        <v>388BR 0</v>
      </c>
      <c r="D520" s="21" t="n">
        <f aca="false">SUMIFS('CEMI Raw'!$C$6:$C$1018,'CEMI Raw'!$E$6:$E$1018,$A520,'CEMI Raw'!$B$6:$B$1018,2025)</f>
        <v>59</v>
      </c>
      <c r="E520" s="22" t="n">
        <f aca="false">SUMIFS('CEMI Raw'!$D$6:$D$1018,'CEMI Raw'!$E$6:$E$1018,$A520,'CEMI Raw'!$B$6:$B$1018,2025)</f>
        <v>4081.5</v>
      </c>
      <c r="F520" s="21" t="n">
        <f aca="false">SUMIFS('CEMI Raw'!$C$6:$C$1018,'CEMI Raw'!$E$6:$E$1018,$A520,'CEMI Raw'!$B$6:$B$1018,2026)</f>
        <v>16</v>
      </c>
      <c r="G520" s="22" t="n">
        <f aca="false">SUMIFS('CEMI Raw'!$D$6:$D$1018,'CEMI Raw'!$E$6:$E$1018,$A520,'CEMI Raw'!$B$6:$B$1018,2026)</f>
        <v>1147.2</v>
      </c>
      <c r="H520" s="21" t="n">
        <f aca="false">SUMIFS('SALES Raw'!$C$6:$C$603,'SALES Raw'!$E$6:$E$603,$A520,'SALES Raw'!$B$6:$B$603,2025)</f>
        <v>2</v>
      </c>
      <c r="I520" s="22" t="n">
        <f aca="false">SUMIFS('SALES Raw'!$D$6:$D$603,'SALES Raw'!$E$6:$E$603,$A520,'SALES Raw'!$B$6:$B$603,2025)</f>
        <v>120</v>
      </c>
      <c r="J520" s="21" t="n">
        <f aca="false">SUMIFS('SALES Raw'!$C$6:$C$603,'SALES Raw'!$E$6:$E$603,$A520,'SALES Raw'!$B$6:$B$603,2026)</f>
        <v>6</v>
      </c>
      <c r="K520" s="22" t="n">
        <f aca="false">SUMIFS('SALES Raw'!$D$6:$D$603,'SALES Raw'!$E$6:$E$603,$A520,'SALES Raw'!$B$6:$B$603,2026)</f>
        <v>373.55</v>
      </c>
      <c r="L520" s="21" t="n">
        <f aca="false">D520+H520</f>
        <v>61</v>
      </c>
      <c r="M520" s="22" t="n">
        <f aca="false">E520+I520</f>
        <v>4201.5</v>
      </c>
      <c r="N520" s="21" t="n">
        <f aca="false">F520+J520</f>
        <v>22</v>
      </c>
      <c r="O520" s="22" t="n">
        <f aca="false">G520+K520</f>
        <v>1520.75</v>
      </c>
    </row>
    <row r="521" customFormat="false" ht="15" hidden="false" customHeight="false" outlineLevel="0" collapsed="false">
      <c r="A521" s="20" t="n">
        <v>4416000</v>
      </c>
      <c r="B521" s="20" t="str">
        <f aca="false">IFERROR(INDEX('Catalog'!$B:$B,MATCH($A521,'Catalog'!$A:$A,0)),"")</f>
        <v>307 L עקבים לדורבן-זוג כריות</v>
      </c>
      <c r="C521" s="20" t="str">
        <f aca="false">IFERROR(INDEX('TRANS'!$A:$A,MATCH($A521,'TRANS'!$B:$B,0)),"")</f>
        <v>307 L</v>
      </c>
      <c r="D521" s="21" t="n">
        <f aca="false">SUMIFS('CEMI Raw'!$C$6:$C$1018,'CEMI Raw'!$E$6:$E$1018,$A521,'CEMI Raw'!$B$6:$B$1018,2025)</f>
        <v>158</v>
      </c>
      <c r="E521" s="22" t="n">
        <f aca="false">SUMIFS('CEMI Raw'!$D$6:$D$1018,'CEMI Raw'!$E$6:$E$1018,$A521,'CEMI Raw'!$B$6:$B$1018,2025)</f>
        <v>13067.4</v>
      </c>
      <c r="F521" s="21" t="n">
        <f aca="false">SUMIFS('CEMI Raw'!$C$6:$C$1018,'CEMI Raw'!$E$6:$E$1018,$A521,'CEMI Raw'!$B$6:$B$1018,2026)</f>
        <v>74</v>
      </c>
      <c r="G521" s="22" t="n">
        <f aca="false">SUMIFS('CEMI Raw'!$D$6:$D$1018,'CEMI Raw'!$E$6:$E$1018,$A521,'CEMI Raw'!$B$6:$B$1018,2026)</f>
        <v>6186</v>
      </c>
      <c r="H521" s="21" t="n">
        <f aca="false">SUMIFS('SALES Raw'!$C$6:$C$603,'SALES Raw'!$E$6:$E$603,$A521,'SALES Raw'!$B$6:$B$603,2025)</f>
        <v>3</v>
      </c>
      <c r="I521" s="22" t="n">
        <f aca="false">SUMIFS('SALES Raw'!$D$6:$D$603,'SALES Raw'!$E$6:$E$603,$A521,'SALES Raw'!$B$6:$B$603,2025)</f>
        <v>276.73</v>
      </c>
      <c r="J521" s="21" t="n">
        <f aca="false">SUMIFS('SALES Raw'!$C$6:$C$603,'SALES Raw'!$E$6:$E$603,$A521,'SALES Raw'!$B$6:$B$603,2026)</f>
        <v>1</v>
      </c>
      <c r="K521" s="22" t="n">
        <f aca="false">SUMIFS('SALES Raw'!$D$6:$D$603,'SALES Raw'!$E$6:$E$603,$A521,'SALES Raw'!$B$6:$B$603,2026)</f>
        <v>92.29</v>
      </c>
      <c r="L521" s="21" t="n">
        <f aca="false">D521+H521</f>
        <v>161</v>
      </c>
      <c r="M521" s="22" t="n">
        <f aca="false">E521+I521</f>
        <v>13344.13</v>
      </c>
      <c r="N521" s="21" t="n">
        <f aca="false">F521+J521</f>
        <v>75</v>
      </c>
      <c r="O521" s="22" t="n">
        <f aca="false">G521+K521</f>
        <v>6278.29</v>
      </c>
    </row>
    <row r="522" customFormat="false" ht="15" hidden="false" customHeight="false" outlineLevel="0" collapsed="false">
      <c r="A522" s="20" t="n">
        <v>4416001</v>
      </c>
      <c r="B522" s="20" t="str">
        <f aca="false">IFERROR(INDEX('Catalog'!$B:$B,MATCH($A522,'Catalog'!$A:$A,0)),"")</f>
        <v>307 M עקבים לדורבן-זוג כריות</v>
      </c>
      <c r="C522" s="20" t="str">
        <f aca="false">IFERROR(INDEX('TRANS'!$A:$A,MATCH($A522,'TRANS'!$B:$B,0)),"")</f>
        <v>307 M</v>
      </c>
      <c r="D522" s="21" t="n">
        <f aca="false">SUMIFS('CEMI Raw'!$C$6:$C$1018,'CEMI Raw'!$E$6:$E$1018,$A522,'CEMI Raw'!$B$6:$B$1018,2025)</f>
        <v>157</v>
      </c>
      <c r="E522" s="22" t="n">
        <f aca="false">SUMIFS('CEMI Raw'!$D$6:$D$1018,'CEMI Raw'!$E$6:$E$1018,$A522,'CEMI Raw'!$B$6:$B$1018,2025)</f>
        <v>12875.5</v>
      </c>
      <c r="F522" s="21" t="n">
        <f aca="false">SUMIFS('CEMI Raw'!$C$6:$C$1018,'CEMI Raw'!$E$6:$E$1018,$A522,'CEMI Raw'!$B$6:$B$1018,2026)</f>
        <v>90</v>
      </c>
      <c r="G522" s="22" t="n">
        <f aca="false">SUMIFS('CEMI Raw'!$D$6:$D$1018,'CEMI Raw'!$E$6:$E$1018,$A522,'CEMI Raw'!$B$6:$B$1018,2026)</f>
        <v>7849.8</v>
      </c>
      <c r="H522" s="21" t="n">
        <f aca="false">SUMIFS('SALES Raw'!$C$6:$C$603,'SALES Raw'!$E$6:$E$603,$A522,'SALES Raw'!$B$6:$B$603,2025)</f>
        <v>2</v>
      </c>
      <c r="I522" s="22" t="n">
        <f aca="false">SUMIFS('SALES Raw'!$D$6:$D$603,'SALES Raw'!$E$6:$E$603,$A522,'SALES Raw'!$B$6:$B$603,2025)</f>
        <v>184.59</v>
      </c>
      <c r="J522" s="21" t="n">
        <f aca="false">SUMIFS('SALES Raw'!$C$6:$C$603,'SALES Raw'!$E$6:$E$603,$A522,'SALES Raw'!$B$6:$B$603,2026)</f>
        <v>0</v>
      </c>
      <c r="K522" s="22" t="n">
        <f aca="false">SUMIFS('SALES Raw'!$D$6:$D$603,'SALES Raw'!$E$6:$E$603,$A522,'SALES Raw'!$B$6:$B$603,2026)</f>
        <v>0</v>
      </c>
      <c r="L522" s="21" t="n">
        <f aca="false">D522+H522</f>
        <v>159</v>
      </c>
      <c r="M522" s="22" t="n">
        <f aca="false">E522+I522</f>
        <v>13060.09</v>
      </c>
      <c r="N522" s="21" t="n">
        <f aca="false">F522+J522</f>
        <v>90</v>
      </c>
      <c r="O522" s="22" t="n">
        <f aca="false">G522+K522</f>
        <v>7849.8</v>
      </c>
    </row>
    <row r="523" customFormat="false" ht="15" hidden="false" customHeight="false" outlineLevel="0" collapsed="false">
      <c r="A523" s="20" t="n">
        <v>4416002</v>
      </c>
      <c r="B523" s="20" t="str">
        <f aca="false">IFERROR(INDEX('Catalog'!$B:$B,MATCH($A523,'Catalog'!$A:$A,0)),"")</f>
        <v>307 S עקבים לדורבן-זוג כריות</v>
      </c>
      <c r="C523" s="20" t="str">
        <f aca="false">IFERROR(INDEX('TRANS'!$A:$A,MATCH($A523,'TRANS'!$B:$B,0)),"")</f>
        <v>307 S</v>
      </c>
      <c r="D523" s="21" t="n">
        <f aca="false">SUMIFS('CEMI Raw'!$C$6:$C$1018,'CEMI Raw'!$E$6:$E$1018,$A523,'CEMI Raw'!$B$6:$B$1018,2025)</f>
        <v>46</v>
      </c>
      <c r="E523" s="22" t="n">
        <f aca="false">SUMIFS('CEMI Raw'!$D$6:$D$1018,'CEMI Raw'!$E$6:$E$1018,$A523,'CEMI Raw'!$B$6:$B$1018,2025)</f>
        <v>3635.5</v>
      </c>
      <c r="F523" s="21" t="n">
        <f aca="false">SUMIFS('CEMI Raw'!$C$6:$C$1018,'CEMI Raw'!$E$6:$E$1018,$A523,'CEMI Raw'!$B$6:$B$1018,2026)</f>
        <v>18</v>
      </c>
      <c r="G523" s="22" t="n">
        <f aca="false">SUMIFS('CEMI Raw'!$D$6:$D$1018,'CEMI Raw'!$E$6:$E$1018,$A523,'CEMI Raw'!$B$6:$B$1018,2026)</f>
        <v>1513.6</v>
      </c>
      <c r="H523" s="21" t="n">
        <f aca="false">SUMIFS('SALES Raw'!$C$6:$C$603,'SALES Raw'!$E$6:$E$603,$A523,'SALES Raw'!$B$6:$B$603,2025)</f>
        <v>0</v>
      </c>
      <c r="I523" s="22" t="n">
        <f aca="false">SUMIFS('SALES Raw'!$D$6:$D$603,'SALES Raw'!$E$6:$E$603,$A523,'SALES Raw'!$B$6:$B$603,2025)</f>
        <v>0</v>
      </c>
      <c r="J523" s="21" t="n">
        <f aca="false">SUMIFS('SALES Raw'!$C$6:$C$603,'SALES Raw'!$E$6:$E$603,$A523,'SALES Raw'!$B$6:$B$603,2026)</f>
        <v>1</v>
      </c>
      <c r="K523" s="22" t="n">
        <f aca="false">SUMIFS('SALES Raw'!$D$6:$D$603,'SALES Raw'!$E$6:$E$603,$A523,'SALES Raw'!$B$6:$B$603,2026)</f>
        <v>92.3</v>
      </c>
      <c r="L523" s="21" t="n">
        <f aca="false">D523+H523</f>
        <v>46</v>
      </c>
      <c r="M523" s="22" t="n">
        <f aca="false">E523+I523</f>
        <v>3635.5</v>
      </c>
      <c r="N523" s="21" t="n">
        <f aca="false">F523+J523</f>
        <v>19</v>
      </c>
      <c r="O523" s="22" t="n">
        <f aca="false">G523+K523</f>
        <v>1605.9</v>
      </c>
    </row>
    <row r="524" customFormat="false" ht="15" hidden="false" customHeight="false" outlineLevel="0" collapsed="false">
      <c r="A524" s="20" t="n">
        <v>4416003</v>
      </c>
      <c r="B524" s="20" t="str">
        <f aca="false">IFERROR(INDEX('Catalog'!$B:$B,MATCH($A524,'Catalog'!$A:$A,0)),"")</f>
        <v>308 Lעקבים סיליקון כחול לדורבן</v>
      </c>
      <c r="C524" s="20" t="str">
        <f aca="false">IFERROR(INDEX('TRANS'!$A:$A,MATCH($A524,'TRANS'!$B:$B,0)),"")</f>
        <v>308 L</v>
      </c>
      <c r="D524" s="21" t="n">
        <f aca="false">SUMIFS('CEMI Raw'!$C$6:$C$1018,'CEMI Raw'!$E$6:$E$1018,$A524,'CEMI Raw'!$B$6:$B$1018,2025)</f>
        <v>124</v>
      </c>
      <c r="E524" s="22" t="n">
        <f aca="false">SUMIFS('CEMI Raw'!$D$6:$D$1018,'CEMI Raw'!$E$6:$E$1018,$A524,'CEMI Raw'!$B$6:$B$1018,2025)</f>
        <v>6812.1</v>
      </c>
      <c r="F524" s="21" t="n">
        <f aca="false">SUMIFS('CEMI Raw'!$C$6:$C$1018,'CEMI Raw'!$E$6:$E$1018,$A524,'CEMI Raw'!$B$6:$B$1018,2026)</f>
        <v>75</v>
      </c>
      <c r="G524" s="22" t="n">
        <f aca="false">SUMIFS('CEMI Raw'!$D$6:$D$1018,'CEMI Raw'!$E$6:$E$1018,$A524,'CEMI Raw'!$B$6:$B$1018,2026)</f>
        <v>4255.9</v>
      </c>
      <c r="H524" s="21" t="n">
        <f aca="false">SUMIFS('SALES Raw'!$C$6:$C$603,'SALES Raw'!$E$6:$E$603,$A524,'SALES Raw'!$B$6:$B$603,2025)</f>
        <v>4</v>
      </c>
      <c r="I524" s="22" t="n">
        <f aca="false">SUMIFS('SALES Raw'!$D$6:$D$603,'SALES Raw'!$E$6:$E$603,$A524,'SALES Raw'!$B$6:$B$603,2025)</f>
        <v>228.1</v>
      </c>
      <c r="J524" s="21" t="n">
        <f aca="false">SUMIFS('SALES Raw'!$C$6:$C$603,'SALES Raw'!$E$6:$E$603,$A524,'SALES Raw'!$B$6:$B$603,2026)</f>
        <v>1</v>
      </c>
      <c r="K524" s="22" t="n">
        <f aca="false">SUMIFS('SALES Raw'!$D$6:$D$603,'SALES Raw'!$E$6:$E$603,$A524,'SALES Raw'!$B$6:$B$603,2026)</f>
        <v>60.88</v>
      </c>
      <c r="L524" s="21" t="n">
        <f aca="false">D524+H524</f>
        <v>128</v>
      </c>
      <c r="M524" s="22" t="n">
        <f aca="false">E524+I524</f>
        <v>7040.2</v>
      </c>
      <c r="N524" s="21" t="n">
        <f aca="false">F524+J524</f>
        <v>76</v>
      </c>
      <c r="O524" s="22" t="n">
        <f aca="false">G524+K524</f>
        <v>4316.78</v>
      </c>
    </row>
    <row r="525" customFormat="false" ht="15" hidden="false" customHeight="false" outlineLevel="0" collapsed="false">
      <c r="A525" s="20" t="n">
        <v>4416005</v>
      </c>
      <c r="B525" s="20" t="str">
        <f aca="false">IFERROR(INDEX('Catalog'!$B:$B,MATCH($A525,'Catalog'!$A:$A,0)),"")</f>
        <v>308 Mעקבים סיליק.כחול לדורבן</v>
      </c>
      <c r="C525" s="20" t="str">
        <f aca="false">IFERROR(INDEX('TRANS'!$A:$A,MATCH($A525,'TRANS'!$B:$B,0)),"")</f>
        <v>308 M</v>
      </c>
      <c r="D525" s="21" t="n">
        <f aca="false">SUMIFS('CEMI Raw'!$C$6:$C$1018,'CEMI Raw'!$E$6:$E$1018,$A525,'CEMI Raw'!$B$6:$B$1018,2025)</f>
        <v>129</v>
      </c>
      <c r="E525" s="22" t="n">
        <f aca="false">SUMIFS('CEMI Raw'!$D$6:$D$1018,'CEMI Raw'!$E$6:$E$1018,$A525,'CEMI Raw'!$B$6:$B$1018,2025)</f>
        <v>7157.9</v>
      </c>
      <c r="F525" s="21" t="n">
        <f aca="false">SUMIFS('CEMI Raw'!$C$6:$C$1018,'CEMI Raw'!$E$6:$E$1018,$A525,'CEMI Raw'!$B$6:$B$1018,2026)</f>
        <v>70</v>
      </c>
      <c r="G525" s="22" t="n">
        <f aca="false">SUMIFS('CEMI Raw'!$D$6:$D$1018,'CEMI Raw'!$E$6:$E$1018,$A525,'CEMI Raw'!$B$6:$B$1018,2026)</f>
        <v>3998.7</v>
      </c>
      <c r="H525" s="21" t="n">
        <f aca="false">SUMIFS('SALES Raw'!$C$6:$C$603,'SALES Raw'!$E$6:$E$603,$A525,'SALES Raw'!$B$6:$B$603,2025)</f>
        <v>0</v>
      </c>
      <c r="I525" s="22" t="n">
        <f aca="false">SUMIFS('SALES Raw'!$D$6:$D$603,'SALES Raw'!$E$6:$E$603,$A525,'SALES Raw'!$B$6:$B$603,2025)</f>
        <v>0</v>
      </c>
      <c r="J525" s="21" t="n">
        <f aca="false">SUMIFS('SALES Raw'!$C$6:$C$603,'SALES Raw'!$E$6:$E$603,$A525,'SALES Raw'!$B$6:$B$603,2026)</f>
        <v>0</v>
      </c>
      <c r="K525" s="22" t="n">
        <f aca="false">SUMIFS('SALES Raw'!$D$6:$D$603,'SALES Raw'!$E$6:$E$603,$A525,'SALES Raw'!$B$6:$B$603,2026)</f>
        <v>0</v>
      </c>
      <c r="L525" s="21" t="n">
        <f aca="false">D525+H525</f>
        <v>129</v>
      </c>
      <c r="M525" s="22" t="n">
        <f aca="false">E525+I525</f>
        <v>7157.9</v>
      </c>
      <c r="N525" s="21" t="n">
        <f aca="false">F525+J525</f>
        <v>70</v>
      </c>
      <c r="O525" s="22" t="n">
        <f aca="false">G525+K525</f>
        <v>3998.7</v>
      </c>
    </row>
    <row r="526" customFormat="false" ht="15" hidden="false" customHeight="false" outlineLevel="0" collapsed="false">
      <c r="A526" s="20" t="n">
        <v>4416006</v>
      </c>
      <c r="B526" s="20" t="str">
        <f aca="false">IFERROR(INDEX('Catalog'!$B:$B,MATCH($A526,'Catalog'!$A:$A,0)),"")</f>
        <v>308 Sעקבים סיליק.כחול לדורבן</v>
      </c>
      <c r="C526" s="20" t="str">
        <f aca="false">IFERROR(INDEX('TRANS'!$A:$A,MATCH($A526,'TRANS'!$B:$B,0)),"")</f>
        <v/>
      </c>
      <c r="D526" s="21" t="n">
        <f aca="false">SUMIFS('CEMI Raw'!$C$6:$C$1018,'CEMI Raw'!$E$6:$E$1018,$A526,'CEMI Raw'!$B$6:$B$1018,2025)</f>
        <v>-1</v>
      </c>
      <c r="E526" s="22" t="n">
        <f aca="false">SUMIFS('CEMI Raw'!$D$6:$D$1018,'CEMI Raw'!$E$6:$E$1018,$A526,'CEMI Raw'!$B$6:$B$1018,2025)</f>
        <v>-25.3</v>
      </c>
      <c r="F526" s="21" t="n">
        <f aca="false">SUMIFS('CEMI Raw'!$C$6:$C$1018,'CEMI Raw'!$E$6:$E$1018,$A526,'CEMI Raw'!$B$6:$B$1018,2026)</f>
        <v>-1</v>
      </c>
      <c r="G526" s="22" t="n">
        <f aca="false">SUMIFS('CEMI Raw'!$D$6:$D$1018,'CEMI Raw'!$E$6:$E$1018,$A526,'CEMI Raw'!$B$6:$B$1018,2026)</f>
        <v>-58.4</v>
      </c>
      <c r="H526" s="21" t="n">
        <f aca="false">SUMIFS('SALES Raw'!$C$6:$C$603,'SALES Raw'!$E$6:$E$603,$A526,'SALES Raw'!$B$6:$B$603,2025)</f>
        <v>0</v>
      </c>
      <c r="I526" s="22" t="n">
        <f aca="false">SUMIFS('SALES Raw'!$D$6:$D$603,'SALES Raw'!$E$6:$E$603,$A526,'SALES Raw'!$B$6:$B$603,2025)</f>
        <v>0</v>
      </c>
      <c r="J526" s="21" t="n">
        <f aca="false">SUMIFS('SALES Raw'!$C$6:$C$603,'SALES Raw'!$E$6:$E$603,$A526,'SALES Raw'!$B$6:$B$603,2026)</f>
        <v>0</v>
      </c>
      <c r="K526" s="22" t="n">
        <f aca="false">SUMIFS('SALES Raw'!$D$6:$D$603,'SALES Raw'!$E$6:$E$603,$A526,'SALES Raw'!$B$6:$B$603,2026)</f>
        <v>0</v>
      </c>
      <c r="L526" s="21" t="n">
        <f aca="false">D526+H526</f>
        <v>-1</v>
      </c>
      <c r="M526" s="22" t="n">
        <f aca="false">E526+I526</f>
        <v>-25.3</v>
      </c>
      <c r="N526" s="21" t="n">
        <f aca="false">F526+J526</f>
        <v>-1</v>
      </c>
      <c r="O526" s="22" t="n">
        <f aca="false">G526+K526</f>
        <v>-58.4</v>
      </c>
    </row>
    <row r="527" customFormat="false" ht="15" hidden="false" customHeight="false" outlineLevel="0" collapsed="false">
      <c r="A527" s="20" t="n">
        <v>4417000</v>
      </c>
      <c r="B527" s="20" t="str">
        <f aca="false">IFERROR(INDEX('Catalog'!$B:$B,MATCH($A527,'Catalog'!$A:$A,0)),"")</f>
        <v>PD342-פומפיה להסרת עור קשה</v>
      </c>
      <c r="C527" s="20" t="str">
        <f aca="false">IFERROR(INDEX('TRANS'!$A:$A,MATCH($A527,'TRANS'!$B:$B,0)),"")</f>
        <v>PD342 0</v>
      </c>
      <c r="D527" s="21" t="n">
        <f aca="false">SUMIFS('CEMI Raw'!$C$6:$C$1018,'CEMI Raw'!$E$6:$E$1018,$A527,'CEMI Raw'!$B$6:$B$1018,2025)</f>
        <v>220</v>
      </c>
      <c r="E527" s="22" t="n">
        <f aca="false">SUMIFS('CEMI Raw'!$D$6:$D$1018,'CEMI Raw'!$E$6:$E$1018,$A527,'CEMI Raw'!$B$6:$B$1018,2025)</f>
        <v>5447.3</v>
      </c>
      <c r="F527" s="21" t="n">
        <f aca="false">SUMIFS('CEMI Raw'!$C$6:$C$1018,'CEMI Raw'!$E$6:$E$1018,$A527,'CEMI Raw'!$B$6:$B$1018,2026)</f>
        <v>146</v>
      </c>
      <c r="G527" s="22" t="n">
        <f aca="false">SUMIFS('CEMI Raw'!$D$6:$D$1018,'CEMI Raw'!$E$6:$E$1018,$A527,'CEMI Raw'!$B$6:$B$1018,2026)</f>
        <v>3606.2</v>
      </c>
      <c r="H527" s="21" t="n">
        <f aca="false">SUMIFS('SALES Raw'!$C$6:$C$603,'SALES Raw'!$E$6:$E$603,$A527,'SALES Raw'!$B$6:$B$603,2025)</f>
        <v>5</v>
      </c>
      <c r="I527" s="22" t="n">
        <f aca="false">SUMIFS('SALES Raw'!$D$6:$D$603,'SALES Raw'!$E$6:$E$603,$A527,'SALES Raw'!$B$6:$B$603,2025)</f>
        <v>126.34</v>
      </c>
      <c r="J527" s="21" t="n">
        <f aca="false">SUMIFS('SALES Raw'!$C$6:$C$603,'SALES Raw'!$E$6:$E$603,$A527,'SALES Raw'!$B$6:$B$603,2026)</f>
        <v>2</v>
      </c>
      <c r="K527" s="22" t="n">
        <f aca="false">SUMIFS('SALES Raw'!$D$6:$D$603,'SALES Raw'!$E$6:$E$603,$A527,'SALES Raw'!$B$6:$B$603,2026)</f>
        <v>50.54</v>
      </c>
      <c r="L527" s="21" t="n">
        <f aca="false">D527+H527</f>
        <v>225</v>
      </c>
      <c r="M527" s="22" t="n">
        <f aca="false">E527+I527</f>
        <v>5573.64</v>
      </c>
      <c r="N527" s="21" t="n">
        <f aca="false">F527+J527</f>
        <v>148</v>
      </c>
      <c r="O527" s="22" t="n">
        <f aca="false">G527+K527</f>
        <v>3656.74</v>
      </c>
    </row>
    <row r="528" customFormat="false" ht="15" hidden="false" customHeight="false" outlineLevel="0" collapsed="false">
      <c r="A528" s="20" t="n">
        <v>4417001</v>
      </c>
      <c r="B528" s="20" t="str">
        <f aca="false">IFERROR(INDEX('Catalog'!$B:$B,MATCH($A528,'Catalog'!$A:$A,0)),"")</f>
        <v>PD343-פומפיה מאבן להסר.עור</v>
      </c>
      <c r="C528" s="20" t="str">
        <f aca="false">IFERROR(INDEX('TRANS'!$A:$A,MATCH($A528,'TRANS'!$B:$B,0)),"")</f>
        <v/>
      </c>
      <c r="D528" s="21" t="n">
        <f aca="false">SUMIFS('CEMI Raw'!$C$6:$C$1018,'CEMI Raw'!$E$6:$E$1018,$A528,'CEMI Raw'!$B$6:$B$1018,2025)</f>
        <v>-1</v>
      </c>
      <c r="E528" s="22" t="n">
        <f aca="false">SUMIFS('CEMI Raw'!$D$6:$D$1018,'CEMI Raw'!$E$6:$E$1018,$A528,'CEMI Raw'!$B$6:$B$1018,2025)</f>
        <v>-9</v>
      </c>
      <c r="F528" s="21" t="n">
        <f aca="false">SUMIFS('CEMI Raw'!$C$6:$C$1018,'CEMI Raw'!$E$6:$E$1018,$A528,'CEMI Raw'!$B$6:$B$1018,2026)</f>
        <v>0</v>
      </c>
      <c r="G528" s="22" t="n">
        <f aca="false">SUMIFS('CEMI Raw'!$D$6:$D$1018,'CEMI Raw'!$E$6:$E$1018,$A528,'CEMI Raw'!$B$6:$B$1018,2026)</f>
        <v>0</v>
      </c>
      <c r="H528" s="21" t="n">
        <f aca="false">SUMIFS('SALES Raw'!$C$6:$C$603,'SALES Raw'!$E$6:$E$603,$A528,'SALES Raw'!$B$6:$B$603,2025)</f>
        <v>0</v>
      </c>
      <c r="I528" s="22" t="n">
        <f aca="false">SUMIFS('SALES Raw'!$D$6:$D$603,'SALES Raw'!$E$6:$E$603,$A528,'SALES Raw'!$B$6:$B$603,2025)</f>
        <v>0</v>
      </c>
      <c r="J528" s="21" t="n">
        <f aca="false">SUMIFS('SALES Raw'!$C$6:$C$603,'SALES Raw'!$E$6:$E$603,$A528,'SALES Raw'!$B$6:$B$603,2026)</f>
        <v>0</v>
      </c>
      <c r="K528" s="22" t="n">
        <f aca="false">SUMIFS('SALES Raw'!$D$6:$D$603,'SALES Raw'!$E$6:$E$603,$A528,'SALES Raw'!$B$6:$B$603,2026)</f>
        <v>0</v>
      </c>
      <c r="L528" s="21" t="n">
        <f aca="false">D528+H528</f>
        <v>-1</v>
      </c>
      <c r="M528" s="22" t="n">
        <f aca="false">E528+I528</f>
        <v>-9</v>
      </c>
      <c r="N528" s="21" t="n">
        <f aca="false">F528+J528</f>
        <v>0</v>
      </c>
      <c r="O528" s="22" t="n">
        <f aca="false">G528+K528</f>
        <v>0</v>
      </c>
    </row>
    <row r="529" customFormat="false" ht="15" hidden="false" customHeight="false" outlineLevel="0" collapsed="false">
      <c r="A529" s="20" t="n">
        <v>4418000</v>
      </c>
      <c r="B529" s="20" t="str">
        <f aca="false">IFERROR(INDEX('Catalog'!$B:$B,MATCH($A529,'Catalog'!$A:$A,0)),"")</f>
        <v>60 L צוארון ספוגי</v>
      </c>
      <c r="C529" s="20" t="str">
        <f aca="false">IFERROR(INDEX('TRANS'!$A:$A,MATCH($A529,'TRANS'!$B:$B,0)),"")</f>
        <v>60 L</v>
      </c>
      <c r="D529" s="21" t="n">
        <f aca="false">SUMIFS('CEMI Raw'!$C$6:$C$1018,'CEMI Raw'!$E$6:$E$1018,$A529,'CEMI Raw'!$B$6:$B$1018,2025)</f>
        <v>192</v>
      </c>
      <c r="E529" s="22" t="n">
        <f aca="false">SUMIFS('CEMI Raw'!$D$6:$D$1018,'CEMI Raw'!$E$6:$E$1018,$A529,'CEMI Raw'!$B$6:$B$1018,2025)</f>
        <v>9282.6</v>
      </c>
      <c r="F529" s="21" t="n">
        <f aca="false">SUMIFS('CEMI Raw'!$C$6:$C$1018,'CEMI Raw'!$E$6:$E$1018,$A529,'CEMI Raw'!$B$6:$B$1018,2026)</f>
        <v>87</v>
      </c>
      <c r="G529" s="22" t="n">
        <f aca="false">SUMIFS('CEMI Raw'!$D$6:$D$1018,'CEMI Raw'!$E$6:$E$1018,$A529,'CEMI Raw'!$B$6:$B$1018,2026)</f>
        <v>4203.4</v>
      </c>
      <c r="H529" s="21" t="n">
        <f aca="false">SUMIFS('SALES Raw'!$C$6:$C$603,'SALES Raw'!$E$6:$E$603,$A529,'SALES Raw'!$B$6:$B$603,2025)</f>
        <v>13</v>
      </c>
      <c r="I529" s="22" t="n">
        <f aca="false">SUMIFS('SALES Raw'!$D$6:$D$603,'SALES Raw'!$E$6:$E$603,$A529,'SALES Raw'!$B$6:$B$603,2025)</f>
        <v>645.08</v>
      </c>
      <c r="J529" s="21" t="n">
        <f aca="false">SUMIFS('SALES Raw'!$C$6:$C$603,'SALES Raw'!$E$6:$E$603,$A529,'SALES Raw'!$B$6:$B$603,2026)</f>
        <v>3</v>
      </c>
      <c r="K529" s="22" t="n">
        <f aca="false">SUMIFS('SALES Raw'!$D$6:$D$603,'SALES Raw'!$E$6:$E$603,$A529,'SALES Raw'!$B$6:$B$603,2026)</f>
        <v>148.9</v>
      </c>
      <c r="L529" s="21" t="n">
        <f aca="false">D529+H529</f>
        <v>205</v>
      </c>
      <c r="M529" s="22" t="n">
        <f aca="false">E529+I529</f>
        <v>9927.68</v>
      </c>
      <c r="N529" s="21" t="n">
        <f aca="false">F529+J529</f>
        <v>90</v>
      </c>
      <c r="O529" s="22" t="n">
        <f aca="false">G529+K529</f>
        <v>4352.3</v>
      </c>
    </row>
    <row r="530" customFormat="false" ht="15" hidden="false" customHeight="false" outlineLevel="0" collapsed="false">
      <c r="A530" s="20" t="n">
        <v>4418001</v>
      </c>
      <c r="B530" s="20" t="str">
        <f aca="false">IFERROR(INDEX('Catalog'!$B:$B,MATCH($A530,'Catalog'!$A:$A,0)),"")</f>
        <v>60 M צוארון ספוגי</v>
      </c>
      <c r="C530" s="20" t="str">
        <f aca="false">IFERROR(INDEX('TRANS'!$A:$A,MATCH($A530,'TRANS'!$B:$B,0)),"")</f>
        <v>60 M</v>
      </c>
      <c r="D530" s="21" t="n">
        <f aca="false">SUMIFS('CEMI Raw'!$C$6:$C$1018,'CEMI Raw'!$E$6:$E$1018,$A530,'CEMI Raw'!$B$6:$B$1018,2025)</f>
        <v>146</v>
      </c>
      <c r="E530" s="22" t="n">
        <f aca="false">SUMIFS('CEMI Raw'!$D$6:$D$1018,'CEMI Raw'!$E$6:$E$1018,$A530,'CEMI Raw'!$B$6:$B$1018,2025)</f>
        <v>7093.8</v>
      </c>
      <c r="F530" s="21" t="n">
        <f aca="false">SUMIFS('CEMI Raw'!$C$6:$C$1018,'CEMI Raw'!$E$6:$E$1018,$A530,'CEMI Raw'!$B$6:$B$1018,2026)</f>
        <v>55</v>
      </c>
      <c r="G530" s="22" t="n">
        <f aca="false">SUMIFS('CEMI Raw'!$D$6:$D$1018,'CEMI Raw'!$E$6:$E$1018,$A530,'CEMI Raw'!$B$6:$B$1018,2026)</f>
        <v>2656.9</v>
      </c>
      <c r="H530" s="21" t="n">
        <f aca="false">SUMIFS('SALES Raw'!$C$6:$C$603,'SALES Raw'!$E$6:$E$603,$A530,'SALES Raw'!$B$6:$B$603,2025)</f>
        <v>13</v>
      </c>
      <c r="I530" s="22" t="n">
        <f aca="false">SUMIFS('SALES Raw'!$D$6:$D$603,'SALES Raw'!$E$6:$E$603,$A530,'SALES Raw'!$B$6:$B$603,2025)</f>
        <v>645.24</v>
      </c>
      <c r="J530" s="21" t="n">
        <f aca="false">SUMIFS('SALES Raw'!$C$6:$C$603,'SALES Raw'!$E$6:$E$603,$A530,'SALES Raw'!$B$6:$B$603,2026)</f>
        <v>7</v>
      </c>
      <c r="K530" s="22" t="n">
        <f aca="false">SUMIFS('SALES Raw'!$D$6:$D$603,'SALES Raw'!$E$6:$E$603,$A530,'SALES Raw'!$B$6:$B$603,2026)</f>
        <v>347.44</v>
      </c>
      <c r="L530" s="21" t="n">
        <f aca="false">D530+H530</f>
        <v>159</v>
      </c>
      <c r="M530" s="22" t="n">
        <f aca="false">E530+I530</f>
        <v>7739.04</v>
      </c>
      <c r="N530" s="21" t="n">
        <f aca="false">F530+J530</f>
        <v>62</v>
      </c>
      <c r="O530" s="22" t="n">
        <f aca="false">G530+K530</f>
        <v>3004.34</v>
      </c>
    </row>
    <row r="531" customFormat="false" ht="15" hidden="false" customHeight="false" outlineLevel="0" collapsed="false">
      <c r="A531" s="20" t="n">
        <v>4418002</v>
      </c>
      <c r="B531" s="20" t="str">
        <f aca="false">IFERROR(INDEX('Catalog'!$B:$B,MATCH($A531,'Catalog'!$A:$A,0)),"")</f>
        <v>60 S צוארון ספוגי</v>
      </c>
      <c r="C531" s="20" t="str">
        <f aca="false">IFERROR(INDEX('TRANS'!$A:$A,MATCH($A531,'TRANS'!$B:$B,0)),"")</f>
        <v>60 S</v>
      </c>
      <c r="D531" s="21" t="n">
        <f aca="false">SUMIFS('CEMI Raw'!$C$6:$C$1018,'CEMI Raw'!$E$6:$E$1018,$A531,'CEMI Raw'!$B$6:$B$1018,2025)</f>
        <v>71</v>
      </c>
      <c r="E531" s="22" t="n">
        <f aca="false">SUMIFS('CEMI Raw'!$D$6:$D$1018,'CEMI Raw'!$E$6:$E$1018,$A531,'CEMI Raw'!$B$6:$B$1018,2025)</f>
        <v>3406.8</v>
      </c>
      <c r="F531" s="21" t="n">
        <f aca="false">SUMIFS('CEMI Raw'!$C$6:$C$1018,'CEMI Raw'!$E$6:$E$1018,$A531,'CEMI Raw'!$B$6:$B$1018,2026)</f>
        <v>37</v>
      </c>
      <c r="G531" s="22" t="n">
        <f aca="false">SUMIFS('CEMI Raw'!$D$6:$D$1018,'CEMI Raw'!$E$6:$E$1018,$A531,'CEMI Raw'!$B$6:$B$1018,2026)</f>
        <v>1803.2</v>
      </c>
      <c r="H531" s="21" t="n">
        <f aca="false">SUMIFS('SALES Raw'!$C$6:$C$603,'SALES Raw'!$E$6:$E$603,$A531,'SALES Raw'!$B$6:$B$603,2025)</f>
        <v>10</v>
      </c>
      <c r="I531" s="22" t="n">
        <f aca="false">SUMIFS('SALES Raw'!$D$6:$D$603,'SALES Raw'!$E$6:$E$603,$A531,'SALES Raw'!$B$6:$B$603,2025)</f>
        <v>496.25</v>
      </c>
      <c r="J531" s="21" t="n">
        <f aca="false">SUMIFS('SALES Raw'!$C$6:$C$603,'SALES Raw'!$E$6:$E$603,$A531,'SALES Raw'!$B$6:$B$603,2026)</f>
        <v>1</v>
      </c>
      <c r="K531" s="22" t="n">
        <f aca="false">SUMIFS('SALES Raw'!$D$6:$D$603,'SALES Raw'!$E$6:$E$603,$A531,'SALES Raw'!$B$6:$B$603,2026)</f>
        <v>49.64</v>
      </c>
      <c r="L531" s="21" t="n">
        <f aca="false">D531+H531</f>
        <v>81</v>
      </c>
      <c r="M531" s="22" t="n">
        <f aca="false">E531+I531</f>
        <v>3903.05</v>
      </c>
      <c r="N531" s="21" t="n">
        <f aca="false">F531+J531</f>
        <v>38</v>
      </c>
      <c r="O531" s="22" t="n">
        <f aca="false">G531+K531</f>
        <v>1852.84</v>
      </c>
    </row>
    <row r="532" customFormat="false" ht="15" hidden="false" customHeight="false" outlineLevel="0" collapsed="false">
      <c r="A532" s="20" t="n">
        <v>4418003</v>
      </c>
      <c r="B532" s="20" t="str">
        <f aca="false">IFERROR(INDEX('Catalog'!$B:$B,MATCH($A532,'Catalog'!$A:$A,0)),"")</f>
        <v>60 XL צוארון ספוגי</v>
      </c>
      <c r="C532" s="20" t="str">
        <f aca="false">IFERROR(INDEX('TRANS'!$A:$A,MATCH($A532,'TRANS'!$B:$B,0)),"")</f>
        <v>60 XL</v>
      </c>
      <c r="D532" s="21" t="n">
        <f aca="false">SUMIFS('CEMI Raw'!$C$6:$C$1018,'CEMI Raw'!$E$6:$E$1018,$A532,'CEMI Raw'!$B$6:$B$1018,2025)</f>
        <v>128</v>
      </c>
      <c r="E532" s="22" t="n">
        <f aca="false">SUMIFS('CEMI Raw'!$D$6:$D$1018,'CEMI Raw'!$E$6:$E$1018,$A532,'CEMI Raw'!$B$6:$B$1018,2025)</f>
        <v>6188.8</v>
      </c>
      <c r="F532" s="21" t="n">
        <f aca="false">SUMIFS('CEMI Raw'!$C$6:$C$1018,'CEMI Raw'!$E$6:$E$1018,$A532,'CEMI Raw'!$B$6:$B$1018,2026)</f>
        <v>48</v>
      </c>
      <c r="G532" s="22" t="n">
        <f aca="false">SUMIFS('CEMI Raw'!$D$6:$D$1018,'CEMI Raw'!$E$6:$E$1018,$A532,'CEMI Raw'!$B$6:$B$1018,2026)</f>
        <v>2337.3</v>
      </c>
      <c r="H532" s="21" t="n">
        <f aca="false">SUMIFS('SALES Raw'!$C$6:$C$603,'SALES Raw'!$E$6:$E$603,$A532,'SALES Raw'!$B$6:$B$603,2025)</f>
        <v>4</v>
      </c>
      <c r="I532" s="22" t="n">
        <f aca="false">SUMIFS('SALES Raw'!$D$6:$D$603,'SALES Raw'!$E$6:$E$603,$A532,'SALES Raw'!$B$6:$B$603,2025)</f>
        <v>198.54</v>
      </c>
      <c r="J532" s="21" t="n">
        <f aca="false">SUMIFS('SALES Raw'!$C$6:$C$603,'SALES Raw'!$E$6:$E$603,$A532,'SALES Raw'!$B$6:$B$603,2026)</f>
        <v>0</v>
      </c>
      <c r="K532" s="22" t="n">
        <f aca="false">SUMIFS('SALES Raw'!$D$6:$D$603,'SALES Raw'!$E$6:$E$603,$A532,'SALES Raw'!$B$6:$B$603,2026)</f>
        <v>0</v>
      </c>
      <c r="L532" s="21" t="n">
        <f aca="false">D532+H532</f>
        <v>132</v>
      </c>
      <c r="M532" s="22" t="n">
        <f aca="false">E532+I532</f>
        <v>6387.34</v>
      </c>
      <c r="N532" s="21" t="n">
        <f aca="false">F532+J532</f>
        <v>48</v>
      </c>
      <c r="O532" s="22" t="n">
        <f aca="false">G532+K532</f>
        <v>2337.3</v>
      </c>
    </row>
    <row r="533" customFormat="false" ht="15" hidden="false" customHeight="false" outlineLevel="0" collapsed="false">
      <c r="A533" s="20" t="n">
        <v>4418004</v>
      </c>
      <c r="B533" s="20" t="str">
        <f aca="false">IFERROR(INDEX('Catalog'!$B:$B,MATCH($A533,'Catalog'!$A:$A,0)),"")</f>
        <v>60 XXL צוארון ספוגי</v>
      </c>
      <c r="C533" s="20" t="str">
        <f aca="false">IFERROR(INDEX('TRANS'!$A:$A,MATCH($A533,'TRANS'!$B:$B,0)),"")</f>
        <v/>
      </c>
      <c r="D533" s="21" t="n">
        <f aca="false">SUMIFS('CEMI Raw'!$C$6:$C$1018,'CEMI Raw'!$E$6:$E$1018,$A533,'CEMI Raw'!$B$6:$B$1018,2025)</f>
        <v>2</v>
      </c>
      <c r="E533" s="22" t="n">
        <f aca="false">SUMIFS('CEMI Raw'!$D$6:$D$1018,'CEMI Raw'!$E$6:$E$1018,$A533,'CEMI Raw'!$B$6:$B$1018,2025)</f>
        <v>99.2</v>
      </c>
      <c r="F533" s="21" t="n">
        <f aca="false">SUMIFS('CEMI Raw'!$C$6:$C$1018,'CEMI Raw'!$E$6:$E$1018,$A533,'CEMI Raw'!$B$6:$B$1018,2026)</f>
        <v>0</v>
      </c>
      <c r="G533" s="22" t="n">
        <f aca="false">SUMIFS('CEMI Raw'!$D$6:$D$1018,'CEMI Raw'!$E$6:$E$1018,$A533,'CEMI Raw'!$B$6:$B$1018,2026)</f>
        <v>0</v>
      </c>
      <c r="H533" s="21" t="n">
        <f aca="false">SUMIFS('SALES Raw'!$C$6:$C$603,'SALES Raw'!$E$6:$E$603,$A533,'SALES Raw'!$B$6:$B$603,2025)</f>
        <v>0</v>
      </c>
      <c r="I533" s="22" t="n">
        <f aca="false">SUMIFS('SALES Raw'!$D$6:$D$603,'SALES Raw'!$E$6:$E$603,$A533,'SALES Raw'!$B$6:$B$603,2025)</f>
        <v>0</v>
      </c>
      <c r="J533" s="21" t="n">
        <f aca="false">SUMIFS('SALES Raw'!$C$6:$C$603,'SALES Raw'!$E$6:$E$603,$A533,'SALES Raw'!$B$6:$B$603,2026)</f>
        <v>0</v>
      </c>
      <c r="K533" s="22" t="n">
        <f aca="false">SUMIFS('SALES Raw'!$D$6:$D$603,'SALES Raw'!$E$6:$E$603,$A533,'SALES Raw'!$B$6:$B$603,2026)</f>
        <v>0</v>
      </c>
      <c r="L533" s="21" t="n">
        <f aca="false">D533+H533</f>
        <v>2</v>
      </c>
      <c r="M533" s="22" t="n">
        <f aca="false">E533+I533</f>
        <v>99.2</v>
      </c>
      <c r="N533" s="21" t="n">
        <f aca="false">F533+J533</f>
        <v>0</v>
      </c>
      <c r="O533" s="22" t="n">
        <f aca="false">G533+K533</f>
        <v>0</v>
      </c>
    </row>
    <row r="534" customFormat="false" ht="15" hidden="false" customHeight="false" outlineLevel="0" collapsed="false">
      <c r="A534" s="20" t="n">
        <v>4418006</v>
      </c>
      <c r="B534" s="20" t="str">
        <f aca="false">IFERROR(INDEX('Catalog'!$B:$B,MATCH($A534,'Catalog'!$A:$A,0)),"")</f>
        <v>63 M צוארון פלסטי מתכוון</v>
      </c>
      <c r="C534" s="20" t="str">
        <f aca="false">IFERROR(INDEX('TRANS'!$A:$A,MATCH($A534,'TRANS'!$B:$B,0)),"")</f>
        <v/>
      </c>
      <c r="D534" s="21" t="n">
        <f aca="false">SUMIFS('CEMI Raw'!$C$6:$C$1018,'CEMI Raw'!$E$6:$E$1018,$A534,'CEMI Raw'!$B$6:$B$1018,2025)</f>
        <v>1</v>
      </c>
      <c r="E534" s="22" t="n">
        <f aca="false">SUMIFS('CEMI Raw'!$D$6:$D$1018,'CEMI Raw'!$E$6:$E$1018,$A534,'CEMI Raw'!$B$6:$B$1018,2025)</f>
        <v>66.5</v>
      </c>
      <c r="F534" s="21" t="n">
        <f aca="false">SUMIFS('CEMI Raw'!$C$6:$C$1018,'CEMI Raw'!$E$6:$E$1018,$A534,'CEMI Raw'!$B$6:$B$1018,2026)</f>
        <v>1</v>
      </c>
      <c r="G534" s="22" t="n">
        <f aca="false">SUMIFS('CEMI Raw'!$D$6:$D$1018,'CEMI Raw'!$E$6:$E$1018,$A534,'CEMI Raw'!$B$6:$B$1018,2026)</f>
        <v>66.5</v>
      </c>
      <c r="H534" s="21" t="n">
        <f aca="false">SUMIFS('SALES Raw'!$C$6:$C$603,'SALES Raw'!$E$6:$E$603,$A534,'SALES Raw'!$B$6:$B$603,2025)</f>
        <v>0</v>
      </c>
      <c r="I534" s="22" t="n">
        <f aca="false">SUMIFS('SALES Raw'!$D$6:$D$603,'SALES Raw'!$E$6:$E$603,$A534,'SALES Raw'!$B$6:$B$603,2025)</f>
        <v>0</v>
      </c>
      <c r="J534" s="21" t="n">
        <f aca="false">SUMIFS('SALES Raw'!$C$6:$C$603,'SALES Raw'!$E$6:$E$603,$A534,'SALES Raw'!$B$6:$B$603,2026)</f>
        <v>0</v>
      </c>
      <c r="K534" s="22" t="n">
        <f aca="false">SUMIFS('SALES Raw'!$D$6:$D$603,'SALES Raw'!$E$6:$E$603,$A534,'SALES Raw'!$B$6:$B$603,2026)</f>
        <v>0</v>
      </c>
      <c r="L534" s="21" t="n">
        <f aca="false">D534+H534</f>
        <v>1</v>
      </c>
      <c r="M534" s="22" t="n">
        <f aca="false">E534+I534</f>
        <v>66.5</v>
      </c>
      <c r="N534" s="21" t="n">
        <f aca="false">F534+J534</f>
        <v>1</v>
      </c>
      <c r="O534" s="22" t="n">
        <f aca="false">G534+K534</f>
        <v>66.5</v>
      </c>
    </row>
    <row r="535" customFormat="false" ht="15" hidden="false" customHeight="false" outlineLevel="0" collapsed="false">
      <c r="A535" s="20" t="n">
        <v>4419002</v>
      </c>
      <c r="B535" s="20" t="str">
        <f aca="false">IFERROR(INDEX('Catalog'!$B:$B,MATCH($A535,'Catalog'!$A:$A,0)),"")</f>
        <v>FC311-תתקרם דאודורנט לכף הרגל</v>
      </c>
      <c r="C535" s="20" t="str">
        <f aca="false">IFERROR(INDEX('TRANS'!$A:$A,MATCH($A535,'TRANS'!$B:$B,0)),"")</f>
        <v/>
      </c>
      <c r="D535" s="21" t="n">
        <f aca="false">SUMIFS('CEMI Raw'!$C$6:$C$1018,'CEMI Raw'!$E$6:$E$1018,$A535,'CEMI Raw'!$B$6:$B$1018,2025)</f>
        <v>-1</v>
      </c>
      <c r="E535" s="22" t="n">
        <f aca="false">SUMIFS('CEMI Raw'!$D$6:$D$1018,'CEMI Raw'!$E$6:$E$1018,$A535,'CEMI Raw'!$B$6:$B$1018,2025)</f>
        <v>-29.7</v>
      </c>
      <c r="F535" s="21" t="n">
        <f aca="false">SUMIFS('CEMI Raw'!$C$6:$C$1018,'CEMI Raw'!$E$6:$E$1018,$A535,'CEMI Raw'!$B$6:$B$1018,2026)</f>
        <v>0</v>
      </c>
      <c r="G535" s="22" t="n">
        <f aca="false">SUMIFS('CEMI Raw'!$D$6:$D$1018,'CEMI Raw'!$E$6:$E$1018,$A535,'CEMI Raw'!$B$6:$B$1018,2026)</f>
        <v>0</v>
      </c>
      <c r="H535" s="21" t="n">
        <f aca="false">SUMIFS('SALES Raw'!$C$6:$C$603,'SALES Raw'!$E$6:$E$603,$A535,'SALES Raw'!$B$6:$B$603,2025)</f>
        <v>0</v>
      </c>
      <c r="I535" s="22" t="n">
        <f aca="false">SUMIFS('SALES Raw'!$D$6:$D$603,'SALES Raw'!$E$6:$E$603,$A535,'SALES Raw'!$B$6:$B$603,2025)</f>
        <v>0</v>
      </c>
      <c r="J535" s="21" t="n">
        <f aca="false">SUMIFS('SALES Raw'!$C$6:$C$603,'SALES Raw'!$E$6:$E$603,$A535,'SALES Raw'!$B$6:$B$603,2026)</f>
        <v>0</v>
      </c>
      <c r="K535" s="22" t="n">
        <f aca="false">SUMIFS('SALES Raw'!$D$6:$D$603,'SALES Raw'!$E$6:$E$603,$A535,'SALES Raw'!$B$6:$B$603,2026)</f>
        <v>0</v>
      </c>
      <c r="L535" s="21" t="n">
        <f aca="false">D535+H535</f>
        <v>-1</v>
      </c>
      <c r="M535" s="22" t="n">
        <f aca="false">E535+I535</f>
        <v>-29.7</v>
      </c>
      <c r="N535" s="21" t="n">
        <f aca="false">F535+J535</f>
        <v>0</v>
      </c>
      <c r="O535" s="22" t="n">
        <f aca="false">G535+K535</f>
        <v>0</v>
      </c>
    </row>
    <row r="536" customFormat="false" ht="15" hidden="false" customHeight="false" outlineLevel="0" collapsed="false">
      <c r="A536" s="20" t="n">
        <v>4419003</v>
      </c>
      <c r="B536" s="20" t="str">
        <f aca="false">IFERROR(INDEX('Catalog'!$B:$B,MATCH($A536,'Catalog'!$A:$A,0)),"")</f>
        <v>FC310-תתקרם הגנה לכף הרגל</v>
      </c>
      <c r="C536" s="20" t="str">
        <f aca="false">IFERROR(INDEX('TRANS'!$A:$A,MATCH($A536,'TRANS'!$B:$B,0)),"")</f>
        <v/>
      </c>
      <c r="D536" s="21" t="n">
        <f aca="false">SUMIFS('CEMI Raw'!$C$6:$C$1018,'CEMI Raw'!$E$6:$E$1018,$A536,'CEMI Raw'!$B$6:$B$1018,2025)</f>
        <v>-5</v>
      </c>
      <c r="E536" s="22" t="n">
        <f aca="false">SUMIFS('CEMI Raw'!$D$6:$D$1018,'CEMI Raw'!$E$6:$E$1018,$A536,'CEMI Raw'!$B$6:$B$1018,2025)</f>
        <v>-165.6</v>
      </c>
      <c r="F536" s="21" t="n">
        <f aca="false">SUMIFS('CEMI Raw'!$C$6:$C$1018,'CEMI Raw'!$E$6:$E$1018,$A536,'CEMI Raw'!$B$6:$B$1018,2026)</f>
        <v>0</v>
      </c>
      <c r="G536" s="22" t="n">
        <f aca="false">SUMIFS('CEMI Raw'!$D$6:$D$1018,'CEMI Raw'!$E$6:$E$1018,$A536,'CEMI Raw'!$B$6:$B$1018,2026)</f>
        <v>0</v>
      </c>
      <c r="H536" s="21" t="n">
        <f aca="false">SUMIFS('SALES Raw'!$C$6:$C$603,'SALES Raw'!$E$6:$E$603,$A536,'SALES Raw'!$B$6:$B$603,2025)</f>
        <v>0</v>
      </c>
      <c r="I536" s="22" t="n">
        <f aca="false">SUMIFS('SALES Raw'!$D$6:$D$603,'SALES Raw'!$E$6:$E$603,$A536,'SALES Raw'!$B$6:$B$603,2025)</f>
        <v>0</v>
      </c>
      <c r="J536" s="21" t="n">
        <f aca="false">SUMIFS('SALES Raw'!$C$6:$C$603,'SALES Raw'!$E$6:$E$603,$A536,'SALES Raw'!$B$6:$B$603,2026)</f>
        <v>0</v>
      </c>
      <c r="K536" s="22" t="n">
        <f aca="false">SUMIFS('SALES Raw'!$D$6:$D$603,'SALES Raw'!$E$6:$E$603,$A536,'SALES Raw'!$B$6:$B$603,2026)</f>
        <v>0</v>
      </c>
      <c r="L536" s="21" t="n">
        <f aca="false">D536+H536</f>
        <v>-5</v>
      </c>
      <c r="M536" s="22" t="n">
        <f aca="false">E536+I536</f>
        <v>-165.6</v>
      </c>
      <c r="N536" s="21" t="n">
        <f aca="false">F536+J536</f>
        <v>0</v>
      </c>
      <c r="O536" s="22" t="n">
        <f aca="false">G536+K536</f>
        <v>0</v>
      </c>
    </row>
    <row r="537" customFormat="false" ht="15" hidden="false" customHeight="false" outlineLevel="0" collapsed="false">
      <c r="A537" s="20" t="n">
        <v>4419004</v>
      </c>
      <c r="B537" s="20" t="str">
        <f aca="false">IFERROR(INDEX('Catalog'!$B:$B,MATCH($A537,'Catalog'!$A:$A,0)),"")</f>
        <v>FC312-תתקרם מירוק גרגרי פילינג</v>
      </c>
      <c r="C537" s="20" t="str">
        <f aca="false">IFERROR(INDEX('TRANS'!$A:$A,MATCH($A537,'TRANS'!$B:$B,0)),"")</f>
        <v/>
      </c>
      <c r="D537" s="21" t="n">
        <f aca="false">SUMIFS('CEMI Raw'!$C$6:$C$1018,'CEMI Raw'!$E$6:$E$1018,$A537,'CEMI Raw'!$B$6:$B$1018,2025)</f>
        <v>-1</v>
      </c>
      <c r="E537" s="22" t="n">
        <f aca="false">SUMIFS('CEMI Raw'!$D$6:$D$1018,'CEMI Raw'!$E$6:$E$1018,$A537,'CEMI Raw'!$B$6:$B$1018,2025)</f>
        <v>-29.7</v>
      </c>
      <c r="F537" s="21" t="n">
        <f aca="false">SUMIFS('CEMI Raw'!$C$6:$C$1018,'CEMI Raw'!$E$6:$E$1018,$A537,'CEMI Raw'!$B$6:$B$1018,2026)</f>
        <v>0</v>
      </c>
      <c r="G537" s="22" t="n">
        <f aca="false">SUMIFS('CEMI Raw'!$D$6:$D$1018,'CEMI Raw'!$E$6:$E$1018,$A537,'CEMI Raw'!$B$6:$B$1018,2026)</f>
        <v>0</v>
      </c>
      <c r="H537" s="21" t="n">
        <f aca="false">SUMIFS('SALES Raw'!$C$6:$C$603,'SALES Raw'!$E$6:$E$603,$A537,'SALES Raw'!$B$6:$B$603,2025)</f>
        <v>0</v>
      </c>
      <c r="I537" s="22" t="n">
        <f aca="false">SUMIFS('SALES Raw'!$D$6:$D$603,'SALES Raw'!$E$6:$E$603,$A537,'SALES Raw'!$B$6:$B$603,2025)</f>
        <v>0</v>
      </c>
      <c r="J537" s="21" t="n">
        <f aca="false">SUMIFS('SALES Raw'!$C$6:$C$603,'SALES Raw'!$E$6:$E$603,$A537,'SALES Raw'!$B$6:$B$603,2026)</f>
        <v>0</v>
      </c>
      <c r="K537" s="22" t="n">
        <f aca="false">SUMIFS('SALES Raw'!$D$6:$D$603,'SALES Raw'!$E$6:$E$603,$A537,'SALES Raw'!$B$6:$B$603,2026)</f>
        <v>0</v>
      </c>
      <c r="L537" s="21" t="n">
        <f aca="false">D537+H537</f>
        <v>-1</v>
      </c>
      <c r="M537" s="22" t="n">
        <f aca="false">E537+I537</f>
        <v>-29.7</v>
      </c>
      <c r="N537" s="21" t="n">
        <f aca="false">F537+J537</f>
        <v>0</v>
      </c>
      <c r="O537" s="22" t="n">
        <f aca="false">G537+K537</f>
        <v>0</v>
      </c>
    </row>
    <row r="538" customFormat="false" ht="15" hidden="false" customHeight="false" outlineLevel="0" collapsed="false">
      <c r="A538" s="20" t="n">
        <v>4419006</v>
      </c>
      <c r="B538" s="20" t="str">
        <f aca="false">IFERROR(INDEX('Catalog'!$B:$B,MATCH($A538,'Catalog'!$A:$A,0)),"")</f>
        <v>PD340-קוצץ ציפורניים</v>
      </c>
      <c r="C538" s="20" t="str">
        <f aca="false">IFERROR(INDEX('TRANS'!$A:$A,MATCH($A538,'TRANS'!$B:$B,0)),"")</f>
        <v>PD340 0</v>
      </c>
      <c r="D538" s="21" t="n">
        <f aca="false">SUMIFS('CEMI Raw'!$C$6:$C$1018,'CEMI Raw'!$E$6:$E$1018,$A538,'CEMI Raw'!$B$6:$B$1018,2025)</f>
        <v>1063</v>
      </c>
      <c r="E538" s="22" t="n">
        <f aca="false">SUMIFS('CEMI Raw'!$D$6:$D$1018,'CEMI Raw'!$E$6:$E$1018,$A538,'CEMI Raw'!$B$6:$B$1018,2025)</f>
        <v>14552.5</v>
      </c>
      <c r="F538" s="21" t="n">
        <f aca="false">SUMIFS('CEMI Raw'!$C$6:$C$1018,'CEMI Raw'!$E$6:$E$1018,$A538,'CEMI Raw'!$B$6:$B$1018,2026)</f>
        <v>534</v>
      </c>
      <c r="G538" s="22" t="n">
        <f aca="false">SUMIFS('CEMI Raw'!$D$6:$D$1018,'CEMI Raw'!$E$6:$E$1018,$A538,'CEMI Raw'!$B$6:$B$1018,2026)</f>
        <v>7485</v>
      </c>
      <c r="H538" s="21" t="n">
        <f aca="false">SUMIFS('SALES Raw'!$C$6:$C$603,'SALES Raw'!$E$6:$E$603,$A538,'SALES Raw'!$B$6:$B$603,2025)</f>
        <v>0</v>
      </c>
      <c r="I538" s="22" t="n">
        <f aca="false">SUMIFS('SALES Raw'!$D$6:$D$603,'SALES Raw'!$E$6:$E$603,$A538,'SALES Raw'!$B$6:$B$603,2025)</f>
        <v>0</v>
      </c>
      <c r="J538" s="21" t="n">
        <f aca="false">SUMIFS('SALES Raw'!$C$6:$C$603,'SALES Raw'!$E$6:$E$603,$A538,'SALES Raw'!$B$6:$B$603,2026)</f>
        <v>0</v>
      </c>
      <c r="K538" s="22" t="n">
        <f aca="false">SUMIFS('SALES Raw'!$D$6:$D$603,'SALES Raw'!$E$6:$E$603,$A538,'SALES Raw'!$B$6:$B$603,2026)</f>
        <v>0</v>
      </c>
      <c r="L538" s="21" t="n">
        <f aca="false">D538+H538</f>
        <v>1063</v>
      </c>
      <c r="M538" s="22" t="n">
        <f aca="false">E538+I538</f>
        <v>14552.5</v>
      </c>
      <c r="N538" s="21" t="n">
        <f aca="false">F538+J538</f>
        <v>534</v>
      </c>
      <c r="O538" s="22" t="n">
        <f aca="false">G538+K538</f>
        <v>7485</v>
      </c>
    </row>
    <row r="539" customFormat="false" ht="15" hidden="false" customHeight="false" outlineLevel="0" collapsed="false">
      <c r="A539" s="20" t="n">
        <v>4419010</v>
      </c>
      <c r="B539" s="20" t="str">
        <f aca="false">IFERROR(INDEX('Catalog'!$B:$B,MATCH($A539,'Catalog'!$A:$A,0)),"")</f>
        <v>FC316   קרם רגליים שיקומי</v>
      </c>
      <c r="C539" s="20" t="str">
        <f aca="false">IFERROR(INDEX('TRANS'!$A:$A,MATCH($A539,'TRANS'!$B:$B,0)),"")</f>
        <v/>
      </c>
      <c r="D539" s="21" t="n">
        <f aca="false">SUMIFS('CEMI Raw'!$C$6:$C$1018,'CEMI Raw'!$E$6:$E$1018,$A539,'CEMI Raw'!$B$6:$B$1018,2025)</f>
        <v>-17</v>
      </c>
      <c r="E539" s="22" t="n">
        <f aca="false">SUMIFS('CEMI Raw'!$D$6:$D$1018,'CEMI Raw'!$E$6:$E$1018,$A539,'CEMI Raw'!$B$6:$B$1018,2025)</f>
        <v>-768.2</v>
      </c>
      <c r="F539" s="21" t="n">
        <f aca="false">SUMIFS('CEMI Raw'!$C$6:$C$1018,'CEMI Raw'!$E$6:$E$1018,$A539,'CEMI Raw'!$B$6:$B$1018,2026)</f>
        <v>-4</v>
      </c>
      <c r="G539" s="22" t="n">
        <f aca="false">SUMIFS('CEMI Raw'!$D$6:$D$1018,'CEMI Raw'!$E$6:$E$1018,$A539,'CEMI Raw'!$B$6:$B$1018,2026)</f>
        <v>-132.5</v>
      </c>
      <c r="H539" s="21" t="n">
        <f aca="false">SUMIFS('SALES Raw'!$C$6:$C$603,'SALES Raw'!$E$6:$E$603,$A539,'SALES Raw'!$B$6:$B$603,2025)</f>
        <v>0</v>
      </c>
      <c r="I539" s="22" t="n">
        <f aca="false">SUMIFS('SALES Raw'!$D$6:$D$603,'SALES Raw'!$E$6:$E$603,$A539,'SALES Raw'!$B$6:$B$603,2025)</f>
        <v>0</v>
      </c>
      <c r="J539" s="21" t="n">
        <f aca="false">SUMIFS('SALES Raw'!$C$6:$C$603,'SALES Raw'!$E$6:$E$603,$A539,'SALES Raw'!$B$6:$B$603,2026)</f>
        <v>0</v>
      </c>
      <c r="K539" s="22" t="n">
        <f aca="false">SUMIFS('SALES Raw'!$D$6:$D$603,'SALES Raw'!$E$6:$E$603,$A539,'SALES Raw'!$B$6:$B$603,2026)</f>
        <v>0</v>
      </c>
      <c r="L539" s="21" t="n">
        <f aca="false">D539+H539</f>
        <v>-17</v>
      </c>
      <c r="M539" s="22" t="n">
        <f aca="false">E539+I539</f>
        <v>-768.2</v>
      </c>
      <c r="N539" s="21" t="n">
        <f aca="false">F539+J539</f>
        <v>-4</v>
      </c>
      <c r="O539" s="22" t="n">
        <f aca="false">G539+K539</f>
        <v>-132.5</v>
      </c>
    </row>
    <row r="540" customFormat="false" ht="15" hidden="false" customHeight="false" outlineLevel="0" collapsed="false">
      <c r="A540" s="20" t="n">
        <v>4419011</v>
      </c>
      <c r="B540" s="20" t="str">
        <f aca="false">IFERROR(INDEX('Catalog'!$B:$B,MATCH($A540,'Catalog'!$A:$A,0)),"")</f>
        <v>239B S-M STRAP4U</v>
      </c>
      <c r="C540" s="20" t="str">
        <f aca="false">IFERROR(INDEX('TRANS'!$A:$A,MATCH($A540,'TRANS'!$B:$B,0)),"")</f>
        <v>239B-S-M</v>
      </c>
      <c r="D540" s="21" t="n">
        <f aca="false">SUMIFS('CEMI Raw'!$C$6:$C$1018,'CEMI Raw'!$E$6:$E$1018,$A540,'CEMI Raw'!$B$6:$B$1018,2025)</f>
        <v>-4</v>
      </c>
      <c r="E540" s="22" t="n">
        <f aca="false">SUMIFS('CEMI Raw'!$D$6:$D$1018,'CEMI Raw'!$E$6:$E$1018,$A540,'CEMI Raw'!$B$6:$B$1018,2025)</f>
        <v>-54.7</v>
      </c>
      <c r="F540" s="21" t="n">
        <f aca="false">SUMIFS('CEMI Raw'!$C$6:$C$1018,'CEMI Raw'!$E$6:$E$1018,$A540,'CEMI Raw'!$B$6:$B$1018,2026)</f>
        <v>12</v>
      </c>
      <c r="G540" s="22" t="n">
        <f aca="false">SUMIFS('CEMI Raw'!$D$6:$D$1018,'CEMI Raw'!$E$6:$E$1018,$A540,'CEMI Raw'!$B$6:$B$1018,2026)</f>
        <v>230</v>
      </c>
      <c r="H540" s="21" t="n">
        <f aca="false">SUMIFS('SALES Raw'!$C$6:$C$603,'SALES Raw'!$E$6:$E$603,$A540,'SALES Raw'!$B$6:$B$603,2025)</f>
        <v>3</v>
      </c>
      <c r="I540" s="22" t="n">
        <f aca="false">SUMIFS('SALES Raw'!$D$6:$D$603,'SALES Raw'!$E$6:$E$603,$A540,'SALES Raw'!$B$6:$B$603,2025)</f>
        <v>57.56</v>
      </c>
      <c r="J540" s="21" t="n">
        <f aca="false">SUMIFS('SALES Raw'!$C$6:$C$603,'SALES Raw'!$E$6:$E$603,$A540,'SALES Raw'!$B$6:$B$603,2026)</f>
        <v>3</v>
      </c>
      <c r="K540" s="22" t="n">
        <f aca="false">SUMIFS('SALES Raw'!$D$6:$D$603,'SALES Raw'!$E$6:$E$603,$A540,'SALES Raw'!$B$6:$B$603,2026)</f>
        <v>57.51</v>
      </c>
      <c r="L540" s="21" t="n">
        <f aca="false">D540+H540</f>
        <v>-1</v>
      </c>
      <c r="M540" s="22" t="n">
        <f aca="false">E540+I540</f>
        <v>2.86</v>
      </c>
      <c r="N540" s="21" t="n">
        <f aca="false">F540+J540</f>
        <v>15</v>
      </c>
      <c r="O540" s="22" t="n">
        <f aca="false">G540+K540</f>
        <v>287.51</v>
      </c>
    </row>
    <row r="541" customFormat="false" ht="15" hidden="false" customHeight="false" outlineLevel="0" collapsed="false">
      <c r="A541" s="20" t="n">
        <v>4419012</v>
      </c>
      <c r="B541" s="20" t="str">
        <f aca="false">IFERROR(INDEX('Catalog'!$B:$B,MATCH($A541,'Catalog'!$A:$A,0)),"")</f>
        <v>239P S-M STRAP4U</v>
      </c>
      <c r="C541" s="20" t="str">
        <f aca="false">IFERROR(INDEX('TRANS'!$A:$A,MATCH($A541,'TRANS'!$B:$B,0)),"")</f>
        <v/>
      </c>
      <c r="D541" s="21" t="n">
        <f aca="false">SUMIFS('CEMI Raw'!$C$6:$C$1018,'CEMI Raw'!$E$6:$E$1018,$A541,'CEMI Raw'!$B$6:$B$1018,2025)</f>
        <v>-4</v>
      </c>
      <c r="E541" s="22" t="n">
        <f aca="false">SUMIFS('CEMI Raw'!$D$6:$D$1018,'CEMI Raw'!$E$6:$E$1018,$A541,'CEMI Raw'!$B$6:$B$1018,2025)</f>
        <v>-53.5</v>
      </c>
      <c r="F541" s="21" t="n">
        <f aca="false">SUMIFS('CEMI Raw'!$C$6:$C$1018,'CEMI Raw'!$E$6:$E$1018,$A541,'CEMI Raw'!$B$6:$B$1018,2026)</f>
        <v>0</v>
      </c>
      <c r="G541" s="22" t="n">
        <f aca="false">SUMIFS('CEMI Raw'!$D$6:$D$1018,'CEMI Raw'!$E$6:$E$1018,$A541,'CEMI Raw'!$B$6:$B$1018,2026)</f>
        <v>0</v>
      </c>
      <c r="H541" s="21" t="n">
        <f aca="false">SUMIFS('SALES Raw'!$C$6:$C$603,'SALES Raw'!$E$6:$E$603,$A541,'SALES Raw'!$B$6:$B$603,2025)</f>
        <v>0</v>
      </c>
      <c r="I541" s="22" t="n">
        <f aca="false">SUMIFS('SALES Raw'!$D$6:$D$603,'SALES Raw'!$E$6:$E$603,$A541,'SALES Raw'!$B$6:$B$603,2025)</f>
        <v>0</v>
      </c>
      <c r="J541" s="21" t="n">
        <f aca="false">SUMIFS('SALES Raw'!$C$6:$C$603,'SALES Raw'!$E$6:$E$603,$A541,'SALES Raw'!$B$6:$B$603,2026)</f>
        <v>0</v>
      </c>
      <c r="K541" s="22" t="n">
        <f aca="false">SUMIFS('SALES Raw'!$D$6:$D$603,'SALES Raw'!$E$6:$E$603,$A541,'SALES Raw'!$B$6:$B$603,2026)</f>
        <v>0</v>
      </c>
      <c r="L541" s="21" t="n">
        <f aca="false">D541+H541</f>
        <v>-4</v>
      </c>
      <c r="M541" s="22" t="n">
        <f aca="false">E541+I541</f>
        <v>-53.5</v>
      </c>
      <c r="N541" s="21" t="n">
        <f aca="false">F541+J541</f>
        <v>0</v>
      </c>
      <c r="O541" s="22" t="n">
        <f aca="false">G541+K541</f>
        <v>0</v>
      </c>
    </row>
    <row r="542" customFormat="false" ht="15" hidden="false" customHeight="false" outlineLevel="0" collapsed="false">
      <c r="A542" s="20" t="n">
        <v>4419013</v>
      </c>
      <c r="B542" s="20" t="str">
        <f aca="false">IFERROR(INDEX('Catalog'!$B:$B,MATCH($A542,'Catalog'!$A:$A,0)),"")</f>
        <v>239B L-XL STRAP4U</v>
      </c>
      <c r="C542" s="20" t="str">
        <f aca="false">IFERROR(INDEX('TRANS'!$A:$A,MATCH($A542,'TRANS'!$B:$B,0)),"")</f>
        <v>239B-L-XL</v>
      </c>
      <c r="D542" s="21" t="n">
        <f aca="false">SUMIFS('CEMI Raw'!$C$6:$C$1018,'CEMI Raw'!$E$6:$E$1018,$A542,'CEMI Raw'!$B$6:$B$1018,2025)</f>
        <v>-6</v>
      </c>
      <c r="E542" s="22" t="n">
        <f aca="false">SUMIFS('CEMI Raw'!$D$6:$D$1018,'CEMI Raw'!$E$6:$E$1018,$A542,'CEMI Raw'!$B$6:$B$1018,2025)</f>
        <v>-90.5</v>
      </c>
      <c r="F542" s="21" t="n">
        <f aca="false">SUMIFS('CEMI Raw'!$C$6:$C$1018,'CEMI Raw'!$E$6:$E$1018,$A542,'CEMI Raw'!$B$6:$B$1018,2026)</f>
        <v>6</v>
      </c>
      <c r="G542" s="22" t="n">
        <f aca="false">SUMIFS('CEMI Raw'!$D$6:$D$1018,'CEMI Raw'!$E$6:$E$1018,$A542,'CEMI Raw'!$B$6:$B$1018,2026)</f>
        <v>115</v>
      </c>
      <c r="H542" s="21" t="n">
        <f aca="false">SUMIFS('SALES Raw'!$C$6:$C$603,'SALES Raw'!$E$6:$E$603,$A542,'SALES Raw'!$B$6:$B$603,2025)</f>
        <v>0</v>
      </c>
      <c r="I542" s="22" t="n">
        <f aca="false">SUMIFS('SALES Raw'!$D$6:$D$603,'SALES Raw'!$E$6:$E$603,$A542,'SALES Raw'!$B$6:$B$603,2025)</f>
        <v>0</v>
      </c>
      <c r="J542" s="21" t="n">
        <f aca="false">SUMIFS('SALES Raw'!$C$6:$C$603,'SALES Raw'!$E$6:$E$603,$A542,'SALES Raw'!$B$6:$B$603,2026)</f>
        <v>0</v>
      </c>
      <c r="K542" s="22" t="n">
        <f aca="false">SUMIFS('SALES Raw'!$D$6:$D$603,'SALES Raw'!$E$6:$E$603,$A542,'SALES Raw'!$B$6:$B$603,2026)</f>
        <v>0</v>
      </c>
      <c r="L542" s="21" t="n">
        <f aca="false">D542+H542</f>
        <v>-6</v>
      </c>
      <c r="M542" s="22" t="n">
        <f aca="false">E542+I542</f>
        <v>-90.5</v>
      </c>
      <c r="N542" s="21" t="n">
        <f aca="false">F542+J542</f>
        <v>6</v>
      </c>
      <c r="O542" s="22" t="n">
        <f aca="false">G542+K542</f>
        <v>115</v>
      </c>
    </row>
    <row r="543" customFormat="false" ht="15" hidden="false" customHeight="false" outlineLevel="0" collapsed="false">
      <c r="A543" s="20" t="n">
        <v>4419014</v>
      </c>
      <c r="B543" s="20" t="str">
        <f aca="false">IFERROR(INDEX('Catalog'!$B:$B,MATCH($A543,'Catalog'!$A:$A,0)),"")</f>
        <v>239TR L-XL STRAP4U</v>
      </c>
      <c r="C543" s="20" t="str">
        <f aca="false">IFERROR(INDEX('TRANS'!$A:$A,MATCH($A543,'TRANS'!$B:$B,0)),"")</f>
        <v>239TR-L-XL</v>
      </c>
      <c r="D543" s="21" t="n">
        <f aca="false">SUMIFS('CEMI Raw'!$C$6:$C$1018,'CEMI Raw'!$E$6:$E$1018,$A543,'CEMI Raw'!$B$6:$B$1018,2025)</f>
        <v>-4</v>
      </c>
      <c r="E543" s="22" t="n">
        <f aca="false">SUMIFS('CEMI Raw'!$D$6:$D$1018,'CEMI Raw'!$E$6:$E$1018,$A543,'CEMI Raw'!$B$6:$B$1018,2025)</f>
        <v>-55.3</v>
      </c>
      <c r="F543" s="21" t="n">
        <f aca="false">SUMIFS('CEMI Raw'!$C$6:$C$1018,'CEMI Raw'!$E$6:$E$1018,$A543,'CEMI Raw'!$B$6:$B$1018,2026)</f>
        <v>0</v>
      </c>
      <c r="G543" s="22" t="n">
        <f aca="false">SUMIFS('CEMI Raw'!$D$6:$D$1018,'CEMI Raw'!$E$6:$E$1018,$A543,'CEMI Raw'!$B$6:$B$1018,2026)</f>
        <v>0</v>
      </c>
      <c r="H543" s="21" t="n">
        <f aca="false">SUMIFS('SALES Raw'!$C$6:$C$603,'SALES Raw'!$E$6:$E$603,$A543,'SALES Raw'!$B$6:$B$603,2025)</f>
        <v>0</v>
      </c>
      <c r="I543" s="22" t="n">
        <f aca="false">SUMIFS('SALES Raw'!$D$6:$D$603,'SALES Raw'!$E$6:$E$603,$A543,'SALES Raw'!$B$6:$B$603,2025)</f>
        <v>0</v>
      </c>
      <c r="J543" s="21" t="n">
        <f aca="false">SUMIFS('SALES Raw'!$C$6:$C$603,'SALES Raw'!$E$6:$E$603,$A543,'SALES Raw'!$B$6:$B$603,2026)</f>
        <v>0</v>
      </c>
      <c r="K543" s="22" t="n">
        <f aca="false">SUMIFS('SALES Raw'!$D$6:$D$603,'SALES Raw'!$E$6:$E$603,$A543,'SALES Raw'!$B$6:$B$603,2026)</f>
        <v>0</v>
      </c>
      <c r="L543" s="21" t="n">
        <f aca="false">D543+H543</f>
        <v>-4</v>
      </c>
      <c r="M543" s="22" t="n">
        <f aca="false">E543+I543</f>
        <v>-55.3</v>
      </c>
      <c r="N543" s="21" t="n">
        <f aca="false">F543+J543</f>
        <v>0</v>
      </c>
      <c r="O543" s="22" t="n">
        <f aca="false">G543+K543</f>
        <v>0</v>
      </c>
    </row>
    <row r="544" customFormat="false" ht="15" hidden="false" customHeight="false" outlineLevel="0" collapsed="false">
      <c r="A544" s="20" t="n">
        <v>4420000</v>
      </c>
      <c r="B544" s="20" t="str">
        <f aca="false">IFERROR(INDEX('Catalog'!$B:$B,MATCH($A544,'Catalog'!$A:$A,0)),"")</f>
        <v>370  רפידת נוחות-זוג</v>
      </c>
      <c r="C544" s="20" t="str">
        <f aca="false">IFERROR(INDEX('TRANS'!$A:$A,MATCH($A544,'TRANS'!$B:$B,0)),"")</f>
        <v>370 0</v>
      </c>
      <c r="D544" s="21" t="n">
        <f aca="false">SUMIFS('CEMI Raw'!$C$6:$C$1018,'CEMI Raw'!$E$6:$E$1018,$A544,'CEMI Raw'!$B$6:$B$1018,2025)</f>
        <v>428</v>
      </c>
      <c r="E544" s="22" t="n">
        <f aca="false">SUMIFS('CEMI Raw'!$D$6:$D$1018,'CEMI Raw'!$E$6:$E$1018,$A544,'CEMI Raw'!$B$6:$B$1018,2025)</f>
        <v>5019.7</v>
      </c>
      <c r="F544" s="21" t="n">
        <f aca="false">SUMIFS('CEMI Raw'!$C$6:$C$1018,'CEMI Raw'!$E$6:$E$1018,$A544,'CEMI Raw'!$B$6:$B$1018,2026)</f>
        <v>319</v>
      </c>
      <c r="G544" s="22" t="n">
        <f aca="false">SUMIFS('CEMI Raw'!$D$6:$D$1018,'CEMI Raw'!$E$6:$E$1018,$A544,'CEMI Raw'!$B$6:$B$1018,2026)</f>
        <v>3921.1</v>
      </c>
      <c r="H544" s="21" t="n">
        <f aca="false">SUMIFS('SALES Raw'!$C$6:$C$603,'SALES Raw'!$E$6:$E$603,$A544,'SALES Raw'!$B$6:$B$603,2025)</f>
        <v>2</v>
      </c>
      <c r="I544" s="22" t="n">
        <f aca="false">SUMIFS('SALES Raw'!$D$6:$D$603,'SALES Raw'!$E$6:$E$603,$A544,'SALES Raw'!$B$6:$B$603,2025)</f>
        <v>26.16</v>
      </c>
      <c r="J544" s="21" t="n">
        <f aca="false">SUMIFS('SALES Raw'!$C$6:$C$603,'SALES Raw'!$E$6:$E$603,$A544,'SALES Raw'!$B$6:$B$603,2026)</f>
        <v>0</v>
      </c>
      <c r="K544" s="22" t="n">
        <f aca="false">SUMIFS('SALES Raw'!$D$6:$D$603,'SALES Raw'!$E$6:$E$603,$A544,'SALES Raw'!$B$6:$B$603,2026)</f>
        <v>0</v>
      </c>
      <c r="L544" s="21" t="n">
        <f aca="false">D544+H544</f>
        <v>430</v>
      </c>
      <c r="M544" s="22" t="n">
        <f aca="false">E544+I544</f>
        <v>5045.86</v>
      </c>
      <c r="N544" s="21" t="n">
        <f aca="false">F544+J544</f>
        <v>319</v>
      </c>
      <c r="O544" s="22" t="n">
        <f aca="false">G544+K544</f>
        <v>3921.1</v>
      </c>
    </row>
    <row r="545" customFormat="false" ht="15" hidden="false" customHeight="false" outlineLevel="0" collapsed="false">
      <c r="A545" s="20" t="n">
        <v>4420001</v>
      </c>
      <c r="B545" s="20" t="str">
        <f aca="false">IFERROR(INDEX('Catalog'!$B:$B,MATCH($A545,'Catalog'!$A:$A,0)),"")</f>
        <v>371 רפידת מגבת כותנה-זוג</v>
      </c>
      <c r="C545" s="20" t="str">
        <f aca="false">IFERROR(INDEX('TRANS'!$A:$A,MATCH($A545,'TRANS'!$B:$B,0)),"")</f>
        <v>371 0</v>
      </c>
      <c r="D545" s="21" t="n">
        <f aca="false">SUMIFS('CEMI Raw'!$C$6:$C$1018,'CEMI Raw'!$E$6:$E$1018,$A545,'CEMI Raw'!$B$6:$B$1018,2025)</f>
        <v>148</v>
      </c>
      <c r="E545" s="22" t="n">
        <f aca="false">SUMIFS('CEMI Raw'!$D$6:$D$1018,'CEMI Raw'!$E$6:$E$1018,$A545,'CEMI Raw'!$B$6:$B$1018,2025)</f>
        <v>1619.1</v>
      </c>
      <c r="F545" s="21" t="n">
        <f aca="false">SUMIFS('CEMI Raw'!$C$6:$C$1018,'CEMI Raw'!$E$6:$E$1018,$A545,'CEMI Raw'!$B$6:$B$1018,2026)</f>
        <v>89</v>
      </c>
      <c r="G545" s="22" t="n">
        <f aca="false">SUMIFS('CEMI Raw'!$D$6:$D$1018,'CEMI Raw'!$E$6:$E$1018,$A545,'CEMI Raw'!$B$6:$B$1018,2026)</f>
        <v>971.3</v>
      </c>
      <c r="H545" s="21" t="n">
        <f aca="false">SUMIFS('SALES Raw'!$C$6:$C$603,'SALES Raw'!$E$6:$E$603,$A545,'SALES Raw'!$B$6:$B$603,2025)</f>
        <v>11</v>
      </c>
      <c r="I545" s="22" t="n">
        <f aca="false">SUMIFS('SALES Raw'!$D$6:$D$603,'SALES Raw'!$E$6:$E$603,$A545,'SALES Raw'!$B$6:$B$603,2025)</f>
        <v>132.15</v>
      </c>
      <c r="J545" s="21" t="n">
        <f aca="false">SUMIFS('SALES Raw'!$C$6:$C$603,'SALES Raw'!$E$6:$E$603,$A545,'SALES Raw'!$B$6:$B$603,2026)</f>
        <v>2</v>
      </c>
      <c r="K545" s="22" t="n">
        <f aca="false">SUMIFS('SALES Raw'!$D$6:$D$603,'SALES Raw'!$E$6:$E$603,$A545,'SALES Raw'!$B$6:$B$603,2026)</f>
        <v>24.28</v>
      </c>
      <c r="L545" s="21" t="n">
        <f aca="false">D545+H545</f>
        <v>159</v>
      </c>
      <c r="M545" s="22" t="n">
        <f aca="false">E545+I545</f>
        <v>1751.25</v>
      </c>
      <c r="N545" s="21" t="n">
        <f aca="false">F545+J545</f>
        <v>91</v>
      </c>
      <c r="O545" s="22" t="n">
        <f aca="false">G545+K545</f>
        <v>995.58</v>
      </c>
    </row>
    <row r="546" customFormat="false" ht="15" hidden="false" customHeight="false" outlineLevel="0" collapsed="false">
      <c r="A546" s="20" t="n">
        <v>4420002</v>
      </c>
      <c r="B546" s="20" t="str">
        <f aca="false">IFERROR(INDEX('Catalog'!$B:$B,MATCH($A546,'Catalog'!$A:$A,0)),"")</f>
        <v>372 רפידת אנטי ריח -זוג</v>
      </c>
      <c r="C546" s="20" t="str">
        <f aca="false">IFERROR(INDEX('TRANS'!$A:$A,MATCH($A546,'TRANS'!$B:$B,0)),"")</f>
        <v>372 0</v>
      </c>
      <c r="D546" s="21" t="n">
        <f aca="false">SUMIFS('CEMI Raw'!$C$6:$C$1018,'CEMI Raw'!$E$6:$E$1018,$A546,'CEMI Raw'!$B$6:$B$1018,2025)</f>
        <v>629</v>
      </c>
      <c r="E546" s="22" t="n">
        <f aca="false">SUMIFS('CEMI Raw'!$D$6:$D$1018,'CEMI Raw'!$E$6:$E$1018,$A546,'CEMI Raw'!$B$6:$B$1018,2025)</f>
        <v>8964.7</v>
      </c>
      <c r="F546" s="21" t="n">
        <f aca="false">SUMIFS('CEMI Raw'!$C$6:$C$1018,'CEMI Raw'!$E$6:$E$1018,$A546,'CEMI Raw'!$B$6:$B$1018,2026)</f>
        <v>386</v>
      </c>
      <c r="G546" s="22" t="n">
        <f aca="false">SUMIFS('CEMI Raw'!$D$6:$D$1018,'CEMI Raw'!$E$6:$E$1018,$A546,'CEMI Raw'!$B$6:$B$1018,2026)</f>
        <v>5636.2</v>
      </c>
      <c r="H546" s="21" t="n">
        <f aca="false">SUMIFS('SALES Raw'!$C$6:$C$603,'SALES Raw'!$E$6:$E$603,$A546,'SALES Raw'!$B$6:$B$603,2025)</f>
        <v>23</v>
      </c>
      <c r="I546" s="22" t="n">
        <f aca="false">SUMIFS('SALES Raw'!$D$6:$D$603,'SALES Raw'!$E$6:$E$603,$A546,'SALES Raw'!$B$6:$B$603,2025)</f>
        <v>343.41</v>
      </c>
      <c r="J546" s="21" t="n">
        <f aca="false">SUMIFS('SALES Raw'!$C$6:$C$603,'SALES Raw'!$E$6:$E$603,$A546,'SALES Raw'!$B$6:$B$603,2026)</f>
        <v>13</v>
      </c>
      <c r="K546" s="22" t="n">
        <f aca="false">SUMIFS('SALES Raw'!$D$6:$D$603,'SALES Raw'!$E$6:$E$603,$A546,'SALES Raw'!$B$6:$B$603,2026)</f>
        <v>200.46</v>
      </c>
      <c r="L546" s="21" t="n">
        <f aca="false">D546+H546</f>
        <v>652</v>
      </c>
      <c r="M546" s="22" t="n">
        <f aca="false">E546+I546</f>
        <v>9308.11</v>
      </c>
      <c r="N546" s="21" t="n">
        <f aca="false">F546+J546</f>
        <v>399</v>
      </c>
      <c r="O546" s="22" t="n">
        <f aca="false">G546+K546</f>
        <v>5836.66</v>
      </c>
    </row>
    <row r="547" customFormat="false" ht="15" hidden="false" customHeight="false" outlineLevel="0" collapsed="false">
      <c r="A547" s="20" t="n">
        <v>4420003</v>
      </c>
      <c r="B547" s="20" t="str">
        <f aca="false">IFERROR(INDEX('Catalog'!$B:$B,MATCH($A547,'Catalog'!$A:$A,0)),"")</f>
        <v>374 רפידת בולמת זעזועים -זוג</v>
      </c>
      <c r="C547" s="20" t="str">
        <f aca="false">IFERROR(INDEX('TRANS'!$A:$A,MATCH($A547,'TRANS'!$B:$B,0)),"")</f>
        <v>374 0</v>
      </c>
      <c r="D547" s="21" t="n">
        <f aca="false">SUMIFS('CEMI Raw'!$C$6:$C$1018,'CEMI Raw'!$E$6:$E$1018,$A547,'CEMI Raw'!$B$6:$B$1018,2025)</f>
        <v>304</v>
      </c>
      <c r="E547" s="22" t="n">
        <f aca="false">SUMIFS('CEMI Raw'!$D$6:$D$1018,'CEMI Raw'!$E$6:$E$1018,$A547,'CEMI Raw'!$B$6:$B$1018,2025)</f>
        <v>4153.2</v>
      </c>
      <c r="F547" s="21" t="n">
        <f aca="false">SUMIFS('CEMI Raw'!$C$6:$C$1018,'CEMI Raw'!$E$6:$E$1018,$A547,'CEMI Raw'!$B$6:$B$1018,2026)</f>
        <v>208</v>
      </c>
      <c r="G547" s="22" t="n">
        <f aca="false">SUMIFS('CEMI Raw'!$D$6:$D$1018,'CEMI Raw'!$E$6:$E$1018,$A547,'CEMI Raw'!$B$6:$B$1018,2026)</f>
        <v>2953.3</v>
      </c>
      <c r="H547" s="21" t="n">
        <f aca="false">SUMIFS('SALES Raw'!$C$6:$C$603,'SALES Raw'!$E$6:$E$603,$A547,'SALES Raw'!$B$6:$B$603,2025)</f>
        <v>11</v>
      </c>
      <c r="I547" s="22" t="n">
        <f aca="false">SUMIFS('SALES Raw'!$D$6:$D$603,'SALES Raw'!$E$6:$E$603,$A547,'SALES Raw'!$B$6:$B$603,2025)</f>
        <v>167.37</v>
      </c>
      <c r="J547" s="21" t="n">
        <f aca="false">SUMIFS('SALES Raw'!$C$6:$C$603,'SALES Raw'!$E$6:$E$603,$A547,'SALES Raw'!$B$6:$B$603,2026)</f>
        <v>1</v>
      </c>
      <c r="K547" s="22" t="n">
        <f aca="false">SUMIFS('SALES Raw'!$D$6:$D$603,'SALES Raw'!$E$6:$E$603,$A547,'SALES Raw'!$B$6:$B$603,2026)</f>
        <v>15.42</v>
      </c>
      <c r="L547" s="21" t="n">
        <f aca="false">D547+H547</f>
        <v>315</v>
      </c>
      <c r="M547" s="22" t="n">
        <f aca="false">E547+I547</f>
        <v>4320.57</v>
      </c>
      <c r="N547" s="21" t="n">
        <f aca="false">F547+J547</f>
        <v>209</v>
      </c>
      <c r="O547" s="22" t="n">
        <f aca="false">G547+K547</f>
        <v>2968.72</v>
      </c>
    </row>
    <row r="548" customFormat="false" ht="15" hidden="false" customHeight="false" outlineLevel="0" collapsed="false">
      <c r="A548" s="20" t="n">
        <v>4420004</v>
      </c>
      <c r="B548" s="20" t="str">
        <f aca="false">IFERROR(INDEX('Catalog'!$B:$B,MATCH($A548,'Catalog'!$A:$A,0)),"")</f>
        <v>377  רפ.אורטופדית ספורט זוג35</v>
      </c>
      <c r="C548" s="20" t="str">
        <f aca="false">IFERROR(INDEX('TRANS'!$A:$A,MATCH($A548,'TRANS'!$B:$B,0)),"")</f>
        <v>377-35</v>
      </c>
      <c r="D548" s="21" t="n">
        <f aca="false">SUMIFS('CEMI Raw'!$C$6:$C$1018,'CEMI Raw'!$E$6:$E$1018,$A548,'CEMI Raw'!$B$6:$B$1018,2025)</f>
        <v>3</v>
      </c>
      <c r="E548" s="22" t="n">
        <f aca="false">SUMIFS('CEMI Raw'!$D$6:$D$1018,'CEMI Raw'!$E$6:$E$1018,$A548,'CEMI Raw'!$B$6:$B$1018,2025)</f>
        <v>42.7</v>
      </c>
      <c r="F548" s="21" t="n">
        <f aca="false">SUMIFS('CEMI Raw'!$C$6:$C$1018,'CEMI Raw'!$E$6:$E$1018,$A548,'CEMI Raw'!$B$6:$B$1018,2026)</f>
        <v>1</v>
      </c>
      <c r="G548" s="22" t="n">
        <f aca="false">SUMIFS('CEMI Raw'!$D$6:$D$1018,'CEMI Raw'!$E$6:$E$1018,$A548,'CEMI Raw'!$B$6:$B$1018,2026)</f>
        <v>36.9</v>
      </c>
      <c r="H548" s="21" t="n">
        <f aca="false">SUMIFS('SALES Raw'!$C$6:$C$603,'SALES Raw'!$E$6:$E$603,$A548,'SALES Raw'!$B$6:$B$603,2025)</f>
        <v>0</v>
      </c>
      <c r="I548" s="22" t="n">
        <f aca="false">SUMIFS('SALES Raw'!$D$6:$D$603,'SALES Raw'!$E$6:$E$603,$A548,'SALES Raw'!$B$6:$B$603,2025)</f>
        <v>0</v>
      </c>
      <c r="J548" s="21" t="n">
        <f aca="false">SUMIFS('SALES Raw'!$C$6:$C$603,'SALES Raw'!$E$6:$E$603,$A548,'SALES Raw'!$B$6:$B$603,2026)</f>
        <v>0</v>
      </c>
      <c r="K548" s="22" t="n">
        <f aca="false">SUMIFS('SALES Raw'!$D$6:$D$603,'SALES Raw'!$E$6:$E$603,$A548,'SALES Raw'!$B$6:$B$603,2026)</f>
        <v>0</v>
      </c>
      <c r="L548" s="21" t="n">
        <f aca="false">D548+H548</f>
        <v>3</v>
      </c>
      <c r="M548" s="22" t="n">
        <f aca="false">E548+I548</f>
        <v>42.7</v>
      </c>
      <c r="N548" s="21" t="n">
        <f aca="false">F548+J548</f>
        <v>1</v>
      </c>
      <c r="O548" s="22" t="n">
        <f aca="false">G548+K548</f>
        <v>36.9</v>
      </c>
    </row>
    <row r="549" customFormat="false" ht="15" hidden="false" customHeight="false" outlineLevel="0" collapsed="false">
      <c r="A549" s="20" t="n">
        <v>4420005</v>
      </c>
      <c r="B549" s="20" t="str">
        <f aca="false">IFERROR(INDEX('Catalog'!$B:$B,MATCH($A549,'Catalog'!$A:$A,0)),"")</f>
        <v>377 רפ.אורטופדית ספורט זוג36</v>
      </c>
      <c r="C549" s="20" t="str">
        <f aca="false">IFERROR(INDEX('TRANS'!$A:$A,MATCH($A549,'TRANS'!$B:$B,0)),"")</f>
        <v/>
      </c>
      <c r="D549" s="21" t="n">
        <f aca="false">SUMIFS('CEMI Raw'!$C$6:$C$1018,'CEMI Raw'!$E$6:$E$1018,$A549,'CEMI Raw'!$B$6:$B$1018,2025)</f>
        <v>3</v>
      </c>
      <c r="E549" s="22" t="n">
        <f aca="false">SUMIFS('CEMI Raw'!$D$6:$D$1018,'CEMI Raw'!$E$6:$E$1018,$A549,'CEMI Raw'!$B$6:$B$1018,2025)</f>
        <v>125</v>
      </c>
      <c r="F549" s="21" t="n">
        <f aca="false">SUMIFS('CEMI Raw'!$C$6:$C$1018,'CEMI Raw'!$E$6:$E$1018,$A549,'CEMI Raw'!$B$6:$B$1018,2026)</f>
        <v>0</v>
      </c>
      <c r="G549" s="22" t="n">
        <f aca="false">SUMIFS('CEMI Raw'!$D$6:$D$1018,'CEMI Raw'!$E$6:$E$1018,$A549,'CEMI Raw'!$B$6:$B$1018,2026)</f>
        <v>3.3</v>
      </c>
      <c r="H549" s="21" t="n">
        <f aca="false">SUMIFS('SALES Raw'!$C$6:$C$603,'SALES Raw'!$E$6:$E$603,$A549,'SALES Raw'!$B$6:$B$603,2025)</f>
        <v>0</v>
      </c>
      <c r="I549" s="22" t="n">
        <f aca="false">SUMIFS('SALES Raw'!$D$6:$D$603,'SALES Raw'!$E$6:$E$603,$A549,'SALES Raw'!$B$6:$B$603,2025)</f>
        <v>0</v>
      </c>
      <c r="J549" s="21" t="n">
        <f aca="false">SUMIFS('SALES Raw'!$C$6:$C$603,'SALES Raw'!$E$6:$E$603,$A549,'SALES Raw'!$B$6:$B$603,2026)</f>
        <v>0</v>
      </c>
      <c r="K549" s="22" t="n">
        <f aca="false">SUMIFS('SALES Raw'!$D$6:$D$603,'SALES Raw'!$E$6:$E$603,$A549,'SALES Raw'!$B$6:$B$603,2026)</f>
        <v>0</v>
      </c>
      <c r="L549" s="21" t="n">
        <f aca="false">D549+H549</f>
        <v>3</v>
      </c>
      <c r="M549" s="22" t="n">
        <f aca="false">E549+I549</f>
        <v>125</v>
      </c>
      <c r="N549" s="21" t="n">
        <f aca="false">F549+J549</f>
        <v>0</v>
      </c>
      <c r="O549" s="22" t="n">
        <f aca="false">G549+K549</f>
        <v>3.3</v>
      </c>
    </row>
    <row r="550" customFormat="false" ht="15" hidden="false" customHeight="false" outlineLevel="0" collapsed="false">
      <c r="A550" s="20" t="n">
        <v>4420007</v>
      </c>
      <c r="B550" s="20" t="str">
        <f aca="false">IFERROR(INDEX('Catalog'!$B:$B,MATCH($A550,'Catalog'!$A:$A,0)),"")</f>
        <v>377   רפ.ורטופדית ספורט זוג38</v>
      </c>
      <c r="C550" s="20" t="str">
        <f aca="false">IFERROR(INDEX('TRANS'!$A:$A,MATCH($A550,'TRANS'!$B:$B,0)),"")</f>
        <v/>
      </c>
      <c r="D550" s="21" t="n">
        <f aca="false">SUMIFS('CEMI Raw'!$C$6:$C$1018,'CEMI Raw'!$E$6:$E$1018,$A550,'CEMI Raw'!$B$6:$B$1018,2025)</f>
        <v>2</v>
      </c>
      <c r="E550" s="22" t="n">
        <f aca="false">SUMIFS('CEMI Raw'!$D$6:$D$1018,'CEMI Raw'!$E$6:$E$1018,$A550,'CEMI Raw'!$B$6:$B$1018,2025)</f>
        <v>81.5</v>
      </c>
      <c r="F550" s="21" t="n">
        <f aca="false">SUMIFS('CEMI Raw'!$C$6:$C$1018,'CEMI Raw'!$E$6:$E$1018,$A550,'CEMI Raw'!$B$6:$B$1018,2026)</f>
        <v>0</v>
      </c>
      <c r="G550" s="22" t="n">
        <f aca="false">SUMIFS('CEMI Raw'!$D$6:$D$1018,'CEMI Raw'!$E$6:$E$1018,$A550,'CEMI Raw'!$B$6:$B$1018,2026)</f>
        <v>0</v>
      </c>
      <c r="H550" s="21" t="n">
        <f aca="false">SUMIFS('SALES Raw'!$C$6:$C$603,'SALES Raw'!$E$6:$E$603,$A550,'SALES Raw'!$B$6:$B$603,2025)</f>
        <v>0</v>
      </c>
      <c r="I550" s="22" t="n">
        <f aca="false">SUMIFS('SALES Raw'!$D$6:$D$603,'SALES Raw'!$E$6:$E$603,$A550,'SALES Raw'!$B$6:$B$603,2025)</f>
        <v>0</v>
      </c>
      <c r="J550" s="21" t="n">
        <f aca="false">SUMIFS('SALES Raw'!$C$6:$C$603,'SALES Raw'!$E$6:$E$603,$A550,'SALES Raw'!$B$6:$B$603,2026)</f>
        <v>0</v>
      </c>
      <c r="K550" s="22" t="n">
        <f aca="false">SUMIFS('SALES Raw'!$D$6:$D$603,'SALES Raw'!$E$6:$E$603,$A550,'SALES Raw'!$B$6:$B$603,2026)</f>
        <v>0</v>
      </c>
      <c r="L550" s="21" t="n">
        <f aca="false">D550+H550</f>
        <v>2</v>
      </c>
      <c r="M550" s="22" t="n">
        <f aca="false">E550+I550</f>
        <v>81.5</v>
      </c>
      <c r="N550" s="21" t="n">
        <f aca="false">F550+J550</f>
        <v>0</v>
      </c>
      <c r="O550" s="22" t="n">
        <f aca="false">G550+K550</f>
        <v>0</v>
      </c>
    </row>
    <row r="551" customFormat="false" ht="15" hidden="false" customHeight="false" outlineLevel="0" collapsed="false">
      <c r="A551" s="20" t="n">
        <v>4420008</v>
      </c>
      <c r="B551" s="20" t="str">
        <f aca="false">IFERROR(INDEX('Catalog'!$B:$B,MATCH($A551,'Catalog'!$A:$A,0)),"")</f>
        <v>377  רפ.אורטופדית ספורט זוג39</v>
      </c>
      <c r="C551" s="20" t="str">
        <f aca="false">IFERROR(INDEX('TRANS'!$A:$A,MATCH($A551,'TRANS'!$B:$B,0)),"")</f>
        <v/>
      </c>
      <c r="D551" s="21" t="n">
        <f aca="false">SUMIFS('CEMI Raw'!$C$6:$C$1018,'CEMI Raw'!$E$6:$E$1018,$A551,'CEMI Raw'!$B$6:$B$1018,2025)</f>
        <v>2</v>
      </c>
      <c r="E551" s="22" t="n">
        <f aca="false">SUMIFS('CEMI Raw'!$D$6:$D$1018,'CEMI Raw'!$E$6:$E$1018,$A551,'CEMI Raw'!$B$6:$B$1018,2025)</f>
        <v>84.3</v>
      </c>
      <c r="F551" s="21" t="n">
        <f aca="false">SUMIFS('CEMI Raw'!$C$6:$C$1018,'CEMI Raw'!$E$6:$E$1018,$A551,'CEMI Raw'!$B$6:$B$1018,2026)</f>
        <v>-1</v>
      </c>
      <c r="G551" s="22" t="n">
        <f aca="false">SUMIFS('CEMI Raw'!$D$6:$D$1018,'CEMI Raw'!$E$6:$E$1018,$A551,'CEMI Raw'!$B$6:$B$1018,2026)</f>
        <v>-36.5</v>
      </c>
      <c r="H551" s="21" t="n">
        <f aca="false">SUMIFS('SALES Raw'!$C$6:$C$603,'SALES Raw'!$E$6:$E$603,$A551,'SALES Raw'!$B$6:$B$603,2025)</f>
        <v>0</v>
      </c>
      <c r="I551" s="22" t="n">
        <f aca="false">SUMIFS('SALES Raw'!$D$6:$D$603,'SALES Raw'!$E$6:$E$603,$A551,'SALES Raw'!$B$6:$B$603,2025)</f>
        <v>0</v>
      </c>
      <c r="J551" s="21" t="n">
        <f aca="false">SUMIFS('SALES Raw'!$C$6:$C$603,'SALES Raw'!$E$6:$E$603,$A551,'SALES Raw'!$B$6:$B$603,2026)</f>
        <v>0</v>
      </c>
      <c r="K551" s="22" t="n">
        <f aca="false">SUMIFS('SALES Raw'!$D$6:$D$603,'SALES Raw'!$E$6:$E$603,$A551,'SALES Raw'!$B$6:$B$603,2026)</f>
        <v>0</v>
      </c>
      <c r="L551" s="21" t="n">
        <f aca="false">D551+H551</f>
        <v>2</v>
      </c>
      <c r="M551" s="22" t="n">
        <f aca="false">E551+I551</f>
        <v>84.3</v>
      </c>
      <c r="N551" s="21" t="n">
        <f aca="false">F551+J551</f>
        <v>-1</v>
      </c>
      <c r="O551" s="22" t="n">
        <f aca="false">G551+K551</f>
        <v>-36.5</v>
      </c>
    </row>
    <row r="552" customFormat="false" ht="15" hidden="false" customHeight="false" outlineLevel="0" collapsed="false">
      <c r="A552" s="20" t="n">
        <v>4420009</v>
      </c>
      <c r="B552" s="20" t="str">
        <f aca="false">IFERROR(INDEX('Catalog'!$B:$B,MATCH($A552,'Catalog'!$A:$A,0)),"")</f>
        <v>377  רפ.אורטופדית ספורט זוג40</v>
      </c>
      <c r="C552" s="20" t="str">
        <f aca="false">IFERROR(INDEX('TRANS'!$A:$A,MATCH($A552,'TRANS'!$B:$B,0)),"")</f>
        <v/>
      </c>
      <c r="D552" s="21" t="n">
        <f aca="false">SUMIFS('CEMI Raw'!$C$6:$C$1018,'CEMI Raw'!$E$6:$E$1018,$A552,'CEMI Raw'!$B$6:$B$1018,2025)</f>
        <v>0</v>
      </c>
      <c r="E552" s="22" t="n">
        <f aca="false">SUMIFS('CEMI Raw'!$D$6:$D$1018,'CEMI Raw'!$E$6:$E$1018,$A552,'CEMI Raw'!$B$6:$B$1018,2025)</f>
        <v>0</v>
      </c>
      <c r="F552" s="21" t="n">
        <f aca="false">SUMIFS('CEMI Raw'!$C$6:$C$1018,'CEMI Raw'!$E$6:$E$1018,$A552,'CEMI Raw'!$B$6:$B$1018,2026)</f>
        <v>-1</v>
      </c>
      <c r="G552" s="22" t="n">
        <f aca="false">SUMIFS('CEMI Raw'!$D$6:$D$1018,'CEMI Raw'!$E$6:$E$1018,$A552,'CEMI Raw'!$B$6:$B$1018,2026)</f>
        <v>-36.5</v>
      </c>
      <c r="H552" s="21" t="n">
        <f aca="false">SUMIFS('SALES Raw'!$C$6:$C$603,'SALES Raw'!$E$6:$E$603,$A552,'SALES Raw'!$B$6:$B$603,2025)</f>
        <v>0</v>
      </c>
      <c r="I552" s="22" t="n">
        <f aca="false">SUMIFS('SALES Raw'!$D$6:$D$603,'SALES Raw'!$E$6:$E$603,$A552,'SALES Raw'!$B$6:$B$603,2025)</f>
        <v>0</v>
      </c>
      <c r="J552" s="21" t="n">
        <f aca="false">SUMIFS('SALES Raw'!$C$6:$C$603,'SALES Raw'!$E$6:$E$603,$A552,'SALES Raw'!$B$6:$B$603,2026)</f>
        <v>0</v>
      </c>
      <c r="K552" s="22" t="n">
        <f aca="false">SUMIFS('SALES Raw'!$D$6:$D$603,'SALES Raw'!$E$6:$E$603,$A552,'SALES Raw'!$B$6:$B$603,2026)</f>
        <v>0</v>
      </c>
      <c r="L552" s="21" t="n">
        <f aca="false">D552+H552</f>
        <v>0</v>
      </c>
      <c r="M552" s="22" t="n">
        <f aca="false">E552+I552</f>
        <v>0</v>
      </c>
      <c r="N552" s="21" t="n">
        <f aca="false">F552+J552</f>
        <v>-1</v>
      </c>
      <c r="O552" s="22" t="n">
        <f aca="false">G552+K552</f>
        <v>-36.5</v>
      </c>
    </row>
    <row r="553" customFormat="false" ht="15" hidden="false" customHeight="false" outlineLevel="0" collapsed="false">
      <c r="A553" s="20" t="n">
        <v>4420010</v>
      </c>
      <c r="B553" s="20" t="str">
        <f aca="false">IFERROR(INDEX('Catalog'!$B:$B,MATCH($A553,'Catalog'!$A:$A,0)),"")</f>
        <v>377  רפידה אורטופ.ספורט זוג41</v>
      </c>
      <c r="C553" s="20" t="str">
        <f aca="false">IFERROR(INDEX('TRANS'!$A:$A,MATCH($A553,'TRANS'!$B:$B,0)),"")</f>
        <v/>
      </c>
      <c r="D553" s="21" t="n">
        <f aca="false">SUMIFS('CEMI Raw'!$C$6:$C$1018,'CEMI Raw'!$E$6:$E$1018,$A553,'CEMI Raw'!$B$6:$B$1018,2025)</f>
        <v>6</v>
      </c>
      <c r="E553" s="22" t="n">
        <f aca="false">SUMIFS('CEMI Raw'!$D$6:$D$1018,'CEMI Raw'!$E$6:$E$1018,$A553,'CEMI Raw'!$B$6:$B$1018,2025)</f>
        <v>247.1</v>
      </c>
      <c r="F553" s="21" t="n">
        <f aca="false">SUMIFS('CEMI Raw'!$C$6:$C$1018,'CEMI Raw'!$E$6:$E$1018,$A553,'CEMI Raw'!$B$6:$B$1018,2026)</f>
        <v>0</v>
      </c>
      <c r="G553" s="22" t="n">
        <f aca="false">SUMIFS('CEMI Raw'!$D$6:$D$1018,'CEMI Raw'!$E$6:$E$1018,$A553,'CEMI Raw'!$B$6:$B$1018,2026)</f>
        <v>0</v>
      </c>
      <c r="H553" s="21" t="n">
        <f aca="false">SUMIFS('SALES Raw'!$C$6:$C$603,'SALES Raw'!$E$6:$E$603,$A553,'SALES Raw'!$B$6:$B$603,2025)</f>
        <v>0</v>
      </c>
      <c r="I553" s="22" t="n">
        <f aca="false">SUMIFS('SALES Raw'!$D$6:$D$603,'SALES Raw'!$E$6:$E$603,$A553,'SALES Raw'!$B$6:$B$603,2025)</f>
        <v>0</v>
      </c>
      <c r="J553" s="21" t="n">
        <f aca="false">SUMIFS('SALES Raw'!$C$6:$C$603,'SALES Raw'!$E$6:$E$603,$A553,'SALES Raw'!$B$6:$B$603,2026)</f>
        <v>0</v>
      </c>
      <c r="K553" s="22" t="n">
        <f aca="false">SUMIFS('SALES Raw'!$D$6:$D$603,'SALES Raw'!$E$6:$E$603,$A553,'SALES Raw'!$B$6:$B$603,2026)</f>
        <v>0</v>
      </c>
      <c r="L553" s="21" t="n">
        <f aca="false">D553+H553</f>
        <v>6</v>
      </c>
      <c r="M553" s="22" t="n">
        <f aca="false">E553+I553</f>
        <v>247.1</v>
      </c>
      <c r="N553" s="21" t="n">
        <f aca="false">F553+J553</f>
        <v>0</v>
      </c>
      <c r="O553" s="22" t="n">
        <f aca="false">G553+K553</f>
        <v>0</v>
      </c>
    </row>
    <row r="554" customFormat="false" ht="15" hidden="false" customHeight="false" outlineLevel="0" collapsed="false">
      <c r="A554" s="20" t="n">
        <v>4420012</v>
      </c>
      <c r="B554" s="20" t="str">
        <f aca="false">IFERROR(INDEX('Catalog'!$B:$B,MATCH($A554,'Catalog'!$A:$A,0)),"")</f>
        <v>377   רפידה אורט.ספורט זוג43</v>
      </c>
      <c r="C554" s="20" t="str">
        <f aca="false">IFERROR(INDEX('TRANS'!$A:$A,MATCH($A554,'TRANS'!$B:$B,0)),"")</f>
        <v/>
      </c>
      <c r="D554" s="21" t="n">
        <f aca="false">SUMIFS('CEMI Raw'!$C$6:$C$1018,'CEMI Raw'!$E$6:$E$1018,$A554,'CEMI Raw'!$B$6:$B$1018,2025)</f>
        <v>0</v>
      </c>
      <c r="E554" s="22" t="n">
        <f aca="false">SUMIFS('CEMI Raw'!$D$6:$D$1018,'CEMI Raw'!$E$6:$E$1018,$A554,'CEMI Raw'!$B$6:$B$1018,2025)</f>
        <v>0</v>
      </c>
      <c r="F554" s="21" t="n">
        <f aca="false">SUMIFS('CEMI Raw'!$C$6:$C$1018,'CEMI Raw'!$E$6:$E$1018,$A554,'CEMI Raw'!$B$6:$B$1018,2026)</f>
        <v>-1</v>
      </c>
      <c r="G554" s="22" t="n">
        <f aca="false">SUMIFS('CEMI Raw'!$D$6:$D$1018,'CEMI Raw'!$E$6:$E$1018,$A554,'CEMI Raw'!$B$6:$B$1018,2026)</f>
        <v>-36.5</v>
      </c>
      <c r="H554" s="21" t="n">
        <f aca="false">SUMIFS('SALES Raw'!$C$6:$C$603,'SALES Raw'!$E$6:$E$603,$A554,'SALES Raw'!$B$6:$B$603,2025)</f>
        <v>0</v>
      </c>
      <c r="I554" s="22" t="n">
        <f aca="false">SUMIFS('SALES Raw'!$D$6:$D$603,'SALES Raw'!$E$6:$E$603,$A554,'SALES Raw'!$B$6:$B$603,2025)</f>
        <v>0</v>
      </c>
      <c r="J554" s="21" t="n">
        <f aca="false">SUMIFS('SALES Raw'!$C$6:$C$603,'SALES Raw'!$E$6:$E$603,$A554,'SALES Raw'!$B$6:$B$603,2026)</f>
        <v>0</v>
      </c>
      <c r="K554" s="22" t="n">
        <f aca="false">SUMIFS('SALES Raw'!$D$6:$D$603,'SALES Raw'!$E$6:$E$603,$A554,'SALES Raw'!$B$6:$B$603,2026)</f>
        <v>0</v>
      </c>
      <c r="L554" s="21" t="n">
        <f aca="false">D554+H554</f>
        <v>0</v>
      </c>
      <c r="M554" s="22" t="n">
        <f aca="false">E554+I554</f>
        <v>0</v>
      </c>
      <c r="N554" s="21" t="n">
        <f aca="false">F554+J554</f>
        <v>-1</v>
      </c>
      <c r="O554" s="22" t="n">
        <f aca="false">G554+K554</f>
        <v>-36.5</v>
      </c>
    </row>
    <row r="555" customFormat="false" ht="15" hidden="false" customHeight="false" outlineLevel="0" collapsed="false">
      <c r="A555" s="20" t="n">
        <v>4420016</v>
      </c>
      <c r="B555" s="20" t="str">
        <f aca="false">IFERROR(INDEX('Catalog'!$B:$B,MATCH($A555,'Catalog'!$A:$A,0)),"")</f>
        <v>40-רצועת פיקה לברך</v>
      </c>
      <c r="C555" s="20" t="str">
        <f aca="false">IFERROR(INDEX('TRANS'!$A:$A,MATCH($A555,'TRANS'!$B:$B,0)),"")</f>
        <v>40 0</v>
      </c>
      <c r="D555" s="21" t="n">
        <f aca="false">SUMIFS('CEMI Raw'!$C$6:$C$1018,'CEMI Raw'!$E$6:$E$1018,$A555,'CEMI Raw'!$B$6:$B$1018,2025)</f>
        <v>46</v>
      </c>
      <c r="E555" s="22" t="n">
        <f aca="false">SUMIFS('CEMI Raw'!$D$6:$D$1018,'CEMI Raw'!$E$6:$E$1018,$A555,'CEMI Raw'!$B$6:$B$1018,2025)</f>
        <v>2335.3</v>
      </c>
      <c r="F555" s="21" t="n">
        <f aca="false">SUMIFS('CEMI Raw'!$C$6:$C$1018,'CEMI Raw'!$E$6:$E$1018,$A555,'CEMI Raw'!$B$6:$B$1018,2026)</f>
        <v>41</v>
      </c>
      <c r="G555" s="22" t="n">
        <f aca="false">SUMIFS('CEMI Raw'!$D$6:$D$1018,'CEMI Raw'!$E$6:$E$1018,$A555,'CEMI Raw'!$B$6:$B$1018,2026)</f>
        <v>2103.5</v>
      </c>
      <c r="H555" s="21" t="n">
        <f aca="false">SUMIFS('SALES Raw'!$C$6:$C$603,'SALES Raw'!$E$6:$E$603,$A555,'SALES Raw'!$B$6:$B$603,2025)</f>
        <v>0</v>
      </c>
      <c r="I555" s="22" t="n">
        <f aca="false">SUMIFS('SALES Raw'!$D$6:$D$603,'SALES Raw'!$E$6:$E$603,$A555,'SALES Raw'!$B$6:$B$603,2025)</f>
        <v>0</v>
      </c>
      <c r="J555" s="21" t="n">
        <f aca="false">SUMIFS('SALES Raw'!$C$6:$C$603,'SALES Raw'!$E$6:$E$603,$A555,'SALES Raw'!$B$6:$B$603,2026)</f>
        <v>0</v>
      </c>
      <c r="K555" s="22" t="n">
        <f aca="false">SUMIFS('SALES Raw'!$D$6:$D$603,'SALES Raw'!$E$6:$E$603,$A555,'SALES Raw'!$B$6:$B$603,2026)</f>
        <v>0</v>
      </c>
      <c r="L555" s="21" t="n">
        <f aca="false">D555+H555</f>
        <v>46</v>
      </c>
      <c r="M555" s="22" t="n">
        <f aca="false">E555+I555</f>
        <v>2335.3</v>
      </c>
      <c r="N555" s="21" t="n">
        <f aca="false">F555+J555</f>
        <v>41</v>
      </c>
      <c r="O555" s="22" t="n">
        <f aca="false">G555+K555</f>
        <v>2103.5</v>
      </c>
    </row>
    <row r="556" customFormat="false" ht="15" hidden="false" customHeight="false" outlineLevel="0" collapsed="false">
      <c r="A556" s="20" t="n">
        <v>4420017</v>
      </c>
      <c r="B556" s="20" t="str">
        <f aca="false">IFERROR(INDEX('Catalog'!$B:$B,MATCH($A556,'Catalog'!$A:$A,0)),"")</f>
        <v>4022 רצועת ""פיקה""+כרית</v>
      </c>
      <c r="C556" s="20" t="str">
        <f aca="false">IFERROR(INDEX('TRANS'!$A:$A,MATCH($A556,'TRANS'!$B:$B,0)),"")</f>
        <v>4022 0</v>
      </c>
      <c r="D556" s="21" t="n">
        <f aca="false">SUMIFS('CEMI Raw'!$C$6:$C$1018,'CEMI Raw'!$E$6:$E$1018,$A556,'CEMI Raw'!$B$6:$B$1018,2025)</f>
        <v>35</v>
      </c>
      <c r="E556" s="22" t="n">
        <f aca="false">SUMIFS('CEMI Raw'!$D$6:$D$1018,'CEMI Raw'!$E$6:$E$1018,$A556,'CEMI Raw'!$B$6:$B$1018,2025)</f>
        <v>3191.1</v>
      </c>
      <c r="F556" s="21" t="n">
        <f aca="false">SUMIFS('CEMI Raw'!$C$6:$C$1018,'CEMI Raw'!$E$6:$E$1018,$A556,'CEMI Raw'!$B$6:$B$1018,2026)</f>
        <v>23</v>
      </c>
      <c r="G556" s="22" t="n">
        <f aca="false">SUMIFS('CEMI Raw'!$D$6:$D$1018,'CEMI Raw'!$E$6:$E$1018,$A556,'CEMI Raw'!$B$6:$B$1018,2026)</f>
        <v>2107.1</v>
      </c>
      <c r="H556" s="21" t="n">
        <f aca="false">SUMIFS('SALES Raw'!$C$6:$C$603,'SALES Raw'!$E$6:$E$603,$A556,'SALES Raw'!$B$6:$B$603,2025)</f>
        <v>6</v>
      </c>
      <c r="I556" s="22" t="n">
        <f aca="false">SUMIFS('SALES Raw'!$D$6:$D$603,'SALES Raw'!$E$6:$E$603,$A556,'SALES Raw'!$B$6:$B$603,2025)</f>
        <v>567.81</v>
      </c>
      <c r="J556" s="21" t="n">
        <f aca="false">SUMIFS('SALES Raw'!$C$6:$C$603,'SALES Raw'!$E$6:$E$603,$A556,'SALES Raw'!$B$6:$B$603,2026)</f>
        <v>4</v>
      </c>
      <c r="K556" s="22" t="n">
        <f aca="false">SUMIFS('SALES Raw'!$D$6:$D$603,'SALES Raw'!$E$6:$E$603,$A556,'SALES Raw'!$B$6:$B$603,2026)</f>
        <v>378.54</v>
      </c>
      <c r="L556" s="21" t="n">
        <f aca="false">D556+H556</f>
        <v>41</v>
      </c>
      <c r="M556" s="22" t="n">
        <f aca="false">E556+I556</f>
        <v>3758.91</v>
      </c>
      <c r="N556" s="21" t="n">
        <f aca="false">F556+J556</f>
        <v>27</v>
      </c>
      <c r="O556" s="22" t="n">
        <f aca="false">G556+K556</f>
        <v>2485.64</v>
      </c>
    </row>
    <row r="557" customFormat="false" ht="15" hidden="false" customHeight="false" outlineLevel="0" collapsed="false">
      <c r="A557" s="20" t="n">
        <v>4420018</v>
      </c>
      <c r="B557" s="20" t="str">
        <f aca="false">IFERROR(INDEX('Catalog'!$B:$B,MATCH($A557,'Catalog'!$A:$A,0)),"")</f>
        <v>T90 רצועת טניס אלבו עם פלסטיק</v>
      </c>
      <c r="C557" s="20" t="str">
        <f aca="false">IFERROR(INDEX('TRANS'!$A:$A,MATCH($A557,'TRANS'!$B:$B,0)),"")</f>
        <v>(missing in TRANS source - cell was blank/error)</v>
      </c>
      <c r="D557" s="21" t="n">
        <f aca="false">SUMIFS('CEMI Raw'!$C$6:$C$1018,'CEMI Raw'!$E$6:$E$1018,$A557,'CEMI Raw'!$B$6:$B$1018,2025)</f>
        <v>-1</v>
      </c>
      <c r="E557" s="22" t="n">
        <f aca="false">SUMIFS('CEMI Raw'!$D$6:$D$1018,'CEMI Raw'!$E$6:$E$1018,$A557,'CEMI Raw'!$B$6:$B$1018,2025)</f>
        <v>-98.3</v>
      </c>
      <c r="F557" s="21" t="n">
        <f aca="false">SUMIFS('CEMI Raw'!$C$6:$C$1018,'CEMI Raw'!$E$6:$E$1018,$A557,'CEMI Raw'!$B$6:$B$1018,2026)</f>
        <v>0</v>
      </c>
      <c r="G557" s="22" t="n">
        <f aca="false">SUMIFS('CEMI Raw'!$D$6:$D$1018,'CEMI Raw'!$E$6:$E$1018,$A557,'CEMI Raw'!$B$6:$B$1018,2026)</f>
        <v>0</v>
      </c>
      <c r="H557" s="21" t="n">
        <f aca="false">SUMIFS('SALES Raw'!$C$6:$C$603,'SALES Raw'!$E$6:$E$603,$A557,'SALES Raw'!$B$6:$B$603,2025)</f>
        <v>0</v>
      </c>
      <c r="I557" s="22" t="n">
        <f aca="false">SUMIFS('SALES Raw'!$D$6:$D$603,'SALES Raw'!$E$6:$E$603,$A557,'SALES Raw'!$B$6:$B$603,2025)</f>
        <v>0</v>
      </c>
      <c r="J557" s="21" t="n">
        <f aca="false">SUMIFS('SALES Raw'!$C$6:$C$603,'SALES Raw'!$E$6:$E$603,$A557,'SALES Raw'!$B$6:$B$603,2026)</f>
        <v>0</v>
      </c>
      <c r="K557" s="22" t="n">
        <f aca="false">SUMIFS('SALES Raw'!$D$6:$D$603,'SALES Raw'!$E$6:$E$603,$A557,'SALES Raw'!$B$6:$B$603,2026)</f>
        <v>0</v>
      </c>
      <c r="L557" s="21" t="n">
        <f aca="false">D557+H557</f>
        <v>-1</v>
      </c>
      <c r="M557" s="22" t="n">
        <f aca="false">E557+I557</f>
        <v>-98.3</v>
      </c>
      <c r="N557" s="21" t="n">
        <f aca="false">F557+J557</f>
        <v>0</v>
      </c>
      <c r="O557" s="22" t="n">
        <f aca="false">G557+K557</f>
        <v>0</v>
      </c>
    </row>
    <row r="558" customFormat="false" ht="15" hidden="false" customHeight="false" outlineLevel="0" collapsed="false">
      <c r="A558" s="20" t="n">
        <v>4420022</v>
      </c>
      <c r="B558" s="20" t="str">
        <f aca="false">IFERROR(INDEX('Catalog'!$B:$B,MATCH($A558,'Catalog'!$A:$A,0)),"")</f>
        <v>LF370 ריפוד סיליקון לעקב אחורי</v>
      </c>
      <c r="C558" s="20" t="str">
        <f aca="false">IFERROR(INDEX('TRANS'!$A:$A,MATCH($A558,'TRANS'!$B:$B,0)),"")</f>
        <v>LF370 0</v>
      </c>
      <c r="D558" s="21" t="n">
        <f aca="false">SUMIFS('CEMI Raw'!$C$6:$C$1018,'CEMI Raw'!$E$6:$E$1018,$A558,'CEMI Raw'!$B$6:$B$1018,2025)</f>
        <v>81</v>
      </c>
      <c r="E558" s="22" t="n">
        <f aca="false">SUMIFS('CEMI Raw'!$D$6:$D$1018,'CEMI Raw'!$E$6:$E$1018,$A558,'CEMI Raw'!$B$6:$B$1018,2025)</f>
        <v>1782.8</v>
      </c>
      <c r="F558" s="21" t="n">
        <f aca="false">SUMIFS('CEMI Raw'!$C$6:$C$1018,'CEMI Raw'!$E$6:$E$1018,$A558,'CEMI Raw'!$B$6:$B$1018,2026)</f>
        <v>78</v>
      </c>
      <c r="G558" s="22" t="n">
        <f aca="false">SUMIFS('CEMI Raw'!$D$6:$D$1018,'CEMI Raw'!$E$6:$E$1018,$A558,'CEMI Raw'!$B$6:$B$1018,2026)</f>
        <v>1779.9</v>
      </c>
      <c r="H558" s="21" t="n">
        <f aca="false">SUMIFS('SALES Raw'!$C$6:$C$603,'SALES Raw'!$E$6:$E$603,$A558,'SALES Raw'!$B$6:$B$603,2025)</f>
        <v>0</v>
      </c>
      <c r="I558" s="22" t="n">
        <f aca="false">SUMIFS('SALES Raw'!$D$6:$D$603,'SALES Raw'!$E$6:$E$603,$A558,'SALES Raw'!$B$6:$B$603,2025)</f>
        <v>0</v>
      </c>
      <c r="J558" s="21" t="n">
        <f aca="false">SUMIFS('SALES Raw'!$C$6:$C$603,'SALES Raw'!$E$6:$E$603,$A558,'SALES Raw'!$B$6:$B$603,2026)</f>
        <v>0</v>
      </c>
      <c r="K558" s="22" t="n">
        <f aca="false">SUMIFS('SALES Raw'!$D$6:$D$603,'SALES Raw'!$E$6:$E$603,$A558,'SALES Raw'!$B$6:$B$603,2026)</f>
        <v>0</v>
      </c>
      <c r="L558" s="21" t="n">
        <f aca="false">D558+H558</f>
        <v>81</v>
      </c>
      <c r="M558" s="22" t="n">
        <f aca="false">E558+I558</f>
        <v>1782.8</v>
      </c>
      <c r="N558" s="21" t="n">
        <f aca="false">F558+J558</f>
        <v>78</v>
      </c>
      <c r="O558" s="22" t="n">
        <f aca="false">G558+K558</f>
        <v>1779.9</v>
      </c>
    </row>
    <row r="559" customFormat="false" ht="15" hidden="false" customHeight="false" outlineLevel="0" collapsed="false">
      <c r="A559" s="20" t="n">
        <v>4420023</v>
      </c>
      <c r="B559" s="20" t="str">
        <f aca="false">IFERROR(INDEX('Catalog'!$B:$B,MATCH($A559,'Catalog'!$A:$A,0)),"")</f>
        <v>LF371 ריפוד סיליקון לנעלי אצבע</v>
      </c>
      <c r="C559" s="20" t="str">
        <f aca="false">IFERROR(INDEX('TRANS'!$A:$A,MATCH($A559,'TRANS'!$B:$B,0)),"")</f>
        <v>LF371 0</v>
      </c>
      <c r="D559" s="21" t="n">
        <f aca="false">SUMIFS('CEMI Raw'!$C$6:$C$1018,'CEMI Raw'!$E$6:$E$1018,$A559,'CEMI Raw'!$B$6:$B$1018,2025)</f>
        <v>7</v>
      </c>
      <c r="E559" s="22" t="n">
        <f aca="false">SUMIFS('CEMI Raw'!$D$6:$D$1018,'CEMI Raw'!$E$6:$E$1018,$A559,'CEMI Raw'!$B$6:$B$1018,2025)</f>
        <v>180.9</v>
      </c>
      <c r="F559" s="21" t="n">
        <f aca="false">SUMIFS('CEMI Raw'!$C$6:$C$1018,'CEMI Raw'!$E$6:$E$1018,$A559,'CEMI Raw'!$B$6:$B$1018,2026)</f>
        <v>-1</v>
      </c>
      <c r="G559" s="22" t="n">
        <f aca="false">SUMIFS('CEMI Raw'!$D$6:$D$1018,'CEMI Raw'!$E$6:$E$1018,$A559,'CEMI Raw'!$B$6:$B$1018,2026)</f>
        <v>-21.9</v>
      </c>
      <c r="H559" s="21" t="n">
        <f aca="false">SUMIFS('SALES Raw'!$C$6:$C$603,'SALES Raw'!$E$6:$E$603,$A559,'SALES Raw'!$B$6:$B$603,2025)</f>
        <v>4</v>
      </c>
      <c r="I559" s="22" t="n">
        <f aca="false">SUMIFS('SALES Raw'!$D$6:$D$603,'SALES Raw'!$E$6:$E$603,$A559,'SALES Raw'!$B$6:$B$603,2025)</f>
        <v>114.18</v>
      </c>
      <c r="J559" s="21" t="n">
        <f aca="false">SUMIFS('SALES Raw'!$C$6:$C$603,'SALES Raw'!$E$6:$E$603,$A559,'SALES Raw'!$B$6:$B$603,2026)</f>
        <v>8</v>
      </c>
      <c r="K559" s="22" t="n">
        <f aca="false">SUMIFS('SALES Raw'!$D$6:$D$603,'SALES Raw'!$E$6:$E$603,$A559,'SALES Raw'!$B$6:$B$603,2026)</f>
        <v>228.35</v>
      </c>
      <c r="L559" s="21" t="n">
        <f aca="false">D559+H559</f>
        <v>11</v>
      </c>
      <c r="M559" s="22" t="n">
        <f aca="false">E559+I559</f>
        <v>295.08</v>
      </c>
      <c r="N559" s="21" t="n">
        <f aca="false">F559+J559</f>
        <v>7</v>
      </c>
      <c r="O559" s="22" t="n">
        <f aca="false">G559+K559</f>
        <v>206.45</v>
      </c>
    </row>
    <row r="560" customFormat="false" ht="15" hidden="false" customHeight="false" outlineLevel="0" collapsed="false">
      <c r="A560" s="20" t="n">
        <v>4420024</v>
      </c>
      <c r="B560" s="20" t="str">
        <f aca="false">IFERROR(INDEX('Catalog'!$B:$B,MATCH($A560,'Catalog'!$A:$A,0)),"")</f>
        <v>LFריפוד סיליק.לכרית כף הרגל373</v>
      </c>
      <c r="C560" s="20" t="str">
        <f aca="false">IFERROR(INDEX('TRANS'!$A:$A,MATCH($A560,'TRANS'!$B:$B,0)),"")</f>
        <v>LF373 0</v>
      </c>
      <c r="D560" s="21" t="n">
        <f aca="false">SUMIFS('CEMI Raw'!$C$6:$C$1018,'CEMI Raw'!$E$6:$E$1018,$A560,'CEMI Raw'!$B$6:$B$1018,2025)</f>
        <v>54</v>
      </c>
      <c r="E560" s="22" t="n">
        <f aca="false">SUMIFS('CEMI Raw'!$D$6:$D$1018,'CEMI Raw'!$E$6:$E$1018,$A560,'CEMI Raw'!$B$6:$B$1018,2025)</f>
        <v>1072.9</v>
      </c>
      <c r="F560" s="21" t="n">
        <f aca="false">SUMIFS('CEMI Raw'!$C$6:$C$1018,'CEMI Raw'!$E$6:$E$1018,$A560,'CEMI Raw'!$B$6:$B$1018,2026)</f>
        <v>32</v>
      </c>
      <c r="G560" s="22" t="n">
        <f aca="false">SUMIFS('CEMI Raw'!$D$6:$D$1018,'CEMI Raw'!$E$6:$E$1018,$A560,'CEMI Raw'!$B$6:$B$1018,2026)</f>
        <v>657.5</v>
      </c>
      <c r="H560" s="21" t="n">
        <f aca="false">SUMIFS('SALES Raw'!$C$6:$C$603,'SALES Raw'!$E$6:$E$603,$A560,'SALES Raw'!$B$6:$B$603,2025)</f>
        <v>0</v>
      </c>
      <c r="I560" s="22" t="n">
        <f aca="false">SUMIFS('SALES Raw'!$D$6:$D$603,'SALES Raw'!$E$6:$E$603,$A560,'SALES Raw'!$B$6:$B$603,2025)</f>
        <v>0</v>
      </c>
      <c r="J560" s="21" t="n">
        <f aca="false">SUMIFS('SALES Raw'!$C$6:$C$603,'SALES Raw'!$E$6:$E$603,$A560,'SALES Raw'!$B$6:$B$603,2026)</f>
        <v>4</v>
      </c>
      <c r="K560" s="22" t="n">
        <f aca="false">SUMIFS('SALES Raw'!$D$6:$D$603,'SALES Raw'!$E$6:$E$603,$A560,'SALES Raw'!$B$6:$B$603,2026)</f>
        <v>86.08</v>
      </c>
      <c r="L560" s="21" t="n">
        <f aca="false">D560+H560</f>
        <v>54</v>
      </c>
      <c r="M560" s="22" t="n">
        <f aca="false">E560+I560</f>
        <v>1072.9</v>
      </c>
      <c r="N560" s="21" t="n">
        <f aca="false">F560+J560</f>
        <v>36</v>
      </c>
      <c r="O560" s="22" t="n">
        <f aca="false">G560+K560</f>
        <v>743.58</v>
      </c>
    </row>
    <row r="561" customFormat="false" ht="15" hidden="false" customHeight="false" outlineLevel="0" collapsed="false">
      <c r="A561" s="20" t="n">
        <v>4420025</v>
      </c>
      <c r="B561" s="20" t="str">
        <f aca="false">IFERROR(INDEX('Catalog'!$B:$B,MATCH($A561,'Catalog'!$A:$A,0)),"")</f>
        <v>LF374 ריפוד סיליק.לעקב תחתון</v>
      </c>
      <c r="C561" s="20" t="str">
        <f aca="false">IFERROR(INDEX('TRANS'!$A:$A,MATCH($A561,'TRANS'!$B:$B,0)),"")</f>
        <v>LF374 0</v>
      </c>
      <c r="D561" s="21" t="n">
        <f aca="false">SUMIFS('CEMI Raw'!$C$6:$C$1018,'CEMI Raw'!$E$6:$E$1018,$A561,'CEMI Raw'!$B$6:$B$1018,2025)</f>
        <v>45</v>
      </c>
      <c r="E561" s="22" t="n">
        <f aca="false">SUMIFS('CEMI Raw'!$D$6:$D$1018,'CEMI Raw'!$E$6:$E$1018,$A561,'CEMI Raw'!$B$6:$B$1018,2025)</f>
        <v>1008</v>
      </c>
      <c r="F561" s="21" t="n">
        <f aca="false">SUMIFS('CEMI Raw'!$C$6:$C$1018,'CEMI Raw'!$E$6:$E$1018,$A561,'CEMI Raw'!$B$6:$B$1018,2026)</f>
        <v>11</v>
      </c>
      <c r="G561" s="22" t="n">
        <f aca="false">SUMIFS('CEMI Raw'!$D$6:$D$1018,'CEMI Raw'!$E$6:$E$1018,$A561,'CEMI Raw'!$B$6:$B$1018,2026)</f>
        <v>243.3</v>
      </c>
      <c r="H561" s="21" t="n">
        <f aca="false">SUMIFS('SALES Raw'!$C$6:$C$603,'SALES Raw'!$E$6:$E$603,$A561,'SALES Raw'!$B$6:$B$603,2025)</f>
        <v>0</v>
      </c>
      <c r="I561" s="22" t="n">
        <f aca="false">SUMIFS('SALES Raw'!$D$6:$D$603,'SALES Raw'!$E$6:$E$603,$A561,'SALES Raw'!$B$6:$B$603,2025)</f>
        <v>0</v>
      </c>
      <c r="J561" s="21" t="n">
        <f aca="false">SUMIFS('SALES Raw'!$C$6:$C$603,'SALES Raw'!$E$6:$E$603,$A561,'SALES Raw'!$B$6:$B$603,2026)</f>
        <v>0</v>
      </c>
      <c r="K561" s="22" t="n">
        <f aca="false">SUMIFS('SALES Raw'!$D$6:$D$603,'SALES Raw'!$E$6:$E$603,$A561,'SALES Raw'!$B$6:$B$603,2026)</f>
        <v>0</v>
      </c>
      <c r="L561" s="21" t="n">
        <f aca="false">D561+H561</f>
        <v>45</v>
      </c>
      <c r="M561" s="22" t="n">
        <f aca="false">E561+I561</f>
        <v>1008</v>
      </c>
      <c r="N561" s="21" t="n">
        <f aca="false">F561+J561</f>
        <v>11</v>
      </c>
      <c r="O561" s="22" t="n">
        <f aca="false">G561+K561</f>
        <v>243.3</v>
      </c>
    </row>
    <row r="562" customFormat="false" ht="15" hidden="false" customHeight="false" outlineLevel="0" collapsed="false">
      <c r="A562" s="20" t="n">
        <v>4420026</v>
      </c>
      <c r="B562" s="20" t="str">
        <f aca="false">IFERROR(INDEX('Catalog'!$B:$B,MATCH($A562,'Catalog'!$A:$A,0)),"")</f>
        <v>AC40 רצועה לפיקת הברך</v>
      </c>
      <c r="C562" s="20" t="str">
        <f aca="false">IFERROR(INDEX('TRANS'!$A:$A,MATCH($A562,'TRANS'!$B:$B,0)),"")</f>
        <v>AC40 0</v>
      </c>
      <c r="D562" s="21" t="n">
        <f aca="false">SUMIFS('CEMI Raw'!$C$6:$C$1018,'CEMI Raw'!$E$6:$E$1018,$A562,'CEMI Raw'!$B$6:$B$1018,2025)</f>
        <v>4</v>
      </c>
      <c r="E562" s="22" t="n">
        <f aca="false">SUMIFS('CEMI Raw'!$D$6:$D$1018,'CEMI Raw'!$E$6:$E$1018,$A562,'CEMI Raw'!$B$6:$B$1018,2025)</f>
        <v>315.3</v>
      </c>
      <c r="F562" s="21" t="n">
        <f aca="false">SUMIFS('CEMI Raw'!$C$6:$C$1018,'CEMI Raw'!$E$6:$E$1018,$A562,'CEMI Raw'!$B$6:$B$1018,2026)</f>
        <v>5</v>
      </c>
      <c r="G562" s="22" t="n">
        <f aca="false">SUMIFS('CEMI Raw'!$D$6:$D$1018,'CEMI Raw'!$E$6:$E$1018,$A562,'CEMI Raw'!$B$6:$B$1018,2026)</f>
        <v>392.1</v>
      </c>
      <c r="H562" s="21" t="n">
        <f aca="false">SUMIFS('SALES Raw'!$C$6:$C$603,'SALES Raw'!$E$6:$E$603,$A562,'SALES Raw'!$B$6:$B$603,2025)</f>
        <v>1</v>
      </c>
      <c r="I562" s="22" t="n">
        <f aca="false">SUMIFS('SALES Raw'!$D$6:$D$603,'SALES Raw'!$E$6:$E$603,$A562,'SALES Raw'!$B$6:$B$603,2025)</f>
        <v>80.57</v>
      </c>
      <c r="J562" s="21" t="n">
        <f aca="false">SUMIFS('SALES Raw'!$C$6:$C$603,'SALES Raw'!$E$6:$E$603,$A562,'SALES Raw'!$B$6:$B$603,2026)</f>
        <v>1</v>
      </c>
      <c r="K562" s="22" t="n">
        <f aca="false">SUMIFS('SALES Raw'!$D$6:$D$603,'SALES Raw'!$E$6:$E$603,$A562,'SALES Raw'!$B$6:$B$603,2026)</f>
        <v>80.57</v>
      </c>
      <c r="L562" s="21" t="n">
        <f aca="false">D562+H562</f>
        <v>5</v>
      </c>
      <c r="M562" s="22" t="n">
        <f aca="false">E562+I562</f>
        <v>395.87</v>
      </c>
      <c r="N562" s="21" t="n">
        <f aca="false">F562+J562</f>
        <v>6</v>
      </c>
      <c r="O562" s="22" t="n">
        <f aca="false">G562+K562</f>
        <v>472.67</v>
      </c>
    </row>
    <row r="563" customFormat="false" ht="15" hidden="false" customHeight="false" outlineLevel="0" collapsed="false">
      <c r="A563" s="20" t="n">
        <v>4420027</v>
      </c>
      <c r="B563" s="20" t="str">
        <f aca="false">IFERROR(INDEX('Catalog'!$B:$B,MATCH($A563,'Catalog'!$A:$A,0)),"")</f>
        <v>370K 0 רפידת לילדים אנטי ריח</v>
      </c>
      <c r="C563" s="20" t="str">
        <f aca="false">IFERROR(INDEX('TRANS'!$A:$A,MATCH($A563,'TRANS'!$B:$B,0)),"")</f>
        <v>370K 0</v>
      </c>
      <c r="D563" s="21" t="n">
        <f aca="false">SUMIFS('CEMI Raw'!$C$6:$C$1018,'CEMI Raw'!$E$6:$E$1018,$A563,'CEMI Raw'!$B$6:$B$1018,2025)</f>
        <v>58</v>
      </c>
      <c r="E563" s="22" t="n">
        <f aca="false">SUMIFS('CEMI Raw'!$D$6:$D$1018,'CEMI Raw'!$E$6:$E$1018,$A563,'CEMI Raw'!$B$6:$B$1018,2025)</f>
        <v>678.9</v>
      </c>
      <c r="F563" s="21" t="n">
        <f aca="false">SUMIFS('CEMI Raw'!$C$6:$C$1018,'CEMI Raw'!$E$6:$E$1018,$A563,'CEMI Raw'!$B$6:$B$1018,2026)</f>
        <v>9</v>
      </c>
      <c r="G563" s="22" t="n">
        <f aca="false">SUMIFS('CEMI Raw'!$D$6:$D$1018,'CEMI Raw'!$E$6:$E$1018,$A563,'CEMI Raw'!$B$6:$B$1018,2026)</f>
        <v>112.5</v>
      </c>
      <c r="H563" s="21" t="n">
        <f aca="false">SUMIFS('SALES Raw'!$C$6:$C$603,'SALES Raw'!$E$6:$E$603,$A563,'SALES Raw'!$B$6:$B$603,2025)</f>
        <v>0</v>
      </c>
      <c r="I563" s="22" t="n">
        <f aca="false">SUMIFS('SALES Raw'!$D$6:$D$603,'SALES Raw'!$E$6:$E$603,$A563,'SALES Raw'!$B$6:$B$603,2025)</f>
        <v>0</v>
      </c>
      <c r="J563" s="21" t="n">
        <f aca="false">SUMIFS('SALES Raw'!$C$6:$C$603,'SALES Raw'!$E$6:$E$603,$A563,'SALES Raw'!$B$6:$B$603,2026)</f>
        <v>0</v>
      </c>
      <c r="K563" s="22" t="n">
        <f aca="false">SUMIFS('SALES Raw'!$D$6:$D$603,'SALES Raw'!$E$6:$E$603,$A563,'SALES Raw'!$B$6:$B$603,2026)</f>
        <v>0</v>
      </c>
      <c r="L563" s="21" t="n">
        <f aca="false">D563+H563</f>
        <v>58</v>
      </c>
      <c r="M563" s="22" t="n">
        <f aca="false">E563+I563</f>
        <v>678.9</v>
      </c>
      <c r="N563" s="21" t="n">
        <f aca="false">F563+J563</f>
        <v>9</v>
      </c>
      <c r="O563" s="22" t="n">
        <f aca="false">G563+K563</f>
        <v>112.5</v>
      </c>
    </row>
    <row r="564" customFormat="false" ht="15" hidden="false" customHeight="false" outlineLevel="0" collapsed="false">
      <c r="A564" s="20" t="n">
        <v>4420028</v>
      </c>
      <c r="B564" s="20" t="str">
        <f aca="false">IFERROR(INDEX('Catalog'!$B:$B,MATCH($A564,'Catalog'!$A:$A,0)),"")</f>
        <v>35-37 רפידת ספורט 376 מידה</v>
      </c>
      <c r="C564" s="20" t="str">
        <f aca="false">IFERROR(INDEX('TRANS'!$A:$A,MATCH($A564,'TRANS'!$B:$B,0)),"")</f>
        <v/>
      </c>
      <c r="D564" s="21" t="n">
        <f aca="false">SUMIFS('CEMI Raw'!$C$6:$C$1018,'CEMI Raw'!$E$6:$E$1018,$A564,'CEMI Raw'!$B$6:$B$1018,2025)</f>
        <v>-1</v>
      </c>
      <c r="E564" s="22" t="n">
        <f aca="false">SUMIFS('CEMI Raw'!$D$6:$D$1018,'CEMI Raw'!$E$6:$E$1018,$A564,'CEMI Raw'!$B$6:$B$1018,2025)</f>
        <v>-43.2</v>
      </c>
      <c r="F564" s="21" t="n">
        <f aca="false">SUMIFS('CEMI Raw'!$C$6:$C$1018,'CEMI Raw'!$E$6:$E$1018,$A564,'CEMI Raw'!$B$6:$B$1018,2026)</f>
        <v>1</v>
      </c>
      <c r="G564" s="22" t="n">
        <f aca="false">SUMIFS('CEMI Raw'!$D$6:$D$1018,'CEMI Raw'!$E$6:$E$1018,$A564,'CEMI Raw'!$B$6:$B$1018,2026)</f>
        <v>35.1</v>
      </c>
      <c r="H564" s="21" t="n">
        <f aca="false">SUMIFS('SALES Raw'!$C$6:$C$603,'SALES Raw'!$E$6:$E$603,$A564,'SALES Raw'!$B$6:$B$603,2025)</f>
        <v>0</v>
      </c>
      <c r="I564" s="22" t="n">
        <f aca="false">SUMIFS('SALES Raw'!$D$6:$D$603,'SALES Raw'!$E$6:$E$603,$A564,'SALES Raw'!$B$6:$B$603,2025)</f>
        <v>0</v>
      </c>
      <c r="J564" s="21" t="n">
        <f aca="false">SUMIFS('SALES Raw'!$C$6:$C$603,'SALES Raw'!$E$6:$E$603,$A564,'SALES Raw'!$B$6:$B$603,2026)</f>
        <v>0</v>
      </c>
      <c r="K564" s="22" t="n">
        <f aca="false">SUMIFS('SALES Raw'!$D$6:$D$603,'SALES Raw'!$E$6:$E$603,$A564,'SALES Raw'!$B$6:$B$603,2026)</f>
        <v>0</v>
      </c>
      <c r="L564" s="21" t="n">
        <f aca="false">D564+H564</f>
        <v>-1</v>
      </c>
      <c r="M564" s="22" t="n">
        <f aca="false">E564+I564</f>
        <v>-43.2</v>
      </c>
      <c r="N564" s="21" t="n">
        <f aca="false">F564+J564</f>
        <v>1</v>
      </c>
      <c r="O564" s="22" t="n">
        <f aca="false">G564+K564</f>
        <v>35.1</v>
      </c>
    </row>
    <row r="565" customFormat="false" ht="15" hidden="false" customHeight="false" outlineLevel="0" collapsed="false">
      <c r="A565" s="20" t="n">
        <v>4420030</v>
      </c>
      <c r="B565" s="20" t="str">
        <f aca="false">IFERROR(INDEX('Catalog'!$B:$B,MATCH($A565,'Catalog'!$A:$A,0)),"")</f>
        <v>41-43 רפידת ספורט 376 מידה</v>
      </c>
      <c r="C565" s="20" t="str">
        <f aca="false">IFERROR(INDEX('TRANS'!$A:$A,MATCH($A565,'TRANS'!$B:$B,0)),"")</f>
        <v/>
      </c>
      <c r="D565" s="21" t="n">
        <f aca="false">SUMIFS('CEMI Raw'!$C$6:$C$1018,'CEMI Raw'!$E$6:$E$1018,$A565,'CEMI Raw'!$B$6:$B$1018,2025)</f>
        <v>1</v>
      </c>
      <c r="E565" s="22" t="n">
        <f aca="false">SUMIFS('CEMI Raw'!$D$6:$D$1018,'CEMI Raw'!$E$6:$E$1018,$A565,'CEMI Raw'!$B$6:$B$1018,2025)</f>
        <v>33</v>
      </c>
      <c r="F565" s="21" t="n">
        <f aca="false">SUMIFS('CEMI Raw'!$C$6:$C$1018,'CEMI Raw'!$E$6:$E$1018,$A565,'CEMI Raw'!$B$6:$B$1018,2026)</f>
        <v>1</v>
      </c>
      <c r="G565" s="22" t="n">
        <f aca="false">SUMIFS('CEMI Raw'!$D$6:$D$1018,'CEMI Raw'!$E$6:$E$1018,$A565,'CEMI Raw'!$B$6:$B$1018,2026)</f>
        <v>35.1</v>
      </c>
      <c r="H565" s="21" t="n">
        <f aca="false">SUMIFS('SALES Raw'!$C$6:$C$603,'SALES Raw'!$E$6:$E$603,$A565,'SALES Raw'!$B$6:$B$603,2025)</f>
        <v>0</v>
      </c>
      <c r="I565" s="22" t="n">
        <f aca="false">SUMIFS('SALES Raw'!$D$6:$D$603,'SALES Raw'!$E$6:$E$603,$A565,'SALES Raw'!$B$6:$B$603,2025)</f>
        <v>0</v>
      </c>
      <c r="J565" s="21" t="n">
        <f aca="false">SUMIFS('SALES Raw'!$C$6:$C$603,'SALES Raw'!$E$6:$E$603,$A565,'SALES Raw'!$B$6:$B$603,2026)</f>
        <v>0</v>
      </c>
      <c r="K565" s="22" t="n">
        <f aca="false">SUMIFS('SALES Raw'!$D$6:$D$603,'SALES Raw'!$E$6:$E$603,$A565,'SALES Raw'!$B$6:$B$603,2026)</f>
        <v>0</v>
      </c>
      <c r="L565" s="21" t="n">
        <f aca="false">D565+H565</f>
        <v>1</v>
      </c>
      <c r="M565" s="22" t="n">
        <f aca="false">E565+I565</f>
        <v>33</v>
      </c>
      <c r="N565" s="21" t="n">
        <f aca="false">F565+J565</f>
        <v>1</v>
      </c>
      <c r="O565" s="22" t="n">
        <f aca="false">G565+K565</f>
        <v>35.1</v>
      </c>
    </row>
    <row r="566" customFormat="false" ht="15" hidden="false" customHeight="false" outlineLevel="0" collapsed="false">
      <c r="A566" s="20" t="n">
        <v>4420031</v>
      </c>
      <c r="B566" s="20" t="str">
        <f aca="false">IFERROR(INDEX('Catalog'!$B:$B,MATCH($A566,'Catalog'!$A:$A,0)),"")</f>
        <v>44-45 רפידת ספורט 376 מידה</v>
      </c>
      <c r="C566" s="20" t="str">
        <f aca="false">IFERROR(INDEX('TRANS'!$A:$A,MATCH($A566,'TRANS'!$B:$B,0)),"")</f>
        <v/>
      </c>
      <c r="D566" s="21" t="n">
        <f aca="false">SUMIFS('CEMI Raw'!$C$6:$C$1018,'CEMI Raw'!$E$6:$E$1018,$A566,'CEMI Raw'!$B$6:$B$1018,2025)</f>
        <v>0</v>
      </c>
      <c r="E566" s="22" t="n">
        <f aca="false">SUMIFS('CEMI Raw'!$D$6:$D$1018,'CEMI Raw'!$E$6:$E$1018,$A566,'CEMI Raw'!$B$6:$B$1018,2025)</f>
        <v>0</v>
      </c>
      <c r="F566" s="21" t="n">
        <f aca="false">SUMIFS('CEMI Raw'!$C$6:$C$1018,'CEMI Raw'!$E$6:$E$1018,$A566,'CEMI Raw'!$B$6:$B$1018,2026)</f>
        <v>3</v>
      </c>
      <c r="G566" s="22" t="n">
        <f aca="false">SUMIFS('CEMI Raw'!$D$6:$D$1018,'CEMI Raw'!$E$6:$E$1018,$A566,'CEMI Raw'!$B$6:$B$1018,2026)</f>
        <v>105.3</v>
      </c>
      <c r="H566" s="21" t="n">
        <f aca="false">SUMIFS('SALES Raw'!$C$6:$C$603,'SALES Raw'!$E$6:$E$603,$A566,'SALES Raw'!$B$6:$B$603,2025)</f>
        <v>0</v>
      </c>
      <c r="I566" s="22" t="n">
        <f aca="false">SUMIFS('SALES Raw'!$D$6:$D$603,'SALES Raw'!$E$6:$E$603,$A566,'SALES Raw'!$B$6:$B$603,2025)</f>
        <v>0</v>
      </c>
      <c r="J566" s="21" t="n">
        <f aca="false">SUMIFS('SALES Raw'!$C$6:$C$603,'SALES Raw'!$E$6:$E$603,$A566,'SALES Raw'!$B$6:$B$603,2026)</f>
        <v>0</v>
      </c>
      <c r="K566" s="22" t="n">
        <f aca="false">SUMIFS('SALES Raw'!$D$6:$D$603,'SALES Raw'!$E$6:$E$603,$A566,'SALES Raw'!$B$6:$B$603,2026)</f>
        <v>0</v>
      </c>
      <c r="L566" s="21" t="n">
        <f aca="false">D566+H566</f>
        <v>0</v>
      </c>
      <c r="M566" s="22" t="n">
        <f aca="false">E566+I566</f>
        <v>0</v>
      </c>
      <c r="N566" s="21" t="n">
        <f aca="false">F566+J566</f>
        <v>3</v>
      </c>
      <c r="O566" s="22" t="n">
        <f aca="false">G566+K566</f>
        <v>105.3</v>
      </c>
    </row>
    <row r="567" customFormat="false" ht="15" hidden="false" customHeight="false" outlineLevel="0" collapsed="false">
      <c r="A567" s="20" t="n">
        <v>4420032</v>
      </c>
      <c r="B567" s="20" t="str">
        <f aca="false">IFERROR(INDEX('Catalog'!$B:$B,MATCH($A567,'Catalog'!$A:$A,0)),"")</f>
        <v>46-47 רפידת ספורט 376 מידה</v>
      </c>
      <c r="C567" s="20" t="str">
        <f aca="false">IFERROR(INDEX('TRANS'!$A:$A,MATCH($A567,'TRANS'!$B:$B,0)),"")</f>
        <v>376-46-47</v>
      </c>
      <c r="D567" s="21" t="n">
        <f aca="false">SUMIFS('CEMI Raw'!$C$6:$C$1018,'CEMI Raw'!$E$6:$E$1018,$A567,'CEMI Raw'!$B$6:$B$1018,2025)</f>
        <v>4</v>
      </c>
      <c r="E567" s="22" t="n">
        <f aca="false">SUMIFS('CEMI Raw'!$D$6:$D$1018,'CEMI Raw'!$E$6:$E$1018,$A567,'CEMI Raw'!$B$6:$B$1018,2025)</f>
        <v>133.6</v>
      </c>
      <c r="F567" s="21" t="n">
        <f aca="false">SUMIFS('CEMI Raw'!$C$6:$C$1018,'CEMI Raw'!$E$6:$E$1018,$A567,'CEMI Raw'!$B$6:$B$1018,2026)</f>
        <v>1</v>
      </c>
      <c r="G567" s="22" t="n">
        <f aca="false">SUMIFS('CEMI Raw'!$D$6:$D$1018,'CEMI Raw'!$E$6:$E$1018,$A567,'CEMI Raw'!$B$6:$B$1018,2026)</f>
        <v>35.1</v>
      </c>
      <c r="H567" s="21" t="n">
        <f aca="false">SUMIFS('SALES Raw'!$C$6:$C$603,'SALES Raw'!$E$6:$E$603,$A567,'SALES Raw'!$B$6:$B$603,2025)</f>
        <v>0</v>
      </c>
      <c r="I567" s="22" t="n">
        <f aca="false">SUMIFS('SALES Raw'!$D$6:$D$603,'SALES Raw'!$E$6:$E$603,$A567,'SALES Raw'!$B$6:$B$603,2025)</f>
        <v>0</v>
      </c>
      <c r="J567" s="21" t="n">
        <f aca="false">SUMIFS('SALES Raw'!$C$6:$C$603,'SALES Raw'!$E$6:$E$603,$A567,'SALES Raw'!$B$6:$B$603,2026)</f>
        <v>0</v>
      </c>
      <c r="K567" s="22" t="n">
        <f aca="false">SUMIFS('SALES Raw'!$D$6:$D$603,'SALES Raw'!$E$6:$E$603,$A567,'SALES Raw'!$B$6:$B$603,2026)</f>
        <v>0</v>
      </c>
      <c r="L567" s="21" t="n">
        <f aca="false">D567+H567</f>
        <v>4</v>
      </c>
      <c r="M567" s="22" t="n">
        <f aca="false">E567+I567</f>
        <v>133.6</v>
      </c>
      <c r="N567" s="21" t="n">
        <f aca="false">F567+J567</f>
        <v>1</v>
      </c>
      <c r="O567" s="22" t="n">
        <f aca="false">G567+K567</f>
        <v>35.1</v>
      </c>
    </row>
    <row r="568" customFormat="false" ht="15" hidden="false" customHeight="false" outlineLevel="0" collapsed="false">
      <c r="A568" s="20" t="n">
        <v>4420034</v>
      </c>
      <c r="B568" s="20" t="str">
        <f aca="false">IFERROR(INDEX('Catalog'!$B:$B,MATCH($A568,'Catalog'!$A:$A,0)),"")</f>
        <v>381 HV רצועה אלסטית</v>
      </c>
      <c r="C568" s="20" t="str">
        <f aca="false">IFERROR(INDEX('TRANS'!$A:$A,MATCH($A568,'TRANS'!$B:$B,0)),"")</f>
        <v>381 0</v>
      </c>
      <c r="D568" s="21" t="n">
        <f aca="false">SUMIFS('CEMI Raw'!$C$6:$C$1018,'CEMI Raw'!$E$6:$E$1018,$A568,'CEMI Raw'!$B$6:$B$1018,2025)</f>
        <v>2</v>
      </c>
      <c r="E568" s="22" t="n">
        <f aca="false">SUMIFS('CEMI Raw'!$D$6:$D$1018,'CEMI Raw'!$E$6:$E$1018,$A568,'CEMI Raw'!$B$6:$B$1018,2025)</f>
        <v>75.5</v>
      </c>
      <c r="F568" s="21" t="n">
        <f aca="false">SUMIFS('CEMI Raw'!$C$6:$C$1018,'CEMI Raw'!$E$6:$E$1018,$A568,'CEMI Raw'!$B$6:$B$1018,2026)</f>
        <v>3</v>
      </c>
      <c r="G568" s="22" t="n">
        <f aca="false">SUMIFS('CEMI Raw'!$D$6:$D$1018,'CEMI Raw'!$E$6:$E$1018,$A568,'CEMI Raw'!$B$6:$B$1018,2026)</f>
        <v>113.3</v>
      </c>
      <c r="H568" s="21" t="n">
        <f aca="false">SUMIFS('SALES Raw'!$C$6:$C$603,'SALES Raw'!$E$6:$E$603,$A568,'SALES Raw'!$B$6:$B$603,2025)</f>
        <v>0</v>
      </c>
      <c r="I568" s="22" t="n">
        <f aca="false">SUMIFS('SALES Raw'!$D$6:$D$603,'SALES Raw'!$E$6:$E$603,$A568,'SALES Raw'!$B$6:$B$603,2025)</f>
        <v>0</v>
      </c>
      <c r="J568" s="21" t="n">
        <f aca="false">SUMIFS('SALES Raw'!$C$6:$C$603,'SALES Raw'!$E$6:$E$603,$A568,'SALES Raw'!$B$6:$B$603,2026)</f>
        <v>0</v>
      </c>
      <c r="K568" s="22" t="n">
        <f aca="false">SUMIFS('SALES Raw'!$D$6:$D$603,'SALES Raw'!$E$6:$E$603,$A568,'SALES Raw'!$B$6:$B$603,2026)</f>
        <v>0</v>
      </c>
      <c r="L568" s="21" t="n">
        <f aca="false">D568+H568</f>
        <v>2</v>
      </c>
      <c r="M568" s="22" t="n">
        <f aca="false">E568+I568</f>
        <v>75.5</v>
      </c>
      <c r="N568" s="21" t="n">
        <f aca="false">F568+J568</f>
        <v>3</v>
      </c>
      <c r="O568" s="22" t="n">
        <f aca="false">G568+K568</f>
        <v>113.3</v>
      </c>
    </row>
    <row r="569" customFormat="false" ht="15" hidden="false" customHeight="false" outlineLevel="0" collapsed="false">
      <c r="A569" s="20" t="n">
        <v>4420035</v>
      </c>
      <c r="B569" s="20" t="str">
        <f aca="false">IFERROR(INDEX('Catalog'!$B:$B,MATCH($A569,'Catalog'!$A:$A,0)),"")</f>
        <v>301CW 36-40 'רפידת ג'ל בז</v>
      </c>
      <c r="C569" s="20" t="str">
        <f aca="false">IFERROR(INDEX('TRANS'!$A:$A,MATCH($A569,'TRANS'!$B:$B,0)),"")</f>
        <v>301CW-36-40</v>
      </c>
      <c r="D569" s="21" t="n">
        <f aca="false">SUMIFS('CEMI Raw'!$C$6:$C$1018,'CEMI Raw'!$E$6:$E$1018,$A569,'CEMI Raw'!$B$6:$B$1018,2025)</f>
        <v>8</v>
      </c>
      <c r="E569" s="22" t="n">
        <f aca="false">SUMIFS('CEMI Raw'!$D$6:$D$1018,'CEMI Raw'!$E$6:$E$1018,$A569,'CEMI Raw'!$B$6:$B$1018,2025)</f>
        <v>401</v>
      </c>
      <c r="F569" s="21" t="n">
        <f aca="false">SUMIFS('CEMI Raw'!$C$6:$C$1018,'CEMI Raw'!$E$6:$E$1018,$A569,'CEMI Raw'!$B$6:$B$1018,2026)</f>
        <v>3</v>
      </c>
      <c r="G569" s="22" t="n">
        <f aca="false">SUMIFS('CEMI Raw'!$D$6:$D$1018,'CEMI Raw'!$E$6:$E$1018,$A569,'CEMI Raw'!$B$6:$B$1018,2026)</f>
        <v>194.6</v>
      </c>
      <c r="H569" s="21" t="n">
        <f aca="false">SUMIFS('SALES Raw'!$C$6:$C$603,'SALES Raw'!$E$6:$E$603,$A569,'SALES Raw'!$B$6:$B$603,2025)</f>
        <v>0</v>
      </c>
      <c r="I569" s="22" t="n">
        <f aca="false">SUMIFS('SALES Raw'!$D$6:$D$603,'SALES Raw'!$E$6:$E$603,$A569,'SALES Raw'!$B$6:$B$603,2025)</f>
        <v>0</v>
      </c>
      <c r="J569" s="21" t="n">
        <f aca="false">SUMIFS('SALES Raw'!$C$6:$C$603,'SALES Raw'!$E$6:$E$603,$A569,'SALES Raw'!$B$6:$B$603,2026)</f>
        <v>0</v>
      </c>
      <c r="K569" s="22" t="n">
        <f aca="false">SUMIFS('SALES Raw'!$D$6:$D$603,'SALES Raw'!$E$6:$E$603,$A569,'SALES Raw'!$B$6:$B$603,2026)</f>
        <v>0</v>
      </c>
      <c r="L569" s="21" t="n">
        <f aca="false">D569+H569</f>
        <v>8</v>
      </c>
      <c r="M569" s="22" t="n">
        <f aca="false">E569+I569</f>
        <v>401</v>
      </c>
      <c r="N569" s="21" t="n">
        <f aca="false">F569+J569</f>
        <v>3</v>
      </c>
      <c r="O569" s="22" t="n">
        <f aca="false">G569+K569</f>
        <v>194.6</v>
      </c>
    </row>
    <row r="570" customFormat="false" ht="15" hidden="false" customHeight="false" outlineLevel="0" collapsed="false">
      <c r="A570" s="20" t="n">
        <v>4420036</v>
      </c>
      <c r="B570" s="20" t="str">
        <f aca="false">IFERROR(INDEX('Catalog'!$B:$B,MATCH($A570,'Catalog'!$A:$A,0)),"")</f>
        <v>301CM 41-45 'רפידת ג'ל בז</v>
      </c>
      <c r="C570" s="20" t="str">
        <f aca="false">IFERROR(INDEX('TRANS'!$A:$A,MATCH($A570,'TRANS'!$B:$B,0)),"")</f>
        <v>301CM-41-45</v>
      </c>
      <c r="D570" s="21" t="n">
        <f aca="false">SUMIFS('CEMI Raw'!$C$6:$C$1018,'CEMI Raw'!$E$6:$E$1018,$A570,'CEMI Raw'!$B$6:$B$1018,2025)</f>
        <v>28</v>
      </c>
      <c r="E570" s="22" t="n">
        <f aca="false">SUMIFS('CEMI Raw'!$D$6:$D$1018,'CEMI Raw'!$E$6:$E$1018,$A570,'CEMI Raw'!$B$6:$B$1018,2025)</f>
        <v>1431.1</v>
      </c>
      <c r="F570" s="21" t="n">
        <f aca="false">SUMIFS('CEMI Raw'!$C$6:$C$1018,'CEMI Raw'!$E$6:$E$1018,$A570,'CEMI Raw'!$B$6:$B$1018,2026)</f>
        <v>3</v>
      </c>
      <c r="G570" s="22" t="n">
        <f aca="false">SUMIFS('CEMI Raw'!$D$6:$D$1018,'CEMI Raw'!$E$6:$E$1018,$A570,'CEMI Raw'!$B$6:$B$1018,2026)</f>
        <v>185.1</v>
      </c>
      <c r="H570" s="21" t="n">
        <f aca="false">SUMIFS('SALES Raw'!$C$6:$C$603,'SALES Raw'!$E$6:$E$603,$A570,'SALES Raw'!$B$6:$B$603,2025)</f>
        <v>0</v>
      </c>
      <c r="I570" s="22" t="n">
        <f aca="false">SUMIFS('SALES Raw'!$D$6:$D$603,'SALES Raw'!$E$6:$E$603,$A570,'SALES Raw'!$B$6:$B$603,2025)</f>
        <v>0</v>
      </c>
      <c r="J570" s="21" t="n">
        <f aca="false">SUMIFS('SALES Raw'!$C$6:$C$603,'SALES Raw'!$E$6:$E$603,$A570,'SALES Raw'!$B$6:$B$603,2026)</f>
        <v>0</v>
      </c>
      <c r="K570" s="22" t="n">
        <f aca="false">SUMIFS('SALES Raw'!$D$6:$D$603,'SALES Raw'!$E$6:$E$603,$A570,'SALES Raw'!$B$6:$B$603,2026)</f>
        <v>0</v>
      </c>
      <c r="L570" s="21" t="n">
        <f aca="false">D570+H570</f>
        <v>28</v>
      </c>
      <c r="M570" s="22" t="n">
        <f aca="false">E570+I570</f>
        <v>1431.1</v>
      </c>
      <c r="N570" s="21" t="n">
        <f aca="false">F570+J570</f>
        <v>3</v>
      </c>
      <c r="O570" s="22" t="n">
        <f aca="false">G570+K570</f>
        <v>185.1</v>
      </c>
    </row>
    <row r="571" customFormat="false" ht="15" hidden="false" customHeight="false" outlineLevel="0" collapsed="false">
      <c r="A571" s="20" t="n">
        <v>4420037</v>
      </c>
      <c r="B571" s="20" t="str">
        <f aca="false">IFERROR(INDEX('Catalog'!$B:$B,MATCH($A571,'Catalog'!$A:$A,0)),"")</f>
        <v>301JW רפידת ג'ל כחול36-40</v>
      </c>
      <c r="C571" s="20" t="str">
        <f aca="false">IFERROR(INDEX('TRANS'!$A:$A,MATCH($A571,'TRANS'!$B:$B,0)),"")</f>
        <v>301JW-36-40</v>
      </c>
      <c r="D571" s="21" t="n">
        <f aca="false">SUMIFS('CEMI Raw'!$C$6:$C$1018,'CEMI Raw'!$E$6:$E$1018,$A571,'CEMI Raw'!$B$6:$B$1018,2025)</f>
        <v>-2</v>
      </c>
      <c r="E571" s="22" t="n">
        <f aca="false">SUMIFS('CEMI Raw'!$D$6:$D$1018,'CEMI Raw'!$E$6:$E$1018,$A571,'CEMI Raw'!$B$6:$B$1018,2025)</f>
        <v>-107.2</v>
      </c>
      <c r="F571" s="21" t="n">
        <f aca="false">SUMIFS('CEMI Raw'!$C$6:$C$1018,'CEMI Raw'!$E$6:$E$1018,$A571,'CEMI Raw'!$B$6:$B$1018,2026)</f>
        <v>2</v>
      </c>
      <c r="G571" s="22" t="n">
        <f aca="false">SUMIFS('CEMI Raw'!$D$6:$D$1018,'CEMI Raw'!$E$6:$E$1018,$A571,'CEMI Raw'!$B$6:$B$1018,2026)</f>
        <v>146.5</v>
      </c>
      <c r="H571" s="21" t="n">
        <f aca="false">SUMIFS('SALES Raw'!$C$6:$C$603,'SALES Raw'!$E$6:$E$603,$A571,'SALES Raw'!$B$6:$B$603,2025)</f>
        <v>0</v>
      </c>
      <c r="I571" s="22" t="n">
        <f aca="false">SUMIFS('SALES Raw'!$D$6:$D$603,'SALES Raw'!$E$6:$E$603,$A571,'SALES Raw'!$B$6:$B$603,2025)</f>
        <v>0</v>
      </c>
      <c r="J571" s="21" t="n">
        <f aca="false">SUMIFS('SALES Raw'!$C$6:$C$603,'SALES Raw'!$E$6:$E$603,$A571,'SALES Raw'!$B$6:$B$603,2026)</f>
        <v>0</v>
      </c>
      <c r="K571" s="22" t="n">
        <f aca="false">SUMIFS('SALES Raw'!$D$6:$D$603,'SALES Raw'!$E$6:$E$603,$A571,'SALES Raw'!$B$6:$B$603,2026)</f>
        <v>0</v>
      </c>
      <c r="L571" s="21" t="n">
        <f aca="false">D571+H571</f>
        <v>-2</v>
      </c>
      <c r="M571" s="22" t="n">
        <f aca="false">E571+I571</f>
        <v>-107.2</v>
      </c>
      <c r="N571" s="21" t="n">
        <f aca="false">F571+J571</f>
        <v>2</v>
      </c>
      <c r="O571" s="22" t="n">
        <f aca="false">G571+K571</f>
        <v>146.5</v>
      </c>
    </row>
    <row r="572" customFormat="false" ht="15" hidden="false" customHeight="false" outlineLevel="0" collapsed="false">
      <c r="A572" s="20" t="n">
        <v>4420039</v>
      </c>
      <c r="B572" s="20" t="str">
        <f aca="false">IFERROR(INDEX('Catalog'!$B:$B,MATCH($A572,'Catalog'!$A:$A,0)),"")</f>
        <v>T40B רצועה לפיקה</v>
      </c>
      <c r="C572" s="20" t="str">
        <f aca="false">IFERROR(INDEX('TRANS'!$A:$A,MATCH($A572,'TRANS'!$B:$B,0)),"")</f>
        <v/>
      </c>
      <c r="D572" s="21" t="n">
        <f aca="false">SUMIFS('CEMI Raw'!$C$6:$C$1018,'CEMI Raw'!$E$6:$E$1018,$A572,'CEMI Raw'!$B$6:$B$1018,2025)</f>
        <v>0</v>
      </c>
      <c r="E572" s="22" t="n">
        <f aca="false">SUMIFS('CEMI Raw'!$D$6:$D$1018,'CEMI Raw'!$E$6:$E$1018,$A572,'CEMI Raw'!$B$6:$B$1018,2025)</f>
        <v>0</v>
      </c>
      <c r="F572" s="21" t="n">
        <f aca="false">SUMIFS('CEMI Raw'!$C$6:$C$1018,'CEMI Raw'!$E$6:$E$1018,$A572,'CEMI Raw'!$B$6:$B$1018,2026)</f>
        <v>8</v>
      </c>
      <c r="G572" s="22" t="n">
        <f aca="false">SUMIFS('CEMI Raw'!$D$6:$D$1018,'CEMI Raw'!$E$6:$E$1018,$A572,'CEMI Raw'!$B$6:$B$1018,2026)</f>
        <v>646.3</v>
      </c>
      <c r="H572" s="21" t="n">
        <f aca="false">SUMIFS('SALES Raw'!$C$6:$C$603,'SALES Raw'!$E$6:$E$603,$A572,'SALES Raw'!$B$6:$B$603,2025)</f>
        <v>0</v>
      </c>
      <c r="I572" s="22" t="n">
        <f aca="false">SUMIFS('SALES Raw'!$D$6:$D$603,'SALES Raw'!$E$6:$E$603,$A572,'SALES Raw'!$B$6:$B$603,2025)</f>
        <v>0</v>
      </c>
      <c r="J572" s="21" t="n">
        <f aca="false">SUMIFS('SALES Raw'!$C$6:$C$603,'SALES Raw'!$E$6:$E$603,$A572,'SALES Raw'!$B$6:$B$603,2026)</f>
        <v>0</v>
      </c>
      <c r="K572" s="22" t="n">
        <f aca="false">SUMIFS('SALES Raw'!$D$6:$D$603,'SALES Raw'!$E$6:$E$603,$A572,'SALES Raw'!$B$6:$B$603,2026)</f>
        <v>0</v>
      </c>
      <c r="L572" s="21" t="n">
        <f aca="false">D572+H572</f>
        <v>0</v>
      </c>
      <c r="M572" s="22" t="n">
        <f aca="false">E572+I572</f>
        <v>0</v>
      </c>
      <c r="N572" s="21" t="n">
        <f aca="false">F572+J572</f>
        <v>8</v>
      </c>
      <c r="O572" s="22" t="n">
        <f aca="false">G572+K572</f>
        <v>646.3</v>
      </c>
    </row>
    <row r="573" customFormat="false" ht="15" hidden="false" customHeight="false" outlineLevel="0" collapsed="false">
      <c r="A573" s="20" t="n">
        <v>4421000</v>
      </c>
      <c r="B573" s="20" t="str">
        <f aca="false">IFERROR(INDEX('Catalog'!$B:$B,MATCH($A573,'Catalog'!$A:$A,0)),"")</f>
        <v>3655 שרוול מסיליקון לאצבע</v>
      </c>
      <c r="C573" s="20" t="str">
        <f aca="false">IFERROR(INDEX('TRANS'!$A:$A,MATCH($A573,'TRANS'!$B:$B,0)),"")</f>
        <v>3655 0</v>
      </c>
      <c r="D573" s="21" t="n">
        <f aca="false">SUMIFS('CEMI Raw'!$C$6:$C$1018,'CEMI Raw'!$E$6:$E$1018,$A573,'CEMI Raw'!$B$6:$B$1018,2025)</f>
        <v>1693</v>
      </c>
      <c r="E573" s="22" t="n">
        <f aca="false">SUMIFS('CEMI Raw'!$D$6:$D$1018,'CEMI Raw'!$E$6:$E$1018,$A573,'CEMI Raw'!$B$6:$B$1018,2025)</f>
        <v>29905.1</v>
      </c>
      <c r="F573" s="21" t="n">
        <f aca="false">SUMIFS('CEMI Raw'!$C$6:$C$1018,'CEMI Raw'!$E$6:$E$1018,$A573,'CEMI Raw'!$B$6:$B$1018,2026)</f>
        <v>1072</v>
      </c>
      <c r="G573" s="22" t="n">
        <f aca="false">SUMIFS('CEMI Raw'!$D$6:$D$1018,'CEMI Raw'!$E$6:$E$1018,$A573,'CEMI Raw'!$B$6:$B$1018,2026)</f>
        <v>19015.4</v>
      </c>
      <c r="H573" s="21" t="n">
        <f aca="false">SUMIFS('SALES Raw'!$C$6:$C$603,'SALES Raw'!$E$6:$E$603,$A573,'SALES Raw'!$B$6:$B$603,2025)</f>
        <v>60</v>
      </c>
      <c r="I573" s="22" t="n">
        <f aca="false">SUMIFS('SALES Raw'!$D$6:$D$603,'SALES Raw'!$E$6:$E$603,$A573,'SALES Raw'!$B$6:$B$603,2025)</f>
        <v>1186.88</v>
      </c>
      <c r="J573" s="21" t="n">
        <f aca="false">SUMIFS('SALES Raw'!$C$6:$C$603,'SALES Raw'!$E$6:$E$603,$A573,'SALES Raw'!$B$6:$B$603,2026)</f>
        <v>32</v>
      </c>
      <c r="K573" s="22" t="n">
        <f aca="false">SUMIFS('SALES Raw'!$D$6:$D$603,'SALES Raw'!$E$6:$E$603,$A573,'SALES Raw'!$B$6:$B$603,2026)</f>
        <v>598.55</v>
      </c>
      <c r="L573" s="21" t="n">
        <f aca="false">D573+H573</f>
        <v>1753</v>
      </c>
      <c r="M573" s="22" t="n">
        <f aca="false">E573+I573</f>
        <v>31091.98</v>
      </c>
      <c r="N573" s="21" t="n">
        <f aca="false">F573+J573</f>
        <v>1104</v>
      </c>
      <c r="O573" s="22" t="n">
        <f aca="false">G573+K573</f>
        <v>19613.95</v>
      </c>
    </row>
    <row r="574" customFormat="false" ht="15" hidden="false" customHeight="false" outlineLevel="0" collapsed="false">
      <c r="A574" s="20" t="n">
        <v>4421001</v>
      </c>
      <c r="B574" s="20" t="str">
        <f aca="false">IFERROR(INDEX('Catalog'!$B:$B,MATCH($A574,'Catalog'!$A:$A,0)),"")</f>
        <v>3611 שרוול מטטרזלי מסיליקון</v>
      </c>
      <c r="C574" s="20" t="str">
        <f aca="false">IFERROR(INDEX('TRANS'!$A:$A,MATCH($A574,'TRANS'!$B:$B,0)),"")</f>
        <v>3611 0</v>
      </c>
      <c r="D574" s="21" t="n">
        <f aca="false">SUMIFS('CEMI Raw'!$C$6:$C$1018,'CEMI Raw'!$E$6:$E$1018,$A574,'CEMI Raw'!$B$6:$B$1018,2025)</f>
        <v>161</v>
      </c>
      <c r="E574" s="22" t="n">
        <f aca="false">SUMIFS('CEMI Raw'!$D$6:$D$1018,'CEMI Raw'!$E$6:$E$1018,$A574,'CEMI Raw'!$B$6:$B$1018,2025)</f>
        <v>9236.9</v>
      </c>
      <c r="F574" s="21" t="n">
        <f aca="false">SUMIFS('CEMI Raw'!$C$6:$C$1018,'CEMI Raw'!$E$6:$E$1018,$A574,'CEMI Raw'!$B$6:$B$1018,2026)</f>
        <v>92</v>
      </c>
      <c r="G574" s="22" t="n">
        <f aca="false">SUMIFS('CEMI Raw'!$D$6:$D$1018,'CEMI Raw'!$E$6:$E$1018,$A574,'CEMI Raw'!$B$6:$B$1018,2026)</f>
        <v>5406.7</v>
      </c>
      <c r="H574" s="21" t="n">
        <f aca="false">SUMIFS('SALES Raw'!$C$6:$C$603,'SALES Raw'!$E$6:$E$603,$A574,'SALES Raw'!$B$6:$B$603,2025)</f>
        <v>8</v>
      </c>
      <c r="I574" s="22" t="n">
        <f aca="false">SUMIFS('SALES Raw'!$D$6:$D$603,'SALES Raw'!$E$6:$E$603,$A574,'SALES Raw'!$B$6:$B$603,2025)</f>
        <v>487.07</v>
      </c>
      <c r="J574" s="21" t="n">
        <f aca="false">SUMIFS('SALES Raw'!$C$6:$C$603,'SALES Raw'!$E$6:$E$603,$A574,'SALES Raw'!$B$6:$B$603,2026)</f>
        <v>2</v>
      </c>
      <c r="K574" s="22" t="n">
        <f aca="false">SUMIFS('SALES Raw'!$D$6:$D$603,'SALES Raw'!$E$6:$E$603,$A574,'SALES Raw'!$B$6:$B$603,2026)</f>
        <v>121.77</v>
      </c>
      <c r="L574" s="21" t="n">
        <f aca="false">D574+H574</f>
        <v>169</v>
      </c>
      <c r="M574" s="22" t="n">
        <f aca="false">E574+I574</f>
        <v>9723.97</v>
      </c>
      <c r="N574" s="21" t="n">
        <f aca="false">F574+J574</f>
        <v>94</v>
      </c>
      <c r="O574" s="22" t="n">
        <f aca="false">G574+K574</f>
        <v>5528.47</v>
      </c>
    </row>
    <row r="575" customFormat="false" ht="15" hidden="false" customHeight="false" outlineLevel="0" collapsed="false">
      <c r="A575" s="20" t="n">
        <v>4421003</v>
      </c>
      <c r="B575" s="20" t="str">
        <f aca="false">IFERROR(INDEX('Catalog'!$B:$B,MATCH($A575,'Catalog'!$A:$A,0)),"")</f>
        <v>3672 שרוול מגן לבוניון</v>
      </c>
      <c r="C575" s="20" t="str">
        <f aca="false">IFERROR(INDEX('TRANS'!$A:$A,MATCH($A575,'TRANS'!$B:$B,0)),"")</f>
        <v>3672 0</v>
      </c>
      <c r="D575" s="21" t="n">
        <f aca="false">SUMIFS('CEMI Raw'!$C$6:$C$1018,'CEMI Raw'!$E$6:$E$1018,$A575,'CEMI Raw'!$B$6:$B$1018,2025)</f>
        <v>127</v>
      </c>
      <c r="E575" s="22" t="n">
        <f aca="false">SUMIFS('CEMI Raw'!$D$6:$D$1018,'CEMI Raw'!$E$6:$E$1018,$A575,'CEMI Raw'!$B$6:$B$1018,2025)</f>
        <v>4418.7</v>
      </c>
      <c r="F575" s="21" t="n">
        <f aca="false">SUMIFS('CEMI Raw'!$C$6:$C$1018,'CEMI Raw'!$E$6:$E$1018,$A575,'CEMI Raw'!$B$6:$B$1018,2026)</f>
        <v>77</v>
      </c>
      <c r="G575" s="22" t="n">
        <f aca="false">SUMIFS('CEMI Raw'!$D$6:$D$1018,'CEMI Raw'!$E$6:$E$1018,$A575,'CEMI Raw'!$B$6:$B$1018,2026)</f>
        <v>2765</v>
      </c>
      <c r="H575" s="21" t="n">
        <f aca="false">SUMIFS('SALES Raw'!$C$6:$C$603,'SALES Raw'!$E$6:$E$603,$A575,'SALES Raw'!$B$6:$B$603,2025)</f>
        <v>9</v>
      </c>
      <c r="I575" s="22" t="n">
        <f aca="false">SUMIFS('SALES Raw'!$D$6:$D$603,'SALES Raw'!$E$6:$E$603,$A575,'SALES Raw'!$B$6:$B$603,2025)</f>
        <v>328.87</v>
      </c>
      <c r="J575" s="21" t="n">
        <f aca="false">SUMIFS('SALES Raw'!$C$6:$C$603,'SALES Raw'!$E$6:$E$603,$A575,'SALES Raw'!$B$6:$B$603,2026)</f>
        <v>3</v>
      </c>
      <c r="K575" s="22" t="n">
        <f aca="false">SUMIFS('SALES Raw'!$D$6:$D$603,'SALES Raw'!$E$6:$E$603,$A575,'SALES Raw'!$B$6:$B$603,2026)</f>
        <v>112.36</v>
      </c>
      <c r="L575" s="21" t="n">
        <f aca="false">D575+H575</f>
        <v>136</v>
      </c>
      <c r="M575" s="22" t="n">
        <f aca="false">E575+I575</f>
        <v>4747.57</v>
      </c>
      <c r="N575" s="21" t="n">
        <f aca="false">F575+J575</f>
        <v>80</v>
      </c>
      <c r="O575" s="22" t="n">
        <f aca="false">G575+K575</f>
        <v>2877.36</v>
      </c>
    </row>
    <row r="576" customFormat="false" ht="15" hidden="false" customHeight="false" outlineLevel="0" collapsed="false">
      <c r="A576" s="20" t="n">
        <v>4421005</v>
      </c>
      <c r="B576" s="20" t="str">
        <f aca="false">IFERROR(INDEX('Catalog'!$B:$B,MATCH($A576,'Catalog'!$A:$A,0)),"")</f>
        <v>שרוול לגבס קצר יד</v>
      </c>
      <c r="C576" s="20" t="str">
        <f aca="false">IFERROR(INDEX('TRANS'!$A:$A,MATCH($A576,'TRANS'!$B:$B,0)),"")</f>
        <v>250 0</v>
      </c>
      <c r="D576" s="21" t="n">
        <f aca="false">SUMIFS('CEMI Raw'!$C$6:$C$1018,'CEMI Raw'!$E$6:$E$1018,$A576,'CEMI Raw'!$B$6:$B$1018,2025)</f>
        <v>72</v>
      </c>
      <c r="E576" s="22" t="n">
        <f aca="false">SUMIFS('CEMI Raw'!$D$6:$D$1018,'CEMI Raw'!$E$6:$E$1018,$A576,'CEMI Raw'!$B$6:$B$1018,2025)</f>
        <v>2651</v>
      </c>
      <c r="F576" s="21" t="n">
        <f aca="false">SUMIFS('CEMI Raw'!$C$6:$C$1018,'CEMI Raw'!$E$6:$E$1018,$A576,'CEMI Raw'!$B$6:$B$1018,2026)</f>
        <v>76</v>
      </c>
      <c r="G576" s="22" t="n">
        <f aca="false">SUMIFS('CEMI Raw'!$D$6:$D$1018,'CEMI Raw'!$E$6:$E$1018,$A576,'CEMI Raw'!$B$6:$B$1018,2026)</f>
        <v>2942</v>
      </c>
      <c r="H576" s="21" t="n">
        <f aca="false">SUMIFS('SALES Raw'!$C$6:$C$603,'SALES Raw'!$E$6:$E$603,$A576,'SALES Raw'!$B$6:$B$603,2025)</f>
        <v>10</v>
      </c>
      <c r="I576" s="22" t="n">
        <f aca="false">SUMIFS('SALES Raw'!$D$6:$D$603,'SALES Raw'!$E$6:$E$603,$A576,'SALES Raw'!$B$6:$B$603,2025)</f>
        <v>364.2</v>
      </c>
      <c r="J576" s="21" t="n">
        <f aca="false">SUMIFS('SALES Raw'!$C$6:$C$603,'SALES Raw'!$E$6:$E$603,$A576,'SALES Raw'!$B$6:$B$603,2026)</f>
        <v>8</v>
      </c>
      <c r="K576" s="22" t="n">
        <f aca="false">SUMIFS('SALES Raw'!$D$6:$D$603,'SALES Raw'!$E$6:$E$603,$A576,'SALES Raw'!$B$6:$B$603,2026)</f>
        <v>318.36</v>
      </c>
      <c r="L576" s="21" t="n">
        <f aca="false">D576+H576</f>
        <v>82</v>
      </c>
      <c r="M576" s="22" t="n">
        <f aca="false">E576+I576</f>
        <v>3015.2</v>
      </c>
      <c r="N576" s="21" t="n">
        <f aca="false">F576+J576</f>
        <v>84</v>
      </c>
      <c r="O576" s="22" t="n">
        <f aca="false">G576+K576</f>
        <v>3260.36</v>
      </c>
    </row>
    <row r="577" customFormat="false" ht="15" hidden="false" customHeight="false" outlineLevel="0" collapsed="false">
      <c r="A577" s="20" t="n">
        <v>4421006</v>
      </c>
      <c r="B577" s="20" t="str">
        <f aca="false">IFERROR(INDEX('Catalog'!$B:$B,MATCH($A577,'Catalog'!$A:$A,0)),"")</f>
        <v>שרוול לגבס ארוך יד</v>
      </c>
      <c r="C577" s="20" t="str">
        <f aca="false">IFERROR(INDEX('TRANS'!$A:$A,MATCH($A577,'TRANS'!$B:$B,0)),"")</f>
        <v>251 0</v>
      </c>
      <c r="D577" s="21" t="n">
        <f aca="false">SUMIFS('CEMI Raw'!$C$6:$C$1018,'CEMI Raw'!$E$6:$E$1018,$A577,'CEMI Raw'!$B$6:$B$1018,2025)</f>
        <v>117</v>
      </c>
      <c r="E577" s="22" t="n">
        <f aca="false">SUMIFS('CEMI Raw'!$D$6:$D$1018,'CEMI Raw'!$E$6:$E$1018,$A577,'CEMI Raw'!$B$6:$B$1018,2025)</f>
        <v>4671.1</v>
      </c>
      <c r="F577" s="21" t="n">
        <f aca="false">SUMIFS('CEMI Raw'!$C$6:$C$1018,'CEMI Raw'!$E$6:$E$1018,$A577,'CEMI Raw'!$B$6:$B$1018,2026)</f>
        <v>112</v>
      </c>
      <c r="G577" s="22" t="n">
        <f aca="false">SUMIFS('CEMI Raw'!$D$6:$D$1018,'CEMI Raw'!$E$6:$E$1018,$A577,'CEMI Raw'!$B$6:$B$1018,2026)</f>
        <v>4558.6</v>
      </c>
      <c r="H577" s="21" t="n">
        <f aca="false">SUMIFS('SALES Raw'!$C$6:$C$603,'SALES Raw'!$E$6:$E$603,$A577,'SALES Raw'!$B$6:$B$603,2025)</f>
        <v>19</v>
      </c>
      <c r="I577" s="22" t="n">
        <f aca="false">SUMIFS('SALES Raw'!$D$6:$D$603,'SALES Raw'!$E$6:$E$603,$A577,'SALES Raw'!$B$6:$B$603,2025)</f>
        <v>769.33</v>
      </c>
      <c r="J577" s="21" t="n">
        <f aca="false">SUMIFS('SALES Raw'!$C$6:$C$603,'SALES Raw'!$E$6:$E$603,$A577,'SALES Raw'!$B$6:$B$603,2026)</f>
        <v>10</v>
      </c>
      <c r="K577" s="22" t="n">
        <f aca="false">SUMIFS('SALES Raw'!$D$6:$D$603,'SALES Raw'!$E$6:$E$603,$A577,'SALES Raw'!$B$6:$B$603,2026)</f>
        <v>421.33</v>
      </c>
      <c r="L577" s="21" t="n">
        <f aca="false">D577+H577</f>
        <v>136</v>
      </c>
      <c r="M577" s="22" t="n">
        <f aca="false">E577+I577</f>
        <v>5440.43</v>
      </c>
      <c r="N577" s="21" t="n">
        <f aca="false">F577+J577</f>
        <v>122</v>
      </c>
      <c r="O577" s="22" t="n">
        <f aca="false">G577+K577</f>
        <v>4979.93</v>
      </c>
    </row>
    <row r="578" customFormat="false" ht="15" hidden="false" customHeight="false" outlineLevel="0" collapsed="false">
      <c r="A578" s="20" t="n">
        <v>4421007</v>
      </c>
      <c r="B578" s="20" t="str">
        <f aca="false">IFERROR(INDEX('Catalog'!$B:$B,MATCH($A578,'Catalog'!$A:$A,0)),"")</f>
        <v>שרוול לגבס קצר רגל</v>
      </c>
      <c r="C578" s="20" t="str">
        <f aca="false">IFERROR(INDEX('TRANS'!$A:$A,MATCH($A578,'TRANS'!$B:$B,0)),"")</f>
        <v>350 0</v>
      </c>
      <c r="D578" s="21" t="n">
        <f aca="false">SUMIFS('CEMI Raw'!$C$6:$C$1018,'CEMI Raw'!$E$6:$E$1018,$A578,'CEMI Raw'!$B$6:$B$1018,2025)</f>
        <v>80</v>
      </c>
      <c r="E578" s="22" t="n">
        <f aca="false">SUMIFS('CEMI Raw'!$D$6:$D$1018,'CEMI Raw'!$E$6:$E$1018,$A578,'CEMI Raw'!$B$6:$B$1018,2025)</f>
        <v>3457.6</v>
      </c>
      <c r="F578" s="21" t="n">
        <f aca="false">SUMIFS('CEMI Raw'!$C$6:$C$1018,'CEMI Raw'!$E$6:$E$1018,$A578,'CEMI Raw'!$B$6:$B$1018,2026)</f>
        <v>59</v>
      </c>
      <c r="G578" s="22" t="n">
        <f aca="false">SUMIFS('CEMI Raw'!$D$6:$D$1018,'CEMI Raw'!$E$6:$E$1018,$A578,'CEMI Raw'!$B$6:$B$1018,2026)</f>
        <v>2570.8</v>
      </c>
      <c r="H578" s="21" t="n">
        <f aca="false">SUMIFS('SALES Raw'!$C$6:$C$603,'SALES Raw'!$E$6:$E$603,$A578,'SALES Raw'!$B$6:$B$603,2025)</f>
        <v>9</v>
      </c>
      <c r="I578" s="22" t="n">
        <f aca="false">SUMIFS('SALES Raw'!$D$6:$D$603,'SALES Raw'!$E$6:$E$603,$A578,'SALES Raw'!$B$6:$B$603,2025)</f>
        <v>402.08</v>
      </c>
      <c r="J578" s="21" t="n">
        <f aca="false">SUMIFS('SALES Raw'!$C$6:$C$603,'SALES Raw'!$E$6:$E$603,$A578,'SALES Raw'!$B$6:$B$603,2026)</f>
        <v>6</v>
      </c>
      <c r="K578" s="22" t="n">
        <f aca="false">SUMIFS('SALES Raw'!$D$6:$D$603,'SALES Raw'!$E$6:$E$603,$A578,'SALES Raw'!$B$6:$B$603,2026)</f>
        <v>269.69</v>
      </c>
      <c r="L578" s="21" t="n">
        <f aca="false">D578+H578</f>
        <v>89</v>
      </c>
      <c r="M578" s="22" t="n">
        <f aca="false">E578+I578</f>
        <v>3859.68</v>
      </c>
      <c r="N578" s="21" t="n">
        <f aca="false">F578+J578</f>
        <v>65</v>
      </c>
      <c r="O578" s="22" t="n">
        <f aca="false">G578+K578</f>
        <v>2840.49</v>
      </c>
    </row>
    <row r="579" customFormat="false" ht="15" hidden="false" customHeight="false" outlineLevel="0" collapsed="false">
      <c r="A579" s="20" t="n">
        <v>4421008</v>
      </c>
      <c r="B579" s="20" t="str">
        <f aca="false">IFERROR(INDEX('Catalog'!$B:$B,MATCH($A579,'Catalog'!$A:$A,0)),"")</f>
        <v>שרוול לגבס ארוך רגל</v>
      </c>
      <c r="C579" s="20" t="str">
        <f aca="false">IFERROR(INDEX('TRANS'!$A:$A,MATCH($A579,'TRANS'!$B:$B,0)),"")</f>
        <v>351 0</v>
      </c>
      <c r="D579" s="21" t="n">
        <f aca="false">SUMIFS('CEMI Raw'!$C$6:$C$1018,'CEMI Raw'!$E$6:$E$1018,$A579,'CEMI Raw'!$B$6:$B$1018,2025)</f>
        <v>89</v>
      </c>
      <c r="E579" s="22" t="n">
        <f aca="false">SUMIFS('CEMI Raw'!$D$6:$D$1018,'CEMI Raw'!$E$6:$E$1018,$A579,'CEMI Raw'!$B$6:$B$1018,2025)</f>
        <v>4014.8</v>
      </c>
      <c r="F579" s="21" t="n">
        <f aca="false">SUMIFS('CEMI Raw'!$C$6:$C$1018,'CEMI Raw'!$E$6:$E$1018,$A579,'CEMI Raw'!$B$6:$B$1018,2026)</f>
        <v>83</v>
      </c>
      <c r="G579" s="22" t="n">
        <f aca="false">SUMIFS('CEMI Raw'!$D$6:$D$1018,'CEMI Raw'!$E$6:$E$1018,$A579,'CEMI Raw'!$B$6:$B$1018,2026)</f>
        <v>3714.4</v>
      </c>
      <c r="H579" s="21" t="n">
        <f aca="false">SUMIFS('SALES Raw'!$C$6:$C$603,'SALES Raw'!$E$6:$E$603,$A579,'SALES Raw'!$B$6:$B$603,2025)</f>
        <v>15</v>
      </c>
      <c r="I579" s="22" t="n">
        <f aca="false">SUMIFS('SALES Raw'!$D$6:$D$603,'SALES Raw'!$E$6:$E$603,$A579,'SALES Raw'!$B$6:$B$603,2025)</f>
        <v>692.54</v>
      </c>
      <c r="J579" s="21" t="n">
        <f aca="false">SUMIFS('SALES Raw'!$C$6:$C$603,'SALES Raw'!$E$6:$E$603,$A579,'SALES Raw'!$B$6:$B$603,2026)</f>
        <v>9</v>
      </c>
      <c r="K579" s="22" t="n">
        <f aca="false">SUMIFS('SALES Raw'!$D$6:$D$603,'SALES Raw'!$E$6:$E$603,$A579,'SALES Raw'!$B$6:$B$603,2026)</f>
        <v>421.39</v>
      </c>
      <c r="L579" s="21" t="n">
        <f aca="false">D579+H579</f>
        <v>104</v>
      </c>
      <c r="M579" s="22" t="n">
        <f aca="false">E579+I579</f>
        <v>4707.34</v>
      </c>
      <c r="N579" s="21" t="n">
        <f aca="false">F579+J579</f>
        <v>92</v>
      </c>
      <c r="O579" s="22" t="n">
        <f aca="false">G579+K579</f>
        <v>4135.79</v>
      </c>
    </row>
    <row r="580" customFormat="false" ht="15" hidden="false" customHeight="false" outlineLevel="0" collapsed="false">
      <c r="A580" s="20" t="n">
        <v>4422000</v>
      </c>
      <c r="B580" s="20" t="str">
        <f aca="false">IFERROR(INDEX('Catalog'!$B:$B,MATCH($A580,'Catalog'!$A:$A,0)),"")</f>
        <v>801  תחבושת אלסטית מקררת</v>
      </c>
      <c r="C580" s="20" t="str">
        <f aca="false">IFERROR(INDEX('TRANS'!$A:$A,MATCH($A580,'TRANS'!$B:$B,0)),"")</f>
        <v>801 0</v>
      </c>
      <c r="D580" s="21" t="n">
        <f aca="false">SUMIFS('CEMI Raw'!$C$6:$C$1018,'CEMI Raw'!$E$6:$E$1018,$A580,'CEMI Raw'!$B$6:$B$1018,2025)</f>
        <v>129</v>
      </c>
      <c r="E580" s="22" t="n">
        <f aca="false">SUMIFS('CEMI Raw'!$D$6:$D$1018,'CEMI Raw'!$E$6:$E$1018,$A580,'CEMI Raw'!$B$6:$B$1018,2025)</f>
        <v>2674.4</v>
      </c>
      <c r="F580" s="21" t="n">
        <f aca="false">SUMIFS('CEMI Raw'!$C$6:$C$1018,'CEMI Raw'!$E$6:$E$1018,$A580,'CEMI Raw'!$B$6:$B$1018,2026)</f>
        <v>124</v>
      </c>
      <c r="G580" s="22" t="n">
        <f aca="false">SUMIFS('CEMI Raw'!$D$6:$D$1018,'CEMI Raw'!$E$6:$E$1018,$A580,'CEMI Raw'!$B$6:$B$1018,2026)</f>
        <v>2627.7</v>
      </c>
      <c r="H580" s="21" t="n">
        <f aca="false">SUMIFS('SALES Raw'!$C$6:$C$603,'SALES Raw'!$E$6:$E$603,$A580,'SALES Raw'!$B$6:$B$603,2025)</f>
        <v>7</v>
      </c>
      <c r="I580" s="22" t="n">
        <f aca="false">SUMIFS('SALES Raw'!$D$6:$D$603,'SALES Raw'!$E$6:$E$603,$A580,'SALES Raw'!$B$6:$B$603,2025)</f>
        <v>149.87</v>
      </c>
      <c r="J580" s="21" t="n">
        <f aca="false">SUMIFS('SALES Raw'!$C$6:$C$603,'SALES Raw'!$E$6:$E$603,$A580,'SALES Raw'!$B$6:$B$603,2026)</f>
        <v>9</v>
      </c>
      <c r="K580" s="22" t="n">
        <f aca="false">SUMIFS('SALES Raw'!$D$6:$D$603,'SALES Raw'!$E$6:$E$603,$A580,'SALES Raw'!$B$6:$B$603,2026)</f>
        <v>193.65</v>
      </c>
      <c r="L580" s="21" t="n">
        <f aca="false">D580+H580</f>
        <v>136</v>
      </c>
      <c r="M580" s="22" t="n">
        <f aca="false">E580+I580</f>
        <v>2824.27</v>
      </c>
      <c r="N580" s="21" t="n">
        <f aca="false">F580+J580</f>
        <v>133</v>
      </c>
      <c r="O580" s="22" t="n">
        <f aca="false">G580+K580</f>
        <v>2821.35</v>
      </c>
    </row>
    <row r="581" customFormat="false" ht="15" hidden="false" customHeight="false" outlineLevel="0" collapsed="false">
      <c r="A581" s="20" t="n">
        <v>4422003</v>
      </c>
      <c r="B581" s="20" t="str">
        <f aca="false">IFERROR(INDEX('Catalog'!$B:$B,MATCH($A581,'Catalog'!$A:$A,0)),"")</f>
        <v>FC331Z- 120 תתתרסיס מרענן לרגל</v>
      </c>
      <c r="C581" s="20" t="str">
        <f aca="false">IFERROR(INDEX('TRANS'!$A:$A,MATCH($A581,'TRANS'!$B:$B,0)),"")</f>
        <v/>
      </c>
      <c r="D581" s="21" t="n">
        <f aca="false">SUMIFS('CEMI Raw'!$C$6:$C$1018,'CEMI Raw'!$E$6:$E$1018,$A581,'CEMI Raw'!$B$6:$B$1018,2025)</f>
        <v>-1</v>
      </c>
      <c r="E581" s="22" t="n">
        <f aca="false">SUMIFS('CEMI Raw'!$D$6:$D$1018,'CEMI Raw'!$E$6:$E$1018,$A581,'CEMI Raw'!$B$6:$B$1018,2025)</f>
        <v>-36.5</v>
      </c>
      <c r="F581" s="21" t="n">
        <f aca="false">SUMIFS('CEMI Raw'!$C$6:$C$1018,'CEMI Raw'!$E$6:$E$1018,$A581,'CEMI Raw'!$B$6:$B$1018,2026)</f>
        <v>0</v>
      </c>
      <c r="G581" s="22" t="n">
        <f aca="false">SUMIFS('CEMI Raw'!$D$6:$D$1018,'CEMI Raw'!$E$6:$E$1018,$A581,'CEMI Raw'!$B$6:$B$1018,2026)</f>
        <v>0</v>
      </c>
      <c r="H581" s="21" t="n">
        <f aca="false">SUMIFS('SALES Raw'!$C$6:$C$603,'SALES Raw'!$E$6:$E$603,$A581,'SALES Raw'!$B$6:$B$603,2025)</f>
        <v>0</v>
      </c>
      <c r="I581" s="22" t="n">
        <f aca="false">SUMIFS('SALES Raw'!$D$6:$D$603,'SALES Raw'!$E$6:$E$603,$A581,'SALES Raw'!$B$6:$B$603,2025)</f>
        <v>0</v>
      </c>
      <c r="J581" s="21" t="n">
        <f aca="false">SUMIFS('SALES Raw'!$C$6:$C$603,'SALES Raw'!$E$6:$E$603,$A581,'SALES Raw'!$B$6:$B$603,2026)</f>
        <v>0</v>
      </c>
      <c r="K581" s="22" t="n">
        <f aca="false">SUMIFS('SALES Raw'!$D$6:$D$603,'SALES Raw'!$E$6:$E$603,$A581,'SALES Raw'!$B$6:$B$603,2026)</f>
        <v>0</v>
      </c>
      <c r="L581" s="21" t="n">
        <f aca="false">D581+H581</f>
        <v>-1</v>
      </c>
      <c r="M581" s="22" t="n">
        <f aca="false">E581+I581</f>
        <v>-36.5</v>
      </c>
      <c r="N581" s="21" t="n">
        <f aca="false">F581+J581</f>
        <v>0</v>
      </c>
      <c r="O581" s="22" t="n">
        <f aca="false">G581+K581</f>
        <v>0</v>
      </c>
    </row>
    <row r="582" customFormat="false" ht="15" hidden="false" customHeight="false" outlineLevel="0" collapsed="false">
      <c r="A582" s="20" t="n">
        <v>4422004</v>
      </c>
      <c r="B582" s="20" t="str">
        <f aca="false">IFERROR(INDEX('Catalog'!$B:$B,MATCH($A582,'Catalog'!$A:$A,0)),"")</f>
        <v>T78 S תומך זרוע וכתף</v>
      </c>
      <c r="C582" s="20" t="str">
        <f aca="false">IFERROR(INDEX('TRANS'!$A:$A,MATCH($A582,'TRANS'!$B:$B,0)),"")</f>
        <v>T78 S</v>
      </c>
      <c r="D582" s="21" t="n">
        <f aca="false">SUMIFS('CEMI Raw'!$C$6:$C$1018,'CEMI Raw'!$E$6:$E$1018,$A582,'CEMI Raw'!$B$6:$B$1018,2025)</f>
        <v>11</v>
      </c>
      <c r="E582" s="22" t="n">
        <f aca="false">SUMIFS('CEMI Raw'!$D$6:$D$1018,'CEMI Raw'!$E$6:$E$1018,$A582,'CEMI Raw'!$B$6:$B$1018,2025)</f>
        <v>2043.8</v>
      </c>
      <c r="F582" s="21" t="n">
        <f aca="false">SUMIFS('CEMI Raw'!$C$6:$C$1018,'CEMI Raw'!$E$6:$E$1018,$A582,'CEMI Raw'!$B$6:$B$1018,2026)</f>
        <v>5</v>
      </c>
      <c r="G582" s="22" t="n">
        <f aca="false">SUMIFS('CEMI Raw'!$D$6:$D$1018,'CEMI Raw'!$E$6:$E$1018,$A582,'CEMI Raw'!$B$6:$B$1018,2026)</f>
        <v>959.2</v>
      </c>
      <c r="H582" s="21" t="n">
        <f aca="false">SUMIFS('SALES Raw'!$C$6:$C$603,'SALES Raw'!$E$6:$E$603,$A582,'SALES Raw'!$B$6:$B$603,2025)</f>
        <v>2</v>
      </c>
      <c r="I582" s="22" t="n">
        <f aca="false">SUMIFS('SALES Raw'!$D$6:$D$603,'SALES Raw'!$E$6:$E$603,$A582,'SALES Raw'!$B$6:$B$603,2025)</f>
        <v>378.64</v>
      </c>
      <c r="J582" s="21" t="n">
        <f aca="false">SUMIFS('SALES Raw'!$C$6:$C$603,'SALES Raw'!$E$6:$E$603,$A582,'SALES Raw'!$B$6:$B$603,2026)</f>
        <v>0</v>
      </c>
      <c r="K582" s="22" t="n">
        <f aca="false">SUMIFS('SALES Raw'!$D$6:$D$603,'SALES Raw'!$E$6:$E$603,$A582,'SALES Raw'!$B$6:$B$603,2026)</f>
        <v>0</v>
      </c>
      <c r="L582" s="21" t="n">
        <f aca="false">D582+H582</f>
        <v>13</v>
      </c>
      <c r="M582" s="22" t="n">
        <f aca="false">E582+I582</f>
        <v>2422.44</v>
      </c>
      <c r="N582" s="21" t="n">
        <f aca="false">F582+J582</f>
        <v>5</v>
      </c>
      <c r="O582" s="22" t="n">
        <f aca="false">G582+K582</f>
        <v>959.2</v>
      </c>
    </row>
    <row r="583" customFormat="false" ht="15" hidden="false" customHeight="false" outlineLevel="0" collapsed="false">
      <c r="A583" s="20" t="n">
        <v>4422005</v>
      </c>
      <c r="B583" s="20" t="str">
        <f aca="false">IFERROR(INDEX('Catalog'!$B:$B,MATCH($A583,'Catalog'!$A:$A,0)),"")</f>
        <v>T78 M תומך זרוע וכתף</v>
      </c>
      <c r="C583" s="20" t="str">
        <f aca="false">IFERROR(INDEX('TRANS'!$A:$A,MATCH($A583,'TRANS'!$B:$B,0)),"")</f>
        <v>T78 M</v>
      </c>
      <c r="D583" s="21" t="n">
        <f aca="false">SUMIFS('CEMI Raw'!$C$6:$C$1018,'CEMI Raw'!$E$6:$E$1018,$A583,'CEMI Raw'!$B$6:$B$1018,2025)</f>
        <v>27</v>
      </c>
      <c r="E583" s="22" t="n">
        <f aca="false">SUMIFS('CEMI Raw'!$D$6:$D$1018,'CEMI Raw'!$E$6:$E$1018,$A583,'CEMI Raw'!$B$6:$B$1018,2025)</f>
        <v>5060</v>
      </c>
      <c r="F583" s="21" t="n">
        <f aca="false">SUMIFS('CEMI Raw'!$C$6:$C$1018,'CEMI Raw'!$E$6:$E$1018,$A583,'CEMI Raw'!$B$6:$B$1018,2026)</f>
        <v>15</v>
      </c>
      <c r="G583" s="22" t="n">
        <f aca="false">SUMIFS('CEMI Raw'!$D$6:$D$1018,'CEMI Raw'!$E$6:$E$1018,$A583,'CEMI Raw'!$B$6:$B$1018,2026)</f>
        <v>2852.4</v>
      </c>
      <c r="H583" s="21" t="n">
        <f aca="false">SUMIFS('SALES Raw'!$C$6:$C$603,'SALES Raw'!$E$6:$E$603,$A583,'SALES Raw'!$B$6:$B$603,2025)</f>
        <v>5</v>
      </c>
      <c r="I583" s="22" t="n">
        <f aca="false">SUMIFS('SALES Raw'!$D$6:$D$603,'SALES Raw'!$E$6:$E$603,$A583,'SALES Raw'!$B$6:$B$603,2025)</f>
        <v>944.73</v>
      </c>
      <c r="J583" s="21" t="n">
        <f aca="false">SUMIFS('SALES Raw'!$C$6:$C$603,'SALES Raw'!$E$6:$E$603,$A583,'SALES Raw'!$B$6:$B$603,2026)</f>
        <v>1</v>
      </c>
      <c r="K583" s="22" t="n">
        <f aca="false">SUMIFS('SALES Raw'!$D$6:$D$603,'SALES Raw'!$E$6:$E$603,$A583,'SALES Raw'!$B$6:$B$603,2026)</f>
        <v>130</v>
      </c>
      <c r="L583" s="21" t="n">
        <f aca="false">D583+H583</f>
        <v>32</v>
      </c>
      <c r="M583" s="22" t="n">
        <f aca="false">E583+I583</f>
        <v>6004.73</v>
      </c>
      <c r="N583" s="21" t="n">
        <f aca="false">F583+J583</f>
        <v>16</v>
      </c>
      <c r="O583" s="22" t="n">
        <f aca="false">G583+K583</f>
        <v>2982.4</v>
      </c>
    </row>
    <row r="584" customFormat="false" ht="15" hidden="false" customHeight="false" outlineLevel="0" collapsed="false">
      <c r="A584" s="20" t="n">
        <v>4422006</v>
      </c>
      <c r="B584" s="20" t="str">
        <f aca="false">IFERROR(INDEX('Catalog'!$B:$B,MATCH($A584,'Catalog'!$A:$A,0)),"")</f>
        <v>T78 L תומך זרוע וכתף</v>
      </c>
      <c r="C584" s="20" t="str">
        <f aca="false">IFERROR(INDEX('TRANS'!$A:$A,MATCH($A584,'TRANS'!$B:$B,0)),"")</f>
        <v>T78 L</v>
      </c>
      <c r="D584" s="21" t="n">
        <f aca="false">SUMIFS('CEMI Raw'!$C$6:$C$1018,'CEMI Raw'!$E$6:$E$1018,$A584,'CEMI Raw'!$B$6:$B$1018,2025)</f>
        <v>38</v>
      </c>
      <c r="E584" s="22" t="n">
        <f aca="false">SUMIFS('CEMI Raw'!$D$6:$D$1018,'CEMI Raw'!$E$6:$E$1018,$A584,'CEMI Raw'!$B$6:$B$1018,2025)</f>
        <v>7103.2</v>
      </c>
      <c r="F584" s="21" t="n">
        <f aca="false">SUMIFS('CEMI Raw'!$C$6:$C$1018,'CEMI Raw'!$E$6:$E$1018,$A584,'CEMI Raw'!$B$6:$B$1018,2026)</f>
        <v>25</v>
      </c>
      <c r="G584" s="22" t="n">
        <f aca="false">SUMIFS('CEMI Raw'!$D$6:$D$1018,'CEMI Raw'!$E$6:$E$1018,$A584,'CEMI Raw'!$B$6:$B$1018,2026)</f>
        <v>4518.4</v>
      </c>
      <c r="H584" s="21" t="n">
        <f aca="false">SUMIFS('SALES Raw'!$C$6:$C$603,'SALES Raw'!$E$6:$E$603,$A584,'SALES Raw'!$B$6:$B$603,2025)</f>
        <v>3</v>
      </c>
      <c r="I584" s="22" t="n">
        <f aca="false">SUMIFS('SALES Raw'!$D$6:$D$603,'SALES Raw'!$E$6:$E$603,$A584,'SALES Raw'!$B$6:$B$603,2025)</f>
        <v>567.13</v>
      </c>
      <c r="J584" s="21" t="n">
        <f aca="false">SUMIFS('SALES Raw'!$C$6:$C$603,'SALES Raw'!$E$6:$E$603,$A584,'SALES Raw'!$B$6:$B$603,2026)</f>
        <v>2</v>
      </c>
      <c r="K584" s="22" t="n">
        <f aca="false">SUMIFS('SALES Raw'!$D$6:$D$603,'SALES Raw'!$E$6:$E$603,$A584,'SALES Raw'!$B$6:$B$603,2026)</f>
        <v>317.45</v>
      </c>
      <c r="L584" s="21" t="n">
        <f aca="false">D584+H584</f>
        <v>41</v>
      </c>
      <c r="M584" s="22" t="n">
        <f aca="false">E584+I584</f>
        <v>7670.33</v>
      </c>
      <c r="N584" s="21" t="n">
        <f aca="false">F584+J584</f>
        <v>27</v>
      </c>
      <c r="O584" s="22" t="n">
        <f aca="false">G584+K584</f>
        <v>4835.85</v>
      </c>
    </row>
    <row r="585" customFormat="false" ht="15" hidden="false" customHeight="false" outlineLevel="0" collapsed="false">
      <c r="A585" s="20" t="n">
        <v>4422007</v>
      </c>
      <c r="B585" s="20" t="str">
        <f aca="false">IFERROR(INDEX('Catalog'!$B:$B,MATCH($A585,'Catalog'!$A:$A,0)),"")</f>
        <v>T78 XLתומך זרוע וכתף</v>
      </c>
      <c r="C585" s="20" t="str">
        <f aca="false">IFERROR(INDEX('TRANS'!$A:$A,MATCH($A585,'TRANS'!$B:$B,0)),"")</f>
        <v>T78 XL</v>
      </c>
      <c r="D585" s="21" t="n">
        <f aca="false">SUMIFS('CEMI Raw'!$C$6:$C$1018,'CEMI Raw'!$E$6:$E$1018,$A585,'CEMI Raw'!$B$6:$B$1018,2025)</f>
        <v>18</v>
      </c>
      <c r="E585" s="22" t="n">
        <f aca="false">SUMIFS('CEMI Raw'!$D$6:$D$1018,'CEMI Raw'!$E$6:$E$1018,$A585,'CEMI Raw'!$B$6:$B$1018,2025)</f>
        <v>3356.7</v>
      </c>
      <c r="F585" s="21" t="n">
        <f aca="false">SUMIFS('CEMI Raw'!$C$6:$C$1018,'CEMI Raw'!$E$6:$E$1018,$A585,'CEMI Raw'!$B$6:$B$1018,2026)</f>
        <v>19</v>
      </c>
      <c r="G585" s="22" t="n">
        <f aca="false">SUMIFS('CEMI Raw'!$D$6:$D$1018,'CEMI Raw'!$E$6:$E$1018,$A585,'CEMI Raw'!$B$6:$B$1018,2026)</f>
        <v>3534.2</v>
      </c>
      <c r="H585" s="21" t="n">
        <f aca="false">SUMIFS('SALES Raw'!$C$6:$C$603,'SALES Raw'!$E$6:$E$603,$A585,'SALES Raw'!$B$6:$B$603,2025)</f>
        <v>2</v>
      </c>
      <c r="I585" s="22" t="n">
        <f aca="false">SUMIFS('SALES Raw'!$D$6:$D$603,'SALES Raw'!$E$6:$E$603,$A585,'SALES Raw'!$B$6:$B$603,2025)</f>
        <v>378.64</v>
      </c>
      <c r="J585" s="21" t="n">
        <f aca="false">SUMIFS('SALES Raw'!$C$6:$C$603,'SALES Raw'!$E$6:$E$603,$A585,'SALES Raw'!$B$6:$B$603,2026)</f>
        <v>1</v>
      </c>
      <c r="K585" s="22" t="n">
        <f aca="false">SUMIFS('SALES Raw'!$D$6:$D$603,'SALES Raw'!$E$6:$E$603,$A585,'SALES Raw'!$B$6:$B$603,2026)</f>
        <v>187.45</v>
      </c>
      <c r="L585" s="21" t="n">
        <f aca="false">D585+H585</f>
        <v>20</v>
      </c>
      <c r="M585" s="22" t="n">
        <f aca="false">E585+I585</f>
        <v>3735.34</v>
      </c>
      <c r="N585" s="21" t="n">
        <f aca="false">F585+J585</f>
        <v>20</v>
      </c>
      <c r="O585" s="22" t="n">
        <f aca="false">G585+K585</f>
        <v>3721.65</v>
      </c>
    </row>
    <row r="586" customFormat="false" ht="15" hidden="false" customHeight="false" outlineLevel="0" collapsed="false">
      <c r="A586" s="20" t="n">
        <v>4422009</v>
      </c>
      <c r="B586" s="20" t="str">
        <f aca="false">IFERROR(INDEX('Catalog'!$B:$B,MATCH($A586,'Catalog'!$A:$A,0)),"")</f>
        <v>T78 XXL תומך זרוע וכתף</v>
      </c>
      <c r="C586" s="20" t="str">
        <f aca="false">IFERROR(INDEX('TRANS'!$A:$A,MATCH($A586,'TRANS'!$B:$B,0)),"")</f>
        <v>T78 XXL</v>
      </c>
      <c r="D586" s="21" t="n">
        <f aca="false">SUMIFS('CEMI Raw'!$C$6:$C$1018,'CEMI Raw'!$E$6:$E$1018,$A586,'CEMI Raw'!$B$6:$B$1018,2025)</f>
        <v>4</v>
      </c>
      <c r="E586" s="22" t="n">
        <f aca="false">SUMIFS('CEMI Raw'!$D$6:$D$1018,'CEMI Raw'!$E$6:$E$1018,$A586,'CEMI Raw'!$B$6:$B$1018,2025)</f>
        <v>719.4</v>
      </c>
      <c r="F586" s="21" t="n">
        <f aca="false">SUMIFS('CEMI Raw'!$C$6:$C$1018,'CEMI Raw'!$E$6:$E$1018,$A586,'CEMI Raw'!$B$6:$B$1018,2026)</f>
        <v>3</v>
      </c>
      <c r="G586" s="22" t="n">
        <f aca="false">SUMIFS('CEMI Raw'!$D$6:$D$1018,'CEMI Raw'!$E$6:$E$1018,$A586,'CEMI Raw'!$B$6:$B$1018,2026)</f>
        <v>568</v>
      </c>
      <c r="H586" s="21" t="n">
        <f aca="false">SUMIFS('SALES Raw'!$C$6:$C$603,'SALES Raw'!$E$6:$E$603,$A586,'SALES Raw'!$B$6:$B$603,2025)</f>
        <v>1</v>
      </c>
      <c r="I586" s="22" t="n">
        <f aca="false">SUMIFS('SALES Raw'!$D$6:$D$603,'SALES Raw'!$E$6:$E$603,$A586,'SALES Raw'!$B$6:$B$603,2025)</f>
        <v>189.32</v>
      </c>
      <c r="J586" s="21" t="n">
        <f aca="false">SUMIFS('SALES Raw'!$C$6:$C$603,'SALES Raw'!$E$6:$E$603,$A586,'SALES Raw'!$B$6:$B$603,2026)</f>
        <v>0</v>
      </c>
      <c r="K586" s="22" t="n">
        <f aca="false">SUMIFS('SALES Raw'!$D$6:$D$603,'SALES Raw'!$E$6:$E$603,$A586,'SALES Raw'!$B$6:$B$603,2026)</f>
        <v>0</v>
      </c>
      <c r="L586" s="21" t="n">
        <f aca="false">D586+H586</f>
        <v>5</v>
      </c>
      <c r="M586" s="22" t="n">
        <f aca="false">E586+I586</f>
        <v>908.72</v>
      </c>
      <c r="N586" s="21" t="n">
        <f aca="false">F586+J586</f>
        <v>3</v>
      </c>
      <c r="O586" s="22" t="n">
        <f aca="false">G586+K586</f>
        <v>568</v>
      </c>
    </row>
    <row r="587" customFormat="false" ht="15" hidden="false" customHeight="false" outlineLevel="0" collapsed="false">
      <c r="A587" s="20" t="n">
        <v>4422023</v>
      </c>
      <c r="B587" s="20" t="str">
        <f aca="false">IFERROR(INDEX('Catalog'!$B:$B,MATCH($A587,'Catalog'!$A:$A,0)),"")</f>
        <v>806CB-BEIGE      תחבושת א.נצמ</v>
      </c>
      <c r="C587" s="20" t="str">
        <f aca="false">IFERROR(INDEX('TRANS'!$A:$A,MATCH($A587,'TRANS'!$B:$B,0)),"")</f>
        <v>806CB-C</v>
      </c>
      <c r="D587" s="21" t="n">
        <f aca="false">SUMIFS('CEMI Raw'!$C$6:$C$1018,'CEMI Raw'!$E$6:$E$1018,$A587,'CEMI Raw'!$B$6:$B$1018,2025)</f>
        <v>1500</v>
      </c>
      <c r="E587" s="22" t="n">
        <f aca="false">SUMIFS('CEMI Raw'!$D$6:$D$1018,'CEMI Raw'!$E$6:$E$1018,$A587,'CEMI Raw'!$B$6:$B$1018,2025)</f>
        <v>14703.8</v>
      </c>
      <c r="F587" s="21" t="n">
        <f aca="false">SUMIFS('CEMI Raw'!$C$6:$C$1018,'CEMI Raw'!$E$6:$E$1018,$A587,'CEMI Raw'!$B$6:$B$1018,2026)</f>
        <v>851</v>
      </c>
      <c r="G587" s="22" t="n">
        <f aca="false">SUMIFS('CEMI Raw'!$D$6:$D$1018,'CEMI Raw'!$E$6:$E$1018,$A587,'CEMI Raw'!$B$6:$B$1018,2026)</f>
        <v>9467.1</v>
      </c>
      <c r="H587" s="21" t="n">
        <f aca="false">SUMIFS('SALES Raw'!$C$6:$C$603,'SALES Raw'!$E$6:$E$603,$A587,'SALES Raw'!$B$6:$B$603,2025)</f>
        <v>18</v>
      </c>
      <c r="I587" s="22" t="n">
        <f aca="false">SUMIFS('SALES Raw'!$D$6:$D$603,'SALES Raw'!$E$6:$E$603,$A587,'SALES Raw'!$B$6:$B$603,2025)</f>
        <v>135</v>
      </c>
      <c r="J587" s="21" t="n">
        <f aca="false">SUMIFS('SALES Raw'!$C$6:$C$603,'SALES Raw'!$E$6:$E$603,$A587,'SALES Raw'!$B$6:$B$603,2026)</f>
        <v>0</v>
      </c>
      <c r="K587" s="22" t="n">
        <f aca="false">SUMIFS('SALES Raw'!$D$6:$D$603,'SALES Raw'!$E$6:$E$603,$A587,'SALES Raw'!$B$6:$B$603,2026)</f>
        <v>0</v>
      </c>
      <c r="L587" s="21" t="n">
        <f aca="false">D587+H587</f>
        <v>1518</v>
      </c>
      <c r="M587" s="22" t="n">
        <f aca="false">E587+I587</f>
        <v>14838.8</v>
      </c>
      <c r="N587" s="21" t="n">
        <f aca="false">F587+J587</f>
        <v>851</v>
      </c>
      <c r="O587" s="22" t="n">
        <f aca="false">G587+K587</f>
        <v>9467.1</v>
      </c>
    </row>
    <row r="588" customFormat="false" ht="15" hidden="false" customHeight="false" outlineLevel="0" collapsed="false">
      <c r="A588" s="20" t="n">
        <v>4422024</v>
      </c>
      <c r="B588" s="20" t="str">
        <f aca="false">IFERROR(INDEX('Catalog'!$B:$B,MATCH($A588,'Catalog'!$A:$A,0)),"")</f>
        <v>806CB-BLACK      תחבושת א.נצמ</v>
      </c>
      <c r="C588" s="20" t="str">
        <f aca="false">IFERROR(INDEX('TRANS'!$A:$A,MATCH($A588,'TRANS'!$B:$B,0)),"")</f>
        <v>806CB-B</v>
      </c>
      <c r="D588" s="21" t="n">
        <f aca="false">SUMIFS('CEMI Raw'!$C$6:$C$1018,'CEMI Raw'!$E$6:$E$1018,$A588,'CEMI Raw'!$B$6:$B$1018,2025)</f>
        <v>928</v>
      </c>
      <c r="E588" s="22" t="n">
        <f aca="false">SUMIFS('CEMI Raw'!$D$6:$D$1018,'CEMI Raw'!$E$6:$E$1018,$A588,'CEMI Raw'!$B$6:$B$1018,2025)</f>
        <v>9313.1</v>
      </c>
      <c r="F588" s="21" t="n">
        <f aca="false">SUMIFS('CEMI Raw'!$C$6:$C$1018,'CEMI Raw'!$E$6:$E$1018,$A588,'CEMI Raw'!$B$6:$B$1018,2026)</f>
        <v>513</v>
      </c>
      <c r="G588" s="22" t="n">
        <f aca="false">SUMIFS('CEMI Raw'!$D$6:$D$1018,'CEMI Raw'!$E$6:$E$1018,$A588,'CEMI Raw'!$B$6:$B$1018,2026)</f>
        <v>5672.9</v>
      </c>
      <c r="H588" s="21" t="n">
        <f aca="false">SUMIFS('SALES Raw'!$C$6:$C$603,'SALES Raw'!$E$6:$E$603,$A588,'SALES Raw'!$B$6:$B$603,2025)</f>
        <v>40</v>
      </c>
      <c r="I588" s="22" t="n">
        <f aca="false">SUMIFS('SALES Raw'!$D$6:$D$603,'SALES Raw'!$E$6:$E$603,$A588,'SALES Raw'!$B$6:$B$603,2025)</f>
        <v>387.08</v>
      </c>
      <c r="J588" s="21" t="n">
        <f aca="false">SUMIFS('SALES Raw'!$C$6:$C$603,'SALES Raw'!$E$6:$E$603,$A588,'SALES Raw'!$B$6:$B$603,2026)</f>
        <v>0</v>
      </c>
      <c r="K588" s="22" t="n">
        <f aca="false">SUMIFS('SALES Raw'!$D$6:$D$603,'SALES Raw'!$E$6:$E$603,$A588,'SALES Raw'!$B$6:$B$603,2026)</f>
        <v>0</v>
      </c>
      <c r="L588" s="21" t="n">
        <f aca="false">D588+H588</f>
        <v>968</v>
      </c>
      <c r="M588" s="22" t="n">
        <f aca="false">E588+I588</f>
        <v>9700.18</v>
      </c>
      <c r="N588" s="21" t="n">
        <f aca="false">F588+J588</f>
        <v>513</v>
      </c>
      <c r="O588" s="22" t="n">
        <f aca="false">G588+K588</f>
        <v>5672.9</v>
      </c>
    </row>
    <row r="589" customFormat="false" ht="15" hidden="false" customHeight="false" outlineLevel="0" collapsed="false">
      <c r="A589" s="20" t="n">
        <v>4422025</v>
      </c>
      <c r="B589" s="20" t="str">
        <f aca="false">IFERROR(INDEX('Catalog'!$B:$B,MATCH($A589,'Catalog'!$A:$A,0)),"")</f>
        <v>806CB-GREEN      תחבושת א.נצמ</v>
      </c>
      <c r="C589" s="20" t="str">
        <f aca="false">IFERROR(INDEX('TRANS'!$A:$A,MATCH($A589,'TRANS'!$B:$B,0)),"")</f>
        <v>806CB-GR</v>
      </c>
      <c r="D589" s="21" t="n">
        <f aca="false">SUMIFS('CEMI Raw'!$C$6:$C$1018,'CEMI Raw'!$E$6:$E$1018,$A589,'CEMI Raw'!$B$6:$B$1018,2025)</f>
        <v>476</v>
      </c>
      <c r="E589" s="22" t="n">
        <f aca="false">SUMIFS('CEMI Raw'!$D$6:$D$1018,'CEMI Raw'!$E$6:$E$1018,$A589,'CEMI Raw'!$B$6:$B$1018,2025)</f>
        <v>4540.6</v>
      </c>
      <c r="F589" s="21" t="n">
        <f aca="false">SUMIFS('CEMI Raw'!$C$6:$C$1018,'CEMI Raw'!$E$6:$E$1018,$A589,'CEMI Raw'!$B$6:$B$1018,2026)</f>
        <v>180</v>
      </c>
      <c r="G589" s="22" t="n">
        <f aca="false">SUMIFS('CEMI Raw'!$D$6:$D$1018,'CEMI Raw'!$E$6:$E$1018,$A589,'CEMI Raw'!$B$6:$B$1018,2026)</f>
        <v>2001.6</v>
      </c>
      <c r="H589" s="21" t="n">
        <f aca="false">SUMIFS('SALES Raw'!$C$6:$C$603,'SALES Raw'!$E$6:$E$603,$A589,'SALES Raw'!$B$6:$B$603,2025)</f>
        <v>13</v>
      </c>
      <c r="I589" s="22" t="n">
        <f aca="false">SUMIFS('SALES Raw'!$D$6:$D$603,'SALES Raw'!$E$6:$E$603,$A589,'SALES Raw'!$B$6:$B$603,2025)</f>
        <v>120.61</v>
      </c>
      <c r="J589" s="21" t="n">
        <f aca="false">SUMIFS('SALES Raw'!$C$6:$C$603,'SALES Raw'!$E$6:$E$603,$A589,'SALES Raw'!$B$6:$B$603,2026)</f>
        <v>5</v>
      </c>
      <c r="K589" s="22" t="n">
        <f aca="false">SUMIFS('SALES Raw'!$D$6:$D$603,'SALES Raw'!$E$6:$E$603,$A589,'SALES Raw'!$B$6:$B$603,2026)</f>
        <v>52.5</v>
      </c>
      <c r="L589" s="21" t="n">
        <f aca="false">D589+H589</f>
        <v>489</v>
      </c>
      <c r="M589" s="22" t="n">
        <f aca="false">E589+I589</f>
        <v>4661.21</v>
      </c>
      <c r="N589" s="21" t="n">
        <f aca="false">F589+J589</f>
        <v>185</v>
      </c>
      <c r="O589" s="22" t="n">
        <f aca="false">G589+K589</f>
        <v>2054.1</v>
      </c>
    </row>
    <row r="590" customFormat="false" ht="15" hidden="false" customHeight="false" outlineLevel="0" collapsed="false">
      <c r="A590" s="20" t="n">
        <v>4422026</v>
      </c>
      <c r="B590" s="20" t="str">
        <f aca="false">IFERROR(INDEX('Catalog'!$B:$B,MATCH($A590,'Catalog'!$A:$A,0)),"")</f>
        <v>806CB-PINK       תחבושת א.נצמ</v>
      </c>
      <c r="C590" s="20" t="str">
        <f aca="false">IFERROR(INDEX('TRANS'!$A:$A,MATCH($A590,'TRANS'!$B:$B,0)),"")</f>
        <v>806CB-P</v>
      </c>
      <c r="D590" s="21" t="n">
        <f aca="false">SUMIFS('CEMI Raw'!$C$6:$C$1018,'CEMI Raw'!$E$6:$E$1018,$A590,'CEMI Raw'!$B$6:$B$1018,2025)</f>
        <v>471</v>
      </c>
      <c r="E590" s="22" t="n">
        <f aca="false">SUMIFS('CEMI Raw'!$D$6:$D$1018,'CEMI Raw'!$E$6:$E$1018,$A590,'CEMI Raw'!$B$6:$B$1018,2025)</f>
        <v>4693.4</v>
      </c>
      <c r="F590" s="21" t="n">
        <f aca="false">SUMIFS('CEMI Raw'!$C$6:$C$1018,'CEMI Raw'!$E$6:$E$1018,$A590,'CEMI Raw'!$B$6:$B$1018,2026)</f>
        <v>192</v>
      </c>
      <c r="G590" s="22" t="n">
        <f aca="false">SUMIFS('CEMI Raw'!$D$6:$D$1018,'CEMI Raw'!$E$6:$E$1018,$A590,'CEMI Raw'!$B$6:$B$1018,2026)</f>
        <v>2138.5</v>
      </c>
      <c r="H590" s="21" t="n">
        <f aca="false">SUMIFS('SALES Raw'!$C$6:$C$603,'SALES Raw'!$E$6:$E$603,$A590,'SALES Raw'!$B$6:$B$603,2025)</f>
        <v>22</v>
      </c>
      <c r="I590" s="22" t="n">
        <f aca="false">SUMIFS('SALES Raw'!$D$6:$D$603,'SALES Raw'!$E$6:$E$603,$A590,'SALES Raw'!$B$6:$B$603,2025)</f>
        <v>215.11</v>
      </c>
      <c r="J590" s="21" t="n">
        <f aca="false">SUMIFS('SALES Raw'!$C$6:$C$603,'SALES Raw'!$E$6:$E$603,$A590,'SALES Raw'!$B$6:$B$603,2026)</f>
        <v>12</v>
      </c>
      <c r="K590" s="22" t="n">
        <f aca="false">SUMIFS('SALES Raw'!$D$6:$D$603,'SALES Raw'!$E$6:$E$603,$A590,'SALES Raw'!$B$6:$B$603,2026)</f>
        <v>147.06</v>
      </c>
      <c r="L590" s="21" t="n">
        <f aca="false">D590+H590</f>
        <v>493</v>
      </c>
      <c r="M590" s="22" t="n">
        <f aca="false">E590+I590</f>
        <v>4908.51</v>
      </c>
      <c r="N590" s="21" t="n">
        <f aca="false">F590+J590</f>
        <v>204</v>
      </c>
      <c r="O590" s="22" t="n">
        <f aca="false">G590+K590</f>
        <v>2285.56</v>
      </c>
    </row>
    <row r="591" customFormat="false" ht="15" hidden="false" customHeight="false" outlineLevel="0" collapsed="false">
      <c r="A591" s="20" t="n">
        <v>4422031</v>
      </c>
      <c r="B591" s="20" t="str">
        <f aca="false">IFERROR(INDEX('Catalog'!$B:$B,MATCH($A591,'Catalog'!$A:$A,0)),"")</f>
        <v>807CB-Cתחבושת נצמדת בז' 20 מ""מ</v>
      </c>
      <c r="C591" s="20" t="str">
        <f aca="false">IFERROR(INDEX('TRANS'!$A:$A,MATCH($A591,'TRANS'!$B:$B,0)),"")</f>
        <v>807CB-C</v>
      </c>
      <c r="D591" s="21" t="n">
        <f aca="false">SUMIFS('CEMI Raw'!$C$6:$C$1018,'CEMI Raw'!$E$6:$E$1018,$A591,'CEMI Raw'!$B$6:$B$1018,2025)</f>
        <v>702</v>
      </c>
      <c r="E591" s="22" t="n">
        <f aca="false">SUMIFS('CEMI Raw'!$D$6:$D$1018,'CEMI Raw'!$E$6:$E$1018,$A591,'CEMI Raw'!$B$6:$B$1018,2025)</f>
        <v>7071.1</v>
      </c>
      <c r="F591" s="21" t="n">
        <f aca="false">SUMIFS('CEMI Raw'!$C$6:$C$1018,'CEMI Raw'!$E$6:$E$1018,$A591,'CEMI Raw'!$B$6:$B$1018,2026)</f>
        <v>745</v>
      </c>
      <c r="G591" s="22" t="n">
        <f aca="false">SUMIFS('CEMI Raw'!$D$6:$D$1018,'CEMI Raw'!$E$6:$E$1018,$A591,'CEMI Raw'!$B$6:$B$1018,2026)</f>
        <v>8337</v>
      </c>
      <c r="H591" s="21" t="n">
        <f aca="false">SUMIFS('SALES Raw'!$C$6:$C$603,'SALES Raw'!$E$6:$E$603,$A591,'SALES Raw'!$B$6:$B$603,2025)</f>
        <v>3</v>
      </c>
      <c r="I591" s="22" t="n">
        <f aca="false">SUMIFS('SALES Raw'!$D$6:$D$603,'SALES Raw'!$E$6:$E$603,$A591,'SALES Raw'!$B$6:$B$603,2025)</f>
        <v>31.5</v>
      </c>
      <c r="J591" s="21" t="n">
        <f aca="false">SUMIFS('SALES Raw'!$C$6:$C$603,'SALES Raw'!$E$6:$E$603,$A591,'SALES Raw'!$B$6:$B$603,2026)</f>
        <v>4</v>
      </c>
      <c r="K591" s="22" t="n">
        <f aca="false">SUMIFS('SALES Raw'!$D$6:$D$603,'SALES Raw'!$E$6:$E$603,$A591,'SALES Raw'!$B$6:$B$603,2026)</f>
        <v>50.43</v>
      </c>
      <c r="L591" s="21" t="n">
        <f aca="false">D591+H591</f>
        <v>705</v>
      </c>
      <c r="M591" s="22" t="n">
        <f aca="false">E591+I591</f>
        <v>7102.6</v>
      </c>
      <c r="N591" s="21" t="n">
        <f aca="false">F591+J591</f>
        <v>749</v>
      </c>
      <c r="O591" s="22" t="n">
        <f aca="false">G591+K591</f>
        <v>8387.43</v>
      </c>
    </row>
    <row r="592" customFormat="false" ht="15" hidden="false" customHeight="false" outlineLevel="0" collapsed="false">
      <c r="A592" s="20" t="n">
        <v>4422032</v>
      </c>
      <c r="B592" s="20" t="str">
        <f aca="false">IFERROR(INDEX('Catalog'!$B:$B,MATCH($A592,'Catalog'!$A:$A,0)),"")</f>
        <v>807B-Bתחבושת נצמדת שחור 20 מ""מ</v>
      </c>
      <c r="C592" s="20" t="str">
        <f aca="false">IFERROR(INDEX('TRANS'!$A:$A,MATCH($A592,'TRANS'!$B:$B,0)),"")</f>
        <v>807CB-B</v>
      </c>
      <c r="D592" s="21" t="n">
        <f aca="false">SUMIFS('CEMI Raw'!$C$6:$C$1018,'CEMI Raw'!$E$6:$E$1018,$A592,'CEMI Raw'!$B$6:$B$1018,2025)</f>
        <v>482</v>
      </c>
      <c r="E592" s="22" t="n">
        <f aca="false">SUMIFS('CEMI Raw'!$D$6:$D$1018,'CEMI Raw'!$E$6:$E$1018,$A592,'CEMI Raw'!$B$6:$B$1018,2025)</f>
        <v>4463.1</v>
      </c>
      <c r="F592" s="21" t="n">
        <f aca="false">SUMIFS('CEMI Raw'!$C$6:$C$1018,'CEMI Raw'!$E$6:$E$1018,$A592,'CEMI Raw'!$B$6:$B$1018,2026)</f>
        <v>212</v>
      </c>
      <c r="G592" s="22" t="n">
        <f aca="false">SUMIFS('CEMI Raw'!$D$6:$D$1018,'CEMI Raw'!$E$6:$E$1018,$A592,'CEMI Raw'!$B$6:$B$1018,2026)</f>
        <v>2361.9</v>
      </c>
      <c r="H592" s="21" t="n">
        <f aca="false">SUMIFS('SALES Raw'!$C$6:$C$603,'SALES Raw'!$E$6:$E$603,$A592,'SALES Raw'!$B$6:$B$603,2025)</f>
        <v>0</v>
      </c>
      <c r="I592" s="22" t="n">
        <f aca="false">SUMIFS('SALES Raw'!$D$6:$D$603,'SALES Raw'!$E$6:$E$603,$A592,'SALES Raw'!$B$6:$B$603,2025)</f>
        <v>0</v>
      </c>
      <c r="J592" s="21" t="n">
        <f aca="false">SUMIFS('SALES Raw'!$C$6:$C$603,'SALES Raw'!$E$6:$E$603,$A592,'SALES Raw'!$B$6:$B$603,2026)</f>
        <v>0</v>
      </c>
      <c r="K592" s="22" t="n">
        <f aca="false">SUMIFS('SALES Raw'!$D$6:$D$603,'SALES Raw'!$E$6:$E$603,$A592,'SALES Raw'!$B$6:$B$603,2026)</f>
        <v>0</v>
      </c>
      <c r="L592" s="21" t="n">
        <f aca="false">D592+H592</f>
        <v>482</v>
      </c>
      <c r="M592" s="22" t="n">
        <f aca="false">E592+I592</f>
        <v>4463.1</v>
      </c>
      <c r="N592" s="21" t="n">
        <f aca="false">F592+J592</f>
        <v>212</v>
      </c>
      <c r="O592" s="22" t="n">
        <f aca="false">G592+K592</f>
        <v>2361.9</v>
      </c>
    </row>
    <row r="593" customFormat="false" ht="15" hidden="false" customHeight="false" outlineLevel="0" collapsed="false">
      <c r="A593" s="20" t="n">
        <v>4422033</v>
      </c>
      <c r="B593" s="20" t="str">
        <f aca="false">IFERROR(INDEX('Catalog'!$B:$B,MATCH($A593,'Catalog'!$A:$A,0)),"")</f>
        <v>807CB-BLתחבושת נצמדת כחול20מ""מ</v>
      </c>
      <c r="C593" s="20" t="str">
        <f aca="false">IFERROR(INDEX('TRANS'!$A:$A,MATCH($A593,'TRANS'!$B:$B,0)),"")</f>
        <v>807CB-BL</v>
      </c>
      <c r="D593" s="21" t="n">
        <f aca="false">SUMIFS('CEMI Raw'!$C$6:$C$1018,'CEMI Raw'!$E$6:$E$1018,$A593,'CEMI Raw'!$B$6:$B$1018,2025)</f>
        <v>400</v>
      </c>
      <c r="E593" s="22" t="n">
        <f aca="false">SUMIFS('CEMI Raw'!$D$6:$D$1018,'CEMI Raw'!$E$6:$E$1018,$A593,'CEMI Raw'!$B$6:$B$1018,2025)</f>
        <v>3741.1</v>
      </c>
      <c r="F593" s="21" t="n">
        <f aca="false">SUMIFS('CEMI Raw'!$C$6:$C$1018,'CEMI Raw'!$E$6:$E$1018,$A593,'CEMI Raw'!$B$6:$B$1018,2026)</f>
        <v>124</v>
      </c>
      <c r="G593" s="22" t="n">
        <f aca="false">SUMIFS('CEMI Raw'!$D$6:$D$1018,'CEMI Raw'!$E$6:$E$1018,$A593,'CEMI Raw'!$B$6:$B$1018,2026)</f>
        <v>1388.3</v>
      </c>
      <c r="H593" s="21" t="n">
        <f aca="false">SUMIFS('SALES Raw'!$C$6:$C$603,'SALES Raw'!$E$6:$E$603,$A593,'SALES Raw'!$B$6:$B$603,2025)</f>
        <v>0</v>
      </c>
      <c r="I593" s="22" t="n">
        <f aca="false">SUMIFS('SALES Raw'!$D$6:$D$603,'SALES Raw'!$E$6:$E$603,$A593,'SALES Raw'!$B$6:$B$603,2025)</f>
        <v>0</v>
      </c>
      <c r="J593" s="21" t="n">
        <f aca="false">SUMIFS('SALES Raw'!$C$6:$C$603,'SALES Raw'!$E$6:$E$603,$A593,'SALES Raw'!$B$6:$B$603,2026)</f>
        <v>0</v>
      </c>
      <c r="K593" s="22" t="n">
        <f aca="false">SUMIFS('SALES Raw'!$D$6:$D$603,'SALES Raw'!$E$6:$E$603,$A593,'SALES Raw'!$B$6:$B$603,2026)</f>
        <v>0</v>
      </c>
      <c r="L593" s="21" t="n">
        <f aca="false">D593+H593</f>
        <v>400</v>
      </c>
      <c r="M593" s="22" t="n">
        <f aca="false">E593+I593</f>
        <v>3741.1</v>
      </c>
      <c r="N593" s="21" t="n">
        <f aca="false">F593+J593</f>
        <v>124</v>
      </c>
      <c r="O593" s="22" t="n">
        <f aca="false">G593+K593</f>
        <v>1388.3</v>
      </c>
    </row>
    <row r="594" customFormat="false" ht="15" hidden="false" customHeight="false" outlineLevel="0" collapsed="false">
      <c r="A594" s="20" t="n">
        <v>4422034</v>
      </c>
      <c r="B594" s="20" t="str">
        <f aca="false">IFERROR(INDEX('Catalog'!$B:$B,MATCH($A594,'Catalog'!$A:$A,0)),"")</f>
        <v>807CB-P תחבושת נצמדת ורוד 20ממ</v>
      </c>
      <c r="C594" s="20" t="str">
        <f aca="false">IFERROR(INDEX('TRANS'!$A:$A,MATCH($A594,'TRANS'!$B:$B,0)),"")</f>
        <v>807CB-P</v>
      </c>
      <c r="D594" s="21" t="n">
        <f aca="false">SUMIFS('CEMI Raw'!$C$6:$C$1018,'CEMI Raw'!$E$6:$E$1018,$A594,'CEMI Raw'!$B$6:$B$1018,2025)</f>
        <v>201</v>
      </c>
      <c r="E594" s="22" t="n">
        <f aca="false">SUMIFS('CEMI Raw'!$D$6:$D$1018,'CEMI Raw'!$E$6:$E$1018,$A594,'CEMI Raw'!$B$6:$B$1018,2025)</f>
        <v>1926.5</v>
      </c>
      <c r="F594" s="21" t="n">
        <f aca="false">SUMIFS('CEMI Raw'!$C$6:$C$1018,'CEMI Raw'!$E$6:$E$1018,$A594,'CEMI Raw'!$B$6:$B$1018,2026)</f>
        <v>64</v>
      </c>
      <c r="G594" s="22" t="n">
        <f aca="false">SUMIFS('CEMI Raw'!$D$6:$D$1018,'CEMI Raw'!$E$6:$E$1018,$A594,'CEMI Raw'!$B$6:$B$1018,2026)</f>
        <v>748.7</v>
      </c>
      <c r="H594" s="21" t="n">
        <f aca="false">SUMIFS('SALES Raw'!$C$6:$C$603,'SALES Raw'!$E$6:$E$603,$A594,'SALES Raw'!$B$6:$B$603,2025)</f>
        <v>0</v>
      </c>
      <c r="I594" s="22" t="n">
        <f aca="false">SUMIFS('SALES Raw'!$D$6:$D$603,'SALES Raw'!$E$6:$E$603,$A594,'SALES Raw'!$B$6:$B$603,2025)</f>
        <v>0</v>
      </c>
      <c r="J594" s="21" t="n">
        <f aca="false">SUMIFS('SALES Raw'!$C$6:$C$603,'SALES Raw'!$E$6:$E$603,$A594,'SALES Raw'!$B$6:$B$603,2026)</f>
        <v>2</v>
      </c>
      <c r="K594" s="22" t="n">
        <f aca="false">SUMIFS('SALES Raw'!$D$6:$D$603,'SALES Raw'!$E$6:$E$603,$A594,'SALES Raw'!$B$6:$B$603,2026)</f>
        <v>25.22</v>
      </c>
      <c r="L594" s="21" t="n">
        <f aca="false">D594+H594</f>
        <v>201</v>
      </c>
      <c r="M594" s="22" t="n">
        <f aca="false">E594+I594</f>
        <v>1926.5</v>
      </c>
      <c r="N594" s="21" t="n">
        <f aca="false">F594+J594</f>
        <v>66</v>
      </c>
      <c r="O594" s="22" t="n">
        <f aca="false">G594+K594</f>
        <v>773.92</v>
      </c>
    </row>
    <row r="595" customFormat="false" ht="15" hidden="false" customHeight="false" outlineLevel="0" collapsed="false">
      <c r="A595" s="20" t="n">
        <v>4422035</v>
      </c>
      <c r="B595" s="20" t="str">
        <f aca="false">IFERROR(INDEX('Catalog'!$B:$B,MATCH($A595,'Catalog'!$A:$A,0)),"")</f>
        <v>FCתרסיס דאודורנט אנטיבק.נעל333</v>
      </c>
      <c r="C595" s="20" t="str">
        <f aca="false">IFERROR(INDEX('TRANS'!$A:$A,MATCH($A595,'TRANS'!$B:$B,0)),"")</f>
        <v>FC333 0</v>
      </c>
      <c r="D595" s="21" t="n">
        <f aca="false">SUMIFS('CEMI Raw'!$C$6:$C$1018,'CEMI Raw'!$E$6:$E$1018,$A595,'CEMI Raw'!$B$6:$B$1018,2025)</f>
        <v>956</v>
      </c>
      <c r="E595" s="22" t="n">
        <f aca="false">SUMIFS('CEMI Raw'!$D$6:$D$1018,'CEMI Raw'!$E$6:$E$1018,$A595,'CEMI Raw'!$B$6:$B$1018,2025)</f>
        <v>17801.7</v>
      </c>
      <c r="F595" s="21" t="n">
        <f aca="false">SUMIFS('CEMI Raw'!$C$6:$C$1018,'CEMI Raw'!$E$6:$E$1018,$A595,'CEMI Raw'!$B$6:$B$1018,2026)</f>
        <v>341</v>
      </c>
      <c r="G595" s="22" t="n">
        <f aca="false">SUMIFS('CEMI Raw'!$D$6:$D$1018,'CEMI Raw'!$E$6:$E$1018,$A595,'CEMI Raw'!$B$6:$B$1018,2026)</f>
        <v>6493.3</v>
      </c>
      <c r="H595" s="21" t="n">
        <f aca="false">SUMIFS('SALES Raw'!$C$6:$C$603,'SALES Raw'!$E$6:$E$603,$A595,'SALES Raw'!$B$6:$B$603,2025)</f>
        <v>15</v>
      </c>
      <c r="I595" s="22" t="n">
        <f aca="false">SUMIFS('SALES Raw'!$D$6:$D$603,'SALES Raw'!$E$6:$E$603,$A595,'SALES Raw'!$B$6:$B$603,2025)</f>
        <v>298.62</v>
      </c>
      <c r="J595" s="21" t="n">
        <f aca="false">SUMIFS('SALES Raw'!$C$6:$C$603,'SALES Raw'!$E$6:$E$603,$A595,'SALES Raw'!$B$6:$B$603,2026)</f>
        <v>0</v>
      </c>
      <c r="K595" s="22" t="n">
        <f aca="false">SUMIFS('SALES Raw'!$D$6:$D$603,'SALES Raw'!$E$6:$E$603,$A595,'SALES Raw'!$B$6:$B$603,2026)</f>
        <v>0</v>
      </c>
      <c r="L595" s="21" t="n">
        <f aca="false">D595+H595</f>
        <v>971</v>
      </c>
      <c r="M595" s="22" t="n">
        <f aca="false">E595+I595</f>
        <v>18100.32</v>
      </c>
      <c r="N595" s="21" t="n">
        <f aca="false">F595+J595</f>
        <v>341</v>
      </c>
      <c r="O595" s="22" t="n">
        <f aca="false">G595+K595</f>
        <v>6493.3</v>
      </c>
    </row>
    <row r="596" customFormat="false" ht="15" hidden="false" customHeight="false" outlineLevel="0" collapsed="false">
      <c r="A596" s="20" t="n">
        <v>4422036</v>
      </c>
      <c r="B596" s="20" t="str">
        <f aca="false">IFERROR(INDEX('Catalog'!$B:$B,MATCH($A596,'Catalog'!$A:$A,0)),"")</f>
        <v>FC334  תרסיס דאודורנט לכף הרגל</v>
      </c>
      <c r="C596" s="20" t="str">
        <f aca="false">IFERROR(INDEX('TRANS'!$A:$A,MATCH($A596,'TRANS'!$B:$B,0)),"")</f>
        <v>FC334 0</v>
      </c>
      <c r="D596" s="21" t="n">
        <f aca="false">SUMIFS('CEMI Raw'!$C$6:$C$1018,'CEMI Raw'!$E$6:$E$1018,$A596,'CEMI Raw'!$B$6:$B$1018,2025)</f>
        <v>1000</v>
      </c>
      <c r="E596" s="22" t="n">
        <f aca="false">SUMIFS('CEMI Raw'!$D$6:$D$1018,'CEMI Raw'!$E$6:$E$1018,$A596,'CEMI Raw'!$B$6:$B$1018,2025)</f>
        <v>19629.5</v>
      </c>
      <c r="F596" s="21" t="n">
        <f aca="false">SUMIFS('CEMI Raw'!$C$6:$C$1018,'CEMI Raw'!$E$6:$E$1018,$A596,'CEMI Raw'!$B$6:$B$1018,2026)</f>
        <v>468</v>
      </c>
      <c r="G596" s="22" t="n">
        <f aca="false">SUMIFS('CEMI Raw'!$D$6:$D$1018,'CEMI Raw'!$E$6:$E$1018,$A596,'CEMI Raw'!$B$6:$B$1018,2026)</f>
        <v>9873.9</v>
      </c>
      <c r="H596" s="21" t="n">
        <f aca="false">SUMIFS('SALES Raw'!$C$6:$C$603,'SALES Raw'!$E$6:$E$603,$A596,'SALES Raw'!$B$6:$B$603,2025)</f>
        <v>18</v>
      </c>
      <c r="I596" s="22" t="n">
        <f aca="false">SUMIFS('SALES Raw'!$D$6:$D$603,'SALES Raw'!$E$6:$E$603,$A596,'SALES Raw'!$B$6:$B$603,2025)</f>
        <v>397.81</v>
      </c>
      <c r="J596" s="21" t="n">
        <f aca="false">SUMIFS('SALES Raw'!$C$6:$C$603,'SALES Raw'!$E$6:$E$603,$A596,'SALES Raw'!$B$6:$B$603,2026)</f>
        <v>6</v>
      </c>
      <c r="K596" s="22" t="n">
        <f aca="false">SUMIFS('SALES Raw'!$D$6:$D$603,'SALES Raw'!$E$6:$E$603,$A596,'SALES Raw'!$B$6:$B$603,2026)</f>
        <v>93.62</v>
      </c>
      <c r="L596" s="21" t="n">
        <f aca="false">D596+H596</f>
        <v>1018</v>
      </c>
      <c r="M596" s="22" t="n">
        <f aca="false">E596+I596</f>
        <v>20027.31</v>
      </c>
      <c r="N596" s="21" t="n">
        <f aca="false">F596+J596</f>
        <v>474</v>
      </c>
      <c r="O596" s="22" t="n">
        <f aca="false">G596+K596</f>
        <v>9967.52</v>
      </c>
    </row>
    <row r="597" customFormat="false" ht="15" hidden="false" customHeight="false" outlineLevel="0" collapsed="false">
      <c r="A597" s="20" t="n">
        <v>4422037</v>
      </c>
      <c r="B597" s="20" t="str">
        <f aca="false">IFERROR(INDEX('Catalog'!$B:$B,MATCH($A597,'Catalog'!$A:$A,0)),"")</f>
        <v>SH422 1 תומך ברך גנושילד</v>
      </c>
      <c r="C597" s="20" t="str">
        <f aca="false">IFERROR(INDEX('TRANS'!$A:$A,MATCH($A597,'TRANS'!$B:$B,0)),"")</f>
        <v>SH422 1</v>
      </c>
      <c r="D597" s="21" t="n">
        <f aca="false">SUMIFS('CEMI Raw'!$C$6:$C$1018,'CEMI Raw'!$E$6:$E$1018,$A597,'CEMI Raw'!$B$6:$B$1018,2025)</f>
        <v>1</v>
      </c>
      <c r="E597" s="22" t="n">
        <f aca="false">SUMIFS('CEMI Raw'!$D$6:$D$1018,'CEMI Raw'!$E$6:$E$1018,$A597,'CEMI Raw'!$B$6:$B$1018,2025)</f>
        <v>215.4</v>
      </c>
      <c r="F597" s="21" t="n">
        <f aca="false">SUMIFS('CEMI Raw'!$C$6:$C$1018,'CEMI Raw'!$E$6:$E$1018,$A597,'CEMI Raw'!$B$6:$B$1018,2026)</f>
        <v>14</v>
      </c>
      <c r="G597" s="22" t="n">
        <f aca="false">SUMIFS('CEMI Raw'!$D$6:$D$1018,'CEMI Raw'!$E$6:$E$1018,$A597,'CEMI Raw'!$B$6:$B$1018,2026)</f>
        <v>2943.4</v>
      </c>
      <c r="H597" s="21" t="n">
        <f aca="false">SUMIFS('SALES Raw'!$C$6:$C$603,'SALES Raw'!$E$6:$E$603,$A597,'SALES Raw'!$B$6:$B$603,2025)</f>
        <v>0</v>
      </c>
      <c r="I597" s="22" t="n">
        <f aca="false">SUMIFS('SALES Raw'!$D$6:$D$603,'SALES Raw'!$E$6:$E$603,$A597,'SALES Raw'!$B$6:$B$603,2025)</f>
        <v>0</v>
      </c>
      <c r="J597" s="21" t="n">
        <f aca="false">SUMIFS('SALES Raw'!$C$6:$C$603,'SALES Raw'!$E$6:$E$603,$A597,'SALES Raw'!$B$6:$B$603,2026)</f>
        <v>0</v>
      </c>
      <c r="K597" s="22" t="n">
        <f aca="false">SUMIFS('SALES Raw'!$D$6:$D$603,'SALES Raw'!$E$6:$E$603,$A597,'SALES Raw'!$B$6:$B$603,2026)</f>
        <v>0</v>
      </c>
      <c r="L597" s="21" t="n">
        <f aca="false">D597+H597</f>
        <v>1</v>
      </c>
      <c r="M597" s="22" t="n">
        <f aca="false">E597+I597</f>
        <v>215.4</v>
      </c>
      <c r="N597" s="21" t="n">
        <f aca="false">F597+J597</f>
        <v>14</v>
      </c>
      <c r="O597" s="22" t="n">
        <f aca="false">G597+K597</f>
        <v>2943.4</v>
      </c>
    </row>
    <row r="598" customFormat="false" ht="15" hidden="false" customHeight="false" outlineLevel="0" collapsed="false">
      <c r="A598" s="20" t="n">
        <v>4422038</v>
      </c>
      <c r="B598" s="20" t="str">
        <f aca="false">IFERROR(INDEX('Catalog'!$B:$B,MATCH($A598,'Catalog'!$A:$A,0)),"")</f>
        <v>SH422 2 תומך ברך גנושילד</v>
      </c>
      <c r="C598" s="20" t="str">
        <f aca="false">IFERROR(INDEX('TRANS'!$A:$A,MATCH($A598,'TRANS'!$B:$B,0)),"")</f>
        <v>SH422 2</v>
      </c>
      <c r="D598" s="21" t="n">
        <f aca="false">SUMIFS('CEMI Raw'!$C$6:$C$1018,'CEMI Raw'!$E$6:$E$1018,$A598,'CEMI Raw'!$B$6:$B$1018,2025)</f>
        <v>3</v>
      </c>
      <c r="E598" s="22" t="n">
        <f aca="false">SUMIFS('CEMI Raw'!$D$6:$D$1018,'CEMI Raw'!$E$6:$E$1018,$A598,'CEMI Raw'!$B$6:$B$1018,2025)</f>
        <v>646.1</v>
      </c>
      <c r="F598" s="21" t="n">
        <f aca="false">SUMIFS('CEMI Raw'!$C$6:$C$1018,'CEMI Raw'!$E$6:$E$1018,$A598,'CEMI Raw'!$B$6:$B$1018,2026)</f>
        <v>20</v>
      </c>
      <c r="G598" s="22" t="n">
        <f aca="false">SUMIFS('CEMI Raw'!$D$6:$D$1018,'CEMI Raw'!$E$6:$E$1018,$A598,'CEMI Raw'!$B$6:$B$1018,2026)</f>
        <v>4149.5</v>
      </c>
      <c r="H598" s="21" t="n">
        <f aca="false">SUMIFS('SALES Raw'!$C$6:$C$603,'SALES Raw'!$E$6:$E$603,$A598,'SALES Raw'!$B$6:$B$603,2025)</f>
        <v>3</v>
      </c>
      <c r="I598" s="22" t="n">
        <f aca="false">SUMIFS('SALES Raw'!$D$6:$D$603,'SALES Raw'!$E$6:$E$603,$A598,'SALES Raw'!$B$6:$B$603,2025)</f>
        <v>360</v>
      </c>
      <c r="J598" s="21" t="n">
        <f aca="false">SUMIFS('SALES Raw'!$C$6:$C$603,'SALES Raw'!$E$6:$E$603,$A598,'SALES Raw'!$B$6:$B$603,2026)</f>
        <v>2</v>
      </c>
      <c r="K598" s="22" t="n">
        <f aca="false">SUMIFS('SALES Raw'!$D$6:$D$603,'SALES Raw'!$E$6:$E$603,$A598,'SALES Raw'!$B$6:$B$603,2026)</f>
        <v>421.76</v>
      </c>
      <c r="L598" s="21" t="n">
        <f aca="false">D598+H598</f>
        <v>6</v>
      </c>
      <c r="M598" s="22" t="n">
        <f aca="false">E598+I598</f>
        <v>1006.1</v>
      </c>
      <c r="N598" s="21" t="n">
        <f aca="false">F598+J598</f>
        <v>22</v>
      </c>
      <c r="O598" s="22" t="n">
        <f aca="false">G598+K598</f>
        <v>4571.26</v>
      </c>
    </row>
    <row r="599" customFormat="false" ht="15" hidden="false" customHeight="false" outlineLevel="0" collapsed="false">
      <c r="A599" s="20" t="n">
        <v>4422039</v>
      </c>
      <c r="B599" s="20" t="str">
        <f aca="false">IFERROR(INDEX('Catalog'!$B:$B,MATCH($A599,'Catalog'!$A:$A,0)),"")</f>
        <v>SH422 3 תומך ברך גנושילד</v>
      </c>
      <c r="C599" s="20" t="str">
        <f aca="false">IFERROR(INDEX('TRANS'!$A:$A,MATCH($A599,'TRANS'!$B:$B,0)),"")</f>
        <v>SH422 3</v>
      </c>
      <c r="D599" s="21" t="n">
        <f aca="false">SUMIFS('CEMI Raw'!$C$6:$C$1018,'CEMI Raw'!$E$6:$E$1018,$A599,'CEMI Raw'!$B$6:$B$1018,2025)</f>
        <v>3</v>
      </c>
      <c r="E599" s="22" t="n">
        <f aca="false">SUMIFS('CEMI Raw'!$D$6:$D$1018,'CEMI Raw'!$E$6:$E$1018,$A599,'CEMI Raw'!$B$6:$B$1018,2025)</f>
        <v>646.1</v>
      </c>
      <c r="F599" s="21" t="n">
        <f aca="false">SUMIFS('CEMI Raw'!$C$6:$C$1018,'CEMI Raw'!$E$6:$E$1018,$A599,'CEMI Raw'!$B$6:$B$1018,2026)</f>
        <v>22</v>
      </c>
      <c r="G599" s="22" t="n">
        <f aca="false">SUMIFS('CEMI Raw'!$D$6:$D$1018,'CEMI Raw'!$E$6:$E$1018,$A599,'CEMI Raw'!$B$6:$B$1018,2026)</f>
        <v>4393.6</v>
      </c>
      <c r="H599" s="21" t="n">
        <f aca="false">SUMIFS('SALES Raw'!$C$6:$C$603,'SALES Raw'!$E$6:$E$603,$A599,'SALES Raw'!$B$6:$B$603,2025)</f>
        <v>2</v>
      </c>
      <c r="I599" s="22" t="n">
        <f aca="false">SUMIFS('SALES Raw'!$D$6:$D$603,'SALES Raw'!$E$6:$E$603,$A599,'SALES Raw'!$B$6:$B$603,2025)</f>
        <v>240</v>
      </c>
      <c r="J599" s="21" t="n">
        <f aca="false">SUMIFS('SALES Raw'!$C$6:$C$603,'SALES Raw'!$E$6:$E$603,$A599,'SALES Raw'!$B$6:$B$603,2026)</f>
        <v>3</v>
      </c>
      <c r="K599" s="22" t="n">
        <f aca="false">SUMIFS('SALES Raw'!$D$6:$D$603,'SALES Raw'!$E$6:$E$603,$A599,'SALES Raw'!$B$6:$B$603,2026)</f>
        <v>450.88</v>
      </c>
      <c r="L599" s="21" t="n">
        <f aca="false">D599+H599</f>
        <v>5</v>
      </c>
      <c r="M599" s="22" t="n">
        <f aca="false">E599+I599</f>
        <v>886.1</v>
      </c>
      <c r="N599" s="21" t="n">
        <f aca="false">F599+J599</f>
        <v>25</v>
      </c>
      <c r="O599" s="22" t="n">
        <f aca="false">G599+K599</f>
        <v>4844.48</v>
      </c>
    </row>
    <row r="600" customFormat="false" ht="15" hidden="false" customHeight="false" outlineLevel="0" collapsed="false">
      <c r="A600" s="20" t="n">
        <v>4422040</v>
      </c>
      <c r="B600" s="20" t="str">
        <f aca="false">IFERROR(INDEX('Catalog'!$B:$B,MATCH($A600,'Catalog'!$A:$A,0)),"")</f>
        <v>SH422 4 תומך ברך גנושילד</v>
      </c>
      <c r="C600" s="20" t="str">
        <f aca="false">IFERROR(INDEX('TRANS'!$A:$A,MATCH($A600,'TRANS'!$B:$B,0)),"")</f>
        <v>SH422 4</v>
      </c>
      <c r="D600" s="21" t="n">
        <f aca="false">SUMIFS('CEMI Raw'!$C$6:$C$1018,'CEMI Raw'!$E$6:$E$1018,$A600,'CEMI Raw'!$B$6:$B$1018,2025)</f>
        <v>6</v>
      </c>
      <c r="E600" s="22" t="n">
        <f aca="false">SUMIFS('CEMI Raw'!$D$6:$D$1018,'CEMI Raw'!$E$6:$E$1018,$A600,'CEMI Raw'!$B$6:$B$1018,2025)</f>
        <v>1263.5</v>
      </c>
      <c r="F600" s="21" t="n">
        <f aca="false">SUMIFS('CEMI Raw'!$C$6:$C$1018,'CEMI Raw'!$E$6:$E$1018,$A600,'CEMI Raw'!$B$6:$B$1018,2026)</f>
        <v>26</v>
      </c>
      <c r="G600" s="22" t="n">
        <f aca="false">SUMIFS('CEMI Raw'!$D$6:$D$1018,'CEMI Raw'!$E$6:$E$1018,$A600,'CEMI Raw'!$B$6:$B$1018,2026)</f>
        <v>5212</v>
      </c>
      <c r="H600" s="21" t="n">
        <f aca="false">SUMIFS('SALES Raw'!$C$6:$C$603,'SALES Raw'!$E$6:$E$603,$A600,'SALES Raw'!$B$6:$B$603,2025)</f>
        <v>2</v>
      </c>
      <c r="I600" s="22" t="n">
        <f aca="false">SUMIFS('SALES Raw'!$D$6:$D$603,'SALES Raw'!$E$6:$E$603,$A600,'SALES Raw'!$B$6:$B$603,2025)</f>
        <v>240</v>
      </c>
      <c r="J600" s="21" t="n">
        <f aca="false">SUMIFS('SALES Raw'!$C$6:$C$603,'SALES Raw'!$E$6:$E$603,$A600,'SALES Raw'!$B$6:$B$603,2026)</f>
        <v>5</v>
      </c>
      <c r="K600" s="22" t="n">
        <f aca="false">SUMIFS('SALES Raw'!$D$6:$D$603,'SALES Raw'!$E$6:$E$603,$A600,'SALES Raw'!$B$6:$B$603,2026)</f>
        <v>690.88</v>
      </c>
      <c r="L600" s="21" t="n">
        <f aca="false">D600+H600</f>
        <v>8</v>
      </c>
      <c r="M600" s="22" t="n">
        <f aca="false">E600+I600</f>
        <v>1503.5</v>
      </c>
      <c r="N600" s="21" t="n">
        <f aca="false">F600+J600</f>
        <v>31</v>
      </c>
      <c r="O600" s="22" t="n">
        <f aca="false">G600+K600</f>
        <v>5902.88</v>
      </c>
    </row>
    <row r="601" customFormat="false" ht="15" hidden="false" customHeight="false" outlineLevel="0" collapsed="false">
      <c r="A601" s="20" t="n">
        <v>4422041</v>
      </c>
      <c r="B601" s="20" t="str">
        <f aca="false">IFERROR(INDEX('Catalog'!$B:$B,MATCH($A601,'Catalog'!$A:$A,0)),"")</f>
        <v>SH422 5 תומך ברך גנושילד</v>
      </c>
      <c r="C601" s="20" t="str">
        <f aca="false">IFERROR(INDEX('TRANS'!$A:$A,MATCH($A601,'TRANS'!$B:$B,0)),"")</f>
        <v>SH422 5</v>
      </c>
      <c r="D601" s="21" t="n">
        <f aca="false">SUMIFS('CEMI Raw'!$C$6:$C$1018,'CEMI Raw'!$E$6:$E$1018,$A601,'CEMI Raw'!$B$6:$B$1018,2025)</f>
        <v>6</v>
      </c>
      <c r="E601" s="22" t="n">
        <f aca="false">SUMIFS('CEMI Raw'!$D$6:$D$1018,'CEMI Raw'!$E$6:$E$1018,$A601,'CEMI Raw'!$B$6:$B$1018,2025)</f>
        <v>1263.5</v>
      </c>
      <c r="F601" s="21" t="n">
        <f aca="false">SUMIFS('CEMI Raw'!$C$6:$C$1018,'CEMI Raw'!$E$6:$E$1018,$A601,'CEMI Raw'!$B$6:$B$1018,2026)</f>
        <v>20</v>
      </c>
      <c r="G601" s="22" t="n">
        <f aca="false">SUMIFS('CEMI Raw'!$D$6:$D$1018,'CEMI Raw'!$E$6:$E$1018,$A601,'CEMI Raw'!$B$6:$B$1018,2026)</f>
        <v>4082.8</v>
      </c>
      <c r="H601" s="21" t="n">
        <f aca="false">SUMIFS('SALES Raw'!$C$6:$C$603,'SALES Raw'!$E$6:$E$603,$A601,'SALES Raw'!$B$6:$B$603,2025)</f>
        <v>2</v>
      </c>
      <c r="I601" s="22" t="n">
        <f aca="false">SUMIFS('SALES Raw'!$D$6:$D$603,'SALES Raw'!$E$6:$E$603,$A601,'SALES Raw'!$B$6:$B$603,2025)</f>
        <v>240</v>
      </c>
      <c r="J601" s="21" t="n">
        <f aca="false">SUMIFS('SALES Raw'!$C$6:$C$603,'SALES Raw'!$E$6:$E$603,$A601,'SALES Raw'!$B$6:$B$603,2026)</f>
        <v>8</v>
      </c>
      <c r="K601" s="22" t="n">
        <f aca="false">SUMIFS('SALES Raw'!$D$6:$D$603,'SALES Raw'!$E$6:$E$603,$A601,'SALES Raw'!$B$6:$B$603,2026)</f>
        <v>1323.52</v>
      </c>
      <c r="L601" s="21" t="n">
        <f aca="false">D601+H601</f>
        <v>8</v>
      </c>
      <c r="M601" s="22" t="n">
        <f aca="false">E601+I601</f>
        <v>1503.5</v>
      </c>
      <c r="N601" s="21" t="n">
        <f aca="false">F601+J601</f>
        <v>28</v>
      </c>
      <c r="O601" s="22" t="n">
        <f aca="false">G601+K601</f>
        <v>5406.32</v>
      </c>
    </row>
    <row r="602" customFormat="false" ht="15" hidden="false" customHeight="false" outlineLevel="0" collapsed="false">
      <c r="A602" s="20" t="n">
        <v>4422042</v>
      </c>
      <c r="B602" s="20" t="str">
        <f aca="false">IFERROR(INDEX('Catalog'!$B:$B,MATCH($A602,'Catalog'!$A:$A,0)),"")</f>
        <v>SH422 6 תומך ברך גנושילד</v>
      </c>
      <c r="C602" s="20" t="str">
        <f aca="false">IFERROR(INDEX('TRANS'!$A:$A,MATCH($A602,'TRANS'!$B:$B,0)),"")</f>
        <v>SH422 6</v>
      </c>
      <c r="D602" s="21" t="n">
        <f aca="false">SUMIFS('CEMI Raw'!$C$6:$C$1018,'CEMI Raw'!$E$6:$E$1018,$A602,'CEMI Raw'!$B$6:$B$1018,2025)</f>
        <v>0</v>
      </c>
      <c r="E602" s="22" t="n">
        <f aca="false">SUMIFS('CEMI Raw'!$D$6:$D$1018,'CEMI Raw'!$E$6:$E$1018,$A602,'CEMI Raw'!$B$6:$B$1018,2025)</f>
        <v>0</v>
      </c>
      <c r="F602" s="21" t="n">
        <f aca="false">SUMIFS('CEMI Raw'!$C$6:$C$1018,'CEMI Raw'!$E$6:$E$1018,$A602,'CEMI Raw'!$B$6:$B$1018,2026)</f>
        <v>12</v>
      </c>
      <c r="G602" s="22" t="n">
        <f aca="false">SUMIFS('CEMI Raw'!$D$6:$D$1018,'CEMI Raw'!$E$6:$E$1018,$A602,'CEMI Raw'!$B$6:$B$1018,2026)</f>
        <v>2498.3</v>
      </c>
      <c r="H602" s="21" t="n">
        <f aca="false">SUMIFS('SALES Raw'!$C$6:$C$603,'SALES Raw'!$E$6:$E$603,$A602,'SALES Raw'!$B$6:$B$603,2025)</f>
        <v>1</v>
      </c>
      <c r="I602" s="22" t="n">
        <f aca="false">SUMIFS('SALES Raw'!$D$6:$D$603,'SALES Raw'!$E$6:$E$603,$A602,'SALES Raw'!$B$6:$B$603,2025)</f>
        <v>120</v>
      </c>
      <c r="J602" s="21" t="n">
        <f aca="false">SUMIFS('SALES Raw'!$C$6:$C$603,'SALES Raw'!$E$6:$E$603,$A602,'SALES Raw'!$B$6:$B$603,2026)</f>
        <v>5</v>
      </c>
      <c r="K602" s="22" t="n">
        <f aca="false">SUMIFS('SALES Raw'!$D$6:$D$603,'SALES Raw'!$E$6:$E$603,$A602,'SALES Raw'!$B$6:$B$603,2026)</f>
        <v>781.77</v>
      </c>
      <c r="L602" s="21" t="n">
        <f aca="false">D602+H602</f>
        <v>1</v>
      </c>
      <c r="M602" s="22" t="n">
        <f aca="false">E602+I602</f>
        <v>120</v>
      </c>
      <c r="N602" s="21" t="n">
        <f aca="false">F602+J602</f>
        <v>17</v>
      </c>
      <c r="O602" s="22" t="n">
        <f aca="false">G602+K602</f>
        <v>3280.07</v>
      </c>
    </row>
    <row r="603" customFormat="false" ht="15" hidden="false" customHeight="false" outlineLevel="0" collapsed="false">
      <c r="A603" s="23" t="s">
        <v>54</v>
      </c>
      <c r="B603" s="23"/>
      <c r="C603" s="23"/>
      <c r="D603" s="24" t="n">
        <f aca="false">SUM(D12:D602)</f>
        <v>54177</v>
      </c>
      <c r="E603" s="25" t="n">
        <f aca="false">SUM(E12:E602)</f>
        <v>1967633.7</v>
      </c>
      <c r="F603" s="24" t="n">
        <f aca="false">SUM(F12:F602)</f>
        <v>33487</v>
      </c>
      <c r="G603" s="25" t="n">
        <f aca="false">SUM(G12:G602)</f>
        <v>1293807.8</v>
      </c>
      <c r="H603" s="24" t="n">
        <f aca="false">SUM(H12:H602)</f>
        <v>2157</v>
      </c>
      <c r="I603" s="25" t="n">
        <f aca="false">SUM(I12:I602)</f>
        <v>117354.87</v>
      </c>
      <c r="J603" s="24" t="n">
        <f aca="false">SUM(J12:J602)</f>
        <v>1503</v>
      </c>
      <c r="K603" s="25" t="n">
        <f aca="false">SUM(K12:K602)</f>
        <v>95853.71</v>
      </c>
      <c r="L603" s="24" t="n">
        <f aca="false">SUM(L12:L602)</f>
        <v>56334</v>
      </c>
      <c r="M603" s="25" t="n">
        <f aca="false">SUM(M12:M602)</f>
        <v>2084988.57</v>
      </c>
      <c r="N603" s="24" t="n">
        <f aca="false">SUM(N12:N602)</f>
        <v>34990</v>
      </c>
      <c r="O603" s="25" t="n">
        <f aca="false">SUM(O12:O602)</f>
        <v>1389661.51</v>
      </c>
    </row>
  </sheetData>
  <mergeCells count="1">
    <mergeCell ref="A3:O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4"/>
  </cols>
  <sheetData>
    <row r="1" customFormat="false" ht="17.35" hidden="false" customHeight="false" outlineLevel="0" collapsed="false">
      <c r="A1" s="2" t="s">
        <v>55</v>
      </c>
    </row>
    <row r="2" customFormat="false" ht="15" hidden="false" customHeight="false" outlineLevel="0" collapsed="false">
      <c r="A2" s="3" t="s">
        <v>1</v>
      </c>
      <c r="B2" s="4" t="n">
        <v>46290</v>
      </c>
    </row>
    <row r="3" customFormat="false" ht="22.35" hidden="false" customHeight="true" outlineLevel="0" collapsed="false">
      <c r="A3" s="5" t="s">
        <v>56</v>
      </c>
      <c r="B3" s="5"/>
      <c r="C3" s="5"/>
      <c r="D3" s="5"/>
      <c r="E3" s="5"/>
      <c r="F3" s="5"/>
      <c r="G3" s="5"/>
      <c r="H3" s="5"/>
      <c r="I3" s="5"/>
      <c r="J3" s="5"/>
      <c r="K3" s="5"/>
    </row>
    <row r="5" customFormat="false" ht="15" hidden="false" customHeight="false" outlineLevel="0" collapsed="false">
      <c r="A5" s="3" t="s">
        <v>57</v>
      </c>
    </row>
    <row r="6" customFormat="false" ht="15" hidden="false" customHeight="false" outlineLevel="0" collapsed="false">
      <c r="A6" s="26" t="s">
        <v>58</v>
      </c>
    </row>
    <row r="8" customFormat="false" ht="15" hidden="false" customHeight="false" outlineLevel="0" collapsed="false">
      <c r="A8" s="3" t="s">
        <v>59</v>
      </c>
    </row>
    <row r="9" customFormat="false" ht="15" hidden="false" customHeight="false" outlineLevel="0" collapsed="false">
      <c r="A9" s="19" t="s">
        <v>60</v>
      </c>
      <c r="B9" s="19" t="s">
        <v>61</v>
      </c>
      <c r="C9" s="19" t="s">
        <v>62</v>
      </c>
      <c r="D9" s="19" t="s">
        <v>63</v>
      </c>
      <c r="E9" s="19" t="s">
        <v>64</v>
      </c>
    </row>
    <row r="10" customFormat="false" ht="15" hidden="false" customHeight="false" outlineLevel="0" collapsed="false">
      <c r="A10" s="27" t="s">
        <v>65</v>
      </c>
      <c r="B10" s="28" t="n">
        <f aca="false">SUMIFS('SALES Raw'!$C$6:$C$603,'SALES Raw'!$A$6:$A$603,$A10,'SALES Raw'!$B$6:$B$603,2025)</f>
        <v>0</v>
      </c>
      <c r="C10" s="29" t="n">
        <f aca="false">SUMIFS('SALES Raw'!$D$6:$D$603,'SALES Raw'!$A$6:$A$603,$A10,'SALES Raw'!$B$6:$B$603,2025)</f>
        <v>0.01</v>
      </c>
      <c r="D10" s="28" t="n">
        <f aca="false">SUMIFS('SALES Raw'!$C$6:$C$603,'SALES Raw'!$A$6:$A$603,$A10,'SALES Raw'!$B$6:$B$603,2026)</f>
        <v>0</v>
      </c>
      <c r="E10" s="29" t="n">
        <f aca="false">SUMIFS('SALES Raw'!$D$6:$D$603,'SALES Raw'!$A$6:$A$603,$A10,'SALES Raw'!$B$6:$B$603,2026)</f>
        <v>0</v>
      </c>
    </row>
    <row r="11" customFormat="false" ht="15" hidden="false" customHeight="false" outlineLevel="0" collapsed="false">
      <c r="A11" s="27" t="s">
        <v>66</v>
      </c>
      <c r="B11" s="28" t="n">
        <f aca="false">SUMIFS('SALES Raw'!$C$6:$C$603,'SALES Raw'!$A$6:$A$603,$A11,'SALES Raw'!$B$6:$B$603,2025)</f>
        <v>2</v>
      </c>
      <c r="C11" s="29" t="n">
        <f aca="false">SUMIFS('SALES Raw'!$D$6:$D$603,'SALES Raw'!$A$6:$A$603,$A11,'SALES Raw'!$B$6:$B$603,2025)</f>
        <v>281.15</v>
      </c>
      <c r="D11" s="28" t="n">
        <f aca="false">SUMIFS('SALES Raw'!$C$6:$C$603,'SALES Raw'!$A$6:$A$603,$A11,'SALES Raw'!$B$6:$B$603,2026)</f>
        <v>0</v>
      </c>
      <c r="E11" s="29" t="n">
        <f aca="false">SUMIFS('SALES Raw'!$D$6:$D$603,'SALES Raw'!$A$6:$A$603,$A11,'SALES Raw'!$B$6:$B$603,2026)</f>
        <v>0</v>
      </c>
    </row>
    <row r="12" customFormat="false" ht="15" hidden="false" customHeight="false" outlineLevel="0" collapsed="false">
      <c r="A12" s="27" t="s">
        <v>67</v>
      </c>
      <c r="B12" s="28" t="n">
        <f aca="false">SUMIFS('SALES Raw'!$C$6:$C$603,'SALES Raw'!$A$6:$A$603,$A12,'SALES Raw'!$B$6:$B$603,2025)</f>
        <v>1</v>
      </c>
      <c r="C12" s="29" t="n">
        <f aca="false">SUMIFS('SALES Raw'!$D$6:$D$603,'SALES Raw'!$A$6:$A$603,$A12,'SALES Raw'!$B$6:$B$603,2025)</f>
        <v>140.57</v>
      </c>
      <c r="D12" s="28" t="n">
        <f aca="false">SUMIFS('SALES Raw'!$C$6:$C$603,'SALES Raw'!$A$6:$A$603,$A12,'SALES Raw'!$B$6:$B$603,2026)</f>
        <v>0</v>
      </c>
      <c r="E12" s="29" t="n">
        <f aca="false">SUMIFS('SALES Raw'!$D$6:$D$603,'SALES Raw'!$A$6:$A$603,$A12,'SALES Raw'!$B$6:$B$603,2026)</f>
        <v>0</v>
      </c>
    </row>
    <row r="13" customFormat="false" ht="15" hidden="false" customHeight="false" outlineLevel="0" collapsed="false">
      <c r="A13" s="27" t="s">
        <v>68</v>
      </c>
      <c r="B13" s="28" t="n">
        <f aca="false">SUMIFS('SALES Raw'!$C$6:$C$603,'SALES Raw'!$A$6:$A$603,$A13,'SALES Raw'!$B$6:$B$603,2025)</f>
        <v>50</v>
      </c>
      <c r="C13" s="29" t="n">
        <f aca="false">SUMIFS('SALES Raw'!$D$6:$D$603,'SALES Raw'!$A$6:$A$603,$A13,'SALES Raw'!$B$6:$B$603,2025)</f>
        <v>6250</v>
      </c>
      <c r="D13" s="28" t="n">
        <f aca="false">SUMIFS('SALES Raw'!$C$6:$C$603,'SALES Raw'!$A$6:$A$603,$A13,'SALES Raw'!$B$6:$B$603,2026)</f>
        <v>1</v>
      </c>
      <c r="E13" s="29" t="n">
        <f aca="false">SUMIFS('SALES Raw'!$D$6:$D$603,'SALES Raw'!$A$6:$A$603,$A13,'SALES Raw'!$B$6:$B$603,2026)</f>
        <v>234.31</v>
      </c>
    </row>
    <row r="14" customFormat="false" ht="15" hidden="false" customHeight="false" outlineLevel="0" collapsed="false">
      <c r="A14" s="27" t="s">
        <v>69</v>
      </c>
      <c r="B14" s="28" t="n">
        <f aca="false">SUMIFS('SALES Raw'!$C$6:$C$603,'SALES Raw'!$A$6:$A$603,$A14,'SALES Raw'!$B$6:$B$603,2025)</f>
        <v>10</v>
      </c>
      <c r="C14" s="29" t="n">
        <f aca="false">SUMIFS('SALES Raw'!$D$6:$D$603,'SALES Raw'!$A$6:$A$603,$A14,'SALES Raw'!$B$6:$B$603,2025)</f>
        <v>1250</v>
      </c>
      <c r="D14" s="28" t="n">
        <f aca="false">SUMIFS('SALES Raw'!$C$6:$C$603,'SALES Raw'!$A$6:$A$603,$A14,'SALES Raw'!$B$6:$B$603,2026)</f>
        <v>0</v>
      </c>
      <c r="E14" s="29" t="n">
        <f aca="false">SUMIFS('SALES Raw'!$D$6:$D$603,'SALES Raw'!$A$6:$A$603,$A14,'SALES Raw'!$B$6:$B$603,2026)</f>
        <v>0</v>
      </c>
    </row>
    <row r="15" customFormat="false" ht="15" hidden="false" customHeight="false" outlineLevel="0" collapsed="false">
      <c r="A15" s="27" t="s">
        <v>70</v>
      </c>
      <c r="B15" s="28" t="n">
        <f aca="false">SUMIFS('SALES Raw'!$C$6:$C$603,'SALES Raw'!$A$6:$A$603,$A15,'SALES Raw'!$B$6:$B$603,2025)</f>
        <v>10</v>
      </c>
      <c r="C15" s="29" t="n">
        <f aca="false">SUMIFS('SALES Raw'!$D$6:$D$603,'SALES Raw'!$A$6:$A$603,$A15,'SALES Raw'!$B$6:$B$603,2025)</f>
        <v>1300</v>
      </c>
      <c r="D15" s="28" t="n">
        <f aca="false">SUMIFS('SALES Raw'!$C$6:$C$603,'SALES Raw'!$A$6:$A$603,$A15,'SALES Raw'!$B$6:$B$603,2026)</f>
        <v>0</v>
      </c>
      <c r="E15" s="29" t="n">
        <f aca="false">SUMIFS('SALES Raw'!$D$6:$D$603,'SALES Raw'!$A$6:$A$603,$A15,'SALES Raw'!$B$6:$B$603,2026)</f>
        <v>0</v>
      </c>
    </row>
    <row r="16" customFormat="false" ht="15" hidden="false" customHeight="false" outlineLevel="0" collapsed="false">
      <c r="A16" s="27" t="s">
        <v>71</v>
      </c>
      <c r="B16" s="28" t="n">
        <f aca="false">SUMIFS('SALES Raw'!$C$6:$C$603,'SALES Raw'!$A$6:$A$603,$A16,'SALES Raw'!$B$6:$B$603,2025)</f>
        <v>1</v>
      </c>
      <c r="C16" s="29" t="n">
        <f aca="false">SUMIFS('SALES Raw'!$D$6:$D$603,'SALES Raw'!$A$6:$A$603,$A16,'SALES Raw'!$B$6:$B$603,2025)</f>
        <v>69.01</v>
      </c>
      <c r="D16" s="28" t="n">
        <f aca="false">SUMIFS('SALES Raw'!$C$6:$C$603,'SALES Raw'!$A$6:$A$603,$A16,'SALES Raw'!$B$6:$B$603,2026)</f>
        <v>1</v>
      </c>
      <c r="E16" s="29" t="n">
        <f aca="false">SUMIFS('SALES Raw'!$D$6:$D$603,'SALES Raw'!$A$6:$A$603,$A16,'SALES Raw'!$B$6:$B$603,2026)</f>
        <v>85</v>
      </c>
    </row>
    <row r="17" customFormat="false" ht="15" hidden="false" customHeight="false" outlineLevel="0" collapsed="false">
      <c r="A17" s="27" t="s">
        <v>72</v>
      </c>
      <c r="B17" s="28" t="n">
        <f aca="false">SUMIFS('SALES Raw'!$C$6:$C$603,'SALES Raw'!$A$6:$A$603,$A17,'SALES Raw'!$B$6:$B$603,2025)</f>
        <v>1</v>
      </c>
      <c r="C17" s="29" t="n">
        <f aca="false">SUMIFS('SALES Raw'!$D$6:$D$603,'SALES Raw'!$A$6:$A$603,$A17,'SALES Raw'!$B$6:$B$603,2025)</f>
        <v>69</v>
      </c>
      <c r="D17" s="28" t="n">
        <f aca="false">SUMIFS('SALES Raw'!$C$6:$C$603,'SALES Raw'!$A$6:$A$603,$A17,'SALES Raw'!$B$6:$B$603,2026)</f>
        <v>0</v>
      </c>
      <c r="E17" s="29" t="n">
        <f aca="false">SUMIFS('SALES Raw'!$D$6:$D$603,'SALES Raw'!$A$6:$A$603,$A17,'SALES Raw'!$B$6:$B$603,2026)</f>
        <v>0</v>
      </c>
    </row>
    <row r="18" customFormat="false" ht="15" hidden="false" customHeight="false" outlineLevel="0" collapsed="false">
      <c r="A18" s="27" t="s">
        <v>73</v>
      </c>
      <c r="B18" s="28" t="n">
        <f aca="false">SUMIFS('SALES Raw'!$C$6:$C$603,'SALES Raw'!$A$6:$A$603,$A18,'SALES Raw'!$B$6:$B$603,2025)</f>
        <v>1</v>
      </c>
      <c r="C18" s="29" t="n">
        <f aca="false">SUMIFS('SALES Raw'!$D$6:$D$603,'SALES Raw'!$A$6:$A$603,$A18,'SALES Raw'!$B$6:$B$603,2025)</f>
        <v>135.88</v>
      </c>
      <c r="D18" s="28" t="n">
        <f aca="false">SUMIFS('SALES Raw'!$C$6:$C$603,'SALES Raw'!$A$6:$A$603,$A18,'SALES Raw'!$B$6:$B$603,2026)</f>
        <v>0</v>
      </c>
      <c r="E18" s="29" t="n">
        <f aca="false">SUMIFS('SALES Raw'!$D$6:$D$603,'SALES Raw'!$A$6:$A$603,$A18,'SALES Raw'!$B$6:$B$603,2026)</f>
        <v>0</v>
      </c>
    </row>
    <row r="19" customFormat="false" ht="15" hidden="false" customHeight="false" outlineLevel="0" collapsed="false">
      <c r="A19" s="27" t="s">
        <v>74</v>
      </c>
      <c r="B19" s="28" t="n">
        <f aca="false">SUMIFS('SALES Raw'!$C$6:$C$603,'SALES Raw'!$A$6:$A$603,$A19,'SALES Raw'!$B$6:$B$603,2025)</f>
        <v>0</v>
      </c>
      <c r="C19" s="29" t="n">
        <f aca="false">SUMIFS('SALES Raw'!$D$6:$D$603,'SALES Raw'!$A$6:$A$603,$A19,'SALES Raw'!$B$6:$B$603,2025)</f>
        <v>0</v>
      </c>
      <c r="D19" s="28" t="n">
        <f aca="false">SUMIFS('SALES Raw'!$C$6:$C$603,'SALES Raw'!$A$6:$A$603,$A19,'SALES Raw'!$B$6:$B$603,2026)</f>
        <v>1</v>
      </c>
      <c r="E19" s="29" t="n">
        <f aca="false">SUMIFS('SALES Raw'!$D$6:$D$603,'SALES Raw'!$A$6:$A$603,$A19,'SALES Raw'!$B$6:$B$603,2026)</f>
        <v>156.97</v>
      </c>
    </row>
    <row r="20" customFormat="false" ht="15" hidden="false" customHeight="false" outlineLevel="0" collapsed="false">
      <c r="A20" s="27" t="s">
        <v>75</v>
      </c>
      <c r="B20" s="28" t="n">
        <f aca="false">SUMIFS('SALES Raw'!$C$6:$C$603,'SALES Raw'!$A$6:$A$603,$A20,'SALES Raw'!$B$6:$B$603,2025)</f>
        <v>1</v>
      </c>
      <c r="C20" s="29" t="n">
        <f aca="false">SUMIFS('SALES Raw'!$D$6:$D$603,'SALES Raw'!$A$6:$A$603,$A20,'SALES Raw'!$B$6:$B$603,2025)</f>
        <v>156.98</v>
      </c>
      <c r="D20" s="28" t="n">
        <f aca="false">SUMIFS('SALES Raw'!$C$6:$C$603,'SALES Raw'!$A$6:$A$603,$A20,'SALES Raw'!$B$6:$B$603,2026)</f>
        <v>0</v>
      </c>
      <c r="E20" s="29" t="n">
        <f aca="false">SUMIFS('SALES Raw'!$D$6:$D$603,'SALES Raw'!$A$6:$A$603,$A20,'SALES Raw'!$B$6:$B$603,2026)</f>
        <v>0</v>
      </c>
    </row>
    <row r="21" customFormat="false" ht="15" hidden="false" customHeight="false" outlineLevel="0" collapsed="false">
      <c r="A21" s="27" t="s">
        <v>76</v>
      </c>
      <c r="B21" s="28" t="n">
        <f aca="false">SUMIFS('SALES Raw'!$C$6:$C$603,'SALES Raw'!$A$6:$A$603,$A21,'SALES Raw'!$B$6:$B$603,2025)</f>
        <v>1</v>
      </c>
      <c r="C21" s="29" t="n">
        <f aca="false">SUMIFS('SALES Raw'!$D$6:$D$603,'SALES Raw'!$A$6:$A$603,$A21,'SALES Raw'!$B$6:$B$603,2025)</f>
        <v>140.57</v>
      </c>
      <c r="D21" s="28" t="n">
        <f aca="false">SUMIFS('SALES Raw'!$C$6:$C$603,'SALES Raw'!$A$6:$A$603,$A21,'SALES Raw'!$B$6:$B$603,2026)</f>
        <v>1</v>
      </c>
      <c r="E21" s="29" t="n">
        <f aca="false">SUMIFS('SALES Raw'!$D$6:$D$603,'SALES Raw'!$A$6:$A$603,$A21,'SALES Raw'!$B$6:$B$603,2026)</f>
        <v>140.58</v>
      </c>
    </row>
    <row r="22" customFormat="false" ht="15" hidden="false" customHeight="false" outlineLevel="0" collapsed="false">
      <c r="A22" s="27" t="s">
        <v>77</v>
      </c>
      <c r="B22" s="28" t="n">
        <f aca="false">SUMIFS('SALES Raw'!$C$6:$C$603,'SALES Raw'!$A$6:$A$603,$A22,'SALES Raw'!$B$6:$B$603,2025)</f>
        <v>0</v>
      </c>
      <c r="C22" s="29" t="n">
        <f aca="false">SUMIFS('SALES Raw'!$D$6:$D$603,'SALES Raw'!$A$6:$A$603,$A22,'SALES Raw'!$B$6:$B$603,2025)</f>
        <v>0</v>
      </c>
      <c r="D22" s="28" t="n">
        <f aca="false">SUMIFS('SALES Raw'!$C$6:$C$603,'SALES Raw'!$A$6:$A$603,$A22,'SALES Raw'!$B$6:$B$603,2026)</f>
        <v>2</v>
      </c>
      <c r="E22" s="29" t="n">
        <f aca="false">SUMIFS('SALES Raw'!$D$6:$D$603,'SALES Raw'!$A$6:$A$603,$A22,'SALES Raw'!$B$6:$B$603,2026)</f>
        <v>281.14</v>
      </c>
    </row>
    <row r="23" customFormat="false" ht="15" hidden="false" customHeight="false" outlineLevel="0" collapsed="false">
      <c r="A23" s="27" t="s">
        <v>78</v>
      </c>
      <c r="B23" s="28" t="n">
        <f aca="false">SUMIFS('SALES Raw'!$C$6:$C$603,'SALES Raw'!$A$6:$A$603,$A23,'SALES Raw'!$B$6:$B$603,2025)</f>
        <v>1</v>
      </c>
      <c r="C23" s="29" t="n">
        <f aca="false">SUMIFS('SALES Raw'!$D$6:$D$603,'SALES Raw'!$A$6:$A$603,$A23,'SALES Raw'!$B$6:$B$603,2025)</f>
        <v>140.58</v>
      </c>
      <c r="D23" s="28" t="n">
        <f aca="false">SUMIFS('SALES Raw'!$C$6:$C$603,'SALES Raw'!$A$6:$A$603,$A23,'SALES Raw'!$B$6:$B$603,2026)</f>
        <v>0</v>
      </c>
      <c r="E23" s="29" t="n">
        <f aca="false">SUMIFS('SALES Raw'!$D$6:$D$603,'SALES Raw'!$A$6:$A$603,$A23,'SALES Raw'!$B$6:$B$603,2026)</f>
        <v>0</v>
      </c>
    </row>
    <row r="24" customFormat="false" ht="15" hidden="false" customHeight="false" outlineLevel="0" collapsed="false">
      <c r="A24" s="27" t="s">
        <v>79</v>
      </c>
      <c r="B24" s="28" t="n">
        <f aca="false">SUMIFS('SALES Raw'!$C$6:$C$603,'SALES Raw'!$A$6:$A$603,$A24,'SALES Raw'!$B$6:$B$603,2025)</f>
        <v>1</v>
      </c>
      <c r="C24" s="29" t="n">
        <f aca="false">SUMIFS('SALES Raw'!$D$6:$D$603,'SALES Raw'!$A$6:$A$603,$A24,'SALES Raw'!$B$6:$B$603,2025)</f>
        <v>132.33</v>
      </c>
      <c r="D24" s="28" t="n">
        <f aca="false">SUMIFS('SALES Raw'!$C$6:$C$603,'SALES Raw'!$A$6:$A$603,$A24,'SALES Raw'!$B$6:$B$603,2026)</f>
        <v>0</v>
      </c>
      <c r="E24" s="29" t="n">
        <f aca="false">SUMIFS('SALES Raw'!$D$6:$D$603,'SALES Raw'!$A$6:$A$603,$A24,'SALES Raw'!$B$6:$B$603,2026)</f>
        <v>0</v>
      </c>
    </row>
    <row r="25" customFormat="false" ht="15" hidden="false" customHeight="false" outlineLevel="0" collapsed="false">
      <c r="A25" s="27" t="s">
        <v>80</v>
      </c>
      <c r="B25" s="28" t="n">
        <f aca="false">SUMIFS('SALES Raw'!$C$6:$C$603,'SALES Raw'!$A$6:$A$603,$A25,'SALES Raw'!$B$6:$B$603,2025)</f>
        <v>1</v>
      </c>
      <c r="C25" s="29" t="n">
        <f aca="false">SUMIFS('SALES Raw'!$D$6:$D$603,'SALES Raw'!$A$6:$A$603,$A25,'SALES Raw'!$B$6:$B$603,2025)</f>
        <v>268</v>
      </c>
      <c r="D25" s="28" t="n">
        <f aca="false">SUMIFS('SALES Raw'!$C$6:$C$603,'SALES Raw'!$A$6:$A$603,$A25,'SALES Raw'!$B$6:$B$603,2026)</f>
        <v>1</v>
      </c>
      <c r="E25" s="29" t="n">
        <f aca="false">SUMIFS('SALES Raw'!$D$6:$D$603,'SALES Raw'!$A$6:$A$603,$A25,'SALES Raw'!$B$6:$B$603,2026)</f>
        <v>309.32</v>
      </c>
    </row>
    <row r="26" customFormat="false" ht="15" hidden="false" customHeight="false" outlineLevel="0" collapsed="false">
      <c r="A26" s="27" t="s">
        <v>81</v>
      </c>
      <c r="B26" s="28" t="n">
        <f aca="false">SUMIFS('SALES Raw'!$C$6:$C$603,'SALES Raw'!$A$6:$A$603,$A26,'SALES Raw'!$B$6:$B$603,2025)</f>
        <v>1</v>
      </c>
      <c r="C26" s="29" t="n">
        <f aca="false">SUMIFS('SALES Raw'!$D$6:$D$603,'SALES Raw'!$A$6:$A$603,$A26,'SALES Raw'!$B$6:$B$603,2025)</f>
        <v>268</v>
      </c>
      <c r="D26" s="28" t="n">
        <f aca="false">SUMIFS('SALES Raw'!$C$6:$C$603,'SALES Raw'!$A$6:$A$603,$A26,'SALES Raw'!$B$6:$B$603,2026)</f>
        <v>1</v>
      </c>
      <c r="E26" s="29" t="n">
        <f aca="false">SUMIFS('SALES Raw'!$D$6:$D$603,'SALES Raw'!$A$6:$A$603,$A26,'SALES Raw'!$B$6:$B$603,2026)</f>
        <v>268</v>
      </c>
    </row>
    <row r="27" customFormat="false" ht="15" hidden="false" customHeight="false" outlineLevel="0" collapsed="false">
      <c r="A27" s="27" t="s">
        <v>82</v>
      </c>
      <c r="B27" s="28" t="n">
        <f aca="false">SUMIFS('SALES Raw'!$C$6:$C$603,'SALES Raw'!$A$6:$A$603,$A27,'SALES Raw'!$B$6:$B$603,2025)</f>
        <v>1</v>
      </c>
      <c r="C27" s="29" t="n">
        <f aca="false">SUMIFS('SALES Raw'!$D$6:$D$603,'SALES Raw'!$A$6:$A$603,$A27,'SALES Raw'!$B$6:$B$603,2025)</f>
        <v>268</v>
      </c>
      <c r="D27" s="28" t="n">
        <f aca="false">SUMIFS('SALES Raw'!$C$6:$C$603,'SALES Raw'!$A$6:$A$603,$A27,'SALES Raw'!$B$6:$B$603,2026)</f>
        <v>0</v>
      </c>
      <c r="E27" s="29" t="n">
        <f aca="false">SUMIFS('SALES Raw'!$D$6:$D$603,'SALES Raw'!$A$6:$A$603,$A27,'SALES Raw'!$B$6:$B$603,2026)</f>
        <v>0</v>
      </c>
    </row>
    <row r="28" customFormat="false" ht="15" hidden="false" customHeight="false" outlineLevel="0" collapsed="false">
      <c r="A28" s="27" t="s">
        <v>83</v>
      </c>
      <c r="B28" s="28" t="n">
        <f aca="false">SUMIFS('SALES Raw'!$C$6:$C$603,'SALES Raw'!$A$6:$A$603,$A28,'SALES Raw'!$B$6:$B$603,2025)</f>
        <v>1</v>
      </c>
      <c r="C28" s="29" t="n">
        <f aca="false">SUMIFS('SALES Raw'!$D$6:$D$603,'SALES Raw'!$A$6:$A$603,$A28,'SALES Raw'!$B$6:$B$603,2025)</f>
        <v>268</v>
      </c>
      <c r="D28" s="28" t="n">
        <f aca="false">SUMIFS('SALES Raw'!$C$6:$C$603,'SALES Raw'!$A$6:$A$603,$A28,'SALES Raw'!$B$6:$B$603,2026)</f>
        <v>1</v>
      </c>
      <c r="E28" s="29" t="n">
        <f aca="false">SUMIFS('SALES Raw'!$D$6:$D$603,'SALES Raw'!$A$6:$A$603,$A28,'SALES Raw'!$B$6:$B$603,2026)</f>
        <v>309.31</v>
      </c>
    </row>
    <row r="29" customFormat="false" ht="15" hidden="false" customHeight="false" outlineLevel="0" collapsed="false">
      <c r="A29" s="27" t="s">
        <v>84</v>
      </c>
      <c r="B29" s="28" t="n">
        <f aca="false">SUMIFS('SALES Raw'!$C$6:$C$603,'SALES Raw'!$A$6:$A$603,$A29,'SALES Raw'!$B$6:$B$603,2025)</f>
        <v>0</v>
      </c>
      <c r="C29" s="29" t="n">
        <f aca="false">SUMIFS('SALES Raw'!$D$6:$D$603,'SALES Raw'!$A$6:$A$603,$A29,'SALES Raw'!$B$6:$B$603,2025)</f>
        <v>0</v>
      </c>
      <c r="D29" s="28" t="n">
        <f aca="false">SUMIFS('SALES Raw'!$C$6:$C$603,'SALES Raw'!$A$6:$A$603,$A29,'SALES Raw'!$B$6:$B$603,2026)</f>
        <v>1</v>
      </c>
      <c r="E29" s="29" t="n">
        <f aca="false">SUMIFS('SALES Raw'!$D$6:$D$603,'SALES Raw'!$A$6:$A$603,$A29,'SALES Raw'!$B$6:$B$603,2026)</f>
        <v>309.32</v>
      </c>
    </row>
    <row r="30" customFormat="false" ht="15" hidden="false" customHeight="false" outlineLevel="0" collapsed="false">
      <c r="A30" s="27" t="s">
        <v>85</v>
      </c>
      <c r="B30" s="28" t="n">
        <f aca="false">SUMIFS('SALES Raw'!$C$6:$C$603,'SALES Raw'!$A$6:$A$603,$A30,'SALES Raw'!$B$6:$B$603,2025)</f>
        <v>2</v>
      </c>
      <c r="C30" s="29" t="n">
        <f aca="false">SUMIFS('SALES Raw'!$D$6:$D$603,'SALES Raw'!$A$6:$A$603,$A30,'SALES Raw'!$B$6:$B$603,2025)</f>
        <v>38.34</v>
      </c>
      <c r="D30" s="28" t="n">
        <f aca="false">SUMIFS('SALES Raw'!$C$6:$C$603,'SALES Raw'!$A$6:$A$603,$A30,'SALES Raw'!$B$6:$B$603,2026)</f>
        <v>0</v>
      </c>
      <c r="E30" s="29" t="n">
        <f aca="false">SUMIFS('SALES Raw'!$D$6:$D$603,'SALES Raw'!$A$6:$A$603,$A30,'SALES Raw'!$B$6:$B$603,2026)</f>
        <v>0</v>
      </c>
    </row>
    <row r="31" customFormat="false" ht="15" hidden="false" customHeight="false" outlineLevel="0" collapsed="false">
      <c r="A31" s="27" t="s">
        <v>86</v>
      </c>
      <c r="B31" s="28" t="n">
        <f aca="false">SUMIFS('SALES Raw'!$C$6:$C$603,'SALES Raw'!$A$6:$A$603,$A31,'SALES Raw'!$B$6:$B$603,2025)</f>
        <v>3</v>
      </c>
      <c r="C31" s="29" t="n">
        <f aca="false">SUMIFS('SALES Raw'!$D$6:$D$603,'SALES Raw'!$A$6:$A$603,$A31,'SALES Raw'!$B$6:$B$603,2025)</f>
        <v>198.4</v>
      </c>
      <c r="D31" s="28" t="n">
        <f aca="false">SUMIFS('SALES Raw'!$C$6:$C$603,'SALES Raw'!$A$6:$A$603,$A31,'SALES Raw'!$B$6:$B$603,2026)</f>
        <v>0</v>
      </c>
      <c r="E31" s="29" t="n">
        <f aca="false">SUMIFS('SALES Raw'!$D$6:$D$603,'SALES Raw'!$A$6:$A$603,$A31,'SALES Raw'!$B$6:$B$603,2026)</f>
        <v>0</v>
      </c>
    </row>
    <row r="32" customFormat="false" ht="15" hidden="false" customHeight="false" outlineLevel="0" collapsed="false">
      <c r="A32" s="27" t="s">
        <v>87</v>
      </c>
      <c r="B32" s="28" t="n">
        <f aca="false">SUMIFS('SALES Raw'!$C$6:$C$603,'SALES Raw'!$A$6:$A$603,$A32,'SALES Raw'!$B$6:$B$603,2025)</f>
        <v>6</v>
      </c>
      <c r="C32" s="29" t="n">
        <f aca="false">SUMIFS('SALES Raw'!$D$6:$D$603,'SALES Raw'!$A$6:$A$603,$A32,'SALES Raw'!$B$6:$B$603,2025)</f>
        <v>711.22</v>
      </c>
      <c r="D32" s="28" t="n">
        <f aca="false">SUMIFS('SALES Raw'!$C$6:$C$603,'SALES Raw'!$A$6:$A$603,$A32,'SALES Raw'!$B$6:$B$603,2026)</f>
        <v>0</v>
      </c>
      <c r="E32" s="29" t="n">
        <f aca="false">SUMIFS('SALES Raw'!$D$6:$D$603,'SALES Raw'!$A$6:$A$603,$A32,'SALES Raw'!$B$6:$B$603,2026)</f>
        <v>0</v>
      </c>
    </row>
    <row r="33" customFormat="false" ht="15" hidden="false" customHeight="false" outlineLevel="0" collapsed="false">
      <c r="A33" s="27" t="s">
        <v>88</v>
      </c>
      <c r="B33" s="28" t="n">
        <f aca="false">SUMIFS('SALES Raw'!$C$6:$C$603,'SALES Raw'!$A$6:$A$603,$A33,'SALES Raw'!$B$6:$B$603,2025)</f>
        <v>2</v>
      </c>
      <c r="C33" s="29" t="n">
        <f aca="false">SUMIFS('SALES Raw'!$D$6:$D$603,'SALES Raw'!$A$6:$A$603,$A33,'SALES Raw'!$B$6:$B$603,2025)</f>
        <v>187.4</v>
      </c>
      <c r="D33" s="28" t="n">
        <f aca="false">SUMIFS('SALES Raw'!$C$6:$C$603,'SALES Raw'!$A$6:$A$603,$A33,'SALES Raw'!$B$6:$B$603,2026)</f>
        <v>0</v>
      </c>
      <c r="E33" s="29" t="n">
        <f aca="false">SUMIFS('SALES Raw'!$D$6:$D$603,'SALES Raw'!$A$6:$A$603,$A33,'SALES Raw'!$B$6:$B$603,2026)</f>
        <v>0</v>
      </c>
    </row>
    <row r="34" customFormat="false" ht="15" hidden="false" customHeight="false" outlineLevel="0" collapsed="false">
      <c r="A34" s="27" t="s">
        <v>89</v>
      </c>
      <c r="B34" s="28" t="n">
        <f aca="false">SUMIFS('SALES Raw'!$C$6:$C$603,'SALES Raw'!$A$6:$A$603,$A34,'SALES Raw'!$B$6:$B$603,2025)</f>
        <v>0</v>
      </c>
      <c r="C34" s="29" t="n">
        <f aca="false">SUMIFS('SALES Raw'!$D$6:$D$603,'SALES Raw'!$A$6:$A$603,$A34,'SALES Raw'!$B$6:$B$603,2025)</f>
        <v>0</v>
      </c>
      <c r="D34" s="28" t="n">
        <f aca="false">SUMIFS('SALES Raw'!$C$6:$C$603,'SALES Raw'!$A$6:$A$603,$A34,'SALES Raw'!$B$6:$B$603,2026)</f>
        <v>1</v>
      </c>
      <c r="E34" s="29" t="n">
        <f aca="false">SUMIFS('SALES Raw'!$D$6:$D$603,'SALES Raw'!$A$6:$A$603,$A34,'SALES Raw'!$B$6:$B$603,2026)</f>
        <v>212.75</v>
      </c>
    </row>
    <row r="35" customFormat="false" ht="15" hidden="false" customHeight="false" outlineLevel="0" collapsed="false">
      <c r="A35" s="27" t="s">
        <v>90</v>
      </c>
      <c r="B35" s="28" t="n">
        <f aca="false">SUMIFS('SALES Raw'!$C$6:$C$603,'SALES Raw'!$A$6:$A$603,$A35,'SALES Raw'!$B$6:$B$603,2025)</f>
        <v>5</v>
      </c>
      <c r="C35" s="29" t="n">
        <f aca="false">SUMIFS('SALES Raw'!$D$6:$D$603,'SALES Raw'!$A$6:$A$603,$A35,'SALES Raw'!$B$6:$B$603,2025)</f>
        <v>523.08</v>
      </c>
      <c r="D35" s="28" t="n">
        <f aca="false">SUMIFS('SALES Raw'!$C$6:$C$603,'SALES Raw'!$A$6:$A$603,$A35,'SALES Raw'!$B$6:$B$603,2026)</f>
        <v>0</v>
      </c>
      <c r="E35" s="29" t="n">
        <f aca="false">SUMIFS('SALES Raw'!$D$6:$D$603,'SALES Raw'!$A$6:$A$603,$A35,'SALES Raw'!$B$6:$B$603,2026)</f>
        <v>0</v>
      </c>
    </row>
    <row r="36" customFormat="false" ht="15" hidden="false" customHeight="false" outlineLevel="0" collapsed="false">
      <c r="A36" s="27" t="s">
        <v>91</v>
      </c>
      <c r="B36" s="28" t="n">
        <f aca="false">SUMIFS('SALES Raw'!$C$6:$C$603,'SALES Raw'!$A$6:$A$603,$A36,'SALES Raw'!$B$6:$B$603,2025)</f>
        <v>0</v>
      </c>
      <c r="C36" s="29" t="n">
        <f aca="false">SUMIFS('SALES Raw'!$D$6:$D$603,'SALES Raw'!$A$6:$A$603,$A36,'SALES Raw'!$B$6:$B$603,2025)</f>
        <v>0</v>
      </c>
      <c r="D36" s="28" t="n">
        <f aca="false">SUMIFS('SALES Raw'!$C$6:$C$603,'SALES Raw'!$A$6:$A$603,$A36,'SALES Raw'!$B$6:$B$603,2026)</f>
        <v>1</v>
      </c>
      <c r="E36" s="29" t="n">
        <f aca="false">SUMIFS('SALES Raw'!$D$6:$D$603,'SALES Raw'!$A$6:$A$603,$A36,'SALES Raw'!$B$6:$B$603,2026)</f>
        <v>123.23</v>
      </c>
    </row>
    <row r="37" customFormat="false" ht="15" hidden="false" customHeight="false" outlineLevel="0" collapsed="false">
      <c r="A37" s="27" t="s">
        <v>92</v>
      </c>
      <c r="B37" s="28" t="n">
        <f aca="false">SUMIFS('SALES Raw'!$C$6:$C$603,'SALES Raw'!$A$6:$A$603,$A37,'SALES Raw'!$B$6:$B$603,2025)</f>
        <v>1</v>
      </c>
      <c r="C37" s="29" t="n">
        <f aca="false">SUMIFS('SALES Raw'!$D$6:$D$603,'SALES Raw'!$A$6:$A$603,$A37,'SALES Raw'!$B$6:$B$603,2025)</f>
        <v>123.23</v>
      </c>
      <c r="D37" s="28" t="n">
        <f aca="false">SUMIFS('SALES Raw'!$C$6:$C$603,'SALES Raw'!$A$6:$A$603,$A37,'SALES Raw'!$B$6:$B$603,2026)</f>
        <v>0</v>
      </c>
      <c r="E37" s="29" t="n">
        <f aca="false">SUMIFS('SALES Raw'!$D$6:$D$603,'SALES Raw'!$A$6:$A$603,$A37,'SALES Raw'!$B$6:$B$603,2026)</f>
        <v>0</v>
      </c>
    </row>
    <row r="38" customFormat="false" ht="15" hidden="false" customHeight="false" outlineLevel="0" collapsed="false">
      <c r="A38" s="27" t="s">
        <v>93</v>
      </c>
      <c r="B38" s="28" t="n">
        <f aca="false">SUMIFS('SALES Raw'!$C$6:$C$603,'SALES Raw'!$A$6:$A$603,$A38,'SALES Raw'!$B$6:$B$603,2025)</f>
        <v>4</v>
      </c>
      <c r="C38" s="29" t="n">
        <f aca="false">SUMIFS('SALES Raw'!$D$6:$D$603,'SALES Raw'!$A$6:$A$603,$A38,'SALES Raw'!$B$6:$B$603,2025)</f>
        <v>121.26</v>
      </c>
      <c r="D38" s="28" t="n">
        <f aca="false">SUMIFS('SALES Raw'!$C$6:$C$603,'SALES Raw'!$A$6:$A$603,$A38,'SALES Raw'!$B$6:$B$603,2026)</f>
        <v>0</v>
      </c>
      <c r="E38" s="29" t="n">
        <f aca="false">SUMIFS('SALES Raw'!$D$6:$D$603,'SALES Raw'!$A$6:$A$603,$A38,'SALES Raw'!$B$6:$B$603,2026)</f>
        <v>0</v>
      </c>
    </row>
    <row r="39" customFormat="false" ht="15" hidden="false" customHeight="false" outlineLevel="0" collapsed="false">
      <c r="A39" s="27" t="s">
        <v>94</v>
      </c>
      <c r="B39" s="28" t="n">
        <f aca="false">SUMIFS('SALES Raw'!$C$6:$C$603,'SALES Raw'!$A$6:$A$603,$A39,'SALES Raw'!$B$6:$B$603,2025)</f>
        <v>8</v>
      </c>
      <c r="C39" s="29" t="n">
        <f aca="false">SUMIFS('SALES Raw'!$D$6:$D$603,'SALES Raw'!$A$6:$A$603,$A39,'SALES Raw'!$B$6:$B$603,2025)</f>
        <v>220.38</v>
      </c>
      <c r="D39" s="28" t="n">
        <f aca="false">SUMIFS('SALES Raw'!$C$6:$C$603,'SALES Raw'!$A$6:$A$603,$A39,'SALES Raw'!$B$6:$B$603,2026)</f>
        <v>13</v>
      </c>
      <c r="E39" s="29" t="n">
        <f aca="false">SUMIFS('SALES Raw'!$D$6:$D$603,'SALES Raw'!$A$6:$A$603,$A39,'SALES Raw'!$B$6:$B$603,2026)</f>
        <v>365.04</v>
      </c>
    </row>
    <row r="40" customFormat="false" ht="15" hidden="false" customHeight="false" outlineLevel="0" collapsed="false">
      <c r="A40" s="27" t="s">
        <v>95</v>
      </c>
      <c r="B40" s="28" t="n">
        <f aca="false">SUMIFS('SALES Raw'!$C$6:$C$603,'SALES Raw'!$A$6:$A$603,$A40,'SALES Raw'!$B$6:$B$603,2025)</f>
        <v>2</v>
      </c>
      <c r="C40" s="29" t="n">
        <f aca="false">SUMIFS('SALES Raw'!$D$6:$D$603,'SALES Raw'!$A$6:$A$603,$A40,'SALES Raw'!$B$6:$B$603,2025)</f>
        <v>66.09</v>
      </c>
      <c r="D40" s="28" t="n">
        <f aca="false">SUMIFS('SALES Raw'!$C$6:$C$603,'SALES Raw'!$A$6:$A$603,$A40,'SALES Raw'!$B$6:$B$603,2026)</f>
        <v>0</v>
      </c>
      <c r="E40" s="29" t="n">
        <f aca="false">SUMIFS('SALES Raw'!$D$6:$D$603,'SALES Raw'!$A$6:$A$603,$A40,'SALES Raw'!$B$6:$B$603,2026)</f>
        <v>0</v>
      </c>
    </row>
    <row r="41" customFormat="false" ht="15" hidden="false" customHeight="false" outlineLevel="0" collapsed="false">
      <c r="A41" s="27" t="s">
        <v>96</v>
      </c>
      <c r="B41" s="28" t="n">
        <f aca="false">SUMIFS('SALES Raw'!$C$6:$C$603,'SALES Raw'!$A$6:$A$603,$A41,'SALES Raw'!$B$6:$B$603,2025)</f>
        <v>0</v>
      </c>
      <c r="C41" s="29" t="n">
        <f aca="false">SUMIFS('SALES Raw'!$D$6:$D$603,'SALES Raw'!$A$6:$A$603,$A41,'SALES Raw'!$B$6:$B$603,2025)</f>
        <v>0</v>
      </c>
      <c r="D41" s="28" t="n">
        <f aca="false">SUMIFS('SALES Raw'!$C$6:$C$603,'SALES Raw'!$A$6:$A$603,$A41,'SALES Raw'!$B$6:$B$603,2026)</f>
        <v>2</v>
      </c>
      <c r="E41" s="29" t="n">
        <f aca="false">SUMIFS('SALES Raw'!$D$6:$D$603,'SALES Raw'!$A$6:$A$603,$A41,'SALES Raw'!$B$6:$B$603,2026)</f>
        <v>70.21</v>
      </c>
    </row>
    <row r="42" customFormat="false" ht="15" hidden="false" customHeight="false" outlineLevel="0" collapsed="false">
      <c r="A42" s="27" t="s">
        <v>97</v>
      </c>
      <c r="B42" s="28" t="n">
        <f aca="false">SUMIFS('SALES Raw'!$C$6:$C$603,'SALES Raw'!$A$6:$A$603,$A42,'SALES Raw'!$B$6:$B$603,2025)</f>
        <v>6</v>
      </c>
      <c r="C42" s="29" t="n">
        <f aca="false">SUMIFS('SALES Raw'!$D$6:$D$603,'SALES Raw'!$A$6:$A$603,$A42,'SALES Raw'!$B$6:$B$603,2025)</f>
        <v>188.76</v>
      </c>
      <c r="D42" s="28" t="n">
        <f aca="false">SUMIFS('SALES Raw'!$C$6:$C$603,'SALES Raw'!$A$6:$A$603,$A42,'SALES Raw'!$B$6:$B$603,2026)</f>
        <v>0</v>
      </c>
      <c r="E42" s="29" t="n">
        <f aca="false">SUMIFS('SALES Raw'!$D$6:$D$603,'SALES Raw'!$A$6:$A$603,$A42,'SALES Raw'!$B$6:$B$603,2026)</f>
        <v>0</v>
      </c>
    </row>
    <row r="43" customFormat="false" ht="15" hidden="false" customHeight="false" outlineLevel="0" collapsed="false">
      <c r="A43" s="27" t="s">
        <v>98</v>
      </c>
      <c r="B43" s="28" t="n">
        <f aca="false">SUMIFS('SALES Raw'!$C$6:$C$603,'SALES Raw'!$A$6:$A$603,$A43,'SALES Raw'!$B$6:$B$603,2025)</f>
        <v>0</v>
      </c>
      <c r="C43" s="29" t="n">
        <f aca="false">SUMIFS('SALES Raw'!$D$6:$D$603,'SALES Raw'!$A$6:$A$603,$A43,'SALES Raw'!$B$6:$B$603,2025)</f>
        <v>0</v>
      </c>
      <c r="D43" s="28" t="n">
        <f aca="false">SUMIFS('SALES Raw'!$C$6:$C$603,'SALES Raw'!$A$6:$A$603,$A43,'SALES Raw'!$B$6:$B$603,2026)</f>
        <v>1</v>
      </c>
      <c r="E43" s="29" t="n">
        <f aca="false">SUMIFS('SALES Raw'!$D$6:$D$603,'SALES Raw'!$A$6:$A$603,$A43,'SALES Raw'!$B$6:$B$603,2026)</f>
        <v>28.08</v>
      </c>
    </row>
    <row r="44" customFormat="false" ht="15" hidden="false" customHeight="false" outlineLevel="0" collapsed="false">
      <c r="A44" s="27" t="s">
        <v>99</v>
      </c>
      <c r="B44" s="28" t="n">
        <f aca="false">SUMIFS('SALES Raw'!$C$6:$C$603,'SALES Raw'!$A$6:$A$603,$A44,'SALES Raw'!$B$6:$B$603,2025)</f>
        <v>14</v>
      </c>
      <c r="C44" s="29" t="n">
        <f aca="false">SUMIFS('SALES Raw'!$D$6:$D$603,'SALES Raw'!$A$6:$A$603,$A44,'SALES Raw'!$B$6:$B$603,2025)</f>
        <v>325.27</v>
      </c>
      <c r="D44" s="28" t="n">
        <f aca="false">SUMIFS('SALES Raw'!$C$6:$C$603,'SALES Raw'!$A$6:$A$603,$A44,'SALES Raw'!$B$6:$B$603,2026)</f>
        <v>2</v>
      </c>
      <c r="E44" s="29" t="n">
        <f aca="false">SUMIFS('SALES Raw'!$D$6:$D$603,'SALES Raw'!$A$6:$A$603,$A44,'SALES Raw'!$B$6:$B$603,2026)</f>
        <v>56.18</v>
      </c>
    </row>
    <row r="45" customFormat="false" ht="15" hidden="false" customHeight="false" outlineLevel="0" collapsed="false">
      <c r="A45" s="27" t="s">
        <v>100</v>
      </c>
      <c r="B45" s="28" t="n">
        <f aca="false">SUMIFS('SALES Raw'!$C$6:$C$603,'SALES Raw'!$A$6:$A$603,$A45,'SALES Raw'!$B$6:$B$603,2025)</f>
        <v>9</v>
      </c>
      <c r="C45" s="29" t="n">
        <f aca="false">SUMIFS('SALES Raw'!$D$6:$D$603,'SALES Raw'!$A$6:$A$603,$A45,'SALES Raw'!$B$6:$B$603,2025)</f>
        <v>232.62</v>
      </c>
      <c r="D45" s="28" t="n">
        <f aca="false">SUMIFS('SALES Raw'!$C$6:$C$603,'SALES Raw'!$A$6:$A$603,$A45,'SALES Raw'!$B$6:$B$603,2026)</f>
        <v>1</v>
      </c>
      <c r="E45" s="29" t="n">
        <f aca="false">SUMIFS('SALES Raw'!$D$6:$D$603,'SALES Raw'!$A$6:$A$603,$A45,'SALES Raw'!$B$6:$B$603,2026)</f>
        <v>28.08</v>
      </c>
    </row>
    <row r="46" customFormat="false" ht="15" hidden="false" customHeight="false" outlineLevel="0" collapsed="false">
      <c r="A46" s="27" t="s">
        <v>101</v>
      </c>
      <c r="B46" s="28" t="n">
        <f aca="false">SUMIFS('SALES Raw'!$C$6:$C$603,'SALES Raw'!$A$6:$A$603,$A46,'SALES Raw'!$B$6:$B$603,2025)</f>
        <v>16</v>
      </c>
      <c r="C46" s="29" t="n">
        <f aca="false">SUMIFS('SALES Raw'!$D$6:$D$603,'SALES Raw'!$A$6:$A$603,$A46,'SALES Raw'!$B$6:$B$603,2025)</f>
        <v>977.24</v>
      </c>
      <c r="D46" s="28" t="n">
        <f aca="false">SUMIFS('SALES Raw'!$C$6:$C$603,'SALES Raw'!$A$6:$A$603,$A46,'SALES Raw'!$B$6:$B$603,2026)</f>
        <v>0</v>
      </c>
      <c r="E46" s="29" t="n">
        <f aca="false">SUMIFS('SALES Raw'!$D$6:$D$603,'SALES Raw'!$A$6:$A$603,$A46,'SALES Raw'!$B$6:$B$603,2026)</f>
        <v>0</v>
      </c>
    </row>
    <row r="47" customFormat="false" ht="15" hidden="false" customHeight="false" outlineLevel="0" collapsed="false">
      <c r="A47" s="27" t="s">
        <v>102</v>
      </c>
      <c r="B47" s="28" t="n">
        <f aca="false">SUMIFS('SALES Raw'!$C$6:$C$603,'SALES Raw'!$A$6:$A$603,$A47,'SALES Raw'!$B$6:$B$603,2025)</f>
        <v>16</v>
      </c>
      <c r="C47" s="29" t="n">
        <f aca="false">SUMIFS('SALES Raw'!$D$6:$D$603,'SALES Raw'!$A$6:$A$603,$A47,'SALES Raw'!$B$6:$B$603,2025)</f>
        <v>974.95</v>
      </c>
      <c r="D47" s="28" t="n">
        <f aca="false">SUMIFS('SALES Raw'!$C$6:$C$603,'SALES Raw'!$A$6:$A$603,$A47,'SALES Raw'!$B$6:$B$603,2026)</f>
        <v>0</v>
      </c>
      <c r="E47" s="29" t="n">
        <f aca="false">SUMIFS('SALES Raw'!$D$6:$D$603,'SALES Raw'!$A$6:$A$603,$A47,'SALES Raw'!$B$6:$B$603,2026)</f>
        <v>0</v>
      </c>
    </row>
    <row r="48" customFormat="false" ht="15" hidden="false" customHeight="false" outlineLevel="0" collapsed="false">
      <c r="A48" s="27" t="s">
        <v>103</v>
      </c>
      <c r="B48" s="28" t="n">
        <f aca="false">SUMIFS('SALES Raw'!$C$6:$C$603,'SALES Raw'!$A$6:$A$603,$A48,'SALES Raw'!$B$6:$B$603,2025)</f>
        <v>1</v>
      </c>
      <c r="C48" s="29" t="n">
        <f aca="false">SUMIFS('SALES Raw'!$D$6:$D$603,'SALES Raw'!$A$6:$A$603,$A48,'SALES Raw'!$B$6:$B$603,2025)</f>
        <v>174.86</v>
      </c>
      <c r="D48" s="28" t="n">
        <f aca="false">SUMIFS('SALES Raw'!$C$6:$C$603,'SALES Raw'!$A$6:$A$603,$A48,'SALES Raw'!$B$6:$B$603,2026)</f>
        <v>0</v>
      </c>
      <c r="E48" s="29" t="n">
        <f aca="false">SUMIFS('SALES Raw'!$D$6:$D$603,'SALES Raw'!$A$6:$A$603,$A48,'SALES Raw'!$B$6:$B$603,2026)</f>
        <v>0</v>
      </c>
    </row>
    <row r="49" customFormat="false" ht="15" hidden="false" customHeight="false" outlineLevel="0" collapsed="false">
      <c r="A49" s="27" t="s">
        <v>104</v>
      </c>
      <c r="B49" s="28" t="n">
        <f aca="false">SUMIFS('SALES Raw'!$C$6:$C$603,'SALES Raw'!$A$6:$A$603,$A49,'SALES Raw'!$B$6:$B$603,2025)</f>
        <v>1</v>
      </c>
      <c r="C49" s="29" t="n">
        <f aca="false">SUMIFS('SALES Raw'!$D$6:$D$603,'SALES Raw'!$A$6:$A$603,$A49,'SALES Raw'!$B$6:$B$603,2025)</f>
        <v>187.45</v>
      </c>
      <c r="D49" s="28" t="n">
        <f aca="false">SUMIFS('SALES Raw'!$C$6:$C$603,'SALES Raw'!$A$6:$A$603,$A49,'SALES Raw'!$B$6:$B$603,2026)</f>
        <v>0</v>
      </c>
      <c r="E49" s="29" t="n">
        <f aca="false">SUMIFS('SALES Raw'!$D$6:$D$603,'SALES Raw'!$A$6:$A$603,$A49,'SALES Raw'!$B$6:$B$603,2026)</f>
        <v>0</v>
      </c>
    </row>
    <row r="50" customFormat="false" ht="15" hidden="false" customHeight="false" outlineLevel="0" collapsed="false">
      <c r="A50" s="27" t="s">
        <v>105</v>
      </c>
      <c r="B50" s="28" t="n">
        <f aca="false">SUMIFS('SALES Raw'!$C$6:$C$603,'SALES Raw'!$A$6:$A$603,$A50,'SALES Raw'!$B$6:$B$603,2025)</f>
        <v>1</v>
      </c>
      <c r="C50" s="29" t="n">
        <f aca="false">SUMIFS('SALES Raw'!$D$6:$D$603,'SALES Raw'!$A$6:$A$603,$A50,'SALES Raw'!$B$6:$B$603,2025)</f>
        <v>203.38</v>
      </c>
      <c r="D50" s="28" t="n">
        <f aca="false">SUMIFS('SALES Raw'!$C$6:$C$603,'SALES Raw'!$A$6:$A$603,$A50,'SALES Raw'!$B$6:$B$603,2026)</f>
        <v>0</v>
      </c>
      <c r="E50" s="29" t="n">
        <f aca="false">SUMIFS('SALES Raw'!$D$6:$D$603,'SALES Raw'!$A$6:$A$603,$A50,'SALES Raw'!$B$6:$B$603,2026)</f>
        <v>0</v>
      </c>
    </row>
    <row r="51" customFormat="false" ht="15" hidden="false" customHeight="false" outlineLevel="0" collapsed="false">
      <c r="A51" s="27" t="s">
        <v>106</v>
      </c>
      <c r="B51" s="28" t="n">
        <f aca="false">SUMIFS('SALES Raw'!$C$6:$C$603,'SALES Raw'!$A$6:$A$603,$A51,'SALES Raw'!$B$6:$B$603,2025)</f>
        <v>1</v>
      </c>
      <c r="C51" s="29" t="n">
        <f aca="false">SUMIFS('SALES Raw'!$D$6:$D$603,'SALES Raw'!$A$6:$A$603,$A51,'SALES Raw'!$B$6:$B$603,2025)</f>
        <v>203.38</v>
      </c>
      <c r="D51" s="28" t="n">
        <f aca="false">SUMIFS('SALES Raw'!$C$6:$C$603,'SALES Raw'!$A$6:$A$603,$A51,'SALES Raw'!$B$6:$B$603,2026)</f>
        <v>0</v>
      </c>
      <c r="E51" s="29" t="n">
        <f aca="false">SUMIFS('SALES Raw'!$D$6:$D$603,'SALES Raw'!$A$6:$A$603,$A51,'SALES Raw'!$B$6:$B$603,2026)</f>
        <v>0</v>
      </c>
    </row>
    <row r="52" customFormat="false" ht="15" hidden="false" customHeight="false" outlineLevel="0" collapsed="false">
      <c r="A52" s="27" t="s">
        <v>107</v>
      </c>
      <c r="B52" s="28" t="n">
        <f aca="false">SUMIFS('SALES Raw'!$C$6:$C$603,'SALES Raw'!$A$6:$A$603,$A52,'SALES Raw'!$B$6:$B$603,2025)</f>
        <v>0</v>
      </c>
      <c r="C52" s="29" t="n">
        <f aca="false">SUMIFS('SALES Raw'!$D$6:$D$603,'SALES Raw'!$A$6:$A$603,$A52,'SALES Raw'!$B$6:$B$603,2025)</f>
        <v>0</v>
      </c>
      <c r="D52" s="28" t="n">
        <f aca="false">SUMIFS('SALES Raw'!$C$6:$C$603,'SALES Raw'!$A$6:$A$603,$A52,'SALES Raw'!$B$6:$B$603,2026)</f>
        <v>1</v>
      </c>
      <c r="E52" s="29" t="n">
        <f aca="false">SUMIFS('SALES Raw'!$D$6:$D$603,'SALES Raw'!$A$6:$A$603,$A52,'SALES Raw'!$B$6:$B$603,2026)</f>
        <v>330.88</v>
      </c>
    </row>
    <row r="53" customFormat="false" ht="15" hidden="false" customHeight="false" outlineLevel="0" collapsed="false">
      <c r="A53" s="27" t="s">
        <v>108</v>
      </c>
      <c r="B53" s="28" t="n">
        <f aca="false">SUMIFS('SALES Raw'!$C$6:$C$603,'SALES Raw'!$A$6:$A$603,$A53,'SALES Raw'!$B$6:$B$603,2025)</f>
        <v>2</v>
      </c>
      <c r="C53" s="29" t="n">
        <f aca="false">SUMIFS('SALES Raw'!$D$6:$D$603,'SALES Raw'!$A$6:$A$603,$A53,'SALES Raw'!$B$6:$B$603,2025)</f>
        <v>61.78</v>
      </c>
      <c r="D53" s="28" t="n">
        <f aca="false">SUMIFS('SALES Raw'!$C$6:$C$603,'SALES Raw'!$A$6:$A$603,$A53,'SALES Raw'!$B$6:$B$603,2026)</f>
        <v>1</v>
      </c>
      <c r="E53" s="29" t="n">
        <f aca="false">SUMIFS('SALES Raw'!$D$6:$D$603,'SALES Raw'!$A$6:$A$603,$A53,'SALES Raw'!$B$6:$B$603,2026)</f>
        <v>30.89</v>
      </c>
    </row>
    <row r="54" customFormat="false" ht="15" hidden="false" customHeight="false" outlineLevel="0" collapsed="false">
      <c r="A54" s="27" t="s">
        <v>109</v>
      </c>
      <c r="B54" s="28" t="n">
        <f aca="false">SUMIFS('SALES Raw'!$C$6:$C$603,'SALES Raw'!$A$6:$A$603,$A54,'SALES Raw'!$B$6:$B$603,2025)</f>
        <v>0</v>
      </c>
      <c r="C54" s="29" t="n">
        <f aca="false">SUMIFS('SALES Raw'!$D$6:$D$603,'SALES Raw'!$A$6:$A$603,$A54,'SALES Raw'!$B$6:$B$603,2025)</f>
        <v>0</v>
      </c>
      <c r="D54" s="28" t="n">
        <f aca="false">SUMIFS('SALES Raw'!$C$6:$C$603,'SALES Raw'!$A$6:$A$603,$A54,'SALES Raw'!$B$6:$B$603,2026)</f>
        <v>2</v>
      </c>
      <c r="E54" s="29" t="n">
        <f aca="false">SUMIFS('SALES Raw'!$D$6:$D$603,'SALES Raw'!$A$6:$A$603,$A54,'SALES Raw'!$B$6:$B$603,2026)</f>
        <v>113.34</v>
      </c>
    </row>
    <row r="55" customFormat="false" ht="15" hidden="false" customHeight="false" outlineLevel="0" collapsed="false">
      <c r="A55" s="27" t="s">
        <v>110</v>
      </c>
      <c r="B55" s="28" t="n">
        <f aca="false">SUMIFS('SALES Raw'!$C$6:$C$603,'SALES Raw'!$A$6:$A$603,$A55,'SALES Raw'!$B$6:$B$603,2025)</f>
        <v>4</v>
      </c>
      <c r="C55" s="29" t="n">
        <f aca="false">SUMIFS('SALES Raw'!$D$6:$D$603,'SALES Raw'!$A$6:$A$603,$A55,'SALES Raw'!$B$6:$B$603,2025)</f>
        <v>226.69</v>
      </c>
      <c r="D55" s="28" t="n">
        <f aca="false">SUMIFS('SALES Raw'!$C$6:$C$603,'SALES Raw'!$A$6:$A$603,$A55,'SALES Raw'!$B$6:$B$603,2026)</f>
        <v>0</v>
      </c>
      <c r="E55" s="29" t="n">
        <f aca="false">SUMIFS('SALES Raw'!$D$6:$D$603,'SALES Raw'!$A$6:$A$603,$A55,'SALES Raw'!$B$6:$B$603,2026)</f>
        <v>0</v>
      </c>
    </row>
    <row r="56" customFormat="false" ht="15" hidden="false" customHeight="false" outlineLevel="0" collapsed="false">
      <c r="A56" s="27" t="s">
        <v>111</v>
      </c>
      <c r="B56" s="28" t="n">
        <f aca="false">SUMIFS('SALES Raw'!$C$6:$C$603,'SALES Raw'!$A$6:$A$603,$A56,'SALES Raw'!$B$6:$B$603,2025)</f>
        <v>2</v>
      </c>
      <c r="C56" s="29" t="n">
        <f aca="false">SUMIFS('SALES Raw'!$D$6:$D$603,'SALES Raw'!$A$6:$A$603,$A56,'SALES Raw'!$B$6:$B$603,2025)</f>
        <v>228.54</v>
      </c>
      <c r="D56" s="28" t="n">
        <f aca="false">SUMIFS('SALES Raw'!$C$6:$C$603,'SALES Raw'!$A$6:$A$603,$A56,'SALES Raw'!$B$6:$B$603,2026)</f>
        <v>1</v>
      </c>
      <c r="E56" s="29" t="n">
        <f aca="false">SUMIFS('SALES Raw'!$D$6:$D$603,'SALES Raw'!$A$6:$A$603,$A56,'SALES Raw'!$B$6:$B$603,2026)</f>
        <v>133.54</v>
      </c>
    </row>
    <row r="57" customFormat="false" ht="15" hidden="false" customHeight="false" outlineLevel="0" collapsed="false">
      <c r="A57" s="27" t="s">
        <v>112</v>
      </c>
      <c r="B57" s="28" t="n">
        <f aca="false">SUMIFS('SALES Raw'!$C$6:$C$603,'SALES Raw'!$A$6:$A$603,$A57,'SALES Raw'!$B$6:$B$603,2025)</f>
        <v>1</v>
      </c>
      <c r="C57" s="29" t="n">
        <f aca="false">SUMIFS('SALES Raw'!$D$6:$D$603,'SALES Raw'!$A$6:$A$603,$A57,'SALES Raw'!$B$6:$B$603,2025)</f>
        <v>133.54</v>
      </c>
      <c r="D57" s="28" t="n">
        <f aca="false">SUMIFS('SALES Raw'!$C$6:$C$603,'SALES Raw'!$A$6:$A$603,$A57,'SALES Raw'!$B$6:$B$603,2026)</f>
        <v>0</v>
      </c>
      <c r="E57" s="29" t="n">
        <f aca="false">SUMIFS('SALES Raw'!$D$6:$D$603,'SALES Raw'!$A$6:$A$603,$A57,'SALES Raw'!$B$6:$B$603,2026)</f>
        <v>0</v>
      </c>
    </row>
    <row r="58" customFormat="false" ht="15" hidden="false" customHeight="false" outlineLevel="0" collapsed="false">
      <c r="A58" s="27" t="s">
        <v>113</v>
      </c>
      <c r="B58" s="28" t="n">
        <f aca="false">SUMIFS('SALES Raw'!$C$6:$C$603,'SALES Raw'!$A$6:$A$603,$A58,'SALES Raw'!$B$6:$B$603,2025)</f>
        <v>0</v>
      </c>
      <c r="C58" s="29" t="n">
        <f aca="false">SUMIFS('SALES Raw'!$D$6:$D$603,'SALES Raw'!$A$6:$A$603,$A58,'SALES Raw'!$B$6:$B$603,2025)</f>
        <v>0</v>
      </c>
      <c r="D58" s="28" t="n">
        <f aca="false">SUMIFS('SALES Raw'!$C$6:$C$603,'SALES Raw'!$A$6:$A$603,$A58,'SALES Raw'!$B$6:$B$603,2026)</f>
        <v>1</v>
      </c>
      <c r="E58" s="29" t="n">
        <f aca="false">SUMIFS('SALES Raw'!$D$6:$D$603,'SALES Raw'!$A$6:$A$603,$A58,'SALES Raw'!$B$6:$B$603,2026)</f>
        <v>133.54</v>
      </c>
    </row>
    <row r="59" customFormat="false" ht="15" hidden="false" customHeight="false" outlineLevel="0" collapsed="false">
      <c r="A59" s="27" t="s">
        <v>114</v>
      </c>
      <c r="B59" s="28" t="n">
        <f aca="false">SUMIFS('SALES Raw'!$C$6:$C$603,'SALES Raw'!$A$6:$A$603,$A59,'SALES Raw'!$B$6:$B$603,2025)</f>
        <v>0</v>
      </c>
      <c r="C59" s="29" t="n">
        <f aca="false">SUMIFS('SALES Raw'!$D$6:$D$603,'SALES Raw'!$A$6:$A$603,$A59,'SALES Raw'!$B$6:$B$603,2025)</f>
        <v>0</v>
      </c>
      <c r="D59" s="28" t="n">
        <f aca="false">SUMIFS('SALES Raw'!$C$6:$C$603,'SALES Raw'!$A$6:$A$603,$A59,'SALES Raw'!$B$6:$B$603,2026)</f>
        <v>2</v>
      </c>
      <c r="E59" s="29" t="n">
        <f aca="false">SUMIFS('SALES Raw'!$D$6:$D$603,'SALES Raw'!$A$6:$A$603,$A59,'SALES Raw'!$B$6:$B$603,2026)</f>
        <v>222.08</v>
      </c>
    </row>
    <row r="60" customFormat="false" ht="15" hidden="false" customHeight="false" outlineLevel="0" collapsed="false">
      <c r="A60" s="27" t="s">
        <v>115</v>
      </c>
      <c r="B60" s="28" t="n">
        <f aca="false">SUMIFS('SALES Raw'!$C$6:$C$603,'SALES Raw'!$A$6:$A$603,$A60,'SALES Raw'!$B$6:$B$603,2025)</f>
        <v>2</v>
      </c>
      <c r="C60" s="29" t="n">
        <f aca="false">SUMIFS('SALES Raw'!$D$6:$D$603,'SALES Raw'!$A$6:$A$603,$A60,'SALES Raw'!$B$6:$B$603,2025)</f>
        <v>180.04</v>
      </c>
      <c r="D60" s="28" t="n">
        <f aca="false">SUMIFS('SALES Raw'!$C$6:$C$603,'SALES Raw'!$A$6:$A$603,$A60,'SALES Raw'!$B$6:$B$603,2026)</f>
        <v>3</v>
      </c>
      <c r="E60" s="29" t="n">
        <f aca="false">SUMIFS('SALES Raw'!$D$6:$D$603,'SALES Raw'!$A$6:$A$603,$A60,'SALES Raw'!$B$6:$B$603,2026)</f>
        <v>333.11</v>
      </c>
    </row>
    <row r="61" customFormat="false" ht="15" hidden="false" customHeight="false" outlineLevel="0" collapsed="false">
      <c r="A61" s="27" t="s">
        <v>116</v>
      </c>
      <c r="B61" s="28" t="n">
        <f aca="false">SUMIFS('SALES Raw'!$C$6:$C$603,'SALES Raw'!$A$6:$A$603,$A61,'SALES Raw'!$B$6:$B$603,2025)</f>
        <v>1</v>
      </c>
      <c r="C61" s="29" t="n">
        <f aca="false">SUMIFS('SALES Raw'!$D$6:$D$603,'SALES Raw'!$A$6:$A$603,$A61,'SALES Raw'!$B$6:$B$603,2025)</f>
        <v>80.32</v>
      </c>
      <c r="D61" s="28" t="n">
        <f aca="false">SUMIFS('SALES Raw'!$C$6:$C$603,'SALES Raw'!$A$6:$A$603,$A61,'SALES Raw'!$B$6:$B$603,2026)</f>
        <v>2</v>
      </c>
      <c r="E61" s="29" t="n">
        <f aca="false">SUMIFS('SALES Raw'!$D$6:$D$603,'SALES Raw'!$A$6:$A$603,$A61,'SALES Raw'!$B$6:$B$603,2026)</f>
        <v>168.64</v>
      </c>
    </row>
    <row r="62" customFormat="false" ht="15" hidden="false" customHeight="false" outlineLevel="0" collapsed="false">
      <c r="A62" s="27" t="s">
        <v>117</v>
      </c>
      <c r="B62" s="28" t="n">
        <f aca="false">SUMIFS('SALES Raw'!$C$6:$C$603,'SALES Raw'!$A$6:$A$603,$A62,'SALES Raw'!$B$6:$B$603,2025)</f>
        <v>3</v>
      </c>
      <c r="C62" s="29" t="n">
        <f aca="false">SUMIFS('SALES Raw'!$D$6:$D$603,'SALES Raw'!$A$6:$A$603,$A62,'SALES Raw'!$B$6:$B$603,2025)</f>
        <v>252.96</v>
      </c>
      <c r="D62" s="28" t="n">
        <f aca="false">SUMIFS('SALES Raw'!$C$6:$C$603,'SALES Raw'!$A$6:$A$603,$A62,'SALES Raw'!$B$6:$B$603,2026)</f>
        <v>1</v>
      </c>
      <c r="E62" s="29" t="n">
        <f aca="false">SUMIFS('SALES Raw'!$D$6:$D$603,'SALES Raw'!$A$6:$A$603,$A62,'SALES Raw'!$B$6:$B$603,2026)</f>
        <v>84.32</v>
      </c>
    </row>
    <row r="63" customFormat="false" ht="15" hidden="false" customHeight="false" outlineLevel="0" collapsed="false">
      <c r="A63" s="27" t="s">
        <v>118</v>
      </c>
      <c r="B63" s="28" t="n">
        <f aca="false">SUMIFS('SALES Raw'!$C$6:$C$603,'SALES Raw'!$A$6:$A$603,$A63,'SALES Raw'!$B$6:$B$603,2025)</f>
        <v>0</v>
      </c>
      <c r="C63" s="29" t="n">
        <f aca="false">SUMIFS('SALES Raw'!$D$6:$D$603,'SALES Raw'!$A$6:$A$603,$A63,'SALES Raw'!$B$6:$B$603,2025)</f>
        <v>0</v>
      </c>
      <c r="D63" s="28" t="n">
        <f aca="false">SUMIFS('SALES Raw'!$C$6:$C$603,'SALES Raw'!$A$6:$A$603,$A63,'SALES Raw'!$B$6:$B$603,2026)</f>
        <v>3</v>
      </c>
      <c r="E63" s="29" t="n">
        <f aca="false">SUMIFS('SALES Raw'!$D$6:$D$603,'SALES Raw'!$A$6:$A$603,$A63,'SALES Raw'!$B$6:$B$603,2026)</f>
        <v>252.96</v>
      </c>
    </row>
    <row r="64" customFormat="false" ht="15" hidden="false" customHeight="false" outlineLevel="0" collapsed="false">
      <c r="A64" s="27" t="s">
        <v>119</v>
      </c>
      <c r="B64" s="28" t="n">
        <f aca="false">SUMIFS('SALES Raw'!$C$6:$C$603,'SALES Raw'!$A$6:$A$603,$A64,'SALES Raw'!$B$6:$B$603,2025)</f>
        <v>0</v>
      </c>
      <c r="C64" s="29" t="n">
        <f aca="false">SUMIFS('SALES Raw'!$D$6:$D$603,'SALES Raw'!$A$6:$A$603,$A64,'SALES Raw'!$B$6:$B$603,2025)</f>
        <v>0</v>
      </c>
      <c r="D64" s="28" t="n">
        <f aca="false">SUMIFS('SALES Raw'!$C$6:$C$603,'SALES Raw'!$A$6:$A$603,$A64,'SALES Raw'!$B$6:$B$603,2026)</f>
        <v>1</v>
      </c>
      <c r="E64" s="29" t="n">
        <f aca="false">SUMIFS('SALES Raw'!$D$6:$D$603,'SALES Raw'!$A$6:$A$603,$A64,'SALES Raw'!$B$6:$B$603,2026)</f>
        <v>187.45</v>
      </c>
    </row>
    <row r="65" customFormat="false" ht="15" hidden="false" customHeight="false" outlineLevel="0" collapsed="false">
      <c r="A65" s="27" t="s">
        <v>120</v>
      </c>
      <c r="B65" s="28" t="n">
        <f aca="false">SUMIFS('SALES Raw'!$C$6:$C$603,'SALES Raw'!$A$6:$A$603,$A65,'SALES Raw'!$B$6:$B$603,2025)</f>
        <v>1</v>
      </c>
      <c r="C65" s="29" t="n">
        <f aca="false">SUMIFS('SALES Raw'!$D$6:$D$603,'SALES Raw'!$A$6:$A$603,$A65,'SALES Raw'!$B$6:$B$603,2025)</f>
        <v>66.51</v>
      </c>
      <c r="D65" s="28" t="n">
        <f aca="false">SUMIFS('SALES Raw'!$C$6:$C$603,'SALES Raw'!$A$6:$A$603,$A65,'SALES Raw'!$B$6:$B$603,2026)</f>
        <v>0</v>
      </c>
      <c r="E65" s="29" t="n">
        <f aca="false">SUMIFS('SALES Raw'!$D$6:$D$603,'SALES Raw'!$A$6:$A$603,$A65,'SALES Raw'!$B$6:$B$603,2026)</f>
        <v>0</v>
      </c>
    </row>
    <row r="66" customFormat="false" ht="15" hidden="false" customHeight="false" outlineLevel="0" collapsed="false">
      <c r="A66" s="27" t="s">
        <v>121</v>
      </c>
      <c r="B66" s="28" t="n">
        <f aca="false">SUMIFS('SALES Raw'!$C$6:$C$603,'SALES Raw'!$A$6:$A$603,$A66,'SALES Raw'!$B$6:$B$603,2025)</f>
        <v>0</v>
      </c>
      <c r="C66" s="29" t="n">
        <f aca="false">SUMIFS('SALES Raw'!$D$6:$D$603,'SALES Raw'!$A$6:$A$603,$A66,'SALES Raw'!$B$6:$B$603,2025)</f>
        <v>0</v>
      </c>
      <c r="D66" s="28" t="n">
        <f aca="false">SUMIFS('SALES Raw'!$C$6:$C$603,'SALES Raw'!$A$6:$A$603,$A66,'SALES Raw'!$B$6:$B$603,2026)</f>
        <v>1</v>
      </c>
      <c r="E66" s="29" t="n">
        <f aca="false">SUMIFS('SALES Raw'!$D$6:$D$603,'SALES Raw'!$A$6:$A$603,$A66,'SALES Raw'!$B$6:$B$603,2026)</f>
        <v>66.51</v>
      </c>
    </row>
    <row r="67" customFormat="false" ht="15" hidden="false" customHeight="false" outlineLevel="0" collapsed="false">
      <c r="A67" s="27" t="s">
        <v>122</v>
      </c>
      <c r="B67" s="28" t="n">
        <f aca="false">SUMIFS('SALES Raw'!$C$6:$C$603,'SALES Raw'!$A$6:$A$603,$A67,'SALES Raw'!$B$6:$B$603,2025)</f>
        <v>108</v>
      </c>
      <c r="C67" s="29" t="n">
        <f aca="false">SUMIFS('SALES Raw'!$D$6:$D$603,'SALES Raw'!$A$6:$A$603,$A67,'SALES Raw'!$B$6:$B$603,2025)</f>
        <v>13580.19</v>
      </c>
      <c r="D67" s="28" t="n">
        <f aca="false">SUMIFS('SALES Raw'!$C$6:$C$603,'SALES Raw'!$A$6:$A$603,$A67,'SALES Raw'!$B$6:$B$603,2026)</f>
        <v>51</v>
      </c>
      <c r="E67" s="29" t="n">
        <f aca="false">SUMIFS('SALES Raw'!$D$6:$D$603,'SALES Raw'!$A$6:$A$603,$A67,'SALES Raw'!$B$6:$B$603,2026)</f>
        <v>8495.51</v>
      </c>
    </row>
    <row r="68" customFormat="false" ht="15" hidden="false" customHeight="false" outlineLevel="0" collapsed="false">
      <c r="A68" s="27" t="s">
        <v>123</v>
      </c>
      <c r="B68" s="28" t="n">
        <f aca="false">SUMIFS('SALES Raw'!$C$6:$C$603,'SALES Raw'!$A$6:$A$603,$A68,'SALES Raw'!$B$6:$B$603,2025)</f>
        <v>0</v>
      </c>
      <c r="C68" s="29" t="n">
        <f aca="false">SUMIFS('SALES Raw'!$D$6:$D$603,'SALES Raw'!$A$6:$A$603,$A68,'SALES Raw'!$B$6:$B$603,2025)</f>
        <v>0</v>
      </c>
      <c r="D68" s="28" t="n">
        <f aca="false">SUMIFS('SALES Raw'!$C$6:$C$603,'SALES Raw'!$A$6:$A$603,$A68,'SALES Raw'!$B$6:$B$603,2026)</f>
        <v>3</v>
      </c>
      <c r="E68" s="29" t="n">
        <f aca="false">SUMIFS('SALES Raw'!$D$6:$D$603,'SALES Raw'!$A$6:$A$603,$A68,'SALES Raw'!$B$6:$B$603,2026)</f>
        <v>0</v>
      </c>
    </row>
    <row r="69" customFormat="false" ht="15" hidden="false" customHeight="false" outlineLevel="0" collapsed="false">
      <c r="A69" s="27" t="s">
        <v>124</v>
      </c>
      <c r="B69" s="28" t="n">
        <f aca="false">SUMIFS('SALES Raw'!$C$6:$C$603,'SALES Raw'!$A$6:$A$603,$A69,'SALES Raw'!$B$6:$B$603,2025)</f>
        <v>1</v>
      </c>
      <c r="C69" s="29" t="n">
        <f aca="false">SUMIFS('SALES Raw'!$D$6:$D$603,'SALES Raw'!$A$6:$A$603,$A69,'SALES Raw'!$B$6:$B$603,2025)</f>
        <v>472.68</v>
      </c>
      <c r="D69" s="28" t="n">
        <f aca="false">SUMIFS('SALES Raw'!$C$6:$C$603,'SALES Raw'!$A$6:$A$603,$A69,'SALES Raw'!$B$6:$B$603,2026)</f>
        <v>0</v>
      </c>
      <c r="E69" s="29" t="n">
        <f aca="false">SUMIFS('SALES Raw'!$D$6:$D$603,'SALES Raw'!$A$6:$A$603,$A69,'SALES Raw'!$B$6:$B$603,2026)</f>
        <v>0</v>
      </c>
    </row>
    <row r="70" customFormat="false" ht="15" hidden="false" customHeight="false" outlineLevel="0" collapsed="false">
      <c r="A70" s="27" t="s">
        <v>125</v>
      </c>
      <c r="B70" s="28" t="n">
        <f aca="false">SUMIFS('SALES Raw'!$C$6:$C$603,'SALES Raw'!$A$6:$A$603,$A70,'SALES Raw'!$B$6:$B$603,2025)</f>
        <v>1</v>
      </c>
      <c r="C70" s="29" t="n">
        <f aca="false">SUMIFS('SALES Raw'!$D$6:$D$603,'SALES Raw'!$A$6:$A$603,$A70,'SALES Raw'!$B$6:$B$603,2025)</f>
        <v>472.7</v>
      </c>
      <c r="D70" s="28" t="n">
        <f aca="false">SUMIFS('SALES Raw'!$C$6:$C$603,'SALES Raw'!$A$6:$A$603,$A70,'SALES Raw'!$B$6:$B$603,2026)</f>
        <v>0</v>
      </c>
      <c r="E70" s="29" t="n">
        <f aca="false">SUMIFS('SALES Raw'!$D$6:$D$603,'SALES Raw'!$A$6:$A$603,$A70,'SALES Raw'!$B$6:$B$603,2026)</f>
        <v>0</v>
      </c>
    </row>
    <row r="71" customFormat="false" ht="15" hidden="false" customHeight="false" outlineLevel="0" collapsed="false">
      <c r="A71" s="27" t="s">
        <v>126</v>
      </c>
      <c r="B71" s="28" t="n">
        <f aca="false">SUMIFS('SALES Raw'!$C$6:$C$603,'SALES Raw'!$A$6:$A$603,$A71,'SALES Raw'!$B$6:$B$603,2025)</f>
        <v>1</v>
      </c>
      <c r="C71" s="29" t="n">
        <f aca="false">SUMIFS('SALES Raw'!$D$6:$D$603,'SALES Raw'!$A$6:$A$603,$A71,'SALES Raw'!$B$6:$B$603,2025)</f>
        <v>472.9</v>
      </c>
      <c r="D71" s="28" t="n">
        <f aca="false">SUMIFS('SALES Raw'!$C$6:$C$603,'SALES Raw'!$A$6:$A$603,$A71,'SALES Raw'!$B$6:$B$603,2026)</f>
        <v>0</v>
      </c>
      <c r="E71" s="29" t="n">
        <f aca="false">SUMIFS('SALES Raw'!$D$6:$D$603,'SALES Raw'!$A$6:$A$603,$A71,'SALES Raw'!$B$6:$B$603,2026)</f>
        <v>0</v>
      </c>
    </row>
    <row r="72" customFormat="false" ht="15" hidden="false" customHeight="false" outlineLevel="0" collapsed="false">
      <c r="A72" s="27" t="s">
        <v>127</v>
      </c>
      <c r="B72" s="28" t="n">
        <f aca="false">SUMIFS('SALES Raw'!$C$6:$C$603,'SALES Raw'!$A$6:$A$603,$A72,'SALES Raw'!$B$6:$B$603,2025)</f>
        <v>1</v>
      </c>
      <c r="C72" s="29" t="n">
        <f aca="false">SUMIFS('SALES Raw'!$D$6:$D$603,'SALES Raw'!$A$6:$A$603,$A72,'SALES Raw'!$B$6:$B$603,2025)</f>
        <v>165.41</v>
      </c>
      <c r="D72" s="28" t="n">
        <f aca="false">SUMIFS('SALES Raw'!$C$6:$C$603,'SALES Raw'!$A$6:$A$603,$A72,'SALES Raw'!$B$6:$B$603,2026)</f>
        <v>0</v>
      </c>
      <c r="E72" s="29" t="n">
        <f aca="false">SUMIFS('SALES Raw'!$D$6:$D$603,'SALES Raw'!$A$6:$A$603,$A72,'SALES Raw'!$B$6:$B$603,2026)</f>
        <v>0</v>
      </c>
    </row>
    <row r="73" customFormat="false" ht="15" hidden="false" customHeight="false" outlineLevel="0" collapsed="false">
      <c r="A73" s="27" t="s">
        <v>128</v>
      </c>
      <c r="B73" s="28" t="n">
        <f aca="false">SUMIFS('SALES Raw'!$C$6:$C$603,'SALES Raw'!$A$6:$A$603,$A73,'SALES Raw'!$B$6:$B$603,2025)</f>
        <v>1</v>
      </c>
      <c r="C73" s="29" t="n">
        <f aca="false">SUMIFS('SALES Raw'!$D$6:$D$603,'SALES Raw'!$A$6:$A$603,$A73,'SALES Raw'!$B$6:$B$603,2025)</f>
        <v>140.24</v>
      </c>
      <c r="D73" s="28" t="n">
        <f aca="false">SUMIFS('SALES Raw'!$C$6:$C$603,'SALES Raw'!$A$6:$A$603,$A73,'SALES Raw'!$B$6:$B$603,2026)</f>
        <v>0</v>
      </c>
      <c r="E73" s="29" t="n">
        <f aca="false">SUMIFS('SALES Raw'!$D$6:$D$603,'SALES Raw'!$A$6:$A$603,$A73,'SALES Raw'!$B$6:$B$603,2026)</f>
        <v>0</v>
      </c>
    </row>
    <row r="74" customFormat="false" ht="15" hidden="false" customHeight="false" outlineLevel="0" collapsed="false">
      <c r="A74" s="27" t="s">
        <v>129</v>
      </c>
      <c r="B74" s="28" t="n">
        <f aca="false">SUMIFS('SALES Raw'!$C$6:$C$603,'SALES Raw'!$A$6:$A$603,$A74,'SALES Raw'!$B$6:$B$603,2025)</f>
        <v>-1</v>
      </c>
      <c r="C74" s="29" t="n">
        <f aca="false">SUMIFS('SALES Raw'!$D$6:$D$603,'SALES Raw'!$A$6:$A$603,$A74,'SALES Raw'!$B$6:$B$603,2025)</f>
        <v>-37.77</v>
      </c>
      <c r="D74" s="28" t="n">
        <f aca="false">SUMIFS('SALES Raw'!$C$6:$C$603,'SALES Raw'!$A$6:$A$603,$A74,'SALES Raw'!$B$6:$B$603,2026)</f>
        <v>0</v>
      </c>
      <c r="E74" s="29" t="n">
        <f aca="false">SUMIFS('SALES Raw'!$D$6:$D$603,'SALES Raw'!$A$6:$A$603,$A74,'SALES Raw'!$B$6:$B$603,2026)</f>
        <v>0</v>
      </c>
    </row>
    <row r="75" customFormat="false" ht="15" hidden="false" customHeight="false" outlineLevel="0" collapsed="false">
      <c r="A75" s="27" t="s">
        <v>130</v>
      </c>
      <c r="B75" s="28" t="n">
        <f aca="false">SUMIFS('SALES Raw'!$C$6:$C$603,'SALES Raw'!$A$6:$A$603,$A75,'SALES Raw'!$B$6:$B$603,2025)</f>
        <v>17</v>
      </c>
      <c r="C75" s="29" t="n">
        <f aca="false">SUMIFS('SALES Raw'!$D$6:$D$603,'SALES Raw'!$A$6:$A$603,$A75,'SALES Raw'!$B$6:$B$603,2025)</f>
        <v>511.6</v>
      </c>
      <c r="D75" s="28" t="n">
        <f aca="false">SUMIFS('SALES Raw'!$C$6:$C$603,'SALES Raw'!$A$6:$A$603,$A75,'SALES Raw'!$B$6:$B$603,2026)</f>
        <v>5</v>
      </c>
      <c r="E75" s="29" t="n">
        <f aca="false">SUMIFS('SALES Raw'!$D$6:$D$603,'SALES Raw'!$A$6:$A$603,$A75,'SALES Raw'!$B$6:$B$603,2026)</f>
        <v>136.26</v>
      </c>
    </row>
    <row r="76" customFormat="false" ht="15" hidden="false" customHeight="false" outlineLevel="0" collapsed="false">
      <c r="A76" s="27" t="s">
        <v>131</v>
      </c>
      <c r="B76" s="28" t="n">
        <f aca="false">SUMIFS('SALES Raw'!$C$6:$C$603,'SALES Raw'!$A$6:$A$603,$A76,'SALES Raw'!$B$6:$B$603,2025)</f>
        <v>0</v>
      </c>
      <c r="C76" s="29" t="n">
        <f aca="false">SUMIFS('SALES Raw'!$D$6:$D$603,'SALES Raw'!$A$6:$A$603,$A76,'SALES Raw'!$B$6:$B$603,2025)</f>
        <v>0</v>
      </c>
      <c r="D76" s="28" t="n">
        <f aca="false">SUMIFS('SALES Raw'!$C$6:$C$603,'SALES Raw'!$A$6:$A$603,$A76,'SALES Raw'!$B$6:$B$603,2026)</f>
        <v>1</v>
      </c>
      <c r="E76" s="29" t="n">
        <f aca="false">SUMIFS('SALES Raw'!$D$6:$D$603,'SALES Raw'!$A$6:$A$603,$A76,'SALES Raw'!$B$6:$B$603,2026)</f>
        <v>350</v>
      </c>
    </row>
    <row r="77" customFormat="false" ht="15" hidden="false" customHeight="false" outlineLevel="0" collapsed="false">
      <c r="A77" s="27" t="s">
        <v>132</v>
      </c>
      <c r="B77" s="28" t="n">
        <f aca="false">SUMIFS('SALES Raw'!$C$6:$C$603,'SALES Raw'!$A$6:$A$603,$A77,'SALES Raw'!$B$6:$B$603,2025)</f>
        <v>2</v>
      </c>
      <c r="C77" s="29" t="n">
        <f aca="false">SUMIFS('SALES Raw'!$D$6:$D$603,'SALES Raw'!$A$6:$A$603,$A77,'SALES Raw'!$B$6:$B$603,2025)</f>
        <v>140.54</v>
      </c>
      <c r="D77" s="28" t="n">
        <f aca="false">SUMIFS('SALES Raw'!$C$6:$C$603,'SALES Raw'!$A$6:$A$603,$A77,'SALES Raw'!$B$6:$B$603,2026)</f>
        <v>0</v>
      </c>
      <c r="E77" s="29" t="n">
        <f aca="false">SUMIFS('SALES Raw'!$D$6:$D$603,'SALES Raw'!$A$6:$A$603,$A77,'SALES Raw'!$B$6:$B$603,2026)</f>
        <v>0</v>
      </c>
    </row>
    <row r="78" customFormat="false" ht="15" hidden="false" customHeight="false" outlineLevel="0" collapsed="false">
      <c r="A78" s="27" t="s">
        <v>133</v>
      </c>
      <c r="B78" s="28" t="n">
        <f aca="false">SUMIFS('SALES Raw'!$C$6:$C$603,'SALES Raw'!$A$6:$A$603,$A78,'SALES Raw'!$B$6:$B$603,2025)</f>
        <v>2</v>
      </c>
      <c r="C78" s="29" t="n">
        <f aca="false">SUMIFS('SALES Raw'!$D$6:$D$603,'SALES Raw'!$A$6:$A$603,$A78,'SALES Raw'!$B$6:$B$603,2025)</f>
        <v>140.52</v>
      </c>
      <c r="D78" s="28" t="n">
        <f aca="false">SUMIFS('SALES Raw'!$C$6:$C$603,'SALES Raw'!$A$6:$A$603,$A78,'SALES Raw'!$B$6:$B$603,2026)</f>
        <v>0</v>
      </c>
      <c r="E78" s="29" t="n">
        <f aca="false">SUMIFS('SALES Raw'!$D$6:$D$603,'SALES Raw'!$A$6:$A$603,$A78,'SALES Raw'!$B$6:$B$603,2026)</f>
        <v>0</v>
      </c>
    </row>
    <row r="79" customFormat="false" ht="15" hidden="false" customHeight="false" outlineLevel="0" collapsed="false">
      <c r="A79" s="27" t="s">
        <v>134</v>
      </c>
      <c r="B79" s="28" t="n">
        <f aca="false">SUMIFS('SALES Raw'!$C$6:$C$603,'SALES Raw'!$A$6:$A$603,$A79,'SALES Raw'!$B$6:$B$603,2025)</f>
        <v>2</v>
      </c>
      <c r="C79" s="29" t="n">
        <f aca="false">SUMIFS('SALES Raw'!$D$6:$D$603,'SALES Raw'!$A$6:$A$603,$A79,'SALES Raw'!$B$6:$B$603,2025)</f>
        <v>215.52</v>
      </c>
      <c r="D79" s="28" t="n">
        <f aca="false">SUMIFS('SALES Raw'!$C$6:$C$603,'SALES Raw'!$A$6:$A$603,$A79,'SALES Raw'!$B$6:$B$603,2026)</f>
        <v>0</v>
      </c>
      <c r="E79" s="29" t="n">
        <f aca="false">SUMIFS('SALES Raw'!$D$6:$D$603,'SALES Raw'!$A$6:$A$603,$A79,'SALES Raw'!$B$6:$B$603,2026)</f>
        <v>0</v>
      </c>
    </row>
    <row r="80" customFormat="false" ht="15" hidden="false" customHeight="false" outlineLevel="0" collapsed="false">
      <c r="A80" s="27" t="s">
        <v>135</v>
      </c>
      <c r="B80" s="28" t="n">
        <f aca="false">SUMIFS('SALES Raw'!$C$6:$C$603,'SALES Raw'!$A$6:$A$603,$A80,'SALES Raw'!$B$6:$B$603,2025)</f>
        <v>1</v>
      </c>
      <c r="C80" s="29" t="n">
        <f aca="false">SUMIFS('SALES Raw'!$D$6:$D$603,'SALES Raw'!$A$6:$A$603,$A80,'SALES Raw'!$B$6:$B$603,2025)</f>
        <v>107.76</v>
      </c>
      <c r="D80" s="28" t="n">
        <f aca="false">SUMIFS('SALES Raw'!$C$6:$C$603,'SALES Raw'!$A$6:$A$603,$A80,'SALES Raw'!$B$6:$B$603,2026)</f>
        <v>0</v>
      </c>
      <c r="E80" s="29" t="n">
        <f aca="false">SUMIFS('SALES Raw'!$D$6:$D$603,'SALES Raw'!$A$6:$A$603,$A80,'SALES Raw'!$B$6:$B$603,2026)</f>
        <v>0</v>
      </c>
    </row>
    <row r="81" customFormat="false" ht="15" hidden="false" customHeight="false" outlineLevel="0" collapsed="false">
      <c r="A81" s="27" t="s">
        <v>136</v>
      </c>
      <c r="B81" s="28" t="n">
        <f aca="false">SUMIFS('SALES Raw'!$C$6:$C$603,'SALES Raw'!$A$6:$A$603,$A81,'SALES Raw'!$B$6:$B$603,2025)</f>
        <v>3</v>
      </c>
      <c r="C81" s="29" t="n">
        <f aca="false">SUMIFS('SALES Raw'!$D$6:$D$603,'SALES Raw'!$A$6:$A$603,$A81,'SALES Raw'!$B$6:$B$603,2025)</f>
        <v>283.89</v>
      </c>
      <c r="D81" s="28" t="n">
        <f aca="false">SUMIFS('SALES Raw'!$C$6:$C$603,'SALES Raw'!$A$6:$A$603,$A81,'SALES Raw'!$B$6:$B$603,2026)</f>
        <v>3</v>
      </c>
      <c r="E81" s="29" t="n">
        <f aca="false">SUMIFS('SALES Raw'!$D$6:$D$603,'SALES Raw'!$A$6:$A$603,$A81,'SALES Raw'!$B$6:$B$603,2026)</f>
        <v>283.9</v>
      </c>
    </row>
    <row r="82" customFormat="false" ht="15" hidden="false" customHeight="false" outlineLevel="0" collapsed="false">
      <c r="A82" s="27" t="s">
        <v>137</v>
      </c>
      <c r="B82" s="28" t="n">
        <f aca="false">SUMIFS('SALES Raw'!$C$6:$C$603,'SALES Raw'!$A$6:$A$603,$A82,'SALES Raw'!$B$6:$B$603,2025)</f>
        <v>4</v>
      </c>
      <c r="C82" s="29" t="n">
        <f aca="false">SUMIFS('SALES Raw'!$D$6:$D$603,'SALES Raw'!$A$6:$A$603,$A82,'SALES Raw'!$B$6:$B$603,2025)</f>
        <v>378.54</v>
      </c>
      <c r="D82" s="28" t="n">
        <f aca="false">SUMIFS('SALES Raw'!$C$6:$C$603,'SALES Raw'!$A$6:$A$603,$A82,'SALES Raw'!$B$6:$B$603,2026)</f>
        <v>2</v>
      </c>
      <c r="E82" s="29" t="n">
        <f aca="false">SUMIFS('SALES Raw'!$D$6:$D$603,'SALES Raw'!$A$6:$A$603,$A82,'SALES Raw'!$B$6:$B$603,2026)</f>
        <v>189.26</v>
      </c>
    </row>
    <row r="83" customFormat="false" ht="15" hidden="false" customHeight="false" outlineLevel="0" collapsed="false">
      <c r="A83" s="27" t="s">
        <v>138</v>
      </c>
      <c r="B83" s="28" t="n">
        <f aca="false">SUMIFS('SALES Raw'!$C$6:$C$603,'SALES Raw'!$A$6:$A$603,$A83,'SALES Raw'!$B$6:$B$603,2025)</f>
        <v>0</v>
      </c>
      <c r="C83" s="29" t="n">
        <f aca="false">SUMIFS('SALES Raw'!$D$6:$D$603,'SALES Raw'!$A$6:$A$603,$A83,'SALES Raw'!$B$6:$B$603,2025)</f>
        <v>0</v>
      </c>
      <c r="D83" s="28" t="n">
        <f aca="false">SUMIFS('SALES Raw'!$C$6:$C$603,'SALES Raw'!$A$6:$A$603,$A83,'SALES Raw'!$B$6:$B$603,2026)</f>
        <v>1</v>
      </c>
      <c r="E83" s="29" t="n">
        <f aca="false">SUMIFS('SALES Raw'!$D$6:$D$603,'SALES Raw'!$A$6:$A$603,$A83,'SALES Raw'!$B$6:$B$603,2026)</f>
        <v>94.63</v>
      </c>
    </row>
    <row r="84" customFormat="false" ht="15" hidden="false" customHeight="false" outlineLevel="0" collapsed="false">
      <c r="A84" s="27" t="s">
        <v>139</v>
      </c>
      <c r="B84" s="28" t="n">
        <f aca="false">SUMIFS('SALES Raw'!$C$6:$C$603,'SALES Raw'!$A$6:$A$603,$A84,'SALES Raw'!$B$6:$B$603,2025)</f>
        <v>0</v>
      </c>
      <c r="C84" s="29" t="n">
        <f aca="false">SUMIFS('SALES Raw'!$D$6:$D$603,'SALES Raw'!$A$6:$A$603,$A84,'SALES Raw'!$B$6:$B$603,2025)</f>
        <v>0</v>
      </c>
      <c r="D84" s="28" t="n">
        <f aca="false">SUMIFS('SALES Raw'!$C$6:$C$603,'SALES Raw'!$A$6:$A$603,$A84,'SALES Raw'!$B$6:$B$603,2026)</f>
        <v>1</v>
      </c>
      <c r="E84" s="29" t="n">
        <f aca="false">SUMIFS('SALES Raw'!$D$6:$D$603,'SALES Raw'!$A$6:$A$603,$A84,'SALES Raw'!$B$6:$B$603,2026)</f>
        <v>94.63</v>
      </c>
    </row>
    <row r="85" customFormat="false" ht="15" hidden="false" customHeight="false" outlineLevel="0" collapsed="false">
      <c r="A85" s="27" t="s">
        <v>140</v>
      </c>
      <c r="B85" s="28" t="n">
        <f aca="false">SUMIFS('SALES Raw'!$C$6:$C$603,'SALES Raw'!$A$6:$A$603,$A85,'SALES Raw'!$B$6:$B$603,2025)</f>
        <v>0</v>
      </c>
      <c r="C85" s="29" t="n">
        <f aca="false">SUMIFS('SALES Raw'!$D$6:$D$603,'SALES Raw'!$A$6:$A$603,$A85,'SALES Raw'!$B$6:$B$603,2025)</f>
        <v>0</v>
      </c>
      <c r="D85" s="28" t="n">
        <f aca="false">SUMIFS('SALES Raw'!$C$6:$C$603,'SALES Raw'!$A$6:$A$603,$A85,'SALES Raw'!$B$6:$B$603,2026)</f>
        <v>1</v>
      </c>
      <c r="E85" s="29" t="n">
        <f aca="false">SUMIFS('SALES Raw'!$D$6:$D$603,'SALES Raw'!$A$6:$A$603,$A85,'SALES Raw'!$B$6:$B$603,2026)</f>
        <v>118.13</v>
      </c>
    </row>
    <row r="86" customFormat="false" ht="15" hidden="false" customHeight="false" outlineLevel="0" collapsed="false">
      <c r="A86" s="27" t="s">
        <v>141</v>
      </c>
      <c r="B86" s="28" t="n">
        <f aca="false">SUMIFS('SALES Raw'!$C$6:$C$603,'SALES Raw'!$A$6:$A$603,$A86,'SALES Raw'!$B$6:$B$603,2025)</f>
        <v>0</v>
      </c>
      <c r="C86" s="29" t="n">
        <f aca="false">SUMIFS('SALES Raw'!$D$6:$D$603,'SALES Raw'!$A$6:$A$603,$A86,'SALES Raw'!$B$6:$B$603,2025)</f>
        <v>0</v>
      </c>
      <c r="D86" s="28" t="n">
        <f aca="false">SUMIFS('SALES Raw'!$C$6:$C$603,'SALES Raw'!$A$6:$A$603,$A86,'SALES Raw'!$B$6:$B$603,2026)</f>
        <v>2</v>
      </c>
      <c r="E86" s="29" t="n">
        <f aca="false">SUMIFS('SALES Raw'!$D$6:$D$603,'SALES Raw'!$A$6:$A$603,$A86,'SALES Raw'!$B$6:$B$603,2026)</f>
        <v>236.26</v>
      </c>
    </row>
    <row r="87" customFormat="false" ht="15" hidden="false" customHeight="false" outlineLevel="0" collapsed="false">
      <c r="A87" s="30" t="s">
        <v>142</v>
      </c>
      <c r="B87" s="31" t="n">
        <f aca="false">SUM(B10:B86)</f>
        <v>341</v>
      </c>
      <c r="C87" s="32" t="n">
        <f aca="false">SUM(C10:C86)</f>
        <v>35070.49</v>
      </c>
      <c r="D87" s="31" t="n">
        <f aca="false">SUM(D10:D86)</f>
        <v>120</v>
      </c>
      <c r="E87" s="32" t="n">
        <f aca="false">SUM(E10:E86)</f>
        <v>15033.36</v>
      </c>
    </row>
    <row r="89" customFormat="false" ht="32.8" hidden="false" customHeight="true" outlineLevel="0" collapsed="false">
      <c r="A89" s="13" t="s">
        <v>143</v>
      </c>
      <c r="B89" s="13"/>
      <c r="C89" s="13"/>
      <c r="D89" s="13"/>
      <c r="E89" s="13"/>
    </row>
  </sheetData>
  <mergeCells count="2">
    <mergeCell ref="A3:K3"/>
    <mergeCell ref="A89:E8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42"/>
  </cols>
  <sheetData>
    <row r="1" customFormat="false" ht="17.15" hidden="false" customHeight="false" outlineLevel="0" collapsed="false">
      <c r="A1" s="2" t="s">
        <v>144</v>
      </c>
    </row>
    <row r="2" customFormat="false" ht="15" hidden="false" customHeight="false" outlineLevel="0" collapsed="false">
      <c r="A2" s="3" t="s">
        <v>1</v>
      </c>
      <c r="B2" s="4" t="n">
        <v>46290</v>
      </c>
    </row>
    <row r="3" customFormat="false" ht="15" hidden="false" customHeight="true" outlineLevel="0" collapsed="false">
      <c r="A3" s="5" t="s">
        <v>145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5" customFormat="false" ht="15" hidden="false" customHeight="false" outlineLevel="0" collapsed="false">
      <c r="A5" s="19" t="s">
        <v>146</v>
      </c>
      <c r="B5" s="19" t="s">
        <v>147</v>
      </c>
      <c r="C5" s="19" t="s">
        <v>148</v>
      </c>
    </row>
    <row r="6" customFormat="false" ht="15" hidden="false" customHeight="false" outlineLevel="0" collapsed="false">
      <c r="A6" s="20" t="n">
        <v>4402014</v>
      </c>
      <c r="B6" s="20" t="s">
        <v>149</v>
      </c>
      <c r="C6" s="20" t="str">
        <f aca="false">TRIM(SUBSTITUTE($B6,CHAR(160)," "))</f>
        <v>BE CARE תחבושת אלסטית 10ס""מ</v>
      </c>
    </row>
    <row r="7" customFormat="false" ht="15" hidden="false" customHeight="false" outlineLevel="0" collapsed="false">
      <c r="A7" s="20" t="n">
        <v>4402012</v>
      </c>
      <c r="B7" s="20" t="s">
        <v>150</v>
      </c>
      <c r="C7" s="20" t="str">
        <f aca="false">TRIM(SUBSTITUTE($B7,CHAR(160)," "))</f>
        <v>BE CARE תחבושת אלסטית 5 ס""מ</v>
      </c>
    </row>
    <row r="8" customFormat="false" ht="15" hidden="false" customHeight="false" outlineLevel="0" collapsed="false">
      <c r="A8" s="20" t="n">
        <v>4402013</v>
      </c>
      <c r="B8" s="20" t="s">
        <v>151</v>
      </c>
      <c r="C8" s="20" t="str">
        <f aca="false">TRIM(SUBSTITUTE($B8,CHAR(160)," "))</f>
        <v>BE CARE תחבושת אלסטית 7.5סמ</v>
      </c>
    </row>
    <row r="9" customFormat="false" ht="15" hidden="false" customHeight="false" outlineLevel="0" collapsed="false">
      <c r="A9" s="20" t="n">
        <v>4402015</v>
      </c>
      <c r="B9" s="20" t="s">
        <v>152</v>
      </c>
      <c r="C9" s="20" t="str">
        <f aca="false">TRIM(SUBSTITUTE($B9,CHAR(160)," "))</f>
        <v>BE CARE CB BEIGE</v>
      </c>
    </row>
    <row r="10" customFormat="false" ht="15" hidden="false" customHeight="false" outlineLevel="0" collapsed="false">
      <c r="A10" s="20" t="n">
        <v>4402016</v>
      </c>
      <c r="B10" s="20" t="s">
        <v>153</v>
      </c>
      <c r="C10" s="20" t="str">
        <f aca="false">TRIM(SUBSTITUTE($B10,CHAR(160)," "))</f>
        <v>BE CARE CB BLACK</v>
      </c>
    </row>
    <row r="11" customFormat="false" ht="15" hidden="false" customHeight="false" outlineLevel="0" collapsed="false">
      <c r="A11" s="20" t="n">
        <v>4402017</v>
      </c>
      <c r="B11" s="20" t="s">
        <v>154</v>
      </c>
      <c r="C11" s="20" t="str">
        <f aca="false">TRIM(SUBSTITUTE($B11,CHAR(160)," "))</f>
        <v>BE CARE CB GREEN</v>
      </c>
    </row>
    <row r="12" customFormat="false" ht="15" hidden="false" customHeight="false" outlineLevel="0" collapsed="false">
      <c r="A12" s="20" t="n">
        <v>4402018</v>
      </c>
      <c r="B12" s="20" t="s">
        <v>155</v>
      </c>
      <c r="C12" s="20" t="str">
        <f aca="false">TRIM(SUBSTITUTE($B12,CHAR(160)," "))</f>
        <v>BE CARE CB PINK</v>
      </c>
    </row>
    <row r="13" customFormat="false" ht="15" hidden="false" customHeight="false" outlineLevel="0" collapsed="false">
      <c r="A13" s="20" t="n">
        <v>4402019</v>
      </c>
      <c r="B13" s="20" t="s">
        <v>156</v>
      </c>
      <c r="C13" s="20" t="str">
        <f aca="false">TRIM(SUBSTITUTE($B13,CHAR(160)," "))</f>
        <v>BE CARE KT BEIGE</v>
      </c>
    </row>
    <row r="14" customFormat="false" ht="15" hidden="false" customHeight="false" outlineLevel="0" collapsed="false">
      <c r="A14" s="20" t="n">
        <v>4402020</v>
      </c>
      <c r="B14" s="20" t="s">
        <v>157</v>
      </c>
      <c r="C14" s="20" t="str">
        <f aca="false">TRIM(SUBSTITUTE($B14,CHAR(160)," "))</f>
        <v>BE CARE KT BLACK</v>
      </c>
    </row>
    <row r="15" customFormat="false" ht="15" hidden="false" customHeight="false" outlineLevel="0" collapsed="false">
      <c r="A15" s="20" t="n">
        <v>4402021</v>
      </c>
      <c r="B15" s="20" t="s">
        <v>158</v>
      </c>
      <c r="C15" s="20" t="str">
        <f aca="false">TRIM(SUBSTITUTE($B15,CHAR(160)," "))</f>
        <v>BE CARE KT BLUE</v>
      </c>
    </row>
    <row r="16" customFormat="false" ht="15" hidden="false" customHeight="false" outlineLevel="0" collapsed="false">
      <c r="A16" s="20" t="n">
        <v>4402022</v>
      </c>
      <c r="B16" s="20" t="s">
        <v>159</v>
      </c>
      <c r="C16" s="20" t="str">
        <f aca="false">TRIM(SUBSTITUTE($B16,CHAR(160)," "))</f>
        <v>BE CARE KT PINK</v>
      </c>
    </row>
    <row r="17" customFormat="false" ht="15" hidden="false" customHeight="false" outlineLevel="0" collapsed="false">
      <c r="A17" s="20" t="n">
        <v>4420016</v>
      </c>
      <c r="B17" s="20" t="s">
        <v>160</v>
      </c>
      <c r="C17" s="20" t="str">
        <f aca="false">TRIM(SUBSTITUTE($B17,CHAR(160)," "))</f>
        <v>40-רצועת פיקה לברך</v>
      </c>
    </row>
    <row r="18" customFormat="false" ht="15" hidden="false" customHeight="false" outlineLevel="0" collapsed="false">
      <c r="A18" s="20" t="n">
        <v>4420017</v>
      </c>
      <c r="B18" s="20" t="s">
        <v>161</v>
      </c>
      <c r="C18" s="20" t="str">
        <f aca="false">TRIM(SUBSTITUTE($B18,CHAR(160)," "))</f>
        <v>4022 רצועת ""פיקה""+כרית</v>
      </c>
    </row>
    <row r="19" customFormat="false" ht="15" hidden="false" customHeight="false" outlineLevel="0" collapsed="false">
      <c r="A19" s="20" t="n">
        <v>4413074</v>
      </c>
      <c r="B19" s="20" t="s">
        <v>162</v>
      </c>
      <c r="C19" s="20" t="str">
        <f aca="false">TRIM(SUBSTITUTE($B19,CHAR(160)," "))</f>
        <v>41 XL.מ.ברך מוצלב+ספירלות בצד</v>
      </c>
    </row>
    <row r="20" customFormat="false" ht="15" hidden="false" customHeight="false" outlineLevel="0" collapsed="false">
      <c r="A20" s="20" t="n">
        <v>4413072</v>
      </c>
      <c r="B20" s="20" t="s">
        <v>163</v>
      </c>
      <c r="C20" s="20" t="str">
        <f aca="false">TRIM(SUBSTITUTE($B20,CHAR(160)," "))</f>
        <v>41 Lמ.ברך מוצלב+ספירלות בצדדים</v>
      </c>
    </row>
    <row r="21" customFormat="false" ht="15" hidden="false" customHeight="false" outlineLevel="0" collapsed="false">
      <c r="A21" s="20" t="n">
        <v>4413073</v>
      </c>
      <c r="B21" s="20" t="s">
        <v>164</v>
      </c>
      <c r="C21" s="20" t="str">
        <f aca="false">TRIM(SUBSTITUTE($B21,CHAR(160)," "))</f>
        <v>41 Mמ.ברך מוצלב+ספירלות בצדדים</v>
      </c>
    </row>
    <row r="22" customFormat="false" ht="15" hidden="false" customHeight="false" outlineLevel="0" collapsed="false">
      <c r="A22" s="20" t="n">
        <v>4413071</v>
      </c>
      <c r="B22" s="20" t="s">
        <v>165</v>
      </c>
      <c r="C22" s="20" t="str">
        <f aca="false">TRIM(SUBSTITUTE($B22,CHAR(160)," "))</f>
        <v>41 Sמ.ברך מוצלב+ספירלות בצדדים</v>
      </c>
    </row>
    <row r="23" customFormat="false" ht="15" hidden="false" customHeight="false" outlineLevel="0" collapsed="false">
      <c r="A23" s="20" t="n">
        <v>4413275</v>
      </c>
      <c r="B23" s="20" t="s">
        <v>166</v>
      </c>
      <c r="C23" s="20" t="str">
        <f aca="false">TRIM(SUBSTITUTE($B23,CHAR(160)," "))</f>
        <v>41 XS מ.ברך מוצלב+מוטות</v>
      </c>
    </row>
    <row r="24" customFormat="false" ht="15" hidden="false" customHeight="false" outlineLevel="0" collapsed="false">
      <c r="A24" s="20" t="n">
        <v>4413075</v>
      </c>
      <c r="B24" s="20" t="s">
        <v>167</v>
      </c>
      <c r="C24" s="20" t="str">
        <f aca="false">TRIM(SUBSTITUTE($B24,CHAR(160)," "))</f>
        <v>41 XXL.מ.ברך מוצלב+ספירלות בצד</v>
      </c>
    </row>
    <row r="25" customFormat="false" ht="15" hidden="false" customHeight="false" outlineLevel="0" collapsed="false">
      <c r="A25" s="20" t="n">
        <v>4413076</v>
      </c>
      <c r="B25" s="20" t="s">
        <v>168</v>
      </c>
      <c r="C25" s="20" t="str">
        <f aca="false">TRIM(SUBSTITUTE($B25,CHAR(160)," "))</f>
        <v>41X L מגן ברך מוצלב+מוט</v>
      </c>
    </row>
    <row r="26" customFormat="false" ht="15" hidden="false" customHeight="false" outlineLevel="0" collapsed="false">
      <c r="A26" s="20" t="n">
        <v>4413077</v>
      </c>
      <c r="B26" s="20" t="s">
        <v>169</v>
      </c>
      <c r="C26" s="20" t="str">
        <f aca="false">TRIM(SUBSTITUTE($B26,CHAR(160)," "))</f>
        <v>41X M מגן ברך מוצלב+מוט</v>
      </c>
    </row>
    <row r="27" customFormat="false" ht="15" hidden="false" customHeight="false" outlineLevel="0" collapsed="false">
      <c r="A27" s="20" t="n">
        <v>4413078</v>
      </c>
      <c r="B27" s="20" t="s">
        <v>170</v>
      </c>
      <c r="C27" s="20" t="str">
        <f aca="false">TRIM(SUBSTITUTE($B27,CHAR(160)," "))</f>
        <v>41X S מגן ברך מוצלב+מוט</v>
      </c>
    </row>
    <row r="28" customFormat="false" ht="15" hidden="false" customHeight="false" outlineLevel="0" collapsed="false">
      <c r="A28" s="20" t="n">
        <v>4413079</v>
      </c>
      <c r="B28" s="20" t="s">
        <v>171</v>
      </c>
      <c r="C28" s="20" t="str">
        <f aca="false">TRIM(SUBSTITUTE($B28,CHAR(160)," "))</f>
        <v>41X XL מגן ברך מוצלב+מוט</v>
      </c>
    </row>
    <row r="29" customFormat="false" ht="15" hidden="false" customHeight="false" outlineLevel="0" collapsed="false">
      <c r="A29" s="20" t="n">
        <v>4413080</v>
      </c>
      <c r="B29" s="20" t="s">
        <v>172</v>
      </c>
      <c r="C29" s="20" t="str">
        <f aca="false">TRIM(SUBSTITUTE($B29,CHAR(160)," "))</f>
        <v>41X XS מגן ברך מוצלב+מוט</v>
      </c>
    </row>
    <row r="30" customFormat="false" ht="15" hidden="false" customHeight="false" outlineLevel="0" collapsed="false">
      <c r="A30" s="20" t="n">
        <v>4413081</v>
      </c>
      <c r="B30" s="20" t="s">
        <v>173</v>
      </c>
      <c r="C30" s="20" t="str">
        <f aca="false">TRIM(SUBSTITUTE($B30,CHAR(160)," "))</f>
        <v>41X XXL מגן ברך מוצלב+מוט</v>
      </c>
    </row>
    <row r="31" customFormat="false" ht="15" hidden="false" customHeight="false" outlineLevel="0" collapsed="false">
      <c r="A31" s="20" t="n">
        <v>4413087</v>
      </c>
      <c r="B31" s="20" t="s">
        <v>174</v>
      </c>
      <c r="C31" s="20" t="str">
        <f aca="false">TRIM(SUBSTITUTE($B31,CHAR(160)," "))</f>
        <v>422 Lמ.ברך+כרית סיל.סביב לפיקה</v>
      </c>
    </row>
    <row r="32" customFormat="false" ht="15" hidden="false" customHeight="false" outlineLevel="0" collapsed="false">
      <c r="A32" s="20" t="n">
        <v>4413088</v>
      </c>
      <c r="B32" s="20" t="s">
        <v>175</v>
      </c>
      <c r="C32" s="20" t="str">
        <f aca="false">TRIM(SUBSTITUTE($B32,CHAR(160)," "))</f>
        <v>422 Mמ.ברך+כרית סיל.סביב לפיקה</v>
      </c>
    </row>
    <row r="33" customFormat="false" ht="15" hidden="false" customHeight="false" outlineLevel="0" collapsed="false">
      <c r="A33" s="20" t="n">
        <v>4413089</v>
      </c>
      <c r="B33" s="20" t="s">
        <v>176</v>
      </c>
      <c r="C33" s="20" t="str">
        <f aca="false">TRIM(SUBSTITUTE($B33,CHAR(160)," "))</f>
        <v>422 Sמ.ברך+כרית סיל.סביב לפיקה</v>
      </c>
    </row>
    <row r="34" customFormat="false" ht="15" hidden="false" customHeight="false" outlineLevel="0" collapsed="false">
      <c r="A34" s="20" t="n">
        <v>4413090</v>
      </c>
      <c r="B34" s="20" t="s">
        <v>177</v>
      </c>
      <c r="C34" s="20" t="str">
        <f aca="false">TRIM(SUBSTITUTE($B34,CHAR(160)," "))</f>
        <v>422 XLמ.ברך+כרית סיל.סביב לפיק</v>
      </c>
    </row>
    <row r="35" customFormat="false" ht="15" hidden="false" customHeight="false" outlineLevel="0" collapsed="false">
      <c r="A35" s="20" t="n">
        <v>4413091</v>
      </c>
      <c r="B35" s="20" t="s">
        <v>178</v>
      </c>
      <c r="C35" s="20" t="str">
        <f aca="false">TRIM(SUBSTITUTE($B35,CHAR(160)," "))</f>
        <v>422 XXLמ.ברך+כרית סיל.סב. פיקה</v>
      </c>
    </row>
    <row r="36" customFormat="false" ht="15" hidden="false" customHeight="false" outlineLevel="0" collapsed="false">
      <c r="A36" s="20" t="n">
        <v>4413083</v>
      </c>
      <c r="B36" s="20" t="s">
        <v>179</v>
      </c>
      <c r="C36" s="20" t="str">
        <f aca="false">TRIM(SUBSTITUTE($B36,CHAR(160)," "))</f>
        <v>422+ L מ.ברך סיליק.רצועות לבן</v>
      </c>
    </row>
    <row r="37" customFormat="false" ht="15" hidden="false" customHeight="false" outlineLevel="0" collapsed="false">
      <c r="A37" s="20" t="n">
        <v>4413084</v>
      </c>
      <c r="B37" s="20" t="s">
        <v>180</v>
      </c>
      <c r="C37" s="20" t="str">
        <f aca="false">TRIM(SUBSTITUTE($B37,CHAR(160)," "))</f>
        <v>422+ Mמ.ברך סיל.רצועות חזק לבן</v>
      </c>
    </row>
    <row r="38" customFormat="false" ht="15" hidden="false" customHeight="false" outlineLevel="0" collapsed="false">
      <c r="A38" s="20" t="n">
        <v>4413085</v>
      </c>
      <c r="B38" s="20" t="s">
        <v>181</v>
      </c>
      <c r="C38" s="20" t="str">
        <f aca="false">TRIM(SUBSTITUTE($B38,CHAR(160)," "))</f>
        <v>422+ XLמ.ברך סיליק.לבן</v>
      </c>
    </row>
    <row r="39" customFormat="false" ht="15" hidden="false" customHeight="false" outlineLevel="0" collapsed="false">
      <c r="A39" s="20" t="n">
        <v>4413086</v>
      </c>
      <c r="B39" s="20" t="s">
        <v>182</v>
      </c>
      <c r="C39" s="20" t="str">
        <f aca="false">TRIM(SUBSTITUTE($B39,CHAR(160)," "))</f>
        <v>422+ XXLמ.ברך סיל.רצוע.חזק לבן</v>
      </c>
    </row>
    <row r="40" customFormat="false" ht="15" hidden="false" customHeight="false" outlineLevel="0" collapsed="false">
      <c r="A40" s="20" t="n">
        <v>4413279</v>
      </c>
      <c r="B40" s="20" t="s">
        <v>183</v>
      </c>
      <c r="C40" s="20" t="str">
        <f aca="false">TRIM(SUBSTITUTE($B40,CHAR(160)," "))</f>
        <v>422E L מגן ברך ארוך עם כרית</v>
      </c>
    </row>
    <row r="41" customFormat="false" ht="15" hidden="false" customHeight="false" outlineLevel="0" collapsed="false">
      <c r="A41" s="20" t="n">
        <v>4413280</v>
      </c>
      <c r="B41" s="20" t="s">
        <v>184</v>
      </c>
      <c r="C41" s="20" t="str">
        <f aca="false">TRIM(SUBSTITUTE($B41,CHAR(160)," "))</f>
        <v>422E M מגן ברך ארוך עם כרית</v>
      </c>
    </row>
    <row r="42" customFormat="false" ht="15" hidden="false" customHeight="false" outlineLevel="0" collapsed="false">
      <c r="A42" s="20" t="n">
        <v>4413281</v>
      </c>
      <c r="B42" s="20" t="s">
        <v>185</v>
      </c>
      <c r="C42" s="20" t="str">
        <f aca="false">TRIM(SUBSTITUTE($B42,CHAR(160)," "))</f>
        <v>422E S מגן ברך ארוך עם כרית</v>
      </c>
    </row>
    <row r="43" customFormat="false" ht="15" hidden="false" customHeight="false" outlineLevel="0" collapsed="false">
      <c r="A43" s="20" t="n">
        <v>4413282</v>
      </c>
      <c r="B43" s="20" t="s">
        <v>186</v>
      </c>
      <c r="C43" s="20" t="str">
        <f aca="false">TRIM(SUBSTITUTE($B43,CHAR(160)," "))</f>
        <v>422E XL מגן ברך ארוך עם כרית</v>
      </c>
    </row>
    <row r="44" customFormat="false" ht="15" hidden="false" customHeight="false" outlineLevel="0" collapsed="false">
      <c r="A44" s="20" t="n">
        <v>4413283</v>
      </c>
      <c r="B44" s="20" t="s">
        <v>187</v>
      </c>
      <c r="C44" s="20" t="str">
        <f aca="false">TRIM(SUBSTITUTE($B44,CHAR(160)," "))</f>
        <v>422E XXL מגן ברך ארוך עם כרית</v>
      </c>
    </row>
    <row r="45" customFormat="false" ht="15" hidden="false" customHeight="false" outlineLevel="0" collapsed="false">
      <c r="A45" s="20" t="n">
        <v>4413284</v>
      </c>
      <c r="B45" s="20" t="s">
        <v>188</v>
      </c>
      <c r="C45" s="20" t="str">
        <f aca="false">TRIM(SUBSTITUTE($B45,CHAR(160)," "))</f>
        <v>422E XXXL מגן ברך ארוך עם כרית</v>
      </c>
    </row>
    <row r="46" customFormat="false" ht="15" hidden="false" customHeight="false" outlineLevel="0" collapsed="false">
      <c r="A46" s="20" t="n">
        <v>4413341</v>
      </c>
      <c r="B46" s="20" t="s">
        <v>189</v>
      </c>
      <c r="C46" s="20" t="str">
        <f aca="false">TRIM(SUBSTITUTE($B46,CHAR(160)," "))</f>
        <v>422N L מ.ברך אפור+כרית סיליקון</v>
      </c>
    </row>
    <row r="47" customFormat="false" ht="15" hidden="false" customHeight="false" outlineLevel="0" collapsed="false">
      <c r="A47" s="20" t="n">
        <v>4413342</v>
      </c>
      <c r="B47" s="20" t="s">
        <v>190</v>
      </c>
      <c r="C47" s="20" t="str">
        <f aca="false">TRIM(SUBSTITUTE($B47,CHAR(160)," "))</f>
        <v>422N M מ.ברך אפור+כרית סיליקון</v>
      </c>
    </row>
    <row r="48" customFormat="false" ht="15" hidden="false" customHeight="false" outlineLevel="0" collapsed="false">
      <c r="A48" s="20" t="n">
        <v>4413344</v>
      </c>
      <c r="B48" s="20" t="s">
        <v>191</v>
      </c>
      <c r="C48" s="20" t="str">
        <f aca="false">TRIM(SUBSTITUTE($B48,CHAR(160)," "))</f>
        <v>422N XLמ.ברך אפור+כרית סיליקון</v>
      </c>
    </row>
    <row r="49" customFormat="false" ht="15" hidden="false" customHeight="false" outlineLevel="0" collapsed="false">
      <c r="A49" s="20" t="n">
        <v>4413345</v>
      </c>
      <c r="B49" s="20" t="s">
        <v>192</v>
      </c>
      <c r="C49" s="20" t="str">
        <f aca="false">TRIM(SUBSTITUTE($B49,CHAR(160)," "))</f>
        <v>422N XXL.מ.ברך אפור+כרית סיליק</v>
      </c>
    </row>
    <row r="50" customFormat="false" ht="15" hidden="false" customHeight="false" outlineLevel="0" collapsed="false">
      <c r="A50" s="20" t="n">
        <v>4415104</v>
      </c>
      <c r="B50" s="20" t="s">
        <v>193</v>
      </c>
      <c r="C50" s="20" t="str">
        <f aca="false">TRIM(SUBSTITUTE($B50,CHAR(160)," "))</f>
        <v>44G XL-Lסד ברך לאחר ניתוח</v>
      </c>
    </row>
    <row r="51" customFormat="false" ht="15" hidden="false" customHeight="false" outlineLevel="0" collapsed="false">
      <c r="A51" s="20" t="n">
        <v>4413332</v>
      </c>
      <c r="B51" s="20" t="s">
        <v>194</v>
      </c>
      <c r="C51" s="20" t="str">
        <f aca="false">TRIM(SUBSTITUTE($B51,CHAR(160)," "))</f>
        <v>45 XS מגן ברך רגיל לבן</v>
      </c>
    </row>
    <row r="52" customFormat="false" ht="15" hidden="false" customHeight="false" outlineLevel="0" collapsed="false">
      <c r="A52" s="20" t="n">
        <v>4413092</v>
      </c>
      <c r="B52" s="20" t="s">
        <v>195</v>
      </c>
      <c r="C52" s="20" t="str">
        <f aca="false">TRIM(SUBSTITUTE($B52,CHAR(160)," "))</f>
        <v>45 L מגן ברך לבן</v>
      </c>
    </row>
    <row r="53" customFormat="false" ht="15" hidden="false" customHeight="false" outlineLevel="0" collapsed="false">
      <c r="A53" s="20" t="n">
        <v>4413093</v>
      </c>
      <c r="B53" s="20" t="s">
        <v>196</v>
      </c>
      <c r="C53" s="20" t="str">
        <f aca="false">TRIM(SUBSTITUTE($B53,CHAR(160)," "))</f>
        <v>45 M מגן ברך לבן</v>
      </c>
    </row>
    <row r="54" customFormat="false" ht="15" hidden="false" customHeight="false" outlineLevel="0" collapsed="false">
      <c r="A54" s="20" t="n">
        <v>4413094</v>
      </c>
      <c r="B54" s="20" t="s">
        <v>197</v>
      </c>
      <c r="C54" s="20" t="str">
        <f aca="false">TRIM(SUBSTITUTE($B54,CHAR(160)," "))</f>
        <v>45 S מגן ברך לבן</v>
      </c>
    </row>
    <row r="55" customFormat="false" ht="15" hidden="false" customHeight="false" outlineLevel="0" collapsed="false">
      <c r="A55" s="20" t="n">
        <v>4413095</v>
      </c>
      <c r="B55" s="20" t="s">
        <v>198</v>
      </c>
      <c r="C55" s="20" t="str">
        <f aca="false">TRIM(SUBSTITUTE($B55,CHAR(160)," "))</f>
        <v>45 XL מגן ברך לבן</v>
      </c>
    </row>
    <row r="56" customFormat="false" ht="15" hidden="false" customHeight="false" outlineLevel="0" collapsed="false">
      <c r="A56" s="20" t="n">
        <v>4413096</v>
      </c>
      <c r="B56" s="20" t="s">
        <v>199</v>
      </c>
      <c r="C56" s="20" t="str">
        <f aca="false">TRIM(SUBSTITUTE($B56,CHAR(160)," "))</f>
        <v>45 XXL מגן ברך לבן</v>
      </c>
    </row>
    <row r="57" customFormat="false" ht="15" hidden="false" customHeight="false" outlineLevel="0" collapsed="false">
      <c r="A57" s="20" t="n">
        <v>4413495</v>
      </c>
      <c r="B57" s="20" t="s">
        <v>200</v>
      </c>
      <c r="C57" s="20" t="str">
        <f aca="false">TRIM(SUBSTITUTE($B57,CHAR(160)," "))</f>
        <v>45B L מגן ברך שחור</v>
      </c>
    </row>
    <row r="58" customFormat="false" ht="15" hidden="false" customHeight="false" outlineLevel="0" collapsed="false">
      <c r="A58" s="20" t="n">
        <v>4413497</v>
      </c>
      <c r="B58" s="20" t="s">
        <v>201</v>
      </c>
      <c r="C58" s="20" t="str">
        <f aca="false">TRIM(SUBSTITUTE($B58,CHAR(160)," "))</f>
        <v>45B M מגן ברך שחור</v>
      </c>
    </row>
    <row r="59" customFormat="false" ht="15" hidden="false" customHeight="false" outlineLevel="0" collapsed="false">
      <c r="A59" s="20" t="n">
        <v>4413498</v>
      </c>
      <c r="B59" s="20" t="s">
        <v>202</v>
      </c>
      <c r="C59" s="20" t="str">
        <f aca="false">TRIM(SUBSTITUTE($B59,CHAR(160)," "))</f>
        <v>45B S מגן ברך שחור</v>
      </c>
    </row>
    <row r="60" customFormat="false" ht="15" hidden="false" customHeight="false" outlineLevel="0" collapsed="false">
      <c r="A60" s="20" t="n">
        <v>4413496</v>
      </c>
      <c r="B60" s="20" t="s">
        <v>203</v>
      </c>
      <c r="C60" s="20" t="str">
        <f aca="false">TRIM(SUBSTITUTE($B60,CHAR(160)," "))</f>
        <v>45B XL מגן ברך שחור</v>
      </c>
    </row>
    <row r="61" customFormat="false" ht="15" hidden="false" customHeight="false" outlineLevel="0" collapsed="false">
      <c r="A61" s="20" t="n">
        <v>4413499</v>
      </c>
      <c r="B61" s="20" t="s">
        <v>204</v>
      </c>
      <c r="C61" s="20" t="str">
        <f aca="false">TRIM(SUBSTITUTE($B61,CHAR(160)," "))</f>
        <v>45B XXLמגן ברך שחור</v>
      </c>
    </row>
    <row r="62" customFormat="false" ht="15" hidden="false" customHeight="false" outlineLevel="0" collapsed="false">
      <c r="A62" s="20" t="n">
        <v>4413098</v>
      </c>
      <c r="B62" s="20" t="s">
        <v>205</v>
      </c>
      <c r="C62" s="20" t="str">
        <f aca="false">TRIM(SUBSTITUTE($B62,CHAR(160)," "))</f>
        <v>45C L מגן ברך חום</v>
      </c>
    </row>
    <row r="63" customFormat="false" ht="15" hidden="false" customHeight="false" outlineLevel="0" collapsed="false">
      <c r="A63" s="20" t="n">
        <v>4413099</v>
      </c>
      <c r="B63" s="20" t="s">
        <v>206</v>
      </c>
      <c r="C63" s="20" t="str">
        <f aca="false">TRIM(SUBSTITUTE($B63,CHAR(160)," "))</f>
        <v>45C M מגן ברך חום</v>
      </c>
    </row>
    <row r="64" customFormat="false" ht="15" hidden="false" customHeight="false" outlineLevel="0" collapsed="false">
      <c r="A64" s="20" t="n">
        <v>4413097</v>
      </c>
      <c r="B64" s="20" t="s">
        <v>207</v>
      </c>
      <c r="C64" s="20" t="str">
        <f aca="false">TRIM(SUBSTITUTE($B64,CHAR(160)," "))</f>
        <v>45C S מגן ברך חום</v>
      </c>
    </row>
    <row r="65" customFormat="false" ht="15" hidden="false" customHeight="false" outlineLevel="0" collapsed="false">
      <c r="A65" s="20" t="n">
        <v>4413100</v>
      </c>
      <c r="B65" s="20" t="s">
        <v>208</v>
      </c>
      <c r="C65" s="20" t="str">
        <f aca="false">TRIM(SUBSTITUTE($B65,CHAR(160)," "))</f>
        <v>45C XL מגן ברך חום</v>
      </c>
    </row>
    <row r="66" customFormat="false" ht="15" hidden="false" customHeight="false" outlineLevel="0" collapsed="false">
      <c r="A66" s="20" t="n">
        <v>4413102</v>
      </c>
      <c r="B66" s="20" t="s">
        <v>209</v>
      </c>
      <c r="C66" s="20" t="str">
        <f aca="false">TRIM(SUBSTITUTE($B66,CHAR(160)," "))</f>
        <v>45E L מגן ברך ארוך לבן</v>
      </c>
    </row>
    <row r="67" customFormat="false" ht="15" hidden="false" customHeight="false" outlineLevel="0" collapsed="false">
      <c r="A67" s="20" t="n">
        <v>4413103</v>
      </c>
      <c r="B67" s="20" t="s">
        <v>210</v>
      </c>
      <c r="C67" s="20" t="str">
        <f aca="false">TRIM(SUBSTITUTE($B67,CHAR(160)," "))</f>
        <v>45E Mמגן ברך ארוך לבן</v>
      </c>
    </row>
    <row r="68" customFormat="false" ht="15" hidden="false" customHeight="false" outlineLevel="0" collapsed="false">
      <c r="A68" s="20" t="n">
        <v>4413101</v>
      </c>
      <c r="B68" s="20" t="s">
        <v>211</v>
      </c>
      <c r="C68" s="20" t="str">
        <f aca="false">TRIM(SUBSTITUTE($B68,CHAR(160)," "))</f>
        <v>45E Sמגן ברך ארוך לבן</v>
      </c>
    </row>
    <row r="69" customFormat="false" ht="15" hidden="false" customHeight="false" outlineLevel="0" collapsed="false">
      <c r="A69" s="20" t="n">
        <v>4413104</v>
      </c>
      <c r="B69" s="20" t="s">
        <v>212</v>
      </c>
      <c r="C69" s="20" t="str">
        <f aca="false">TRIM(SUBSTITUTE($B69,CHAR(160)," "))</f>
        <v>45E XLמגן ברך ארוך לבן</v>
      </c>
    </row>
    <row r="70" customFormat="false" ht="15" hidden="false" customHeight="false" outlineLevel="0" collapsed="false">
      <c r="A70" s="20" t="n">
        <v>4413105</v>
      </c>
      <c r="B70" s="20" t="s">
        <v>213</v>
      </c>
      <c r="C70" s="20" t="str">
        <f aca="false">TRIM(SUBSTITUTE($B70,CHAR(160)," "))</f>
        <v>45E XXLמגן ברך ארוך לבן</v>
      </c>
    </row>
    <row r="71" customFormat="false" ht="15" hidden="false" customHeight="false" outlineLevel="0" collapsed="false">
      <c r="A71" s="20" t="n">
        <v>4413396</v>
      </c>
      <c r="B71" s="20" t="s">
        <v>214</v>
      </c>
      <c r="C71" s="20" t="str">
        <f aca="false">TRIM(SUBSTITUTE($B71,CHAR(160)," "))</f>
        <v>45EC L 'מגן ברך ארוך בז</v>
      </c>
    </row>
    <row r="72" customFormat="false" ht="15" hidden="false" customHeight="false" outlineLevel="0" collapsed="false">
      <c r="A72" s="20" t="n">
        <v>4413395</v>
      </c>
      <c r="B72" s="20" t="s">
        <v>215</v>
      </c>
      <c r="C72" s="20" t="str">
        <f aca="false">TRIM(SUBSTITUTE($B72,CHAR(160)," "))</f>
        <v>45EC M 'מגן ברך ארוך בז</v>
      </c>
    </row>
    <row r="73" customFormat="false" ht="15" hidden="false" customHeight="false" outlineLevel="0" collapsed="false">
      <c r="A73" s="20" t="n">
        <v>4413394</v>
      </c>
      <c r="B73" s="20" t="s">
        <v>216</v>
      </c>
      <c r="C73" s="20" t="str">
        <f aca="false">TRIM(SUBSTITUTE($B73,CHAR(160)," "))</f>
        <v>45EC S 'מגן ברך ארוך בז</v>
      </c>
    </row>
    <row r="74" customFormat="false" ht="15" hidden="false" customHeight="false" outlineLevel="0" collapsed="false">
      <c r="A74" s="20" t="n">
        <v>4413397</v>
      </c>
      <c r="B74" s="20" t="s">
        <v>217</v>
      </c>
      <c r="C74" s="20" t="str">
        <f aca="false">TRIM(SUBSTITUTE($B74,CHAR(160)," "))</f>
        <v>45EC XL'מגן ברך ארוך בז</v>
      </c>
    </row>
    <row r="75" customFormat="false" ht="15" hidden="false" customHeight="false" outlineLevel="0" collapsed="false">
      <c r="A75" s="20" t="n">
        <v>4413398</v>
      </c>
      <c r="B75" s="20" t="s">
        <v>218</v>
      </c>
      <c r="C75" s="20" t="str">
        <f aca="false">TRIM(SUBSTITUTE($B75,CHAR(160)," "))</f>
        <v>45EC XXL'מגן ברך ארוך בז</v>
      </c>
    </row>
    <row r="76" customFormat="false" ht="15" hidden="false" customHeight="false" outlineLevel="0" collapsed="false">
      <c r="A76" s="20" t="n">
        <v>4413107</v>
      </c>
      <c r="B76" s="20" t="s">
        <v>219</v>
      </c>
      <c r="C76" s="20" t="str">
        <f aca="false">TRIM(SUBSTITUTE($B76,CHAR(160)," "))</f>
        <v>48 L מגן ברך מחמם</v>
      </c>
    </row>
    <row r="77" customFormat="false" ht="15" hidden="false" customHeight="false" outlineLevel="0" collapsed="false">
      <c r="A77" s="20" t="n">
        <v>4413108</v>
      </c>
      <c r="B77" s="20" t="s">
        <v>220</v>
      </c>
      <c r="C77" s="20" t="str">
        <f aca="false">TRIM(SUBSTITUTE($B77,CHAR(160)," "))</f>
        <v>48 M מגן ברך מחמם</v>
      </c>
    </row>
    <row r="78" customFormat="false" ht="15" hidden="false" customHeight="false" outlineLevel="0" collapsed="false">
      <c r="A78" s="20" t="n">
        <v>4413106</v>
      </c>
      <c r="B78" s="20" t="s">
        <v>221</v>
      </c>
      <c r="C78" s="20" t="str">
        <f aca="false">TRIM(SUBSTITUTE($B78,CHAR(160)," "))</f>
        <v>48 S מגן ברך מחמם</v>
      </c>
    </row>
    <row r="79" customFormat="false" ht="15" hidden="false" customHeight="false" outlineLevel="0" collapsed="false">
      <c r="A79" s="20" t="n">
        <v>4413109</v>
      </c>
      <c r="B79" s="20" t="s">
        <v>222</v>
      </c>
      <c r="C79" s="20" t="str">
        <f aca="false">TRIM(SUBSTITUTE($B79,CHAR(160)," "))</f>
        <v>48 XL מגן ברך מחמם</v>
      </c>
    </row>
    <row r="80" customFormat="false" ht="15" hidden="false" customHeight="false" outlineLevel="0" collapsed="false">
      <c r="A80" s="20" t="n">
        <v>4413110</v>
      </c>
      <c r="B80" s="20" t="s">
        <v>223</v>
      </c>
      <c r="C80" s="20" t="str">
        <f aca="false">TRIM(SUBSTITUTE($B80,CHAR(160)," "))</f>
        <v>48 XXL מגן ברך מחמם</v>
      </c>
    </row>
    <row r="81" customFormat="false" ht="15" hidden="false" customHeight="false" outlineLevel="0" collapsed="false">
      <c r="A81" s="20" t="n">
        <v>4420026</v>
      </c>
      <c r="B81" s="20" t="s">
        <v>224</v>
      </c>
      <c r="C81" s="20" t="str">
        <f aca="false">TRIM(SUBSTITUTE($B81,CHAR(160)," "))</f>
        <v>AC40 רצועה לפיקת הברך</v>
      </c>
    </row>
    <row r="82" customFormat="false" ht="15" hidden="false" customHeight="false" outlineLevel="0" collapsed="false">
      <c r="A82" s="20" t="n">
        <v>4413328</v>
      </c>
      <c r="B82" s="20" t="s">
        <v>225</v>
      </c>
      <c r="C82" s="20" t="str">
        <f aca="false">TRIM(SUBSTITUTE($B82,CHAR(160)," "))</f>
        <v>AC43D מגן ברך + צירים</v>
      </c>
    </row>
    <row r="83" customFormat="false" ht="15" hidden="false" customHeight="false" outlineLevel="0" collapsed="false">
      <c r="A83" s="20" t="n">
        <v>4413329</v>
      </c>
      <c r="B83" s="20" t="s">
        <v>226</v>
      </c>
      <c r="C83" s="20" t="str">
        <f aca="false">TRIM(SUBSTITUTE($B83,CHAR(160)," "))</f>
        <v>AC45X מגן ברך עם תמיכות</v>
      </c>
    </row>
    <row r="84" customFormat="false" ht="15" hidden="false" customHeight="false" outlineLevel="0" collapsed="false">
      <c r="A84" s="20" t="n">
        <v>4402011</v>
      </c>
      <c r="B84" s="20" t="s">
        <v>227</v>
      </c>
      <c r="C84" s="20" t="str">
        <f aca="false">TRIM(SUBSTITUTE($B84,CHAR(160)," "))</f>
        <v>S-XLST422 מגן ברך+כרית ג'ל</v>
      </c>
    </row>
    <row r="85" customFormat="false" ht="15" hidden="false" customHeight="false" outlineLevel="0" collapsed="false">
      <c r="A85" s="20" t="n">
        <v>4413438</v>
      </c>
      <c r="B85" s="20" t="s">
        <v>228</v>
      </c>
      <c r="C85" s="20" t="str">
        <f aca="false">TRIM(SUBSTITUTE($B85,CHAR(160)," "))</f>
        <v>SC422 S מגן ברך</v>
      </c>
    </row>
    <row r="86" customFormat="false" ht="15" hidden="false" customHeight="false" outlineLevel="0" collapsed="false">
      <c r="A86" s="20" t="n">
        <v>4413442</v>
      </c>
      <c r="B86" s="20" t="s">
        <v>229</v>
      </c>
      <c r="C86" s="20" t="str">
        <f aca="false">TRIM(SUBSTITUTE($B86,CHAR(160)," "))</f>
        <v>SC422 XXLמגן ברך</v>
      </c>
    </row>
    <row r="87" customFormat="false" ht="15" hidden="false" customHeight="false" outlineLevel="0" collapsed="false">
      <c r="A87" s="20" t="n">
        <v>4422037</v>
      </c>
      <c r="B87" s="20" t="s">
        <v>230</v>
      </c>
      <c r="C87" s="20" t="str">
        <f aca="false">TRIM(SUBSTITUTE($B87,CHAR(160)," "))</f>
        <v>SH422 1 תומך ברך גנושילד</v>
      </c>
    </row>
    <row r="88" customFormat="false" ht="15" hidden="false" customHeight="false" outlineLevel="0" collapsed="false">
      <c r="A88" s="20" t="n">
        <v>4422038</v>
      </c>
      <c r="B88" s="20" t="s">
        <v>231</v>
      </c>
      <c r="C88" s="20" t="str">
        <f aca="false">TRIM(SUBSTITUTE($B88,CHAR(160)," "))</f>
        <v>SH422 2 תומך ברך גנושילד</v>
      </c>
    </row>
    <row r="89" customFormat="false" ht="15" hidden="false" customHeight="false" outlineLevel="0" collapsed="false">
      <c r="A89" s="20" t="n">
        <v>4422039</v>
      </c>
      <c r="B89" s="20" t="s">
        <v>232</v>
      </c>
      <c r="C89" s="20" t="str">
        <f aca="false">TRIM(SUBSTITUTE($B89,CHAR(160)," "))</f>
        <v>SH422 3 תומך ברך גנושילד</v>
      </c>
    </row>
    <row r="90" customFormat="false" ht="15" hidden="false" customHeight="false" outlineLevel="0" collapsed="false">
      <c r="A90" s="20" t="n">
        <v>4422040</v>
      </c>
      <c r="B90" s="20" t="s">
        <v>233</v>
      </c>
      <c r="C90" s="20" t="str">
        <f aca="false">TRIM(SUBSTITUTE($B90,CHAR(160)," "))</f>
        <v>SH422 4 תומך ברך גנושילד</v>
      </c>
    </row>
    <row r="91" customFormat="false" ht="15" hidden="false" customHeight="false" outlineLevel="0" collapsed="false">
      <c r="A91" s="20" t="n">
        <v>4422041</v>
      </c>
      <c r="B91" s="20" t="s">
        <v>234</v>
      </c>
      <c r="C91" s="20" t="str">
        <f aca="false">TRIM(SUBSTITUTE($B91,CHAR(160)," "))</f>
        <v>SH422 5 תומך ברך גנושילד</v>
      </c>
    </row>
    <row r="92" customFormat="false" ht="15" hidden="false" customHeight="false" outlineLevel="0" collapsed="false">
      <c r="A92" s="20" t="n">
        <v>4422042</v>
      </c>
      <c r="B92" s="20" t="s">
        <v>235</v>
      </c>
      <c r="C92" s="20" t="str">
        <f aca="false">TRIM(SUBSTITUTE($B92,CHAR(160)," "))</f>
        <v>SH422 6 תומך ברך גנושילד</v>
      </c>
    </row>
    <row r="93" customFormat="false" ht="15" hidden="false" customHeight="false" outlineLevel="0" collapsed="false">
      <c r="A93" s="20" t="n">
        <v>4413532</v>
      </c>
      <c r="B93" s="20" t="s">
        <v>236</v>
      </c>
      <c r="C93" s="20" t="str">
        <f aca="false">TRIM(SUBSTITUTE($B93,CHAR(160)," "))</f>
        <v>ST433 H מגן ברך עם ציר</v>
      </c>
    </row>
    <row r="94" customFormat="false" ht="15" hidden="false" customHeight="false" outlineLevel="0" collapsed="false">
      <c r="A94" s="20" t="n">
        <v>4413184</v>
      </c>
      <c r="B94" s="20" t="s">
        <v>237</v>
      </c>
      <c r="C94" s="20" t="str">
        <f aca="false">TRIM(SUBSTITUTE($B94,CHAR(160)," "))</f>
        <v>T 45 L מגן ברך רגיל</v>
      </c>
    </row>
    <row r="95" customFormat="false" ht="15" hidden="false" customHeight="false" outlineLevel="0" collapsed="false">
      <c r="A95" s="20" t="n">
        <v>4413183</v>
      </c>
      <c r="B95" s="20" t="s">
        <v>238</v>
      </c>
      <c r="C95" s="20" t="str">
        <f aca="false">TRIM(SUBSTITUTE($B95,CHAR(160)," "))</f>
        <v>T 45 M מגן ברך רגיל</v>
      </c>
    </row>
    <row r="96" customFormat="false" ht="15" hidden="false" customHeight="false" outlineLevel="0" collapsed="false">
      <c r="A96" s="20" t="n">
        <v>4413185</v>
      </c>
      <c r="B96" s="20" t="s">
        <v>239</v>
      </c>
      <c r="C96" s="20" t="str">
        <f aca="false">TRIM(SUBSTITUTE($B96,CHAR(160)," "))</f>
        <v>T 45XL מגן ברך רגיל</v>
      </c>
    </row>
    <row r="97" customFormat="false" ht="15" hidden="false" customHeight="false" outlineLevel="0" collapsed="false">
      <c r="A97" s="20" t="n">
        <v>4420021</v>
      </c>
      <c r="B97" s="20" t="s">
        <v>240</v>
      </c>
      <c r="C97" s="20" t="str">
        <f aca="false">TRIM(SUBSTITUTE($B97,CHAR(160)," "))</f>
        <v>T40 רצועת פיקה לברך</v>
      </c>
    </row>
    <row r="98" customFormat="false" ht="15" hidden="false" customHeight="false" outlineLevel="0" collapsed="false">
      <c r="A98" s="20" t="n">
        <v>4413171</v>
      </c>
      <c r="B98" s="20" t="s">
        <v>241</v>
      </c>
      <c r="C98" s="20" t="str">
        <f aca="false">TRIM(SUBSTITUTE($B98,CHAR(160)," "))</f>
        <v>T402 L מיצב פיקה</v>
      </c>
    </row>
    <row r="99" customFormat="false" ht="15" hidden="false" customHeight="false" outlineLevel="0" collapsed="false">
      <c r="A99" s="20" t="n">
        <v>4413170</v>
      </c>
      <c r="B99" s="20" t="s">
        <v>242</v>
      </c>
      <c r="C99" s="20" t="str">
        <f aca="false">TRIM(SUBSTITUTE($B99,CHAR(160)," "))</f>
        <v>T402 M מיצב פיקה</v>
      </c>
    </row>
    <row r="100" customFormat="false" ht="15" hidden="false" customHeight="false" outlineLevel="0" collapsed="false">
      <c r="A100" s="20" t="n">
        <v>4413169</v>
      </c>
      <c r="B100" s="20" t="s">
        <v>243</v>
      </c>
      <c r="C100" s="20" t="str">
        <f aca="false">TRIM(SUBSTITUTE($B100,CHAR(160)," "))</f>
        <v>T402 S מיצב פיקה</v>
      </c>
    </row>
    <row r="101" customFormat="false" ht="15" hidden="false" customHeight="false" outlineLevel="0" collapsed="false">
      <c r="A101" s="20" t="n">
        <v>4413172</v>
      </c>
      <c r="B101" s="20" t="s">
        <v>244</v>
      </c>
      <c r="C101" s="20" t="str">
        <f aca="false">TRIM(SUBSTITUTE($B101,CHAR(160)," "))</f>
        <v>T402 XL מיצב פיקה</v>
      </c>
    </row>
    <row r="102" customFormat="false" ht="15" hidden="false" customHeight="false" outlineLevel="0" collapsed="false">
      <c r="A102" s="20" t="n">
        <v>4413173</v>
      </c>
      <c r="B102" s="20" t="s">
        <v>245</v>
      </c>
      <c r="C102" s="20" t="str">
        <f aca="false">TRIM(SUBSTITUTE($B102,CHAR(160)," "))</f>
        <v>T402 XXL מיצב פיקה</v>
      </c>
    </row>
    <row r="103" customFormat="false" ht="15" hidden="false" customHeight="false" outlineLevel="0" collapsed="false">
      <c r="A103" s="20" t="n">
        <v>4420039</v>
      </c>
      <c r="B103" s="20" t="s">
        <v>246</v>
      </c>
      <c r="C103" s="20" t="str">
        <f aca="false">TRIM(SUBSTITUTE($B103,CHAR(160)," "))</f>
        <v>T40B רצועה לפיקה</v>
      </c>
    </row>
    <row r="104" customFormat="false" ht="15" hidden="false" customHeight="false" outlineLevel="0" collapsed="false">
      <c r="A104" s="20" t="n">
        <v>4413287</v>
      </c>
      <c r="B104" s="20" t="s">
        <v>247</v>
      </c>
      <c r="C104" s="20" t="str">
        <f aca="false">TRIM(SUBSTITUTE($B104,CHAR(160)," "))</f>
        <v>T43 SKI XXL מגן ברך לסקי</v>
      </c>
    </row>
    <row r="105" customFormat="false" ht="15" hidden="false" customHeight="false" outlineLevel="0" collapsed="false">
      <c r="A105" s="20" t="n">
        <v>4413240</v>
      </c>
      <c r="B105" s="20" t="s">
        <v>248</v>
      </c>
      <c r="C105" s="20" t="str">
        <f aca="false">TRIM(SUBSTITUTE($B105,CHAR(160)," "))</f>
        <v>T433 XL מגן ברך משופר</v>
      </c>
    </row>
    <row r="106" customFormat="false" ht="15" hidden="false" customHeight="false" outlineLevel="0" collapsed="false">
      <c r="A106" s="20" t="n">
        <v>4413188</v>
      </c>
      <c r="B106" s="20" t="s">
        <v>249</v>
      </c>
      <c r="C106" s="20" t="str">
        <f aca="false">TRIM(SUBSTITUTE($B106,CHAR(160)," "))</f>
        <v>T43SKI L מגן ברך לסקי</v>
      </c>
    </row>
    <row r="107" customFormat="false" ht="15" hidden="false" customHeight="false" outlineLevel="0" collapsed="false">
      <c r="A107" s="20" t="n">
        <v>4413187</v>
      </c>
      <c r="B107" s="20" t="s">
        <v>250</v>
      </c>
      <c r="C107" s="20" t="str">
        <f aca="false">TRIM(SUBSTITUTE($B107,CHAR(160)," "))</f>
        <v>T43SKI M מגן ברך לסקי</v>
      </c>
    </row>
    <row r="108" customFormat="false" ht="15" hidden="false" customHeight="false" outlineLevel="0" collapsed="false">
      <c r="A108" s="20" t="n">
        <v>4413189</v>
      </c>
      <c r="B108" s="20" t="s">
        <v>251</v>
      </c>
      <c r="C108" s="20" t="str">
        <f aca="false">TRIM(SUBSTITUTE($B108,CHAR(160)," "))</f>
        <v>T43SKI XLמגן ברך לסקי</v>
      </c>
    </row>
    <row r="109" customFormat="false" ht="15" hidden="false" customHeight="false" outlineLevel="0" collapsed="false">
      <c r="A109" s="20" t="n">
        <v>4413182</v>
      </c>
      <c r="B109" s="20" t="s">
        <v>252</v>
      </c>
      <c r="C109" s="20" t="str">
        <f aca="false">TRIM(SUBSTITUTE($B109,CHAR(160)," "))</f>
        <v>T45 S מגן ברך רגיל</v>
      </c>
    </row>
    <row r="110" customFormat="false" ht="15" hidden="false" customHeight="false" outlineLevel="0" collapsed="false">
      <c r="A110" s="20" t="n">
        <v>4413286</v>
      </c>
      <c r="B110" s="20" t="s">
        <v>253</v>
      </c>
      <c r="C110" s="20" t="str">
        <f aca="false">TRIM(SUBSTITUTE($B110,CHAR(160)," "))</f>
        <v>T45 XXL מגן ברך רגיל</v>
      </c>
    </row>
    <row r="111" customFormat="false" ht="15" hidden="false" customHeight="false" outlineLevel="0" collapsed="false">
      <c r="A111" s="20" t="n">
        <v>4413260</v>
      </c>
      <c r="B111" s="20" t="s">
        <v>254</v>
      </c>
      <c r="C111" s="20" t="str">
        <f aca="false">TRIM(SUBSTITUTE($B111,CHAR(160)," "))</f>
        <v>T45X-XXLמגן ברך רגיל</v>
      </c>
    </row>
    <row r="112" customFormat="false" ht="15" hidden="false" customHeight="false" outlineLevel="0" collapsed="false">
      <c r="A112" s="20" t="n">
        <v>4413226</v>
      </c>
      <c r="B112" s="20" t="s">
        <v>255</v>
      </c>
      <c r="C112" s="20" t="str">
        <f aca="false">TRIM(SUBSTITUTE($B112,CHAR(160)," "))</f>
        <v>T45X L מגן ברך רגיל</v>
      </c>
    </row>
    <row r="113" customFormat="false" ht="15" hidden="false" customHeight="false" outlineLevel="0" collapsed="false">
      <c r="A113" s="20" t="n">
        <v>4413225</v>
      </c>
      <c r="B113" s="20" t="s">
        <v>256</v>
      </c>
      <c r="C113" s="20" t="str">
        <f aca="false">TRIM(SUBSTITUTE($B113,CHAR(160)," "))</f>
        <v>T45X M מגן ברך רגיל</v>
      </c>
    </row>
    <row r="114" customFormat="false" ht="15" hidden="false" customHeight="false" outlineLevel="0" collapsed="false">
      <c r="A114" s="20" t="n">
        <v>4413227</v>
      </c>
      <c r="B114" s="20" t="s">
        <v>257</v>
      </c>
      <c r="C114" s="20" t="str">
        <f aca="false">TRIM(SUBSTITUTE($B114,CHAR(160)," "))</f>
        <v>T45X S מגן ברך רגיל</v>
      </c>
    </row>
    <row r="115" customFormat="false" ht="15" hidden="false" customHeight="false" outlineLevel="0" collapsed="false">
      <c r="A115" s="20" t="n">
        <v>4413224</v>
      </c>
      <c r="B115" s="20" t="s">
        <v>258</v>
      </c>
      <c r="C115" s="20" t="str">
        <f aca="false">TRIM(SUBSTITUTE($B115,CHAR(160)," "))</f>
        <v>T45X XL מגן ברך רגיל</v>
      </c>
    </row>
    <row r="116" customFormat="false" ht="15" hidden="false" customHeight="false" outlineLevel="0" collapsed="false">
      <c r="A116" s="20" t="n">
        <v>4403011</v>
      </c>
      <c r="B116" s="20" t="s">
        <v>259</v>
      </c>
      <c r="C116" s="20" t="str">
        <f aca="false">TRIM(SUBSTITUTE($B116,CHAR(160)," "))</f>
        <v>3444 0 גרביים+סיליקון</v>
      </c>
    </row>
    <row r="117" customFormat="false" ht="15" hidden="false" customHeight="false" outlineLevel="0" collapsed="false">
      <c r="A117" s="20" t="n">
        <v>4403040</v>
      </c>
      <c r="B117" s="20" t="s">
        <v>260</v>
      </c>
      <c r="C117" s="20" t="str">
        <f aca="false">TRIM(SUBSTITUTE($B117,CHAR(160)," "))</f>
        <v>3444B גרבי ג'ל לריכוך עור העקב</v>
      </c>
    </row>
    <row r="118" customFormat="false" ht="15" hidden="false" customHeight="false" outlineLevel="0" collapsed="false">
      <c r="A118" s="20" t="n">
        <v>4403027</v>
      </c>
      <c r="B118" s="20" t="s">
        <v>261</v>
      </c>
      <c r="C118" s="20" t="str">
        <f aca="false">TRIM(SUBSTITUTE($B118,CHAR(160)," "))</f>
        <v>3445Wתתגרב לבן סיליקון טיפ יום</v>
      </c>
    </row>
    <row r="119" customFormat="false" ht="15" hidden="false" customHeight="false" outlineLevel="0" collapsed="false">
      <c r="A119" s="20" t="n">
        <v>4403001</v>
      </c>
      <c r="B119" s="20" t="s">
        <v>262</v>
      </c>
      <c r="C119" s="20" t="str">
        <f aca="false">TRIM(SUBSTITUTE($B119,CHAR(160)," "))</f>
        <v>390B 39-42.גרב.כסף לסכרתיים שח</v>
      </c>
    </row>
    <row r="120" customFormat="false" ht="15" hidden="false" customHeight="false" outlineLevel="0" collapsed="false">
      <c r="A120" s="20" t="n">
        <v>4403002</v>
      </c>
      <c r="B120" s="20" t="s">
        <v>263</v>
      </c>
      <c r="C120" s="20" t="str">
        <f aca="false">TRIM(SUBSTITUTE($B120,CHAR(160)," "))</f>
        <v>390B 43-46.גרב.כסף לסכרתיים שח</v>
      </c>
    </row>
    <row r="121" customFormat="false" ht="15" hidden="false" customHeight="false" outlineLevel="0" collapsed="false">
      <c r="A121" s="20" t="n">
        <v>4403000</v>
      </c>
      <c r="B121" s="20" t="s">
        <v>264</v>
      </c>
      <c r="C121" s="20" t="str">
        <f aca="false">TRIM(SUBSTITUTE($B121,CHAR(160)," "))</f>
        <v>390B גרב.כסף לסכרתים שחור35-38</v>
      </c>
    </row>
    <row r="122" customFormat="false" ht="15" hidden="false" customHeight="false" outlineLevel="0" collapsed="false">
      <c r="A122" s="20" t="n">
        <v>4403004</v>
      </c>
      <c r="B122" s="20" t="s">
        <v>265</v>
      </c>
      <c r="C122" s="20" t="str">
        <f aca="false">TRIM(SUBSTITUTE($B122,CHAR(160)," "))</f>
        <v>390G 39-42.גרב.כסף לסכרתיים אפ</v>
      </c>
    </row>
    <row r="123" customFormat="false" ht="15" hidden="false" customHeight="false" outlineLevel="0" collapsed="false">
      <c r="A123" s="20" t="n">
        <v>4403003</v>
      </c>
      <c r="B123" s="20" t="s">
        <v>266</v>
      </c>
      <c r="C123" s="20" t="str">
        <f aca="false">TRIM(SUBSTITUTE($B123,CHAR(160)," "))</f>
        <v>390G ג.כסף לסכרתיים אפור35-38</v>
      </c>
    </row>
    <row r="124" customFormat="false" ht="15" hidden="false" customHeight="false" outlineLevel="0" collapsed="false">
      <c r="A124" s="20" t="n">
        <v>4403006</v>
      </c>
      <c r="B124" s="20" t="s">
        <v>267</v>
      </c>
      <c r="C124" s="20" t="str">
        <f aca="false">TRIM(SUBSTITUTE($B124,CHAR(160)," "))</f>
        <v>390W גרב כסף לסכרתיים לבן35-38</v>
      </c>
    </row>
    <row r="125" customFormat="false" ht="15" hidden="false" customHeight="false" outlineLevel="0" collapsed="false">
      <c r="A125" s="20" t="n">
        <v>4403007</v>
      </c>
      <c r="B125" s="20" t="s">
        <v>268</v>
      </c>
      <c r="C125" s="20" t="str">
        <f aca="false">TRIM(SUBSTITUTE($B125,CHAR(160)," "))</f>
        <v>390W גרב.כסף לסכרתיים לבן39-42</v>
      </c>
    </row>
    <row r="126" customFormat="false" ht="15" hidden="false" customHeight="false" outlineLevel="0" collapsed="false">
      <c r="A126" s="20" t="n">
        <v>4403008</v>
      </c>
      <c r="B126" s="20" t="s">
        <v>269</v>
      </c>
      <c r="C126" s="20" t="str">
        <f aca="false">TRIM(SUBSTITUTE($B126,CHAR(160)," "))</f>
        <v>390W גרב.כסף לסכרתיים לבן43-46</v>
      </c>
    </row>
    <row r="127" customFormat="false" ht="15" hidden="false" customHeight="false" outlineLevel="0" collapsed="false">
      <c r="A127" s="20" t="n">
        <v>4403017</v>
      </c>
      <c r="B127" s="20" t="s">
        <v>270</v>
      </c>
      <c r="C127" s="20" t="str">
        <f aca="false">TRIM(SUBSTITUTE($B127,CHAR(160)," "))</f>
        <v>394B גרב.כסף לסכרתים שחור35-38</v>
      </c>
    </row>
    <row r="128" customFormat="false" ht="15" hidden="false" customHeight="false" outlineLevel="0" collapsed="false">
      <c r="A128" s="20" t="n">
        <v>4403018</v>
      </c>
      <c r="B128" s="20" t="s">
        <v>271</v>
      </c>
      <c r="C128" s="20" t="str">
        <f aca="false">TRIM(SUBSTITUTE($B128,CHAR(160)," "))</f>
        <v>394B גרב.כסף לסכרתים שחור39-42</v>
      </c>
    </row>
    <row r="129" customFormat="false" ht="15" hidden="false" customHeight="false" outlineLevel="0" collapsed="false">
      <c r="A129" s="20" t="n">
        <v>4403019</v>
      </c>
      <c r="B129" s="20" t="s">
        <v>272</v>
      </c>
      <c r="C129" s="20" t="str">
        <f aca="false">TRIM(SUBSTITUTE($B129,CHAR(160)," "))</f>
        <v>394B גרב.כסף לסכרתים שחור43-46</v>
      </c>
    </row>
    <row r="130" customFormat="false" ht="15" hidden="false" customHeight="false" outlineLevel="0" collapsed="false">
      <c r="A130" s="20" t="n">
        <v>4403020</v>
      </c>
      <c r="B130" s="20" t="s">
        <v>273</v>
      </c>
      <c r="C130" s="20" t="str">
        <f aca="false">TRIM(SUBSTITUTE($B130,CHAR(160)," "))</f>
        <v>394G גרב.כסף לסכרתים אפור35-38</v>
      </c>
    </row>
    <row r="131" customFormat="false" ht="15" hidden="false" customHeight="false" outlineLevel="0" collapsed="false">
      <c r="A131" s="20" t="n">
        <v>4403021</v>
      </c>
      <c r="B131" s="20" t="s">
        <v>274</v>
      </c>
      <c r="C131" s="20" t="str">
        <f aca="false">TRIM(SUBSTITUTE($B131,CHAR(160)," "))</f>
        <v>394G גרב.כסף לסכרתים אפור39-42</v>
      </c>
    </row>
    <row r="132" customFormat="false" ht="15" hidden="false" customHeight="false" outlineLevel="0" collapsed="false">
      <c r="A132" s="20" t="n">
        <v>4403022</v>
      </c>
      <c r="B132" s="20" t="s">
        <v>275</v>
      </c>
      <c r="C132" s="20" t="str">
        <f aca="false">TRIM(SUBSTITUTE($B132,CHAR(160)," "))</f>
        <v>394G גרב.כסף לסכרתים אפור43-46</v>
      </c>
    </row>
    <row r="133" customFormat="false" ht="15" hidden="false" customHeight="false" outlineLevel="0" collapsed="false">
      <c r="A133" s="20" t="n">
        <v>4403023</v>
      </c>
      <c r="B133" s="20" t="s">
        <v>276</v>
      </c>
      <c r="C133" s="20" t="str">
        <f aca="false">TRIM(SUBSTITUTE($B133,CHAR(160)," "))</f>
        <v>394W 35-38 גרב.כסף לסכרתים לבן</v>
      </c>
    </row>
    <row r="134" customFormat="false" ht="15" hidden="false" customHeight="false" outlineLevel="0" collapsed="false">
      <c r="A134" s="20" t="n">
        <v>4403024</v>
      </c>
      <c r="B134" s="20" t="s">
        <v>277</v>
      </c>
      <c r="C134" s="20" t="str">
        <f aca="false">TRIM(SUBSTITUTE($B134,CHAR(160)," "))</f>
        <v>394W 39-42 גרב.כסף לסכרתים לבן</v>
      </c>
    </row>
    <row r="135" customFormat="false" ht="15" hidden="false" customHeight="false" outlineLevel="0" collapsed="false">
      <c r="A135" s="20" t="n">
        <v>4403025</v>
      </c>
      <c r="B135" s="20" t="s">
        <v>278</v>
      </c>
      <c r="C135" s="20" t="str">
        <f aca="false">TRIM(SUBSTITUTE($B135,CHAR(160)," "))</f>
        <v>394W 43-46 גרב.כסף לסכרתים לבן</v>
      </c>
    </row>
    <row r="136" customFormat="false" ht="15" hidden="false" customHeight="false" outlineLevel="0" collapsed="false">
      <c r="A136" s="20" t="n">
        <v>4403044</v>
      </c>
      <c r="B136" s="20" t="s">
        <v>279</v>
      </c>
      <c r="C136" s="20" t="str">
        <f aca="false">TRIM(SUBSTITUTE($B136,CHAR(160)," "))</f>
        <v>395B גרבי קיץ אנטי בקטריא39-42</v>
      </c>
    </row>
    <row r="137" customFormat="false" ht="15" hidden="false" customHeight="false" outlineLevel="0" collapsed="false">
      <c r="A137" s="20" t="n">
        <v>4403045</v>
      </c>
      <c r="B137" s="20" t="s">
        <v>280</v>
      </c>
      <c r="C137" s="20" t="str">
        <f aca="false">TRIM(SUBSTITUTE($B137,CHAR(160)," "))</f>
        <v>395B גרבי קיץ אנטי בקטריא43-46</v>
      </c>
    </row>
    <row r="138" customFormat="false" ht="15" hidden="false" customHeight="false" outlineLevel="0" collapsed="false">
      <c r="A138" s="20" t="n">
        <v>4403031</v>
      </c>
      <c r="B138" s="20" t="s">
        <v>281</v>
      </c>
      <c r="C138" s="20" t="str">
        <f aca="false">TRIM(SUBSTITUTE($B138,CHAR(160)," "))</f>
        <v>396-35-38 גרביים טרמיות</v>
      </c>
    </row>
    <row r="139" customFormat="false" ht="15" hidden="false" customHeight="false" outlineLevel="0" collapsed="false">
      <c r="A139" s="20" t="n">
        <v>4403032</v>
      </c>
      <c r="B139" s="20" t="s">
        <v>282</v>
      </c>
      <c r="C139" s="20" t="str">
        <f aca="false">TRIM(SUBSTITUTE($B139,CHAR(160)," "))</f>
        <v>396-39-42 גרביים טרמיות</v>
      </c>
    </row>
    <row r="140" customFormat="false" ht="15" hidden="false" customHeight="false" outlineLevel="0" collapsed="false">
      <c r="A140" s="20" t="n">
        <v>4403028</v>
      </c>
      <c r="B140" s="20" t="s">
        <v>283</v>
      </c>
      <c r="C140" s="20" t="str">
        <f aca="false">TRIM(SUBSTITUTE($B140,CHAR(160)," "))</f>
        <v>397 35-38 גרבי טיסה מידה</v>
      </c>
    </row>
    <row r="141" customFormat="false" ht="15" hidden="false" customHeight="false" outlineLevel="0" collapsed="false">
      <c r="A141" s="20" t="n">
        <v>4403029</v>
      </c>
      <c r="B141" s="20" t="s">
        <v>284</v>
      </c>
      <c r="C141" s="20" t="str">
        <f aca="false">TRIM(SUBSTITUTE($B141,CHAR(160)," "))</f>
        <v>397 39-42 גרבי טיסה מידה</v>
      </c>
    </row>
    <row r="142" customFormat="false" ht="15" hidden="false" customHeight="false" outlineLevel="0" collapsed="false">
      <c r="A142" s="20" t="n">
        <v>4403030</v>
      </c>
      <c r="B142" s="20" t="s">
        <v>285</v>
      </c>
      <c r="C142" s="20" t="str">
        <f aca="false">TRIM(SUBSTITUTE($B142,CHAR(160)," "))</f>
        <v>397 43-46 גרבי טיסה מידה</v>
      </c>
    </row>
    <row r="143" customFormat="false" ht="15" hidden="false" customHeight="false" outlineLevel="0" collapsed="false">
      <c r="A143" s="20" t="n">
        <v>4403041</v>
      </c>
      <c r="B143" s="20" t="s">
        <v>286</v>
      </c>
      <c r="C143" s="20" t="str">
        <f aca="false">TRIM(SUBSTITUTE($B143,CHAR(160)," "))</f>
        <v>397A-גרבי טיסה אנטי בקטרי35-38</v>
      </c>
    </row>
    <row r="144" customFormat="false" ht="15" hidden="false" customHeight="false" outlineLevel="0" collapsed="false">
      <c r="A144" s="20" t="n">
        <v>4403042</v>
      </c>
      <c r="B144" s="20" t="s">
        <v>287</v>
      </c>
      <c r="C144" s="20" t="str">
        <f aca="false">TRIM(SUBSTITUTE($B144,CHAR(160)," "))</f>
        <v>397A-גרבי טיסה אנטי בקטרי39-42</v>
      </c>
    </row>
    <row r="145" customFormat="false" ht="15" hidden="false" customHeight="false" outlineLevel="0" collapsed="false">
      <c r="A145" s="20" t="n">
        <v>4403043</v>
      </c>
      <c r="B145" s="20" t="s">
        <v>288</v>
      </c>
      <c r="C145" s="20" t="str">
        <f aca="false">TRIM(SUBSTITUTE($B145,CHAR(160)," "))</f>
        <v>397A-גרבי טיסה אנטי בקטרי43-46</v>
      </c>
    </row>
    <row r="146" customFormat="false" ht="15" hidden="false" customHeight="false" outlineLevel="0" collapsed="false">
      <c r="A146" s="20" t="n">
        <v>4403005</v>
      </c>
      <c r="B146" s="20" t="s">
        <v>289</v>
      </c>
      <c r="C146" s="20" t="str">
        <f aca="false">TRIM(SUBSTITUTE($B146,CHAR(160)," "))</f>
        <v>G390.43-46 גרבי כסף לסכרת מידה</v>
      </c>
    </row>
    <row r="147" customFormat="false" ht="15" hidden="false" customHeight="false" outlineLevel="0" collapsed="false">
      <c r="A147" s="20" t="n">
        <v>4403034</v>
      </c>
      <c r="B147" s="20" t="s">
        <v>290</v>
      </c>
      <c r="C147" s="20" t="str">
        <f aca="false">TRIM(SUBSTITUTE($B147,CHAR(160)," "))</f>
        <v>ST3555 S-Mגרב לילה לטיפ.בדורבן</v>
      </c>
    </row>
    <row r="148" customFormat="false" ht="15" hidden="false" customHeight="false" outlineLevel="0" collapsed="false">
      <c r="A148" s="20" t="n">
        <v>4403035</v>
      </c>
      <c r="B148" s="20" t="s">
        <v>291</v>
      </c>
      <c r="C148" s="20" t="str">
        <f aca="false">TRIM(SUBSTITUTE($B148,CHAR(160)," "))</f>
        <v>ST3555L-XLגרב לילה לטיפ.בדורבן</v>
      </c>
    </row>
    <row r="149" customFormat="false" ht="15" hidden="false" customHeight="false" outlineLevel="0" collapsed="false">
      <c r="A149" s="20" t="n">
        <v>4408002</v>
      </c>
      <c r="B149" s="20" t="s">
        <v>292</v>
      </c>
      <c r="C149" s="20" t="str">
        <f aca="false">TRIM(SUBSTITUTE($B149,CHAR(160)," "))</f>
        <v>06 L ""ח.גב קלה ""מיקדו</v>
      </c>
    </row>
    <row r="150" customFormat="false" ht="15" hidden="false" customHeight="false" outlineLevel="0" collapsed="false">
      <c r="A150" s="20" t="n">
        <v>4408003</v>
      </c>
      <c r="B150" s="20" t="s">
        <v>293</v>
      </c>
      <c r="C150" s="20" t="str">
        <f aca="false">TRIM(SUBSTITUTE($B150,CHAR(160)," "))</f>
        <v>06 M ""ח.גב קלה ""מיקדו</v>
      </c>
    </row>
    <row r="151" customFormat="false" ht="15" hidden="false" customHeight="false" outlineLevel="0" collapsed="false">
      <c r="A151" s="20" t="n">
        <v>4408000</v>
      </c>
      <c r="B151" s="20" t="s">
        <v>294</v>
      </c>
      <c r="C151" s="20" t="str">
        <f aca="false">TRIM(SUBSTITUTE($B151,CHAR(160)," "))</f>
        <v>06 S ""ח.גב קלה ""מיקדו</v>
      </c>
    </row>
    <row r="152" customFormat="false" ht="15" hidden="false" customHeight="false" outlineLevel="0" collapsed="false">
      <c r="A152" s="20" t="n">
        <v>4408004</v>
      </c>
      <c r="B152" s="20" t="s">
        <v>295</v>
      </c>
      <c r="C152" s="20" t="str">
        <f aca="false">TRIM(SUBSTITUTE($B152,CHAR(160)," "))</f>
        <v>06 XL ""ח.גב קלה ""מיקדו</v>
      </c>
    </row>
    <row r="153" customFormat="false" ht="15" hidden="false" customHeight="false" outlineLevel="0" collapsed="false">
      <c r="A153" s="20" t="n">
        <v>4408005</v>
      </c>
      <c r="B153" s="20" t="s">
        <v>296</v>
      </c>
      <c r="C153" s="20" t="str">
        <f aca="false">TRIM(SUBSTITUTE($B153,CHAR(160)," "))</f>
        <v>06 XXL ""ח.גב קלה ""מיקדו</v>
      </c>
    </row>
    <row r="154" customFormat="false" ht="15" hidden="false" customHeight="false" outlineLevel="0" collapsed="false">
      <c r="A154" s="20" t="n">
        <v>4408121</v>
      </c>
      <c r="B154" s="20" t="s">
        <v>297</v>
      </c>
      <c r="C154" s="20" t="str">
        <f aca="false">TRIM(SUBSTITUTE($B154,CHAR(160)," "))</f>
        <v>06U XXL ח.בטן מותנית צר</v>
      </c>
    </row>
    <row r="155" customFormat="false" ht="15" hidden="false" customHeight="false" outlineLevel="0" collapsed="false">
      <c r="A155" s="20" t="n">
        <v>4408119</v>
      </c>
      <c r="B155" s="20" t="s">
        <v>298</v>
      </c>
      <c r="C155" s="20" t="str">
        <f aca="false">TRIM(SUBSTITUTE($B155,CHAR(160)," "))</f>
        <v>06U L ח.בטן מותנית צר</v>
      </c>
    </row>
    <row r="156" customFormat="false" ht="15" hidden="false" customHeight="false" outlineLevel="0" collapsed="false">
      <c r="A156" s="20" t="n">
        <v>4408118</v>
      </c>
      <c r="B156" s="20" t="s">
        <v>299</v>
      </c>
      <c r="C156" s="20" t="str">
        <f aca="false">TRIM(SUBSTITUTE($B156,CHAR(160)," "))</f>
        <v>06U M ח.בטן מותנית צר</v>
      </c>
    </row>
    <row r="157" customFormat="false" ht="15" hidden="false" customHeight="false" outlineLevel="0" collapsed="false">
      <c r="A157" s="20" t="n">
        <v>4408120</v>
      </c>
      <c r="B157" s="20" t="s">
        <v>300</v>
      </c>
      <c r="C157" s="20" t="str">
        <f aca="false">TRIM(SUBSTITUTE($B157,CHAR(160)," "))</f>
        <v>06U XL ח.בטן מותנית צר</v>
      </c>
    </row>
    <row r="158" customFormat="false" ht="15" hidden="false" customHeight="false" outlineLevel="0" collapsed="false">
      <c r="A158" s="20" t="n">
        <v>4408140</v>
      </c>
      <c r="B158" s="20" t="s">
        <v>301</v>
      </c>
      <c r="C158" s="20" t="str">
        <f aca="false">TRIM(SUBSTITUTE($B158,CHAR(160)," "))</f>
        <v>06W S חגורת גב לנשים</v>
      </c>
    </row>
    <row r="159" customFormat="false" ht="15" hidden="false" customHeight="false" outlineLevel="0" collapsed="false">
      <c r="A159" s="20" t="n">
        <v>4408245</v>
      </c>
      <c r="B159" s="20" t="s">
        <v>302</v>
      </c>
      <c r="C159" s="20" t="str">
        <f aca="false">TRIM(SUBSTITUTE($B159,CHAR(160)," "))</f>
        <v>077A XXL חגורת גב עם חיזוקים</v>
      </c>
    </row>
    <row r="160" customFormat="false" ht="15" hidden="false" customHeight="false" outlineLevel="0" collapsed="false">
      <c r="A160" s="20" t="n">
        <v>4408135</v>
      </c>
      <c r="B160" s="20" t="s">
        <v>303</v>
      </c>
      <c r="C160" s="20" t="str">
        <f aca="false">TRIM(SUBSTITUTE($B160,CHAR(160)," "))</f>
        <v>077A L-XLחגורת גב</v>
      </c>
    </row>
    <row r="161" customFormat="false" ht="15" hidden="false" customHeight="false" outlineLevel="0" collapsed="false">
      <c r="A161" s="20" t="n">
        <v>4408134</v>
      </c>
      <c r="B161" s="20" t="s">
        <v>304</v>
      </c>
      <c r="C161" s="20" t="str">
        <f aca="false">TRIM(SUBSTITUTE($B161,CHAR(160)," "))</f>
        <v>077A S-M חגורת גב</v>
      </c>
    </row>
    <row r="162" customFormat="false" ht="15" hidden="false" customHeight="false" outlineLevel="0" collapsed="false">
      <c r="A162" s="20" t="n">
        <v>4408192</v>
      </c>
      <c r="B162" s="20" t="s">
        <v>305</v>
      </c>
      <c r="C162" s="20" t="str">
        <f aca="false">TRIM(SUBSTITUTE($B162,CHAR(160)," "))</f>
        <v>078 L חגורת גב +סגירה</v>
      </c>
    </row>
    <row r="163" customFormat="false" ht="15" hidden="false" customHeight="false" outlineLevel="0" collapsed="false">
      <c r="A163" s="20" t="n">
        <v>4408233</v>
      </c>
      <c r="B163" s="20" t="s">
        <v>306</v>
      </c>
      <c r="C163" s="20" t="str">
        <f aca="false">TRIM(SUBSTITUTE($B163,CHAR(160)," "))</f>
        <v>078C L'חגורת גב+סגירה כפו בז</v>
      </c>
    </row>
    <row r="164" customFormat="false" ht="15" hidden="false" customHeight="false" outlineLevel="0" collapsed="false">
      <c r="A164" s="20" t="n">
        <v>4408234</v>
      </c>
      <c r="B164" s="20" t="s">
        <v>307</v>
      </c>
      <c r="C164" s="20" t="str">
        <f aca="false">TRIM(SUBSTITUTE($B164,CHAR(160)," "))</f>
        <v>078C M'חגורת גב+סגירה כפו בז</v>
      </c>
    </row>
    <row r="165" customFormat="false" ht="15" hidden="false" customHeight="false" outlineLevel="0" collapsed="false">
      <c r="A165" s="20" t="n">
        <v>4408235</v>
      </c>
      <c r="B165" s="20" t="s">
        <v>308</v>
      </c>
      <c r="C165" s="20" t="str">
        <f aca="false">TRIM(SUBSTITUTE($B165,CHAR(160)," "))</f>
        <v>078C S'חגורת גב+סגירה כפו בז</v>
      </c>
    </row>
    <row r="166" customFormat="false" ht="15" hidden="false" customHeight="false" outlineLevel="0" collapsed="false">
      <c r="A166" s="20" t="n">
        <v>4408236</v>
      </c>
      <c r="B166" s="20" t="s">
        <v>309</v>
      </c>
      <c r="C166" s="20" t="str">
        <f aca="false">TRIM(SUBSTITUTE($B166,CHAR(160)," "))</f>
        <v>078C XLתתחגורת גב+סגירה כפו בז</v>
      </c>
    </row>
    <row r="167" customFormat="false" ht="15" hidden="false" customHeight="false" outlineLevel="0" collapsed="false">
      <c r="A167" s="20" t="n">
        <v>4408237</v>
      </c>
      <c r="B167" s="20" t="s">
        <v>310</v>
      </c>
      <c r="C167" s="20" t="str">
        <f aca="false">TRIM(SUBSTITUTE($B167,CHAR(160)," "))</f>
        <v>078C XXL 'חג.גב+סגירה כפו בז</v>
      </c>
    </row>
    <row r="168" customFormat="false" ht="15" hidden="false" customHeight="false" outlineLevel="0" collapsed="false">
      <c r="A168" s="20" t="n">
        <v>4408221</v>
      </c>
      <c r="B168" s="20" t="s">
        <v>311</v>
      </c>
      <c r="C168" s="20" t="str">
        <f aca="false">TRIM(SUBSTITUTE($B168,CHAR(160)," "))</f>
        <v>078G-L חגורת גב אפורה</v>
      </c>
    </row>
    <row r="169" customFormat="false" ht="15" hidden="false" customHeight="false" outlineLevel="0" collapsed="false">
      <c r="A169" s="20" t="n">
        <v>4408220</v>
      </c>
      <c r="B169" s="20" t="s">
        <v>312</v>
      </c>
      <c r="C169" s="20" t="str">
        <f aca="false">TRIM(SUBSTITUTE($B169,CHAR(160)," "))</f>
        <v>078G-M חגורת גב אפורה</v>
      </c>
    </row>
    <row r="170" customFormat="false" ht="15" hidden="false" customHeight="false" outlineLevel="0" collapsed="false">
      <c r="A170" s="20" t="n">
        <v>4408219</v>
      </c>
      <c r="B170" s="20" t="s">
        <v>313</v>
      </c>
      <c r="C170" s="20" t="str">
        <f aca="false">TRIM(SUBSTITUTE($B170,CHAR(160)," "))</f>
        <v>078G-S חגורת גב אפורה</v>
      </c>
    </row>
    <row r="171" customFormat="false" ht="15" hidden="false" customHeight="false" outlineLevel="0" collapsed="false">
      <c r="A171" s="20" t="n">
        <v>4408222</v>
      </c>
      <c r="B171" s="20" t="s">
        <v>314</v>
      </c>
      <c r="C171" s="20" t="str">
        <f aca="false">TRIM(SUBSTITUTE($B171,CHAR(160)," "))</f>
        <v>078G-XLחגורת גב אפורה</v>
      </c>
    </row>
    <row r="172" customFormat="false" ht="15" hidden="false" customHeight="false" outlineLevel="0" collapsed="false">
      <c r="A172" s="20" t="n">
        <v>4408223</v>
      </c>
      <c r="B172" s="20" t="s">
        <v>315</v>
      </c>
      <c r="C172" s="20" t="str">
        <f aca="false">TRIM(SUBSTITUTE($B172,CHAR(160)," "))</f>
        <v>078G-XXLחגורת גב אפורה</v>
      </c>
    </row>
    <row r="173" customFormat="false" ht="15" hidden="false" customHeight="false" outlineLevel="0" collapsed="false">
      <c r="A173" s="20" t="n">
        <v>4408218</v>
      </c>
      <c r="B173" s="20" t="s">
        <v>316</v>
      </c>
      <c r="C173" s="20" t="str">
        <f aca="false">TRIM(SUBSTITUTE($B173,CHAR(160)," "))</f>
        <v>078XL חגורת גב +סגירה כפולה</v>
      </c>
    </row>
    <row r="174" customFormat="false" ht="15" hidden="false" customHeight="false" outlineLevel="0" collapsed="false">
      <c r="A174" s="20" t="n">
        <v>4408265</v>
      </c>
      <c r="B174" s="20" t="s">
        <v>317</v>
      </c>
      <c r="C174" s="20" t="str">
        <f aca="false">TRIM(SUBSTITUTE($B174,CHAR(160)," "))</f>
        <v>078XXL חגורת גב +סגירה כפולה</v>
      </c>
    </row>
    <row r="175" customFormat="false" ht="15" hidden="false" customHeight="false" outlineLevel="0" collapsed="false">
      <c r="A175" s="20" t="n">
        <v>4408011</v>
      </c>
      <c r="B175" s="20" t="s">
        <v>318</v>
      </c>
      <c r="C175" s="20" t="str">
        <f aca="false">TRIM(SUBSTITUTE($B175,CHAR(160)," "))</f>
        <v>079 M ח.גב סג.כפולה שחור+אדום</v>
      </c>
    </row>
    <row r="176" customFormat="false" ht="15" hidden="false" customHeight="false" outlineLevel="0" collapsed="false">
      <c r="A176" s="20" t="n">
        <v>4408010</v>
      </c>
      <c r="B176" s="20" t="s">
        <v>319</v>
      </c>
      <c r="C176" s="20" t="str">
        <f aca="false">TRIM(SUBSTITUTE($B176,CHAR(160)," "))</f>
        <v>079 L ח.גב סג.כפולה שחור+אדום</v>
      </c>
    </row>
    <row r="177" customFormat="false" ht="15" hidden="false" customHeight="false" outlineLevel="0" collapsed="false">
      <c r="A177" s="20" t="n">
        <v>4408009</v>
      </c>
      <c r="B177" s="20" t="s">
        <v>320</v>
      </c>
      <c r="C177" s="20" t="str">
        <f aca="false">TRIM(SUBSTITUTE($B177,CHAR(160)," "))</f>
        <v>079 S ח.גב סג. כפולה שחור+אדום</v>
      </c>
    </row>
    <row r="178" customFormat="false" ht="15" hidden="false" customHeight="false" outlineLevel="0" collapsed="false">
      <c r="A178" s="20" t="n">
        <v>4408012</v>
      </c>
      <c r="B178" s="20" t="s">
        <v>321</v>
      </c>
      <c r="C178" s="20" t="str">
        <f aca="false">TRIM(SUBSTITUTE($B178,CHAR(160)," "))</f>
        <v>079 XL ח.גב סג.כפולה שחור+אדום</v>
      </c>
    </row>
    <row r="179" customFormat="false" ht="15" hidden="false" customHeight="false" outlineLevel="0" collapsed="false">
      <c r="A179" s="20" t="n">
        <v>4408013</v>
      </c>
      <c r="B179" s="20" t="s">
        <v>322</v>
      </c>
      <c r="C179" s="20" t="str">
        <f aca="false">TRIM(SUBSTITUTE($B179,CHAR(160)," "))</f>
        <v>079 XXLח.גב סג.כפולה שחור+אדום</v>
      </c>
    </row>
    <row r="180" customFormat="false" ht="15" hidden="false" customHeight="false" outlineLevel="0" collapsed="false">
      <c r="A180" s="20" t="n">
        <v>4408015</v>
      </c>
      <c r="B180" s="20" t="s">
        <v>323</v>
      </c>
      <c r="C180" s="20" t="str">
        <f aca="false">TRIM(SUBSTITUTE($B180,CHAR(160)," "))</f>
        <v>07AU L ח.גב ""איטלקית"" אורירית</v>
      </c>
    </row>
    <row r="181" customFormat="false" ht="15" hidden="false" customHeight="false" outlineLevel="0" collapsed="false">
      <c r="A181" s="20" t="n">
        <v>4408016</v>
      </c>
      <c r="B181" s="20" t="s">
        <v>324</v>
      </c>
      <c r="C181" s="20" t="str">
        <f aca="false">TRIM(SUBSTITUTE($B181,CHAR(160)," "))</f>
        <v>07AU M ח.גב ""איטלקית"" אורירית</v>
      </c>
    </row>
    <row r="182" customFormat="false" ht="15" hidden="false" customHeight="false" outlineLevel="0" collapsed="false">
      <c r="A182" s="20" t="n">
        <v>4408014</v>
      </c>
      <c r="B182" s="20" t="s">
        <v>325</v>
      </c>
      <c r="C182" s="20" t="str">
        <f aca="false">TRIM(SUBSTITUTE($B182,CHAR(160)," "))</f>
        <v>07AU S ח.גב ""איטלקית"" אורירית</v>
      </c>
    </row>
    <row r="183" customFormat="false" ht="15" hidden="false" customHeight="false" outlineLevel="0" collapsed="false">
      <c r="A183" s="20" t="n">
        <v>4408017</v>
      </c>
      <c r="B183" s="20" t="s">
        <v>326</v>
      </c>
      <c r="C183" s="20" t="str">
        <f aca="false">TRIM(SUBSTITUTE($B183,CHAR(160)," "))</f>
        <v>07AU XL ח.גב ""איטלקית"" אורירית</v>
      </c>
    </row>
    <row r="184" customFormat="false" ht="15" hidden="false" customHeight="false" outlineLevel="0" collapsed="false">
      <c r="A184" s="20" t="n">
        <v>4408018</v>
      </c>
      <c r="B184" s="20" t="s">
        <v>327</v>
      </c>
      <c r="C184" s="20" t="str">
        <f aca="false">TRIM(SUBSTITUTE($B184,CHAR(160)," "))</f>
        <v>07AU XXL.ח.גב ""איטלקית"" אוריר</v>
      </c>
    </row>
    <row r="185" customFormat="false" ht="15" hidden="false" customHeight="false" outlineLevel="0" collapsed="false">
      <c r="A185" s="20" t="n">
        <v>4408024</v>
      </c>
      <c r="B185" s="20" t="s">
        <v>328</v>
      </c>
      <c r="C185" s="20" t="str">
        <f aca="false">TRIM(SUBSTITUTE($B185,CHAR(160)," "))</f>
        <v>07UC L-XLח.גב אמר+סגירה כפ.חום</v>
      </c>
    </row>
    <row r="186" customFormat="false" ht="15" hidden="false" customHeight="false" outlineLevel="0" collapsed="false">
      <c r="A186" s="20" t="n">
        <v>4408027</v>
      </c>
      <c r="B186" s="20" t="s">
        <v>329</v>
      </c>
      <c r="C186" s="20" t="str">
        <f aca="false">TRIM(SUBSTITUTE($B186,CHAR(160)," "))</f>
        <v>10 L ""חגורת גב ""לומבו</v>
      </c>
    </row>
    <row r="187" customFormat="false" ht="15" hidden="false" customHeight="false" outlineLevel="0" collapsed="false">
      <c r="A187" s="20" t="n">
        <v>4408028</v>
      </c>
      <c r="B187" s="20" t="s">
        <v>330</v>
      </c>
      <c r="C187" s="20" t="str">
        <f aca="false">TRIM(SUBSTITUTE($B187,CHAR(160)," "))</f>
        <v>10 M ""חגורת גב ""לומבו</v>
      </c>
    </row>
    <row r="188" customFormat="false" ht="15" hidden="false" customHeight="false" outlineLevel="0" collapsed="false">
      <c r="A188" s="20" t="n">
        <v>4408026</v>
      </c>
      <c r="B188" s="20" t="s">
        <v>331</v>
      </c>
      <c r="C188" s="20" t="str">
        <f aca="false">TRIM(SUBSTITUTE($B188,CHAR(160)," "))</f>
        <v>10 S ""חגורת גב ""לומבו</v>
      </c>
    </row>
    <row r="189" customFormat="false" ht="15" hidden="false" customHeight="false" outlineLevel="0" collapsed="false">
      <c r="A189" s="20" t="n">
        <v>4408029</v>
      </c>
      <c r="B189" s="20" t="s">
        <v>332</v>
      </c>
      <c r="C189" s="20" t="str">
        <f aca="false">TRIM(SUBSTITUTE($B189,CHAR(160)," "))</f>
        <v>10 XL ""חגורת גב ""לומבו</v>
      </c>
    </row>
    <row r="190" customFormat="false" ht="15" hidden="false" customHeight="false" outlineLevel="0" collapsed="false">
      <c r="A190" s="20" t="n">
        <v>4408030</v>
      </c>
      <c r="B190" s="20" t="s">
        <v>333</v>
      </c>
      <c r="C190" s="20" t="str">
        <f aca="false">TRIM(SUBSTITUTE($B190,CHAR(160)," "))</f>
        <v>10 XXL""חגורת גב ""לומבו</v>
      </c>
    </row>
    <row r="191" customFormat="false" ht="15" hidden="false" customHeight="false" outlineLevel="0" collapsed="false">
      <c r="A191" s="20" t="n">
        <v>4408032</v>
      </c>
      <c r="B191" s="20" t="s">
        <v>334</v>
      </c>
      <c r="C191" s="20" t="str">
        <f aca="false">TRIM(SUBSTITUTE($B191,CHAR(160)," "))</f>
        <v>11 L""חגורת בטן""אורירית</v>
      </c>
    </row>
    <row r="192" customFormat="false" ht="15" hidden="false" customHeight="false" outlineLevel="0" collapsed="false">
      <c r="A192" s="20" t="n">
        <v>4408033</v>
      </c>
      <c r="B192" s="20" t="s">
        <v>335</v>
      </c>
      <c r="C192" s="20" t="str">
        <f aca="false">TRIM(SUBSTITUTE($B192,CHAR(160)," "))</f>
        <v>11 M""חגורת בטן""אורירית</v>
      </c>
    </row>
    <row r="193" customFormat="false" ht="15" hidden="false" customHeight="false" outlineLevel="0" collapsed="false">
      <c r="A193" s="20" t="n">
        <v>4408031</v>
      </c>
      <c r="B193" s="20" t="s">
        <v>336</v>
      </c>
      <c r="C193" s="20" t="str">
        <f aca="false">TRIM(SUBSTITUTE($B193,CHAR(160)," "))</f>
        <v>11 S""חגורת בטן""אורירית</v>
      </c>
    </row>
    <row r="194" customFormat="false" ht="15" hidden="false" customHeight="false" outlineLevel="0" collapsed="false">
      <c r="A194" s="20" t="n">
        <v>4408034</v>
      </c>
      <c r="B194" s="20" t="s">
        <v>337</v>
      </c>
      <c r="C194" s="20" t="str">
        <f aca="false">TRIM(SUBSTITUTE($B194,CHAR(160)," "))</f>
        <v>11 XL""חגורת בטן""אורירית</v>
      </c>
    </row>
    <row r="195" customFormat="false" ht="15" hidden="false" customHeight="false" outlineLevel="0" collapsed="false">
      <c r="A195" s="20" t="n">
        <v>4408175</v>
      </c>
      <c r="B195" s="20" t="s">
        <v>338</v>
      </c>
      <c r="C195" s="20" t="str">
        <f aca="false">TRIM(SUBSTITUTE($B195,CHAR(160)," "))</f>
        <v>11 XS חגורת בטן</v>
      </c>
    </row>
    <row r="196" customFormat="false" ht="15" hidden="false" customHeight="false" outlineLevel="0" collapsed="false">
      <c r="A196" s="20" t="n">
        <v>4408035</v>
      </c>
      <c r="B196" s="20" t="s">
        <v>339</v>
      </c>
      <c r="C196" s="20" t="str">
        <f aca="false">TRIM(SUBSTITUTE($B196,CHAR(160)," "))</f>
        <v>11 XXL""חגורת בטן""אורירית</v>
      </c>
    </row>
    <row r="197" customFormat="false" ht="15" hidden="false" customHeight="false" outlineLevel="0" collapsed="false">
      <c r="A197" s="20" t="n">
        <v>4408115</v>
      </c>
      <c r="B197" s="20" t="s">
        <v>340</v>
      </c>
      <c r="C197" s="20" t="str">
        <f aca="false">TRIM(SUBSTITUTE($B197,CHAR(160)," "))</f>
        <v>11EU L ח.בטן לאחר ניתוח</v>
      </c>
    </row>
    <row r="198" customFormat="false" ht="15" hidden="false" customHeight="false" outlineLevel="0" collapsed="false">
      <c r="A198" s="20" t="n">
        <v>4408114</v>
      </c>
      <c r="B198" s="20" t="s">
        <v>341</v>
      </c>
      <c r="C198" s="20" t="str">
        <f aca="false">TRIM(SUBSTITUTE($B198,CHAR(160)," "))</f>
        <v>11EU M ח.בטן לאחר ניתוח</v>
      </c>
    </row>
    <row r="199" customFormat="false" ht="15" hidden="false" customHeight="false" outlineLevel="0" collapsed="false">
      <c r="A199" s="20" t="n">
        <v>4408113</v>
      </c>
      <c r="B199" s="20" t="s">
        <v>342</v>
      </c>
      <c r="C199" s="20" t="str">
        <f aca="false">TRIM(SUBSTITUTE($B199,CHAR(160)," "))</f>
        <v>11EU S ח.בטן לאחר ניתוח</v>
      </c>
    </row>
    <row r="200" customFormat="false" ht="15" hidden="false" customHeight="false" outlineLevel="0" collapsed="false">
      <c r="A200" s="20" t="n">
        <v>4408116</v>
      </c>
      <c r="B200" s="20" t="s">
        <v>343</v>
      </c>
      <c r="C200" s="20" t="str">
        <f aca="false">TRIM(SUBSTITUTE($B200,CHAR(160)," "))</f>
        <v>11EU XLח.בטן לאחר ניתוח</v>
      </c>
    </row>
    <row r="201" customFormat="false" ht="15" hidden="false" customHeight="false" outlineLevel="0" collapsed="false">
      <c r="A201" s="20" t="n">
        <v>4408132</v>
      </c>
      <c r="B201" s="20" t="s">
        <v>344</v>
      </c>
      <c r="C201" s="20" t="str">
        <f aca="false">TRIM(SUBSTITUTE($B201,CHAR(160)," "))</f>
        <v>11EU XXL חגורת בטןלאחר ניתוח</v>
      </c>
    </row>
    <row r="202" customFormat="false" ht="15" hidden="false" customHeight="false" outlineLevel="0" collapsed="false">
      <c r="A202" s="20" t="n">
        <v>4408147</v>
      </c>
      <c r="B202" s="20" t="s">
        <v>345</v>
      </c>
      <c r="C202" s="20" t="str">
        <f aca="false">TRIM(SUBSTITUTE($B202,CHAR(160)," "))</f>
        <v>11PS Lחגורה למנותחי בטן</v>
      </c>
    </row>
    <row r="203" customFormat="false" ht="15" hidden="false" customHeight="false" outlineLevel="0" collapsed="false">
      <c r="A203" s="20" t="n">
        <v>4408146</v>
      </c>
      <c r="B203" s="20" t="s">
        <v>346</v>
      </c>
      <c r="C203" s="20" t="str">
        <f aca="false">TRIM(SUBSTITUTE($B203,CHAR(160)," "))</f>
        <v>11PS Mחגורה למנותחי בטן</v>
      </c>
    </row>
    <row r="204" customFormat="false" ht="15" hidden="false" customHeight="false" outlineLevel="0" collapsed="false">
      <c r="A204" s="20" t="n">
        <v>4408145</v>
      </c>
      <c r="B204" s="20" t="s">
        <v>347</v>
      </c>
      <c r="C204" s="20" t="str">
        <f aca="false">TRIM(SUBSTITUTE($B204,CHAR(160)," "))</f>
        <v>11PS Sחגורה למנותחי בטן</v>
      </c>
    </row>
    <row r="205" customFormat="false" ht="15" hidden="false" customHeight="false" outlineLevel="0" collapsed="false">
      <c r="A205" s="20" t="n">
        <v>4408148</v>
      </c>
      <c r="B205" s="20" t="s">
        <v>348</v>
      </c>
      <c r="C205" s="20" t="str">
        <f aca="false">TRIM(SUBSTITUTE($B205,CHAR(160)," "))</f>
        <v>11PS XLחגורה למנותחי בטן</v>
      </c>
    </row>
    <row r="206" customFormat="false" ht="15" hidden="false" customHeight="false" outlineLevel="0" collapsed="false">
      <c r="A206" s="20" t="n">
        <v>4408149</v>
      </c>
      <c r="B206" s="20" t="s">
        <v>349</v>
      </c>
      <c r="C206" s="20" t="str">
        <f aca="false">TRIM(SUBSTITUTE($B206,CHAR(160)," "))</f>
        <v>11PS XXLחגורה למנותחי בטן</v>
      </c>
    </row>
    <row r="207" customFormat="false" ht="15" hidden="false" customHeight="false" outlineLevel="0" collapsed="false">
      <c r="A207" s="20" t="n">
        <v>4408261</v>
      </c>
      <c r="B207" s="20" t="s">
        <v>350</v>
      </c>
      <c r="C207" s="20" t="str">
        <f aca="false">TRIM(SUBSTITUTE($B207,CHAR(160)," "))</f>
        <v>11STO L חגורה אחרי ניתוח</v>
      </c>
    </row>
    <row r="208" customFormat="false" ht="15" hidden="false" customHeight="false" outlineLevel="0" collapsed="false">
      <c r="A208" s="20" t="n">
        <v>4408260</v>
      </c>
      <c r="B208" s="20" t="s">
        <v>351</v>
      </c>
      <c r="C208" s="20" t="str">
        <f aca="false">TRIM(SUBSTITUTE($B208,CHAR(160)," "))</f>
        <v>11STO M חגורה אחרי ניתוח</v>
      </c>
    </row>
    <row r="209" customFormat="false" ht="15" hidden="false" customHeight="false" outlineLevel="0" collapsed="false">
      <c r="A209" s="20" t="n">
        <v>4408259</v>
      </c>
      <c r="B209" s="20" t="s">
        <v>352</v>
      </c>
      <c r="C209" s="20" t="str">
        <f aca="false">TRIM(SUBSTITUTE($B209,CHAR(160)," "))</f>
        <v>11STO S חגורה אחרי ניתוח</v>
      </c>
    </row>
    <row r="210" customFormat="false" ht="15" hidden="false" customHeight="false" outlineLevel="0" collapsed="false">
      <c r="A210" s="20" t="n">
        <v>4408262</v>
      </c>
      <c r="B210" s="20" t="s">
        <v>353</v>
      </c>
      <c r="C210" s="20" t="str">
        <f aca="false">TRIM(SUBSTITUTE($B210,CHAR(160)," "))</f>
        <v>11STO XL חגורה אחרי ניתוח</v>
      </c>
    </row>
    <row r="211" customFormat="false" ht="15" hidden="false" customHeight="false" outlineLevel="0" collapsed="false">
      <c r="A211" s="20" t="n">
        <v>4408263</v>
      </c>
      <c r="B211" s="20" t="s">
        <v>354</v>
      </c>
      <c r="C211" s="20" t="str">
        <f aca="false">TRIM(SUBSTITUTE($B211,CHAR(160)," "))</f>
        <v>11STO XXL חגורה אחרי ניתוח</v>
      </c>
    </row>
    <row r="212" customFormat="false" ht="15" hidden="false" customHeight="false" outlineLevel="0" collapsed="false">
      <c r="A212" s="20" t="n">
        <v>4408152</v>
      </c>
      <c r="B212" s="20" t="s">
        <v>355</v>
      </c>
      <c r="C212" s="20" t="str">
        <f aca="false">TRIM(SUBSTITUTE($B212,CHAR(160)," "))</f>
        <v>11TO L חגורה למנותחי בית החזה</v>
      </c>
    </row>
    <row r="213" customFormat="false" ht="15" hidden="false" customHeight="false" outlineLevel="0" collapsed="false">
      <c r="A213" s="20" t="n">
        <v>4408151</v>
      </c>
      <c r="B213" s="20" t="s">
        <v>356</v>
      </c>
      <c r="C213" s="20" t="str">
        <f aca="false">TRIM(SUBSTITUTE($B213,CHAR(160)," "))</f>
        <v>11TO M חגורה למנותחי בית החזה</v>
      </c>
    </row>
    <row r="214" customFormat="false" ht="15" hidden="false" customHeight="false" outlineLevel="0" collapsed="false">
      <c r="A214" s="20" t="n">
        <v>4408150</v>
      </c>
      <c r="B214" s="20" t="s">
        <v>357</v>
      </c>
      <c r="C214" s="20" t="str">
        <f aca="false">TRIM(SUBSTITUTE($B214,CHAR(160)," "))</f>
        <v>11TO S חגורה למנותחי בית החזה</v>
      </c>
    </row>
    <row r="215" customFormat="false" ht="15" hidden="false" customHeight="false" outlineLevel="0" collapsed="false">
      <c r="A215" s="20" t="n">
        <v>4408153</v>
      </c>
      <c r="B215" s="20" t="s">
        <v>358</v>
      </c>
      <c r="C215" s="20" t="str">
        <f aca="false">TRIM(SUBSTITUTE($B215,CHAR(160)," "))</f>
        <v>11TO XLחגורה למנותחי בית החזה</v>
      </c>
    </row>
    <row r="216" customFormat="false" ht="15" hidden="false" customHeight="false" outlineLevel="0" collapsed="false">
      <c r="A216" s="20" t="n">
        <v>4408154</v>
      </c>
      <c r="B216" s="20" t="s">
        <v>359</v>
      </c>
      <c r="C216" s="20" t="str">
        <f aca="false">TRIM(SUBSTITUTE($B216,CHAR(160)," "))</f>
        <v>11TO XXLחגורה למנותחי בית החזה</v>
      </c>
    </row>
    <row r="217" customFormat="false" ht="15" hidden="false" customHeight="false" outlineLevel="0" collapsed="false">
      <c r="A217" s="20" t="n">
        <v>4408100</v>
      </c>
      <c r="B217" s="20" t="s">
        <v>360</v>
      </c>
      <c r="C217" s="20" t="str">
        <f aca="false">TRIM(SUBSTITUTE($B217,CHAR(160)," "))</f>
        <v>11U Lחגורת בטן וחזה אחרי ניתוח</v>
      </c>
    </row>
    <row r="218" customFormat="false" ht="15" hidden="false" customHeight="false" outlineLevel="0" collapsed="false">
      <c r="A218" s="20" t="n">
        <v>4408101</v>
      </c>
      <c r="B218" s="20" t="s">
        <v>361</v>
      </c>
      <c r="C218" s="20" t="str">
        <f aca="false">TRIM(SUBSTITUTE($B218,CHAR(160)," "))</f>
        <v>11U Mחגורת בטן וחזה אחרי ניתוח</v>
      </c>
    </row>
    <row r="219" customFormat="false" ht="15" hidden="false" customHeight="false" outlineLevel="0" collapsed="false">
      <c r="A219" s="20" t="n">
        <v>4408103</v>
      </c>
      <c r="B219" s="20" t="s">
        <v>362</v>
      </c>
      <c r="C219" s="20" t="str">
        <f aca="false">TRIM(SUBSTITUTE($B219,CHAR(160)," "))</f>
        <v>11U XL ח.בטן לאחר ניתוח קלה</v>
      </c>
    </row>
    <row r="220" customFormat="false" ht="15" hidden="false" customHeight="false" outlineLevel="0" collapsed="false">
      <c r="A220" s="20" t="n">
        <v>4408239</v>
      </c>
      <c r="B220" s="20" t="s">
        <v>363</v>
      </c>
      <c r="C220" s="20" t="str">
        <f aca="false">TRIM(SUBSTITUTE($B220,CHAR(160)," "))</f>
        <v>11UC'M'תתחגורת בטן עממית בז</v>
      </c>
    </row>
    <row r="221" customFormat="false" ht="15" hidden="false" customHeight="false" outlineLevel="0" collapsed="false">
      <c r="A221" s="20" t="n">
        <v>4408240</v>
      </c>
      <c r="B221" s="20" t="s">
        <v>364</v>
      </c>
      <c r="C221" s="20" t="str">
        <f aca="false">TRIM(SUBSTITUTE($B221,CHAR(160)," "))</f>
        <v>11UC S'תתחגורת בטן עממית בז</v>
      </c>
    </row>
    <row r="222" customFormat="false" ht="15" hidden="false" customHeight="false" outlineLevel="0" collapsed="false">
      <c r="A222" s="20" t="n">
        <v>4408241</v>
      </c>
      <c r="B222" s="20" t="s">
        <v>365</v>
      </c>
      <c r="C222" s="20" t="str">
        <f aca="false">TRIM(SUBSTITUTE($B222,CHAR(160)," "))</f>
        <v>11UC XL 'תתחגורת בטן עממ.בז</v>
      </c>
    </row>
    <row r="223" customFormat="false" ht="15" hidden="false" customHeight="false" outlineLevel="0" collapsed="false">
      <c r="A223" s="20" t="n">
        <v>4408037</v>
      </c>
      <c r="B223" s="20" t="s">
        <v>366</v>
      </c>
      <c r="C223" s="20" t="str">
        <f aca="false">TRIM(SUBSTITUTE($B223,CHAR(160)," "))</f>
        <v>12 L ח.גב מגנטית+מוטות תמיכה</v>
      </c>
    </row>
    <row r="224" customFormat="false" ht="15" hidden="false" customHeight="false" outlineLevel="0" collapsed="false">
      <c r="A224" s="20" t="n">
        <v>4408038</v>
      </c>
      <c r="B224" s="20" t="s">
        <v>367</v>
      </c>
      <c r="C224" s="20" t="str">
        <f aca="false">TRIM(SUBSTITUTE($B224,CHAR(160)," "))</f>
        <v>12 M ח.גב מגנטית+מוטות תמיכה</v>
      </c>
    </row>
    <row r="225" customFormat="false" ht="15" hidden="false" customHeight="false" outlineLevel="0" collapsed="false">
      <c r="A225" s="20" t="n">
        <v>4408036</v>
      </c>
      <c r="B225" s="20" t="s">
        <v>368</v>
      </c>
      <c r="C225" s="20" t="str">
        <f aca="false">TRIM(SUBSTITUTE($B225,CHAR(160)," "))</f>
        <v>12 S ח.גב מגנטית+מוטות תמיכה</v>
      </c>
    </row>
    <row r="226" customFormat="false" ht="15" hidden="false" customHeight="false" outlineLevel="0" collapsed="false">
      <c r="A226" s="20" t="n">
        <v>4408039</v>
      </c>
      <c r="B226" s="20" t="s">
        <v>369</v>
      </c>
      <c r="C226" s="20" t="str">
        <f aca="false">TRIM(SUBSTITUTE($B226,CHAR(160)," "))</f>
        <v>12 XL ח.גב מגנטית+מוטות תמיכה</v>
      </c>
    </row>
    <row r="227" customFormat="false" ht="15" hidden="false" customHeight="false" outlineLevel="0" collapsed="false">
      <c r="A227" s="20" t="n">
        <v>4408178</v>
      </c>
      <c r="B227" s="20" t="s">
        <v>370</v>
      </c>
      <c r="C227" s="20" t="str">
        <f aca="false">TRIM(SUBSTITUTE($B227,CHAR(160)," "))</f>
        <v>13 L חגורה לשבר טבור</v>
      </c>
    </row>
    <row r="228" customFormat="false" ht="15" hidden="false" customHeight="false" outlineLevel="0" collapsed="false">
      <c r="A228" s="20" t="n">
        <v>4408177</v>
      </c>
      <c r="B228" s="20" t="s">
        <v>371</v>
      </c>
      <c r="C228" s="20" t="str">
        <f aca="false">TRIM(SUBSTITUTE($B228,CHAR(160)," "))</f>
        <v>13 M חגורה לשבר טבור</v>
      </c>
    </row>
    <row r="229" customFormat="false" ht="15" hidden="false" customHeight="false" outlineLevel="0" collapsed="false">
      <c r="A229" s="20" t="n">
        <v>4408176</v>
      </c>
      <c r="B229" s="20" t="s">
        <v>372</v>
      </c>
      <c r="C229" s="20" t="str">
        <f aca="false">TRIM(SUBSTITUTE($B229,CHAR(160)," "))</f>
        <v>13 S חגורה לשבר טבור</v>
      </c>
    </row>
    <row r="230" customFormat="false" ht="15" hidden="false" customHeight="false" outlineLevel="0" collapsed="false">
      <c r="A230" s="20" t="n">
        <v>4408179</v>
      </c>
      <c r="B230" s="20" t="s">
        <v>373</v>
      </c>
      <c r="C230" s="20" t="str">
        <f aca="false">TRIM(SUBSTITUTE($B230,CHAR(160)," "))</f>
        <v>13 XL חגורה לשבר טבור</v>
      </c>
    </row>
    <row r="231" customFormat="false" ht="15" hidden="false" customHeight="false" outlineLevel="0" collapsed="false">
      <c r="A231" s="20" t="n">
        <v>4408180</v>
      </c>
      <c r="B231" s="20" t="s">
        <v>374</v>
      </c>
      <c r="C231" s="20" t="str">
        <f aca="false">TRIM(SUBSTITUTE($B231,CHAR(160)," "))</f>
        <v>13 XXL חגורה לשבר טבור</v>
      </c>
    </row>
    <row r="232" customFormat="false" ht="15" hidden="false" customHeight="false" outlineLevel="0" collapsed="false">
      <c r="A232" s="20" t="n">
        <v>4408203</v>
      </c>
      <c r="B232" s="20" t="s">
        <v>375</v>
      </c>
      <c r="C232" s="20" t="str">
        <f aca="false">TRIM(SUBSTITUTE($B232,CHAR(160)," "))</f>
        <v>14 0 חגורה למנותחי בית חזה</v>
      </c>
    </row>
    <row r="233" customFormat="false" ht="15" hidden="false" customHeight="false" outlineLevel="0" collapsed="false">
      <c r="A233" s="20" t="n">
        <v>4408122</v>
      </c>
      <c r="B233" s="20" t="s">
        <v>376</v>
      </c>
      <c r="C233" s="20" t="str">
        <f aca="false">TRIM(SUBSTITUTE($B233,CHAR(160)," "))</f>
        <v>15M L חגורת צלעות לגבר</v>
      </c>
    </row>
    <row r="234" customFormat="false" ht="15" hidden="false" customHeight="false" outlineLevel="0" collapsed="false">
      <c r="A234" s="20" t="n">
        <v>4408129</v>
      </c>
      <c r="B234" s="20" t="s">
        <v>377</v>
      </c>
      <c r="C234" s="20" t="str">
        <f aca="false">TRIM(SUBSTITUTE($B234,CHAR(160)," "))</f>
        <v>15M M חגורת צלעות לגבר</v>
      </c>
    </row>
    <row r="235" customFormat="false" ht="15" hidden="false" customHeight="false" outlineLevel="0" collapsed="false">
      <c r="A235" s="20" t="n">
        <v>4408123</v>
      </c>
      <c r="B235" s="20" t="s">
        <v>378</v>
      </c>
      <c r="C235" s="20" t="str">
        <f aca="false">TRIM(SUBSTITUTE($B235,CHAR(160)," "))</f>
        <v>15M XL חגורת צלעות לגבר</v>
      </c>
    </row>
    <row r="236" customFormat="false" ht="15" hidden="false" customHeight="false" outlineLevel="0" collapsed="false">
      <c r="A236" s="20" t="n">
        <v>4408131</v>
      </c>
      <c r="B236" s="20" t="s">
        <v>379</v>
      </c>
      <c r="C236" s="20" t="str">
        <f aca="false">TRIM(SUBSTITUTE($B236,CHAR(160)," "))</f>
        <v>15W L חגורת צלעות לאשה</v>
      </c>
    </row>
    <row r="237" customFormat="false" ht="15" hidden="false" customHeight="false" outlineLevel="0" collapsed="false">
      <c r="A237" s="20" t="n">
        <v>4408130</v>
      </c>
      <c r="B237" s="20" t="s">
        <v>380</v>
      </c>
      <c r="C237" s="20" t="str">
        <f aca="false">TRIM(SUBSTITUTE($B237,CHAR(160)," "))</f>
        <v>15W M חגורת צלעות לאשה</v>
      </c>
    </row>
    <row r="238" customFormat="false" ht="15" hidden="false" customHeight="false" outlineLevel="0" collapsed="false">
      <c r="A238" s="20" t="n">
        <v>4408126</v>
      </c>
      <c r="B238" s="20" t="s">
        <v>381</v>
      </c>
      <c r="C238" s="20" t="str">
        <f aca="false">TRIM(SUBSTITUTE($B238,CHAR(160)," "))</f>
        <v>15W XL חגורת צלעות לאשה</v>
      </c>
    </row>
    <row r="239" customFormat="false" ht="15" hidden="false" customHeight="false" outlineLevel="0" collapsed="false">
      <c r="A239" s="20" t="n">
        <v>4408127</v>
      </c>
      <c r="B239" s="20" t="s">
        <v>382</v>
      </c>
      <c r="C239" s="20" t="str">
        <f aca="false">TRIM(SUBSTITUTE($B239,CHAR(160)," "))</f>
        <v>15W XXL חגורת צלעות לאשה</v>
      </c>
    </row>
    <row r="240" customFormat="false" ht="15" hidden="false" customHeight="false" outlineLevel="0" collapsed="false">
      <c r="A240" s="20" t="n">
        <v>4408230</v>
      </c>
      <c r="B240" s="20" t="s">
        <v>383</v>
      </c>
      <c r="C240" s="20" t="str">
        <f aca="false">TRIM(SUBSTITUTE($B240,CHAR(160)," "))</f>
        <v>16 L-XL חגורת הריון</v>
      </c>
    </row>
    <row r="241" customFormat="false" ht="15" hidden="false" customHeight="false" outlineLevel="0" collapsed="false">
      <c r="A241" s="20" t="n">
        <v>4408231</v>
      </c>
      <c r="B241" s="20" t="s">
        <v>384</v>
      </c>
      <c r="C241" s="20" t="str">
        <f aca="false">TRIM(SUBSTITUTE($B241,CHAR(160)," "))</f>
        <v>16 S-M חגורת הריון</v>
      </c>
    </row>
    <row r="242" customFormat="false" ht="15" hidden="false" customHeight="false" outlineLevel="0" collapsed="false">
      <c r="A242" s="20" t="n">
        <v>4408232</v>
      </c>
      <c r="B242" s="20" t="s">
        <v>385</v>
      </c>
      <c r="C242" s="20" t="str">
        <f aca="false">TRIM(SUBSTITUTE($B242,CHAR(160)," "))</f>
        <v>16 XXL חגורת הריון</v>
      </c>
    </row>
    <row r="243" customFormat="false" ht="15" hidden="false" customHeight="false" outlineLevel="0" collapsed="false">
      <c r="A243" s="20" t="n">
        <v>4408044</v>
      </c>
      <c r="B243" s="20" t="s">
        <v>386</v>
      </c>
      <c r="C243" s="20" t="str">
        <f aca="false">TRIM(SUBSTITUTE($B243,CHAR(160)," "))</f>
        <v>18 XL.ח.הריון מכנס למניעת כאב</v>
      </c>
    </row>
    <row r="244" customFormat="false" ht="15" hidden="false" customHeight="false" outlineLevel="0" collapsed="false">
      <c r="A244" s="20" t="n">
        <v>4408042</v>
      </c>
      <c r="B244" s="20" t="s">
        <v>387</v>
      </c>
      <c r="C244" s="20" t="str">
        <f aca="false">TRIM(SUBSTITUTE($B244,CHAR(160)," "))</f>
        <v>18 L ח.הריון מכנס למניעת כאבים</v>
      </c>
    </row>
    <row r="245" customFormat="false" ht="15" hidden="false" customHeight="false" outlineLevel="0" collapsed="false">
      <c r="A245" s="20" t="n">
        <v>4408043</v>
      </c>
      <c r="B245" s="20" t="s">
        <v>388</v>
      </c>
      <c r="C245" s="20" t="str">
        <f aca="false">TRIM(SUBSTITUTE($B245,CHAR(160)," "))</f>
        <v>18 M ח.הריון מכנס למניעת כאבים</v>
      </c>
    </row>
    <row r="246" customFormat="false" ht="15" hidden="false" customHeight="false" outlineLevel="0" collapsed="false">
      <c r="A246" s="20" t="n">
        <v>4408041</v>
      </c>
      <c r="B246" s="20" t="s">
        <v>389</v>
      </c>
      <c r="C246" s="20" t="str">
        <f aca="false">TRIM(SUBSTITUTE($B246,CHAR(160)," "))</f>
        <v>18 S ח.הריון מכנס למניעת כאבים</v>
      </c>
    </row>
    <row r="247" customFormat="false" ht="15" hidden="false" customHeight="false" outlineLevel="0" collapsed="false">
      <c r="A247" s="20" t="n">
        <v>4408104</v>
      </c>
      <c r="B247" s="20" t="s">
        <v>390</v>
      </c>
      <c r="C247" s="20" t="str">
        <f aca="false">TRIM(SUBSTITUTE($B247,CHAR(160)," "))</f>
        <v>19 L-XLחגורת הריון בכאב.חזק</v>
      </c>
    </row>
    <row r="248" customFormat="false" ht="15" hidden="false" customHeight="false" outlineLevel="0" collapsed="false">
      <c r="A248" s="20" t="n">
        <v>4408105</v>
      </c>
      <c r="B248" s="20" t="s">
        <v>391</v>
      </c>
      <c r="C248" s="20" t="str">
        <f aca="false">TRIM(SUBSTITUTE($B248,CHAR(160)," "))</f>
        <v>19 S-M חגורת הריון בכאב חזק</v>
      </c>
    </row>
    <row r="249" customFormat="false" ht="15" hidden="false" customHeight="false" outlineLevel="0" collapsed="false">
      <c r="A249" s="20" t="n">
        <v>4408109</v>
      </c>
      <c r="B249" s="20" t="s">
        <v>392</v>
      </c>
      <c r="C249" s="20" t="str">
        <f aca="false">TRIM(SUBSTITUTE($B249,CHAR(160)," "))</f>
        <v>70 L חגורת פיסוק פאב</v>
      </c>
    </row>
    <row r="250" customFormat="false" ht="15" hidden="false" customHeight="false" outlineLevel="0" collapsed="false">
      <c r="A250" s="20" t="n">
        <v>4408108</v>
      </c>
      <c r="B250" s="20" t="s">
        <v>393</v>
      </c>
      <c r="C250" s="20" t="str">
        <f aca="false">TRIM(SUBSTITUTE($B250,CHAR(160)," "))</f>
        <v>70 M חגורת פיסוק פאב</v>
      </c>
    </row>
    <row r="251" customFormat="false" ht="15" hidden="false" customHeight="false" outlineLevel="0" collapsed="false">
      <c r="A251" s="20" t="n">
        <v>4408107</v>
      </c>
      <c r="B251" s="20" t="s">
        <v>394</v>
      </c>
      <c r="C251" s="20" t="str">
        <f aca="false">TRIM(SUBSTITUTE($B251,CHAR(160)," "))</f>
        <v>70 S חגורת פיסוק פאב</v>
      </c>
    </row>
    <row r="252" customFormat="false" ht="15" hidden="false" customHeight="false" outlineLevel="0" collapsed="false">
      <c r="A252" s="20" t="n">
        <v>4408274</v>
      </c>
      <c r="B252" s="20" t="s">
        <v>395</v>
      </c>
      <c r="C252" s="20" t="str">
        <f aca="false">TRIM(SUBSTITUTE($B252,CHAR(160)," "))</f>
        <v>70N L חגורת פאבליק</v>
      </c>
    </row>
    <row r="253" customFormat="false" ht="15" hidden="false" customHeight="false" outlineLevel="0" collapsed="false">
      <c r="A253" s="20" t="n">
        <v>4408273</v>
      </c>
      <c r="B253" s="20" t="s">
        <v>396</v>
      </c>
      <c r="C253" s="20" t="str">
        <f aca="false">TRIM(SUBSTITUTE($B253,CHAR(160)," "))</f>
        <v>70N M חגורת פאבליק</v>
      </c>
    </row>
    <row r="254" customFormat="false" ht="15" hidden="false" customHeight="false" outlineLevel="0" collapsed="false">
      <c r="A254" s="20" t="n">
        <v>4408272</v>
      </c>
      <c r="B254" s="20" t="s">
        <v>397</v>
      </c>
      <c r="C254" s="20" t="str">
        <f aca="false">TRIM(SUBSTITUTE($B254,CHAR(160)," "))</f>
        <v>70N S חגורת פאבליק</v>
      </c>
    </row>
    <row r="255" customFormat="false" ht="15" hidden="false" customHeight="false" outlineLevel="0" collapsed="false">
      <c r="A255" s="20" t="n">
        <v>4408271</v>
      </c>
      <c r="B255" s="20" t="s">
        <v>398</v>
      </c>
      <c r="C255" s="20" t="str">
        <f aca="false">TRIM(SUBSTITUTE($B255,CHAR(160)," "))</f>
        <v>70N XS חגורת פאבליק</v>
      </c>
    </row>
    <row r="256" customFormat="false" ht="15" hidden="false" customHeight="false" outlineLevel="0" collapsed="false">
      <c r="A256" s="20" t="n">
        <v>4408143</v>
      </c>
      <c r="B256" s="20" t="s">
        <v>399</v>
      </c>
      <c r="C256" s="20" t="str">
        <f aca="false">TRIM(SUBSTITUTE($B256,CHAR(160)," "))</f>
        <v>776 L ח.גב גבוהה</v>
      </c>
    </row>
    <row r="257" customFormat="false" ht="15" hidden="false" customHeight="false" outlineLevel="0" collapsed="false">
      <c r="A257" s="20" t="n">
        <v>4408142</v>
      </c>
      <c r="B257" s="20" t="s">
        <v>400</v>
      </c>
      <c r="C257" s="20" t="str">
        <f aca="false">TRIM(SUBSTITUTE($B257,CHAR(160)," "))</f>
        <v>776 M ח.גב גבוהה</v>
      </c>
    </row>
    <row r="258" customFormat="false" ht="15" hidden="false" customHeight="false" outlineLevel="0" collapsed="false">
      <c r="A258" s="20" t="n">
        <v>4408144</v>
      </c>
      <c r="B258" s="20" t="s">
        <v>401</v>
      </c>
      <c r="C258" s="20" t="str">
        <f aca="false">TRIM(SUBSTITUTE($B258,CHAR(160)," "))</f>
        <v>776 XL ח.גב גבוהה</v>
      </c>
    </row>
    <row r="259" customFormat="false" ht="15" hidden="false" customHeight="false" outlineLevel="0" collapsed="false">
      <c r="A259" s="20" t="n">
        <v>4408205</v>
      </c>
      <c r="B259" s="20" t="s">
        <v>402</v>
      </c>
      <c r="C259" s="20" t="str">
        <f aca="false">TRIM(SUBSTITUTE($B259,CHAR(160)," "))</f>
        <v>AC-07 חגורת גב עם תמיכות</v>
      </c>
    </row>
    <row r="260" customFormat="false" ht="15" hidden="false" customHeight="false" outlineLevel="0" collapsed="false">
      <c r="A260" s="20" t="n">
        <v>4408206</v>
      </c>
      <c r="B260" s="20" t="s">
        <v>403</v>
      </c>
      <c r="C260" s="20" t="str">
        <f aca="false">TRIM(SUBSTITUTE($B260,CHAR(160)," "))</f>
        <v>AC-11 חגורת בטן קלה</v>
      </c>
    </row>
    <row r="261" customFormat="false" ht="15" hidden="false" customHeight="false" outlineLevel="0" collapsed="false">
      <c r="A261" s="20" t="n">
        <v>4408252</v>
      </c>
      <c r="B261" s="20" t="s">
        <v>404</v>
      </c>
      <c r="C261" s="20" t="str">
        <f aca="false">TRIM(SUBSTITUTE($B261,CHAR(160)," "))</f>
        <v>L-XL 099 חגורת גב שרוכים</v>
      </c>
    </row>
    <row r="262" customFormat="false" ht="15" hidden="false" customHeight="false" outlineLevel="0" collapsed="false">
      <c r="A262" s="20" t="n">
        <v>4408226</v>
      </c>
      <c r="B262" s="20" t="s">
        <v>405</v>
      </c>
      <c r="C262" s="20" t="str">
        <f aca="false">TRIM(SUBSTITUTE($B262,CHAR(160)," "))</f>
        <v>L 11 אפורUG חגורת בטן</v>
      </c>
    </row>
    <row r="263" customFormat="false" ht="15" hidden="false" customHeight="false" outlineLevel="0" collapsed="false">
      <c r="A263" s="20" t="n">
        <v>4408225</v>
      </c>
      <c r="B263" s="20" t="s">
        <v>406</v>
      </c>
      <c r="C263" s="20" t="str">
        <f aca="false">TRIM(SUBSTITUTE($B263,CHAR(160)," "))</f>
        <v>M 11 אפורUG חגורת בטן</v>
      </c>
    </row>
    <row r="264" customFormat="false" ht="15" hidden="false" customHeight="false" outlineLevel="0" collapsed="false">
      <c r="A264" s="20" t="n">
        <v>4408190</v>
      </c>
      <c r="B264" s="20" t="s">
        <v>407</v>
      </c>
      <c r="C264" s="20" t="str">
        <f aca="false">TRIM(SUBSTITUTE($B264,CHAR(160)," "))</f>
        <v>M078 חגורת גב +סגירה כפולה</v>
      </c>
    </row>
    <row r="265" customFormat="false" ht="15" hidden="false" customHeight="false" outlineLevel="0" collapsed="false">
      <c r="A265" s="20" t="n">
        <v>4408251</v>
      </c>
      <c r="B265" s="20" t="s">
        <v>408</v>
      </c>
      <c r="C265" s="20" t="str">
        <f aca="false">TRIM(SUBSTITUTE($B265,CHAR(160)," "))</f>
        <v>S-M 099 חגורת גב שרוכים</v>
      </c>
    </row>
    <row r="266" customFormat="false" ht="15" hidden="false" customHeight="false" outlineLevel="0" collapsed="false">
      <c r="A266" s="20" t="n">
        <v>4408224</v>
      </c>
      <c r="B266" s="20" t="s">
        <v>409</v>
      </c>
      <c r="C266" s="20" t="str">
        <f aca="false">TRIM(SUBSTITUTE($B266,CHAR(160)," "))</f>
        <v>S 11 אפורUGחגורת בטן</v>
      </c>
    </row>
    <row r="267" customFormat="false" ht="15" hidden="false" customHeight="false" outlineLevel="0" collapsed="false">
      <c r="A267" s="20" t="n">
        <v>4408217</v>
      </c>
      <c r="B267" s="20" t="s">
        <v>410</v>
      </c>
      <c r="C267" s="20" t="str">
        <f aca="false">TRIM(SUBSTITUTE($B267,CHAR(160)," "))</f>
        <v>S078 חגורת גב +סגירה כפולה</v>
      </c>
    </row>
    <row r="268" customFormat="false" ht="15" hidden="false" customHeight="false" outlineLevel="0" collapsed="false">
      <c r="A268" s="20" t="n">
        <v>4408270</v>
      </c>
      <c r="B268" s="20" t="s">
        <v>411</v>
      </c>
      <c r="C268" s="20" t="str">
        <f aca="false">TRIM(SUBSTITUTE($B268,CHAR(160)," "))</f>
        <v>ST11 חגורת בטן</v>
      </c>
    </row>
    <row r="269" customFormat="false" ht="15" hidden="false" customHeight="false" outlineLevel="0" collapsed="false">
      <c r="A269" s="20" t="n">
        <v>4408090</v>
      </c>
      <c r="B269" s="20" t="s">
        <v>412</v>
      </c>
      <c r="C269" s="20" t="str">
        <f aca="false">TRIM(SUBSTITUTE($B269,CHAR(160)," "))</f>
        <v>T11C L חגורת גב פוג'יאמה</v>
      </c>
    </row>
    <row r="270" customFormat="false" ht="15" hidden="false" customHeight="false" outlineLevel="0" collapsed="false">
      <c r="A270" s="20" t="n">
        <v>4408091</v>
      </c>
      <c r="B270" s="20" t="s">
        <v>413</v>
      </c>
      <c r="C270" s="20" t="str">
        <f aca="false">TRIM(SUBSTITUTE($B270,CHAR(160)," "))</f>
        <v>T11C M חגורת גב פוג'יאמה</v>
      </c>
    </row>
    <row r="271" customFormat="false" ht="15" hidden="false" customHeight="false" outlineLevel="0" collapsed="false">
      <c r="A271" s="20" t="n">
        <v>4408089</v>
      </c>
      <c r="B271" s="20" t="s">
        <v>414</v>
      </c>
      <c r="C271" s="20" t="str">
        <f aca="false">TRIM(SUBSTITUTE($B271,CHAR(160)," "))</f>
        <v>T11C S חגורת גב פוג'יאמה</v>
      </c>
    </row>
    <row r="272" customFormat="false" ht="15" hidden="false" customHeight="false" outlineLevel="0" collapsed="false">
      <c r="A272" s="20" t="n">
        <v>4408092</v>
      </c>
      <c r="B272" s="20" t="s">
        <v>415</v>
      </c>
      <c r="C272" s="20" t="str">
        <f aca="false">TRIM(SUBSTITUTE($B272,CHAR(160)," "))</f>
        <v>T11C XL חגורת גב פוג'יאמה</v>
      </c>
    </row>
    <row r="273" customFormat="false" ht="15" hidden="false" customHeight="false" outlineLevel="0" collapsed="false">
      <c r="A273" s="20" t="n">
        <v>4408093</v>
      </c>
      <c r="B273" s="20" t="s">
        <v>416</v>
      </c>
      <c r="C273" s="20" t="str">
        <f aca="false">TRIM(SUBSTITUTE($B273,CHAR(160)," "))</f>
        <v>T11C XXL חגורת גב פוג'יאמה</v>
      </c>
    </row>
    <row r="274" customFormat="false" ht="15" hidden="false" customHeight="false" outlineLevel="0" collapsed="false">
      <c r="A274" s="20" t="n">
        <v>4408227</v>
      </c>
      <c r="B274" s="20" t="s">
        <v>417</v>
      </c>
      <c r="C274" s="20" t="str">
        <f aca="false">TRIM(SUBSTITUTE($B274,CHAR(160)," "))</f>
        <v>XL 11 אפורUG חגורת בטן</v>
      </c>
    </row>
    <row r="275" customFormat="false" ht="15" hidden="false" customHeight="false" outlineLevel="0" collapsed="false">
      <c r="A275" s="20" t="n">
        <v>4408229</v>
      </c>
      <c r="B275" s="20" t="s">
        <v>418</v>
      </c>
      <c r="C275" s="20" t="str">
        <f aca="false">TRIM(SUBSTITUTE($B275,CHAR(160)," "))</f>
        <v>XXL 11אפורUGחגורת בטן</v>
      </c>
    </row>
    <row r="276" customFormat="false" ht="15" hidden="false" customHeight="false" outlineLevel="0" collapsed="false">
      <c r="A276" s="20" t="n">
        <v>4409011</v>
      </c>
      <c r="B276" s="20" t="s">
        <v>419</v>
      </c>
      <c r="C276" s="20" t="str">
        <f aca="false">TRIM(SUBSTITUTE($B276,CHAR(160)," "))</f>
        <v>804AT-B טייפ חבישה לספורט</v>
      </c>
    </row>
    <row r="277" customFormat="false" ht="15" hidden="false" customHeight="false" outlineLevel="0" collapsed="false">
      <c r="A277" s="20" t="n">
        <v>4409013</v>
      </c>
      <c r="B277" s="20" t="s">
        <v>420</v>
      </c>
      <c r="C277" s="20" t="str">
        <f aca="false">TRIM(SUBSTITUTE($B277,CHAR(160)," "))</f>
        <v>804AT-BL טייפ חבישה לספורט</v>
      </c>
    </row>
    <row r="278" customFormat="false" ht="15" hidden="false" customHeight="false" outlineLevel="0" collapsed="false">
      <c r="A278" s="20" t="n">
        <v>4409012</v>
      </c>
      <c r="B278" s="20" t="s">
        <v>421</v>
      </c>
      <c r="C278" s="20" t="str">
        <f aca="false">TRIM(SUBSTITUTE($B278,CHAR(160)," "))</f>
        <v>804AT-C טייפ חבישה לספורט</v>
      </c>
    </row>
    <row r="279" customFormat="false" ht="15" hidden="false" customHeight="false" outlineLevel="0" collapsed="false">
      <c r="A279" s="20" t="n">
        <v>4409010</v>
      </c>
      <c r="B279" s="20" t="s">
        <v>422</v>
      </c>
      <c r="C279" s="20" t="str">
        <f aca="false">TRIM(SUBSTITUTE($B279,CHAR(160)," "))</f>
        <v>804AT-W טייפ חבישה לספורט</v>
      </c>
    </row>
    <row r="280" customFormat="false" ht="15" hidden="false" customHeight="false" outlineLevel="0" collapsed="false">
      <c r="A280" s="20" t="n">
        <v>4401012</v>
      </c>
      <c r="B280" s="20" t="s">
        <v>423</v>
      </c>
      <c r="C280" s="20" t="str">
        <f aca="false">TRIM(SUBSTITUTE($B280,CHAR(160)," "))</f>
        <v>805AT-B אתלטיק טייפ שחור 20מ""מ</v>
      </c>
    </row>
    <row r="281" customFormat="false" ht="15" hidden="false" customHeight="false" outlineLevel="0" collapsed="false">
      <c r="A281" s="20" t="n">
        <v>4401013</v>
      </c>
      <c r="B281" s="20" t="s">
        <v>424</v>
      </c>
      <c r="C281" s="20" t="str">
        <f aca="false">TRIM(SUBSTITUTE($B281,CHAR(160)," "))</f>
        <v>805AT-BLאתלטיק טייפ כחול 20מ""מ</v>
      </c>
    </row>
    <row r="282" customFormat="false" ht="15" hidden="false" customHeight="false" outlineLevel="0" collapsed="false">
      <c r="A282" s="20" t="n">
        <v>4401011</v>
      </c>
      <c r="B282" s="20" t="s">
        <v>425</v>
      </c>
      <c r="C282" s="20" t="str">
        <f aca="false">TRIM(SUBSTITUTE($B282,CHAR(160)," "))</f>
        <v>805AT-Cאתלטיק טייפ בז' 20מ""מ20</v>
      </c>
    </row>
    <row r="283" customFormat="false" ht="15" hidden="false" customHeight="false" outlineLevel="0" collapsed="false">
      <c r="A283" s="20" t="n">
        <v>4401014</v>
      </c>
      <c r="B283" s="20" t="s">
        <v>426</v>
      </c>
      <c r="C283" s="20" t="str">
        <f aca="false">TRIM(SUBSTITUTE($B283,CHAR(160)," "))</f>
        <v>805AT-W אתלטיק טייפ לבן 20מ""מ</v>
      </c>
    </row>
    <row r="284" customFormat="false" ht="15" hidden="false" customHeight="false" outlineLevel="0" collapsed="false">
      <c r="A284" s="20" t="n">
        <v>4409017</v>
      </c>
      <c r="B284" s="20" t="s">
        <v>427</v>
      </c>
      <c r="C284" s="20" t="str">
        <f aca="false">TRIM(SUBSTITUTE($B284,CHAR(160)," "))</f>
        <v>808KT-B טייפ קינזיולוגי</v>
      </c>
    </row>
    <row r="285" customFormat="false" ht="15" hidden="false" customHeight="false" outlineLevel="0" collapsed="false">
      <c r="A285" s="20" t="n">
        <v>4409015</v>
      </c>
      <c r="B285" s="20" t="s">
        <v>428</v>
      </c>
      <c r="C285" s="20" t="str">
        <f aca="false">TRIM(SUBSTITUTE($B285,CHAR(160)," "))</f>
        <v>808KT-BL טייפ קינזיולוגי</v>
      </c>
    </row>
    <row r="286" customFormat="false" ht="15" hidden="false" customHeight="false" outlineLevel="0" collapsed="false">
      <c r="A286" s="20" t="n">
        <v>4409016</v>
      </c>
      <c r="B286" s="20" t="s">
        <v>429</v>
      </c>
      <c r="C286" s="20" t="str">
        <f aca="false">TRIM(SUBSTITUTE($B286,CHAR(160)," "))</f>
        <v>808KT-C טייפ קינזיולוגי</v>
      </c>
    </row>
    <row r="287" customFormat="false" ht="15" hidden="false" customHeight="false" outlineLevel="0" collapsed="false">
      <c r="A287" s="20" t="n">
        <v>4409014</v>
      </c>
      <c r="B287" s="20" t="s">
        <v>430</v>
      </c>
      <c r="C287" s="20" t="str">
        <f aca="false">TRIM(SUBSTITUTE($B287,CHAR(160)," "))</f>
        <v>808KT-P טייפ קינזיולוגי</v>
      </c>
    </row>
    <row r="288" customFormat="false" ht="15" hidden="false" customHeight="false" outlineLevel="0" collapsed="false">
      <c r="A288" s="20" t="n">
        <v>4419013</v>
      </c>
      <c r="B288" s="20" t="s">
        <v>431</v>
      </c>
      <c r="C288" s="20" t="str">
        <f aca="false">TRIM(SUBSTITUTE($B288,CHAR(160)," "))</f>
        <v>239B L-XL STRAP4U</v>
      </c>
    </row>
    <row r="289" customFormat="false" ht="15" hidden="false" customHeight="false" outlineLevel="0" collapsed="false">
      <c r="A289" s="20" t="n">
        <v>4419011</v>
      </c>
      <c r="B289" s="20" t="s">
        <v>432</v>
      </c>
      <c r="C289" s="20" t="str">
        <f aca="false">TRIM(SUBSTITUTE($B289,CHAR(160)," "))</f>
        <v>239B S-M STRAP4U</v>
      </c>
    </row>
    <row r="290" customFormat="false" ht="15" hidden="false" customHeight="false" outlineLevel="0" collapsed="false">
      <c r="A290" s="20" t="n">
        <v>4419012</v>
      </c>
      <c r="B290" s="20" t="s">
        <v>433</v>
      </c>
      <c r="C290" s="20" t="str">
        <f aca="false">TRIM(SUBSTITUTE($B290,CHAR(160)," "))</f>
        <v>239P S-M STRAP4U</v>
      </c>
    </row>
    <row r="291" customFormat="false" ht="15" hidden="false" customHeight="false" outlineLevel="0" collapsed="false">
      <c r="A291" s="20" t="n">
        <v>4419014</v>
      </c>
      <c r="B291" s="20" t="s">
        <v>434</v>
      </c>
      <c r="C291" s="20" t="str">
        <f aca="false">TRIM(SUBSTITUTE($B291,CHAR(160)," "))</f>
        <v>239TR L-XL STRAP4U</v>
      </c>
    </row>
    <row r="292" customFormat="false" ht="15" hidden="false" customHeight="false" outlineLevel="0" collapsed="false">
      <c r="A292" s="20" t="n">
        <v>4411002</v>
      </c>
      <c r="B292" s="20" t="s">
        <v>435</v>
      </c>
      <c r="C292" s="20" t="str">
        <f aca="false">TRIM(SUBSTITUTE($B292,CHAR(160)," "))</f>
        <v>67 כרית שינה חלומי</v>
      </c>
    </row>
    <row r="293" customFormat="false" ht="15" hidden="false" customHeight="false" outlineLevel="0" collapsed="false">
      <c r="A293" s="20" t="n">
        <v>4414000</v>
      </c>
      <c r="B293" s="20" t="s">
        <v>436</v>
      </c>
      <c r="C293" s="20" t="str">
        <f aca="false">TRIM(SUBSTITUTE($B293,CHAR(160)," "))</f>
        <v>FC342-נוזל לציפורן חודרנית</v>
      </c>
    </row>
    <row r="294" customFormat="false" ht="15" hidden="false" customHeight="false" outlineLevel="0" collapsed="false">
      <c r="A294" s="20" t="n">
        <v>4415024</v>
      </c>
      <c r="B294" s="20" t="s">
        <v>437</v>
      </c>
      <c r="C294" s="20" t="str">
        <f aca="false">TRIM(SUBSTITUTE($B294,CHAR(160)," "))</f>
        <v>FCתתסבון אנטי ספטי לכף הרגל350</v>
      </c>
    </row>
    <row r="295" customFormat="false" ht="15" hidden="false" customHeight="false" outlineLevel="0" collapsed="false">
      <c r="A295" s="20" t="n">
        <v>4419015</v>
      </c>
      <c r="B295" s="20" t="s">
        <v>438</v>
      </c>
      <c r="C295" s="20" t="str">
        <f aca="false">TRIM(SUBSTITUTE($B295,CHAR(160)," "))</f>
        <v>STRAP4U DISPLAY 239D</v>
      </c>
    </row>
    <row r="296" customFormat="false" ht="15" hidden="false" customHeight="false" outlineLevel="0" collapsed="false">
      <c r="A296" s="20" t="n">
        <v>4421008</v>
      </c>
      <c r="B296" s="20" t="s">
        <v>439</v>
      </c>
      <c r="C296" s="20" t="str">
        <f aca="false">TRIM(SUBSTITUTE($B296,CHAR(160)," "))</f>
        <v>שרוול לגבס ארוך רגל</v>
      </c>
    </row>
    <row r="297" customFormat="false" ht="15" hidden="false" customHeight="false" outlineLevel="0" collapsed="false">
      <c r="A297" s="20" t="n">
        <v>4421007</v>
      </c>
      <c r="B297" s="20" t="s">
        <v>440</v>
      </c>
      <c r="C297" s="20" t="str">
        <f aca="false">TRIM(SUBSTITUTE($B297,CHAR(160)," "))</f>
        <v>שרוול לגבס קצר רגל</v>
      </c>
    </row>
    <row r="298" customFormat="false" ht="15" hidden="false" customHeight="false" outlineLevel="0" collapsed="false">
      <c r="A298" s="20" t="n">
        <v>4413149</v>
      </c>
      <c r="B298" s="20" t="s">
        <v>441</v>
      </c>
      <c r="C298" s="20" t="str">
        <f aca="false">TRIM(SUBSTITUTE($B298,CHAR(160)," "))</f>
        <v>FC321-מלח אמבט לכף הרגל</v>
      </c>
    </row>
    <row r="299" customFormat="false" ht="15" hidden="false" customHeight="false" outlineLevel="0" collapsed="false">
      <c r="A299" s="20" t="n">
        <v>4422036</v>
      </c>
      <c r="B299" s="20" t="s">
        <v>442</v>
      </c>
      <c r="C299" s="20" t="str">
        <f aca="false">TRIM(SUBSTITUTE($B299,CHAR(160)," "))</f>
        <v>FC334 תרסיס דאודורנט לכף הרגל</v>
      </c>
    </row>
    <row r="300" customFormat="false" ht="15" hidden="false" customHeight="false" outlineLevel="0" collapsed="false">
      <c r="A300" s="20" t="n">
        <v>4409004</v>
      </c>
      <c r="B300" s="20" t="s">
        <v>443</v>
      </c>
      <c r="C300" s="20" t="str">
        <f aca="false">TRIM(SUBSTITUTE($B300,CHAR(160)," "))</f>
        <v>FC335 טלק מעושר באלוורה</v>
      </c>
    </row>
    <row r="301" customFormat="false" ht="15" hidden="false" customHeight="false" outlineLevel="0" collapsed="false">
      <c r="A301" s="20" t="n">
        <v>4422035</v>
      </c>
      <c r="B301" s="20" t="s">
        <v>444</v>
      </c>
      <c r="C301" s="20" t="str">
        <f aca="false">TRIM(SUBSTITUTE($B301,CHAR(160)," "))</f>
        <v>FCתרסיס דאודורנט אנטיבק.נעל333</v>
      </c>
    </row>
    <row r="302" customFormat="false" ht="15" hidden="false" customHeight="false" outlineLevel="0" collapsed="false">
      <c r="A302" s="20" t="n">
        <v>4421006</v>
      </c>
      <c r="B302" s="20" t="s">
        <v>445</v>
      </c>
      <c r="C302" s="20" t="str">
        <f aca="false">TRIM(SUBSTITUTE($B302,CHAR(160)," "))</f>
        <v>שרוול לגבס ארוך יד</v>
      </c>
    </row>
    <row r="303" customFormat="false" ht="15" hidden="false" customHeight="false" outlineLevel="0" collapsed="false">
      <c r="A303" s="20" t="n">
        <v>4421005</v>
      </c>
      <c r="B303" s="20" t="s">
        <v>446</v>
      </c>
      <c r="C303" s="20" t="str">
        <f aca="false">TRIM(SUBSTITUTE($B303,CHAR(160)," "))</f>
        <v>שרוול לגבס קצר יד</v>
      </c>
    </row>
    <row r="304" customFormat="false" ht="15" hidden="false" customHeight="false" outlineLevel="0" collapsed="false">
      <c r="A304" s="20" t="n">
        <v>4413164</v>
      </c>
      <c r="B304" s="20" t="s">
        <v>447</v>
      </c>
      <c r="C304" s="20" t="str">
        <f aca="false">TRIM(SUBSTITUTE($B304,CHAR(160)," "))</f>
        <v>74 SM מיצב כתפיים</v>
      </c>
    </row>
    <row r="305" customFormat="false" ht="15" hidden="false" customHeight="false" outlineLevel="0" collapsed="false">
      <c r="A305" s="20" t="n">
        <v>4413165</v>
      </c>
      <c r="B305" s="20" t="s">
        <v>448</v>
      </c>
      <c r="C305" s="20" t="str">
        <f aca="false">TRIM(SUBSTITUTE($B305,CHAR(160)," "))</f>
        <v>74 L-XL מיצב כתפיים</v>
      </c>
    </row>
    <row r="306" customFormat="false" ht="15" hidden="false" customHeight="false" outlineLevel="0" collapsed="false">
      <c r="A306" s="20" t="n">
        <v>4413130</v>
      </c>
      <c r="B306" s="20" t="s">
        <v>449</v>
      </c>
      <c r="C306" s="20" t="str">
        <f aca="false">TRIM(SUBSTITUTE($B306,CHAR(160)," "))</f>
        <v>75 XXL מיישר כתף יציב ישור צר</v>
      </c>
    </row>
    <row r="307" customFormat="false" ht="15" hidden="false" customHeight="false" outlineLevel="0" collapsed="false">
      <c r="A307" s="20" t="n">
        <v>4413127</v>
      </c>
      <c r="B307" s="20" t="s">
        <v>450</v>
      </c>
      <c r="C307" s="20" t="str">
        <f aca="false">TRIM(SUBSTITUTE($B307,CHAR(160)," "))</f>
        <v>75 Lמיישר כתף יציב יישור גב צר</v>
      </c>
    </row>
    <row r="308" customFormat="false" ht="15" hidden="false" customHeight="false" outlineLevel="0" collapsed="false">
      <c r="A308" s="20" t="n">
        <v>4413128</v>
      </c>
      <c r="B308" s="20" t="s">
        <v>451</v>
      </c>
      <c r="C308" s="20" t="str">
        <f aca="false">TRIM(SUBSTITUTE($B308,CHAR(160)," "))</f>
        <v>75 Mמיישר כתף יציב יישור גב צר</v>
      </c>
    </row>
    <row r="309" customFormat="false" ht="15" hidden="false" customHeight="false" outlineLevel="0" collapsed="false">
      <c r="A309" s="20" t="n">
        <v>4413126</v>
      </c>
      <c r="B309" s="20" t="s">
        <v>452</v>
      </c>
      <c r="C309" s="20" t="str">
        <f aca="false">TRIM(SUBSTITUTE($B309,CHAR(160)," "))</f>
        <v>75 Sמיישר כתף יציב יישור גב צר</v>
      </c>
    </row>
    <row r="310" customFormat="false" ht="15" hidden="false" customHeight="false" outlineLevel="0" collapsed="false">
      <c r="A310" s="20" t="n">
        <v>4413129</v>
      </c>
      <c r="B310" s="20" t="s">
        <v>453</v>
      </c>
      <c r="C310" s="20" t="str">
        <f aca="false">TRIM(SUBSTITUTE($B310,CHAR(160)," "))</f>
        <v>75 XLמיישר כתף יציב יישור ג.צר</v>
      </c>
    </row>
    <row r="311" customFormat="false" ht="15" hidden="false" customHeight="false" outlineLevel="0" collapsed="false">
      <c r="A311" s="20" t="n">
        <v>4413132</v>
      </c>
      <c r="B311" s="20" t="s">
        <v>454</v>
      </c>
      <c r="C311" s="20" t="str">
        <f aca="false">TRIM(SUBSTITUTE($B311,CHAR(160)," "))</f>
        <v>76 Lמיישר כתף יציב יישור רחב</v>
      </c>
    </row>
    <row r="312" customFormat="false" ht="15" hidden="false" customHeight="false" outlineLevel="0" collapsed="false">
      <c r="A312" s="20" t="n">
        <v>4413133</v>
      </c>
      <c r="B312" s="20" t="s">
        <v>455</v>
      </c>
      <c r="C312" s="20" t="str">
        <f aca="false">TRIM(SUBSTITUTE($B312,CHAR(160)," "))</f>
        <v>76 Mמיישר כתף יציב,יישור רחב</v>
      </c>
    </row>
    <row r="313" customFormat="false" ht="15" hidden="false" customHeight="false" outlineLevel="0" collapsed="false">
      <c r="A313" s="20" t="n">
        <v>4413131</v>
      </c>
      <c r="B313" s="20" t="s">
        <v>456</v>
      </c>
      <c r="C313" s="20" t="str">
        <f aca="false">TRIM(SUBSTITUTE($B313,CHAR(160)," "))</f>
        <v>76 Sמיישר כתף יציב יישור ג.רחב</v>
      </c>
    </row>
    <row r="314" customFormat="false" ht="15" hidden="false" customHeight="false" outlineLevel="0" collapsed="false">
      <c r="A314" s="20" t="n">
        <v>4413134</v>
      </c>
      <c r="B314" s="20" t="s">
        <v>457</v>
      </c>
      <c r="C314" s="20" t="str">
        <f aca="false">TRIM(SUBSTITUTE($B314,CHAR(160)," "))</f>
        <v>76 XLמיישר כתף יציב יישור רחב</v>
      </c>
    </row>
    <row r="315" customFormat="false" ht="15" hidden="false" customHeight="false" outlineLevel="0" collapsed="false">
      <c r="A315" s="20" t="n">
        <v>4413262</v>
      </c>
      <c r="B315" s="20" t="s">
        <v>458</v>
      </c>
      <c r="C315" s="20" t="str">
        <f aca="false">TRIM(SUBSTITUTE($B315,CHAR(160)," "))</f>
        <v>76 XXL מישר כתפיים רחב</v>
      </c>
    </row>
    <row r="316" customFormat="false" ht="15" hidden="false" customHeight="false" outlineLevel="0" collapsed="false">
      <c r="A316" s="20" t="n">
        <v>4408141</v>
      </c>
      <c r="B316" s="20" t="s">
        <v>459</v>
      </c>
      <c r="C316" s="20" t="str">
        <f aca="false">TRIM(SUBSTITUTE($B316,CHAR(160)," "))</f>
        <v>776 S ח.גב גבוהה</v>
      </c>
    </row>
    <row r="317" customFormat="false" ht="15" hidden="false" customHeight="false" outlineLevel="0" collapsed="false">
      <c r="A317" s="20" t="n">
        <v>4413191</v>
      </c>
      <c r="B317" s="20" t="s">
        <v>460</v>
      </c>
      <c r="C317" s="20" t="str">
        <f aca="false">TRIM(SUBSTITUTE($B317,CHAR(160)," "))</f>
        <v>78 M מגן למרפק כתף</v>
      </c>
    </row>
    <row r="318" customFormat="false" ht="15" hidden="false" customHeight="false" outlineLevel="0" collapsed="false">
      <c r="A318" s="20" t="n">
        <v>4413194</v>
      </c>
      <c r="B318" s="20" t="s">
        <v>461</v>
      </c>
      <c r="C318" s="20" t="str">
        <f aca="false">TRIM(SUBSTITUTE($B318,CHAR(160)," "))</f>
        <v>78 XXLמגן למרפק כתף</v>
      </c>
    </row>
    <row r="319" customFormat="false" ht="15" hidden="false" customHeight="false" outlineLevel="0" collapsed="false">
      <c r="A319" s="20" t="n">
        <v>4413485</v>
      </c>
      <c r="B319" s="20" t="s">
        <v>462</v>
      </c>
      <c r="C319" s="20" t="str">
        <f aca="false">TRIM(SUBSTITUTE($B319,CHAR(160)," "))</f>
        <v>78A M מגן למפרק כתף</v>
      </c>
    </row>
    <row r="320" customFormat="false" ht="15" hidden="false" customHeight="false" outlineLevel="0" collapsed="false">
      <c r="A320" s="20" t="n">
        <v>4413403</v>
      </c>
      <c r="B320" s="20" t="s">
        <v>463</v>
      </c>
      <c r="C320" s="20" t="str">
        <f aca="false">TRIM(SUBSTITUTE($B320,CHAR(160)," "))</f>
        <v>78A L מגן למפרק כתף</v>
      </c>
    </row>
    <row r="321" customFormat="false" ht="15" hidden="false" customHeight="false" outlineLevel="0" collapsed="false">
      <c r="A321" s="20" t="n">
        <v>4413486</v>
      </c>
      <c r="B321" s="20" t="s">
        <v>464</v>
      </c>
      <c r="C321" s="20" t="str">
        <f aca="false">TRIM(SUBSTITUTE($B321,CHAR(160)," "))</f>
        <v>78A S מגן למפרק כתף</v>
      </c>
    </row>
    <row r="322" customFormat="false" ht="15" hidden="false" customHeight="false" outlineLevel="0" collapsed="false">
      <c r="A322" s="20" t="n">
        <v>4413404</v>
      </c>
      <c r="B322" s="20" t="s">
        <v>465</v>
      </c>
      <c r="C322" s="20" t="str">
        <f aca="false">TRIM(SUBSTITUTE($B322,CHAR(160)," "))</f>
        <v>78A XL מגן למפרק כתף</v>
      </c>
    </row>
    <row r="323" customFormat="false" ht="15" hidden="false" customHeight="false" outlineLevel="0" collapsed="false">
      <c r="A323" s="20" t="n">
        <v>4413443</v>
      </c>
      <c r="B323" s="20" t="s">
        <v>466</v>
      </c>
      <c r="C323" s="20" t="str">
        <f aca="false">TRIM(SUBSTITUTE($B323,CHAR(160)," "))</f>
        <v>78A XXL מגן למפרק כתף</v>
      </c>
    </row>
    <row r="324" customFormat="false" ht="15" hidden="false" customHeight="false" outlineLevel="0" collapsed="false">
      <c r="A324" s="20" t="n">
        <v>4413197</v>
      </c>
      <c r="B324" s="20" t="s">
        <v>467</v>
      </c>
      <c r="C324" s="20" t="str">
        <f aca="false">TRIM(SUBSTITUTE($B324,CHAR(160)," "))</f>
        <v>87 L מקבע כתף ויד</v>
      </c>
    </row>
    <row r="325" customFormat="false" ht="15" hidden="false" customHeight="false" outlineLevel="0" collapsed="false">
      <c r="A325" s="20" t="n">
        <v>4413196</v>
      </c>
      <c r="B325" s="20" t="s">
        <v>468</v>
      </c>
      <c r="C325" s="20" t="str">
        <f aca="false">TRIM(SUBSTITUTE($B325,CHAR(160)," "))</f>
        <v>87 M מקבע כתף ויד</v>
      </c>
    </row>
    <row r="326" customFormat="false" ht="15" hidden="false" customHeight="false" outlineLevel="0" collapsed="false">
      <c r="A326" s="20" t="n">
        <v>4413195</v>
      </c>
      <c r="B326" s="20" t="s">
        <v>469</v>
      </c>
      <c r="C326" s="20" t="str">
        <f aca="false">TRIM(SUBSTITUTE($B326,CHAR(160)," "))</f>
        <v>87 S מקבע כתף ויד</v>
      </c>
    </row>
    <row r="327" customFormat="false" ht="15" hidden="false" customHeight="false" outlineLevel="0" collapsed="false">
      <c r="A327" s="20" t="n">
        <v>4413198</v>
      </c>
      <c r="B327" s="20" t="s">
        <v>470</v>
      </c>
      <c r="C327" s="20" t="str">
        <f aca="false">TRIM(SUBSTITUTE($B327,CHAR(160)," "))</f>
        <v>87 XL מקבע כתף ויד</v>
      </c>
    </row>
    <row r="328" customFormat="false" ht="15" hidden="false" customHeight="false" outlineLevel="0" collapsed="false">
      <c r="A328" s="20" t="n">
        <v>4413204</v>
      </c>
      <c r="B328" s="20" t="s">
        <v>471</v>
      </c>
      <c r="C328" s="20" t="str">
        <f aca="false">TRIM(SUBSTITUTE($B328,CHAR(160)," "))</f>
        <v>87 XXL מקבע כתף ויד</v>
      </c>
    </row>
    <row r="329" customFormat="false" ht="15" hidden="false" customHeight="false" outlineLevel="0" collapsed="false">
      <c r="A329" s="20" t="n">
        <v>4413456</v>
      </c>
      <c r="B329" s="20" t="s">
        <v>472</v>
      </c>
      <c r="C329" s="20" t="str">
        <f aca="false">TRIM(SUBSTITUTE($B329,CHAR(160)," "))</f>
        <v>AC75 XXL מיישר כתפיים אקטיב</v>
      </c>
    </row>
    <row r="330" customFormat="false" ht="15" hidden="false" customHeight="false" outlineLevel="0" collapsed="false">
      <c r="A330" s="20" t="n">
        <v>4413453</v>
      </c>
      <c r="B330" s="20" t="s">
        <v>473</v>
      </c>
      <c r="C330" s="20" t="str">
        <f aca="false">TRIM(SUBSTITUTE($B330,CHAR(160)," "))</f>
        <v>AC75 מישר כתפיים אקטיב</v>
      </c>
    </row>
    <row r="331" customFormat="false" ht="15" hidden="false" customHeight="false" outlineLevel="0" collapsed="false">
      <c r="A331" s="20" t="n">
        <v>4422006</v>
      </c>
      <c r="B331" s="20" t="s">
        <v>474</v>
      </c>
      <c r="C331" s="20" t="str">
        <f aca="false">TRIM(SUBSTITUTE($B331,CHAR(160)," "))</f>
        <v>T78 L תומך זרוע וכתף</v>
      </c>
    </row>
    <row r="332" customFormat="false" ht="15" hidden="false" customHeight="false" outlineLevel="0" collapsed="false">
      <c r="A332" s="20" t="n">
        <v>4422005</v>
      </c>
      <c r="B332" s="20" t="s">
        <v>475</v>
      </c>
      <c r="C332" s="20" t="str">
        <f aca="false">TRIM(SUBSTITUTE($B332,CHAR(160)," "))</f>
        <v>T78 M תומך זרוע וכתף</v>
      </c>
    </row>
    <row r="333" customFormat="false" ht="15" hidden="false" customHeight="false" outlineLevel="0" collapsed="false">
      <c r="A333" s="20" t="n">
        <v>4422004</v>
      </c>
      <c r="B333" s="20" t="s">
        <v>476</v>
      </c>
      <c r="C333" s="20" t="str">
        <f aca="false">TRIM(SUBSTITUTE($B333,CHAR(160)," "))</f>
        <v>T78 S תומך זרוע וכתף</v>
      </c>
    </row>
    <row r="334" customFormat="false" ht="15" hidden="false" customHeight="false" outlineLevel="0" collapsed="false">
      <c r="A334" s="20" t="n">
        <v>4422007</v>
      </c>
      <c r="B334" s="20" t="s">
        <v>477</v>
      </c>
      <c r="C334" s="20" t="str">
        <f aca="false">TRIM(SUBSTITUTE($B334,CHAR(160)," "))</f>
        <v>T78 XLתומך זרוע וכתף</v>
      </c>
    </row>
    <row r="335" customFormat="false" ht="15" hidden="false" customHeight="false" outlineLevel="0" collapsed="false">
      <c r="A335" s="20" t="n">
        <v>4422009</v>
      </c>
      <c r="B335" s="20" t="s">
        <v>478</v>
      </c>
      <c r="C335" s="20" t="str">
        <f aca="false">TRIM(SUBSTITUTE($B335,CHAR(160)," "))</f>
        <v>T78 XXL תומך זרוע וכתף</v>
      </c>
    </row>
    <row r="336" customFormat="false" ht="15" hidden="false" customHeight="false" outlineLevel="0" collapsed="false">
      <c r="A336" s="20" t="n">
        <v>4413056</v>
      </c>
      <c r="B336" s="20" t="s">
        <v>479</v>
      </c>
      <c r="C336" s="20" t="str">
        <f aca="false">TRIM(SUBSTITUTE($B336,CHAR(160)," "))</f>
        <v>LF360 מדרס מטטרזלי לנעלי עקב</v>
      </c>
    </row>
    <row r="337" customFormat="false" ht="15" hidden="false" customHeight="false" outlineLevel="0" collapsed="false">
      <c r="A337" s="20" t="n">
        <v>4420022</v>
      </c>
      <c r="B337" s="20" t="s">
        <v>480</v>
      </c>
      <c r="C337" s="20" t="str">
        <f aca="false">TRIM(SUBSTITUTE($B337,CHAR(160)," "))</f>
        <v>LF370 ריפוד סיליקון לעקב אחורי</v>
      </c>
    </row>
    <row r="338" customFormat="false" ht="15" hidden="false" customHeight="false" outlineLevel="0" collapsed="false">
      <c r="A338" s="20" t="n">
        <v>4420023</v>
      </c>
      <c r="B338" s="20" t="s">
        <v>481</v>
      </c>
      <c r="C338" s="20" t="str">
        <f aca="false">TRIM(SUBSTITUTE($B338,CHAR(160)," "))</f>
        <v>LF371 ריפוד סיליקון לנעלי אצבע</v>
      </c>
    </row>
    <row r="339" customFormat="false" ht="15" hidden="false" customHeight="false" outlineLevel="0" collapsed="false">
      <c r="A339" s="20" t="n">
        <v>4420025</v>
      </c>
      <c r="B339" s="20" t="s">
        <v>482</v>
      </c>
      <c r="C339" s="20" t="str">
        <f aca="false">TRIM(SUBSTITUTE($B339,CHAR(160)," "))</f>
        <v>LF374 ריפוד סיליק.לעקב תחתון</v>
      </c>
    </row>
    <row r="340" customFormat="false" ht="15" hidden="false" customHeight="false" outlineLevel="0" collapsed="false">
      <c r="A340" s="20" t="n">
        <v>4413276</v>
      </c>
      <c r="B340" s="20" t="s">
        <v>483</v>
      </c>
      <c r="C340" s="20" t="str">
        <f aca="false">TRIM(SUBSTITUTE($B340,CHAR(160)," "))</f>
        <v>LF377 L-מדרס סיליקון לנעלי עקב</v>
      </c>
    </row>
    <row r="341" customFormat="false" ht="15" hidden="false" customHeight="false" outlineLevel="0" collapsed="false">
      <c r="A341" s="20" t="n">
        <v>4413277</v>
      </c>
      <c r="B341" s="20" t="s">
        <v>484</v>
      </c>
      <c r="C341" s="20" t="str">
        <f aca="false">TRIM(SUBSTITUTE($B341,CHAR(160)," "))</f>
        <v>LF377 M-מדרס סיליקון לנעלי עקב</v>
      </c>
    </row>
    <row r="342" customFormat="false" ht="15" hidden="false" customHeight="false" outlineLevel="0" collapsed="false">
      <c r="A342" s="20" t="n">
        <v>4413278</v>
      </c>
      <c r="B342" s="20" t="s">
        <v>485</v>
      </c>
      <c r="C342" s="20" t="str">
        <f aca="false">TRIM(SUBSTITUTE($B342,CHAR(160)," "))</f>
        <v>LF377 S-מדרס סיליקון לנעלי עקב</v>
      </c>
    </row>
    <row r="343" customFormat="false" ht="15" hidden="false" customHeight="false" outlineLevel="0" collapsed="false">
      <c r="A343" s="20" t="n">
        <v>4413451</v>
      </c>
      <c r="B343" s="20" t="s">
        <v>486</v>
      </c>
      <c r="C343" s="20" t="str">
        <f aca="false">TRIM(SUBSTITUTE($B343,CHAR(160)," "))</f>
        <v>LF378 L מדרס ג'ל לנעלי עקב</v>
      </c>
    </row>
    <row r="344" customFormat="false" ht="15" hidden="false" customHeight="false" outlineLevel="0" collapsed="false">
      <c r="A344" s="20" t="n">
        <v>4420024</v>
      </c>
      <c r="B344" s="20" t="s">
        <v>487</v>
      </c>
      <c r="C344" s="20" t="str">
        <f aca="false">TRIM(SUBSTITUTE($B344,CHAR(160)," "))</f>
        <v>LFריפוד סיליק.לכרית כף הרגל373</v>
      </c>
    </row>
    <row r="345" customFormat="false" ht="15" hidden="false" customHeight="false" outlineLevel="0" collapsed="false">
      <c r="A345" s="20" t="n">
        <v>4413008</v>
      </c>
      <c r="B345" s="20" t="s">
        <v>488</v>
      </c>
      <c r="C345" s="20" t="str">
        <f aca="false">TRIM(SUBSTITUTE($B345,CHAR(160)," "))</f>
        <v>300M תתמדרס.ציפוי עור גבר זו43</v>
      </c>
    </row>
    <row r="346" customFormat="false" ht="15" hidden="false" customHeight="false" outlineLevel="0" collapsed="false">
      <c r="A346" s="20" t="n">
        <v>4413009</v>
      </c>
      <c r="B346" s="20" t="s">
        <v>489</v>
      </c>
      <c r="C346" s="20" t="str">
        <f aca="false">TRIM(SUBSTITUTE($B346,CHAR(160)," "))</f>
        <v>300M תתמדרס/ציפוי עור גבר זו44</v>
      </c>
    </row>
    <row r="347" customFormat="false" ht="15" hidden="false" customHeight="false" outlineLevel="0" collapsed="false">
      <c r="A347" s="20" t="n">
        <v>4413372</v>
      </c>
      <c r="B347" s="20" t="s">
        <v>490</v>
      </c>
      <c r="C347" s="20" t="str">
        <f aca="false">TRIM(SUBSTITUTE($B347,CHAR(160)," "))</f>
        <v>302 W מדרס לאישה</v>
      </c>
    </row>
    <row r="348" customFormat="false" ht="15" hidden="false" customHeight="false" outlineLevel="0" collapsed="false">
      <c r="A348" s="20" t="n">
        <v>4413348</v>
      </c>
      <c r="B348" s="20" t="s">
        <v>491</v>
      </c>
      <c r="C348" s="20" t="str">
        <f aca="false">TRIM(SUBSTITUTE($B348,CHAR(160)," "))</f>
        <v>302 מדרס ג'ל לגבר</v>
      </c>
    </row>
    <row r="349" customFormat="false" ht="15" hidden="false" customHeight="false" outlineLevel="0" collapsed="false">
      <c r="A349" s="20" t="n">
        <v>4413444</v>
      </c>
      <c r="B349" s="20" t="s">
        <v>492</v>
      </c>
      <c r="C349" s="20" t="str">
        <f aca="false">TRIM(SUBSTITUTE($B349,CHAR(160)," "))</f>
        <v>302SP M מדרס ג'ל ספורט לגבר</v>
      </c>
    </row>
    <row r="350" customFormat="false" ht="15" hidden="false" customHeight="false" outlineLevel="0" collapsed="false">
      <c r="A350" s="20" t="n">
        <v>4413445</v>
      </c>
      <c r="B350" s="20" t="s">
        <v>493</v>
      </c>
      <c r="C350" s="20" t="str">
        <f aca="false">TRIM(SUBSTITUTE($B350,CHAR(160)," "))</f>
        <v>302SP Wמדרס ג'ל ספורט לאישה</v>
      </c>
    </row>
    <row r="351" customFormat="false" ht="15" hidden="false" customHeight="false" outlineLevel="0" collapsed="false">
      <c r="A351" s="20" t="n">
        <v>4413018</v>
      </c>
      <c r="B351" s="20" t="s">
        <v>494</v>
      </c>
      <c r="C351" s="20" t="str">
        <f aca="false">TRIM(SUBSTITUTE($B351,CHAR(160)," "))</f>
        <v>303 37-38 מדרסי סיליק.לח.סכרת</v>
      </c>
    </row>
    <row r="352" customFormat="false" ht="15" hidden="false" customHeight="false" outlineLevel="0" collapsed="false">
      <c r="A352" s="20" t="n">
        <v>4413019</v>
      </c>
      <c r="B352" s="20" t="s">
        <v>495</v>
      </c>
      <c r="C352" s="20" t="str">
        <f aca="false">TRIM(SUBSTITUTE($B352,CHAR(160)," "))</f>
        <v>303 39-40 מדרסי סיליק.לח.סכרת</v>
      </c>
    </row>
    <row r="353" customFormat="false" ht="15" hidden="false" customHeight="false" outlineLevel="0" collapsed="false">
      <c r="A353" s="20" t="n">
        <v>4413020</v>
      </c>
      <c r="B353" s="20" t="s">
        <v>496</v>
      </c>
      <c r="C353" s="20" t="str">
        <f aca="false">TRIM(SUBSTITUTE($B353,CHAR(160)," "))</f>
        <v>303 41-42 מדרסי סיליק.לח.סכרת</v>
      </c>
    </row>
    <row r="354" customFormat="false" ht="15" hidden="false" customHeight="false" outlineLevel="0" collapsed="false">
      <c r="A354" s="20" t="n">
        <v>4413021</v>
      </c>
      <c r="B354" s="20" t="s">
        <v>497</v>
      </c>
      <c r="C354" s="20" t="str">
        <f aca="false">TRIM(SUBSTITUTE($B354,CHAR(160)," "))</f>
        <v>303 43-44 מדרסי סיליק.לח.סכרת</v>
      </c>
    </row>
    <row r="355" customFormat="false" ht="15" hidden="false" customHeight="false" outlineLevel="0" collapsed="false">
      <c r="A355" s="20" t="n">
        <v>4413022</v>
      </c>
      <c r="B355" s="20" t="s">
        <v>498</v>
      </c>
      <c r="C355" s="20" t="str">
        <f aca="false">TRIM(SUBSTITUTE($B355,CHAR(160)," "))</f>
        <v>303 45-46 מדרסי סיליק.לח.סכרת</v>
      </c>
    </row>
    <row r="356" customFormat="false" ht="15" hidden="false" customHeight="false" outlineLevel="0" collapsed="false">
      <c r="A356" s="20" t="n">
        <v>4413153</v>
      </c>
      <c r="B356" s="20" t="s">
        <v>499</v>
      </c>
      <c r="C356" s="20" t="str">
        <f aca="false">TRIM(SUBSTITUTE($B356,CHAR(160)," "))</f>
        <v>305GA מדרס אורטופ.מתכוון35-36</v>
      </c>
    </row>
    <row r="357" customFormat="false" ht="15" hidden="false" customHeight="false" outlineLevel="0" collapsed="false">
      <c r="A357" s="20" t="n">
        <v>4413154</v>
      </c>
      <c r="B357" s="20" t="s">
        <v>500</v>
      </c>
      <c r="C357" s="20" t="str">
        <f aca="false">TRIM(SUBSTITUTE($B357,CHAR(160)," "))</f>
        <v>305GA מדרס אורטופ.מתכוון37-38</v>
      </c>
    </row>
    <row r="358" customFormat="false" ht="15" hidden="false" customHeight="false" outlineLevel="0" collapsed="false">
      <c r="A358" s="20" t="n">
        <v>4413155</v>
      </c>
      <c r="B358" s="20" t="s">
        <v>501</v>
      </c>
      <c r="C358" s="20" t="str">
        <f aca="false">TRIM(SUBSTITUTE($B358,CHAR(160)," "))</f>
        <v>305GA מדרס אורטופ.מתכוון39-40</v>
      </c>
    </row>
    <row r="359" customFormat="false" ht="15" hidden="false" customHeight="false" outlineLevel="0" collapsed="false">
      <c r="A359" s="20" t="n">
        <v>4413156</v>
      </c>
      <c r="B359" s="20" t="s">
        <v>502</v>
      </c>
      <c r="C359" s="20" t="str">
        <f aca="false">TRIM(SUBSTITUTE($B359,CHAR(160)," "))</f>
        <v>305GA מדרס אורטופ.מתכוון41-42</v>
      </c>
    </row>
    <row r="360" customFormat="false" ht="15" hidden="false" customHeight="false" outlineLevel="0" collapsed="false">
      <c r="A360" s="20" t="n">
        <v>4413157</v>
      </c>
      <c r="B360" s="20" t="s">
        <v>503</v>
      </c>
      <c r="C360" s="20" t="str">
        <f aca="false">TRIM(SUBSTITUTE($B360,CHAR(160)," "))</f>
        <v>305GA מדרס אורטופ.מתכוון43-44</v>
      </c>
    </row>
    <row r="361" customFormat="false" ht="15" hidden="false" customHeight="false" outlineLevel="0" collapsed="false">
      <c r="A361" s="20" t="n">
        <v>4413158</v>
      </c>
      <c r="B361" s="20" t="s">
        <v>504</v>
      </c>
      <c r="C361" s="20" t="str">
        <f aca="false">TRIM(SUBSTITUTE($B361,CHAR(160)," "))</f>
        <v>305GA מדרס אורטופ.מתכוון45-46</v>
      </c>
    </row>
    <row r="362" customFormat="false" ht="15" hidden="false" customHeight="false" outlineLevel="0" collapsed="false">
      <c r="A362" s="20" t="n">
        <v>4413285</v>
      </c>
      <c r="B362" s="20" t="s">
        <v>505</v>
      </c>
      <c r="C362" s="20" t="str">
        <f aca="false">TRIM(SUBSTITUTE($B362,CHAR(160)," "))</f>
        <v>305GA מדרס מתכוונן47-48</v>
      </c>
    </row>
    <row r="363" customFormat="false" ht="15" hidden="false" customHeight="false" outlineLevel="0" collapsed="false">
      <c r="A363" s="20" t="n">
        <v>4413482</v>
      </c>
      <c r="B363" s="20" t="s">
        <v>506</v>
      </c>
      <c r="C363" s="20" t="str">
        <f aca="false">TRIM(SUBSTITUTE($B363,CHAR(160)," "))</f>
        <v>310Lמדרס 3/4לכאבי דורבן וספורט</v>
      </c>
    </row>
    <row r="364" customFormat="false" ht="15" hidden="false" customHeight="false" outlineLevel="0" collapsed="false">
      <c r="A364" s="20" t="n">
        <v>4413483</v>
      </c>
      <c r="B364" s="20" t="s">
        <v>507</v>
      </c>
      <c r="C364" s="20" t="str">
        <f aca="false">TRIM(SUBSTITUTE($B364,CHAR(160)," "))</f>
        <v>310Mמדרס 3/4לכאבי דורבן וספורט</v>
      </c>
    </row>
    <row r="365" customFormat="false" ht="15" hidden="false" customHeight="false" outlineLevel="0" collapsed="false">
      <c r="A365" s="20" t="n">
        <v>4413484</v>
      </c>
      <c r="B365" s="20" t="s">
        <v>508</v>
      </c>
      <c r="C365" s="20" t="str">
        <f aca="false">TRIM(SUBSTITUTE($B365,CHAR(160)," "))</f>
        <v>310Sמדרס 3/4לכאבי דורבן וספורט</v>
      </c>
    </row>
    <row r="366" customFormat="false" ht="15" hidden="false" customHeight="false" outlineLevel="0" collapsed="false">
      <c r="A366" s="20" t="n">
        <v>4413523</v>
      </c>
      <c r="B366" s="20" t="s">
        <v>509</v>
      </c>
      <c r="C366" s="20" t="str">
        <f aca="false">TRIM(SUBSTITUTE($B366,CHAR(160)," "))</f>
        <v>35-38 מדרסי אפיק ג'ל נוחות</v>
      </c>
    </row>
    <row r="367" customFormat="false" ht="15" hidden="false" customHeight="false" outlineLevel="0" collapsed="false">
      <c r="A367" s="20" t="n">
        <v>4413527</v>
      </c>
      <c r="B367" s="20" t="s">
        <v>510</v>
      </c>
      <c r="C367" s="20" t="str">
        <f aca="false">TRIM(SUBSTITUTE($B367,CHAR(160)," "))</f>
        <v>35-38 מדרסי אפיק ג'ל עבודה</v>
      </c>
    </row>
    <row r="368" customFormat="false" ht="15" hidden="false" customHeight="false" outlineLevel="0" collapsed="false">
      <c r="A368" s="20" t="n">
        <v>4413524</v>
      </c>
      <c r="B368" s="20" t="s">
        <v>511</v>
      </c>
      <c r="C368" s="20" t="str">
        <f aca="false">TRIM(SUBSTITUTE($B368,CHAR(160)," "))</f>
        <v>39-42 מדרסי אפיק ג'ל נוחות</v>
      </c>
    </row>
    <row r="369" customFormat="false" ht="15" hidden="false" customHeight="false" outlineLevel="0" collapsed="false">
      <c r="A369" s="20" t="n">
        <v>4413528</v>
      </c>
      <c r="B369" s="20" t="s">
        <v>512</v>
      </c>
      <c r="C369" s="20" t="str">
        <f aca="false">TRIM(SUBSTITUTE($B369,CHAR(160)," "))</f>
        <v>39-42 מדרסי אפיק ג'ל עבודה</v>
      </c>
    </row>
    <row r="370" customFormat="false" ht="15" hidden="false" customHeight="false" outlineLevel="0" collapsed="false">
      <c r="A370" s="20" t="n">
        <v>4413525</v>
      </c>
      <c r="B370" s="20" t="s">
        <v>513</v>
      </c>
      <c r="C370" s="20" t="str">
        <f aca="false">TRIM(SUBSTITUTE($B370,CHAR(160)," "))</f>
        <v>43-47 מדרסי אפיק ג'ל נוחות</v>
      </c>
    </row>
    <row r="371" customFormat="false" ht="15" hidden="false" customHeight="false" outlineLevel="0" collapsed="false">
      <c r="A371" s="20" t="n">
        <v>4413529</v>
      </c>
      <c r="B371" s="20" t="s">
        <v>514</v>
      </c>
      <c r="C371" s="20" t="str">
        <f aca="false">TRIM(SUBSTITUTE($B371,CHAR(160)," "))</f>
        <v>43-47 מדרסי אפיק ג'ל עבודה</v>
      </c>
    </row>
    <row r="372" customFormat="false" ht="15" hidden="false" customHeight="false" outlineLevel="0" collapsed="false">
      <c r="A372" s="20" t="n">
        <v>4413450</v>
      </c>
      <c r="B372" s="20" t="s">
        <v>515</v>
      </c>
      <c r="C372" s="20" t="str">
        <f aca="false">TRIM(SUBSTITUTE($B372,CHAR(160)," "))</f>
        <v>LF378 M מדרס ג'ל לנעלי עקב</v>
      </c>
    </row>
    <row r="373" customFormat="false" ht="15" hidden="false" customHeight="false" outlineLevel="0" collapsed="false">
      <c r="A373" s="20" t="n">
        <v>4413449</v>
      </c>
      <c r="B373" s="20" t="s">
        <v>516</v>
      </c>
      <c r="C373" s="20" t="str">
        <f aca="false">TRIM(SUBSTITUTE($B373,CHAR(160)," "))</f>
        <v>LF378 S מדרס ג'ל לנעלי עקב</v>
      </c>
    </row>
    <row r="374" customFormat="false" ht="15" hidden="false" customHeight="false" outlineLevel="0" collapsed="false">
      <c r="A374" s="20" t="n">
        <v>4413520</v>
      </c>
      <c r="B374" s="20" t="s">
        <v>517</v>
      </c>
      <c r="C374" s="20" t="str">
        <f aca="false">TRIM(SUBSTITUTE($B374,CHAR(160)," "))</f>
        <v>מדרסי אפיק ג'ל מולט.ספורט35-38</v>
      </c>
    </row>
    <row r="375" customFormat="false" ht="15" hidden="false" customHeight="false" outlineLevel="0" collapsed="false">
      <c r="A375" s="20" t="n">
        <v>4413522</v>
      </c>
      <c r="B375" s="20" t="s">
        <v>518</v>
      </c>
      <c r="C375" s="20" t="str">
        <f aca="false">TRIM(SUBSTITUTE($B375,CHAR(160)," "))</f>
        <v>מדרסי אפיק ג'ל מולט.ספורט43-47</v>
      </c>
    </row>
    <row r="376" customFormat="false" ht="15" hidden="false" customHeight="false" outlineLevel="0" collapsed="false">
      <c r="A376" s="20" t="n">
        <v>4413521</v>
      </c>
      <c r="B376" s="20" t="s">
        <v>519</v>
      </c>
      <c r="C376" s="20" t="str">
        <f aca="false">TRIM(SUBSTITUTE($B376,CHAR(160)," "))</f>
        <v>מדרסי אפיק ג'ל מולטי ספור39-42</v>
      </c>
    </row>
    <row r="377" customFormat="false" ht="15" hidden="false" customHeight="false" outlineLevel="0" collapsed="false">
      <c r="A377" s="20" t="n">
        <v>4413117</v>
      </c>
      <c r="B377" s="20" t="s">
        <v>520</v>
      </c>
      <c r="C377" s="20" t="str">
        <f aca="false">TRIM(SUBSTITUTE($B377,CHAR(160)," "))</f>
        <v>50 L מתלה אשכים לאחר ניתוח</v>
      </c>
    </row>
    <row r="378" customFormat="false" ht="15" hidden="false" customHeight="false" outlineLevel="0" collapsed="false">
      <c r="A378" s="20" t="n">
        <v>4413118</v>
      </c>
      <c r="B378" s="20" t="s">
        <v>521</v>
      </c>
      <c r="C378" s="20" t="str">
        <f aca="false">TRIM(SUBSTITUTE($B378,CHAR(160)," "))</f>
        <v>50 M מתלה אשכים לאחר ניתוח</v>
      </c>
    </row>
    <row r="379" customFormat="false" ht="15" hidden="false" customHeight="false" outlineLevel="0" collapsed="false">
      <c r="A379" s="20" t="n">
        <v>4413116</v>
      </c>
      <c r="B379" s="20" t="s">
        <v>522</v>
      </c>
      <c r="C379" s="20" t="str">
        <f aca="false">TRIM(SUBSTITUTE($B379,CHAR(160)," "))</f>
        <v>50 S מתלה אשכים לאחר ניתוח</v>
      </c>
    </row>
    <row r="380" customFormat="false" ht="15" hidden="false" customHeight="false" outlineLevel="0" collapsed="false">
      <c r="A380" s="20" t="n">
        <v>4413119</v>
      </c>
      <c r="B380" s="20" t="s">
        <v>523</v>
      </c>
      <c r="C380" s="20" t="str">
        <f aca="false">TRIM(SUBSTITUTE($B380,CHAR(160)," "))</f>
        <v>50 XL מתלה אשכים לאחר ניתוח</v>
      </c>
    </row>
    <row r="381" customFormat="false" ht="15" hidden="false" customHeight="false" outlineLevel="0" collapsed="false">
      <c r="A381" s="20" t="n">
        <v>4413120</v>
      </c>
      <c r="B381" s="20" t="s">
        <v>524</v>
      </c>
      <c r="C381" s="20" t="str">
        <f aca="false">TRIM(SUBSTITUTE($B381,CHAR(160)," "))</f>
        <v>50 XXL מתלה אשכים לאחר ניתוח</v>
      </c>
    </row>
    <row r="382" customFormat="false" ht="15" hidden="false" customHeight="false" outlineLevel="0" collapsed="false">
      <c r="A382" s="20" t="n">
        <v>4413122</v>
      </c>
      <c r="B382" s="20" t="s">
        <v>525</v>
      </c>
      <c r="C382" s="20" t="str">
        <f aca="false">TRIM(SUBSTITUTE($B382,CHAR(160)," "))</f>
        <v>55 L מתלה אשכים לספורטאים</v>
      </c>
    </row>
    <row r="383" customFormat="false" ht="15" hidden="false" customHeight="false" outlineLevel="0" collapsed="false">
      <c r="A383" s="20" t="n">
        <v>4413123</v>
      </c>
      <c r="B383" s="20" t="s">
        <v>526</v>
      </c>
      <c r="C383" s="20" t="str">
        <f aca="false">TRIM(SUBSTITUTE($B383,CHAR(160)," "))</f>
        <v>55 M מתלה אשכים לספורטאים</v>
      </c>
    </row>
    <row r="384" customFormat="false" ht="15" hidden="false" customHeight="false" outlineLevel="0" collapsed="false">
      <c r="A384" s="20" t="n">
        <v>4413121</v>
      </c>
      <c r="B384" s="20" t="s">
        <v>527</v>
      </c>
      <c r="C384" s="20" t="str">
        <f aca="false">TRIM(SUBSTITUTE($B384,CHAR(160)," "))</f>
        <v>55 S מתלה אשכים לספורטאים</v>
      </c>
    </row>
    <row r="385" customFormat="false" ht="15" hidden="false" customHeight="false" outlineLevel="0" collapsed="false">
      <c r="A385" s="20" t="n">
        <v>4413124</v>
      </c>
      <c r="B385" s="20" t="s">
        <v>528</v>
      </c>
      <c r="C385" s="20" t="str">
        <f aca="false">TRIM(SUBSTITUTE($B385,CHAR(160)," "))</f>
        <v>55 XL מתלה אשכים לספורטאים</v>
      </c>
    </row>
    <row r="386" customFormat="false" ht="15" hidden="false" customHeight="false" outlineLevel="0" collapsed="false">
      <c r="A386" s="20" t="n">
        <v>4413125</v>
      </c>
      <c r="B386" s="20" t="s">
        <v>529</v>
      </c>
      <c r="C386" s="20" t="str">
        <f aca="false">TRIM(SUBSTITUTE($B386,CHAR(160)," "))</f>
        <v>55 XXL מתלה אשכים לספורטאים</v>
      </c>
    </row>
    <row r="387" customFormat="false" ht="15" hidden="false" customHeight="false" outlineLevel="0" collapsed="false">
      <c r="A387" s="20" t="n">
        <v>4408071</v>
      </c>
      <c r="B387" s="20" t="s">
        <v>530</v>
      </c>
      <c r="C387" s="20" t="str">
        <f aca="false">TRIM(SUBSTITUTE($B387,CHAR(160)," "))</f>
        <v>59D L חגורת שבר דו צדדי</v>
      </c>
    </row>
    <row r="388" customFormat="false" ht="15" hidden="false" customHeight="false" outlineLevel="0" collapsed="false">
      <c r="A388" s="20" t="n">
        <v>4408072</v>
      </c>
      <c r="B388" s="20" t="s">
        <v>531</v>
      </c>
      <c r="C388" s="20" t="str">
        <f aca="false">TRIM(SUBSTITUTE($B388,CHAR(160)," "))</f>
        <v>59D M חגורת שבר דו צדדי</v>
      </c>
    </row>
    <row r="389" customFormat="false" ht="15" hidden="false" customHeight="false" outlineLevel="0" collapsed="false">
      <c r="A389" s="20" t="n">
        <v>4408070</v>
      </c>
      <c r="B389" s="20" t="s">
        <v>532</v>
      </c>
      <c r="C389" s="20" t="str">
        <f aca="false">TRIM(SUBSTITUTE($B389,CHAR(160)," "))</f>
        <v>59D S חגורת שבר דו צדדי</v>
      </c>
    </row>
    <row r="390" customFormat="false" ht="15" hidden="false" customHeight="false" outlineLevel="0" collapsed="false">
      <c r="A390" s="20" t="n">
        <v>4408073</v>
      </c>
      <c r="B390" s="20" t="s">
        <v>533</v>
      </c>
      <c r="C390" s="20" t="str">
        <f aca="false">TRIM(SUBSTITUTE($B390,CHAR(160)," "))</f>
        <v>59D XL חגורת שבר דו צדדי</v>
      </c>
    </row>
    <row r="391" customFormat="false" ht="15" hidden="false" customHeight="false" outlineLevel="0" collapsed="false">
      <c r="A391" s="20" t="n">
        <v>4408074</v>
      </c>
      <c r="B391" s="20" t="s">
        <v>534</v>
      </c>
      <c r="C391" s="20" t="str">
        <f aca="false">TRIM(SUBSTITUTE($B391,CHAR(160)," "))</f>
        <v>59D XXLחגורת שבר דו צדדי</v>
      </c>
    </row>
    <row r="392" customFormat="false" ht="15" hidden="false" customHeight="false" outlineLevel="0" collapsed="false">
      <c r="A392" s="20" t="n">
        <v>4408076</v>
      </c>
      <c r="B392" s="20" t="s">
        <v>535</v>
      </c>
      <c r="C392" s="20" t="str">
        <f aca="false">TRIM(SUBSTITUTE($B392,CHAR(160)," "))</f>
        <v>59L L חגורת שבר לצד שמאל</v>
      </c>
    </row>
    <row r="393" customFormat="false" ht="15" hidden="false" customHeight="false" outlineLevel="0" collapsed="false">
      <c r="A393" s="20" t="n">
        <v>4408077</v>
      </c>
      <c r="B393" s="20" t="s">
        <v>536</v>
      </c>
      <c r="C393" s="20" t="str">
        <f aca="false">TRIM(SUBSTITUTE($B393,CHAR(160)," "))</f>
        <v>59L M חגורת שבר לצד שמאל</v>
      </c>
    </row>
    <row r="394" customFormat="false" ht="15" hidden="false" customHeight="false" outlineLevel="0" collapsed="false">
      <c r="A394" s="20" t="n">
        <v>4408075</v>
      </c>
      <c r="B394" s="20" t="s">
        <v>537</v>
      </c>
      <c r="C394" s="20" t="str">
        <f aca="false">TRIM(SUBSTITUTE($B394,CHAR(160)," "))</f>
        <v>59L S חגורת שבר לצד שמאל</v>
      </c>
    </row>
    <row r="395" customFormat="false" ht="15" hidden="false" customHeight="false" outlineLevel="0" collapsed="false">
      <c r="A395" s="20" t="n">
        <v>4408078</v>
      </c>
      <c r="B395" s="20" t="s">
        <v>538</v>
      </c>
      <c r="C395" s="20" t="str">
        <f aca="false">TRIM(SUBSTITUTE($B395,CHAR(160)," "))</f>
        <v>59L XLחגורת שבר לצד שמאל</v>
      </c>
    </row>
    <row r="396" customFormat="false" ht="15" hidden="false" customHeight="false" outlineLevel="0" collapsed="false">
      <c r="A396" s="20" t="n">
        <v>4408080</v>
      </c>
      <c r="B396" s="20" t="s">
        <v>539</v>
      </c>
      <c r="C396" s="20" t="str">
        <f aca="false">TRIM(SUBSTITUTE($B396,CHAR(160)," "))</f>
        <v>59R L חגורת שבר לצד ימין</v>
      </c>
    </row>
    <row r="397" customFormat="false" ht="15" hidden="false" customHeight="false" outlineLevel="0" collapsed="false">
      <c r="A397" s="20" t="n">
        <v>4408081</v>
      </c>
      <c r="B397" s="20" t="s">
        <v>540</v>
      </c>
      <c r="C397" s="20" t="str">
        <f aca="false">TRIM(SUBSTITUTE($B397,CHAR(160)," "))</f>
        <v>59R M חגורת שבר לצד ימין</v>
      </c>
    </row>
    <row r="398" customFormat="false" ht="15" hidden="false" customHeight="false" outlineLevel="0" collapsed="false">
      <c r="A398" s="20" t="n">
        <v>4408079</v>
      </c>
      <c r="B398" s="20" t="s">
        <v>541</v>
      </c>
      <c r="C398" s="20" t="str">
        <f aca="false">TRIM(SUBSTITUTE($B398,CHAR(160)," "))</f>
        <v>59R S חגורת שבר לצד ימין</v>
      </c>
    </row>
    <row r="399" customFormat="false" ht="15" hidden="false" customHeight="false" outlineLevel="0" collapsed="false">
      <c r="A399" s="20" t="n">
        <v>4408082</v>
      </c>
      <c r="B399" s="20" t="s">
        <v>542</v>
      </c>
      <c r="C399" s="20" t="str">
        <f aca="false">TRIM(SUBSTITUTE($B399,CHAR(160)," "))</f>
        <v>59R XL חגורת שבר לצד ימין</v>
      </c>
    </row>
    <row r="400" customFormat="false" ht="15" hidden="false" customHeight="false" outlineLevel="0" collapsed="false">
      <c r="A400" s="20" t="n">
        <v>4413466</v>
      </c>
      <c r="B400" s="20" t="s">
        <v>543</v>
      </c>
      <c r="C400" s="20" t="str">
        <f aca="false">TRIM(SUBSTITUTE($B400,CHAR(160)," "))</f>
        <v>604L מסכה ארקי</v>
      </c>
    </row>
    <row r="401" customFormat="false" ht="15" hidden="false" customHeight="false" outlineLevel="0" collapsed="false">
      <c r="A401" s="20" t="n">
        <v>4413467</v>
      </c>
      <c r="B401" s="20" t="s">
        <v>544</v>
      </c>
      <c r="C401" s="20" t="str">
        <f aca="false">TRIM(SUBSTITUTE($B401,CHAR(160)," "))</f>
        <v>604XL מסכה ארקי</v>
      </c>
    </row>
    <row r="402" customFormat="false" ht="15" hidden="false" customHeight="false" outlineLevel="0" collapsed="false">
      <c r="A402" s="20" t="n">
        <v>4413464</v>
      </c>
      <c r="B402" s="20" t="s">
        <v>545</v>
      </c>
      <c r="C402" s="20" t="str">
        <f aca="false">TRIM(SUBSTITUTE($B402,CHAR(160)," "))</f>
        <v>605XL מסכה אלה</v>
      </c>
    </row>
    <row r="403" customFormat="false" ht="15" hidden="false" customHeight="false" outlineLevel="0" collapsed="false">
      <c r="A403" s="20" t="n">
        <v>4413473</v>
      </c>
      <c r="B403" s="20" t="s">
        <v>546</v>
      </c>
      <c r="C403" s="20" t="str">
        <f aca="false">TRIM(SUBSTITUTE($B403,CHAR(160)," "))</f>
        <v>655L ""מסכה ""גדי</v>
      </c>
    </row>
    <row r="404" customFormat="false" ht="15" hidden="false" customHeight="false" outlineLevel="0" collapsed="false">
      <c r="A404" s="20" t="n">
        <v>4408088</v>
      </c>
      <c r="B404" s="20" t="s">
        <v>547</v>
      </c>
      <c r="C404" s="20" t="str">
        <f aca="false">TRIM(SUBSTITUTE($B404,CHAR(160)," "))</f>
        <v>91 חבק ""טניס אלבו רצועה</v>
      </c>
    </row>
    <row r="405" customFormat="false" ht="15" hidden="false" customHeight="false" outlineLevel="0" collapsed="false">
      <c r="A405" s="20" t="n">
        <v>4408083</v>
      </c>
      <c r="B405" s="20" t="s">
        <v>548</v>
      </c>
      <c r="C405" s="20" t="str">
        <f aca="false">TRIM(SUBSTITUTE($B405,CHAR(160)," "))</f>
        <v>911 חבק לטניס אלבו</v>
      </c>
    </row>
    <row r="406" customFormat="false" ht="15" hidden="false" customHeight="false" outlineLevel="0" collapsed="false">
      <c r="A406" s="20" t="n">
        <v>4408266</v>
      </c>
      <c r="B406" s="20" t="s">
        <v>549</v>
      </c>
      <c r="C406" s="20" t="str">
        <f aca="false">TRIM(SUBSTITUTE($B406,CHAR(160)," "))</f>
        <v>91B חבק טניס אלבו</v>
      </c>
    </row>
    <row r="407" customFormat="false" ht="15" hidden="false" customHeight="false" outlineLevel="0" collapsed="false">
      <c r="A407" s="20" t="n">
        <v>4408084</v>
      </c>
      <c r="B407" s="20" t="s">
        <v>550</v>
      </c>
      <c r="C407" s="20" t="str">
        <f aca="false">TRIM(SUBSTITUTE($B407,CHAR(160)," "))</f>
        <v>922L.חבק יד לטניס כרית סיליק</v>
      </c>
    </row>
    <row r="408" customFormat="false" ht="15" hidden="false" customHeight="false" outlineLevel="0" collapsed="false">
      <c r="A408" s="20" t="n">
        <v>4408085</v>
      </c>
      <c r="B408" s="20" t="s">
        <v>551</v>
      </c>
      <c r="C408" s="20" t="str">
        <f aca="false">TRIM(SUBSTITUTE($B408,CHAR(160)," "))</f>
        <v>922M.מחבק יד לטניס כרית סילי</v>
      </c>
    </row>
    <row r="409" customFormat="false" ht="15" hidden="false" customHeight="false" outlineLevel="0" collapsed="false">
      <c r="A409" s="20" t="n">
        <v>4408086</v>
      </c>
      <c r="B409" s="20" t="s">
        <v>552</v>
      </c>
      <c r="C409" s="20" t="str">
        <f aca="false">TRIM(SUBSTITUTE($B409,CHAR(160)," "))</f>
        <v>922S.חבק יד לטניס כרית סיליק</v>
      </c>
    </row>
    <row r="410" customFormat="false" ht="15" hidden="false" customHeight="false" outlineLevel="0" collapsed="false">
      <c r="A410" s="20" t="n">
        <v>4408087</v>
      </c>
      <c r="B410" s="20" t="s">
        <v>553</v>
      </c>
      <c r="C410" s="20" t="str">
        <f aca="false">TRIM(SUBSTITUTE($B410,CHAR(160)," "))</f>
        <v>922XLחבק יד לטניס כרית סיליק</v>
      </c>
    </row>
    <row r="411" customFormat="false" ht="15" hidden="false" customHeight="false" outlineLevel="0" collapsed="false">
      <c r="A411" s="20" t="n">
        <v>4413339</v>
      </c>
      <c r="B411" s="20" t="s">
        <v>554</v>
      </c>
      <c r="C411" s="20" t="str">
        <f aca="false">TRIM(SUBSTITUTE($B411,CHAR(160)," "))</f>
        <v>922XXLמגן מרפק+כרית סילקון</v>
      </c>
    </row>
    <row r="412" customFormat="false" ht="15" hidden="false" customHeight="false" outlineLevel="0" collapsed="false">
      <c r="A412" s="20" t="n">
        <v>4413139</v>
      </c>
      <c r="B412" s="20" t="s">
        <v>555</v>
      </c>
      <c r="C412" s="20" t="str">
        <f aca="false">TRIM(SUBSTITUTE($B412,CHAR(160)," "))</f>
        <v>95 L מגן מרפק רגיל לבן</v>
      </c>
    </row>
    <row r="413" customFormat="false" ht="15" hidden="false" customHeight="false" outlineLevel="0" collapsed="false">
      <c r="A413" s="20" t="n">
        <v>4413140</v>
      </c>
      <c r="B413" s="20" t="s">
        <v>556</v>
      </c>
      <c r="C413" s="20" t="str">
        <f aca="false">TRIM(SUBSTITUTE($B413,CHAR(160)," "))</f>
        <v>95 M מגן מרפק רגיל לבן</v>
      </c>
    </row>
    <row r="414" customFormat="false" ht="15" hidden="false" customHeight="false" outlineLevel="0" collapsed="false">
      <c r="A414" s="20" t="n">
        <v>4413141</v>
      </c>
      <c r="B414" s="20" t="s">
        <v>557</v>
      </c>
      <c r="C414" s="20" t="str">
        <f aca="false">TRIM(SUBSTITUTE($B414,CHAR(160)," "))</f>
        <v>95 S מגן מרפק רגיל לבן</v>
      </c>
    </row>
    <row r="415" customFormat="false" ht="15" hidden="false" customHeight="false" outlineLevel="0" collapsed="false">
      <c r="A415" s="20" t="n">
        <v>4413142</v>
      </c>
      <c r="B415" s="20" t="s">
        <v>558</v>
      </c>
      <c r="C415" s="20" t="str">
        <f aca="false">TRIM(SUBSTITUTE($B415,CHAR(160)," "))</f>
        <v>95 XL מגן מרפק רגיל לבן</v>
      </c>
    </row>
    <row r="416" customFormat="false" ht="15" hidden="false" customHeight="false" outlineLevel="0" collapsed="false">
      <c r="A416" s="20" t="n">
        <v>4413143</v>
      </c>
      <c r="B416" s="20" t="s">
        <v>559</v>
      </c>
      <c r="C416" s="20" t="str">
        <f aca="false">TRIM(SUBSTITUTE($B416,CHAR(160)," "))</f>
        <v>95 XS מגן מרפק רגיל לבן</v>
      </c>
    </row>
    <row r="417" customFormat="false" ht="15" hidden="false" customHeight="false" outlineLevel="0" collapsed="false">
      <c r="A417" s="20" t="n">
        <v>4413144</v>
      </c>
      <c r="B417" s="20" t="s">
        <v>560</v>
      </c>
      <c r="C417" s="20" t="str">
        <f aca="false">TRIM(SUBSTITUTE($B417,CHAR(160)," "))</f>
        <v>95 XXL מגן מרפק רגיל לבן</v>
      </c>
    </row>
    <row r="418" customFormat="false" ht="15" hidden="false" customHeight="false" outlineLevel="0" collapsed="false">
      <c r="A418" s="20" t="n">
        <v>4413146</v>
      </c>
      <c r="B418" s="20" t="s">
        <v>561</v>
      </c>
      <c r="C418" s="20" t="str">
        <f aca="false">TRIM(SUBSTITUTE($B418,CHAR(160)," "))</f>
        <v>95+ L מגן מרפק+רצועה לטניס</v>
      </c>
    </row>
    <row r="419" customFormat="false" ht="15" hidden="false" customHeight="false" outlineLevel="0" collapsed="false">
      <c r="A419" s="20" t="n">
        <v>4413147</v>
      </c>
      <c r="B419" s="20" t="s">
        <v>562</v>
      </c>
      <c r="C419" s="20" t="str">
        <f aca="false">TRIM(SUBSTITUTE($B419,CHAR(160)," "))</f>
        <v>95+ M מגן מרפק+רצועה לטניס</v>
      </c>
    </row>
    <row r="420" customFormat="false" ht="15" hidden="false" customHeight="false" outlineLevel="0" collapsed="false">
      <c r="A420" s="20" t="n">
        <v>4413148</v>
      </c>
      <c r="B420" s="20" t="s">
        <v>563</v>
      </c>
      <c r="C420" s="20" t="str">
        <f aca="false">TRIM(SUBSTITUTE($B420,CHAR(160)," "))</f>
        <v>95+ XL מגן מרפק+רצועה לטניס</v>
      </c>
    </row>
    <row r="421" customFormat="false" ht="15" hidden="false" customHeight="false" outlineLevel="0" collapsed="false">
      <c r="A421" s="20" t="n">
        <v>4413500</v>
      </c>
      <c r="B421" s="20" t="s">
        <v>564</v>
      </c>
      <c r="C421" s="20" t="str">
        <f aca="false">TRIM(SUBSTITUTE($B421,CHAR(160)," "))</f>
        <v>95B L מגן מרפק שחור</v>
      </c>
    </row>
    <row r="422" customFormat="false" ht="15" hidden="false" customHeight="false" outlineLevel="0" collapsed="false">
      <c r="A422" s="20" t="n">
        <v>4413501</v>
      </c>
      <c r="B422" s="20" t="s">
        <v>565</v>
      </c>
      <c r="C422" s="20" t="str">
        <f aca="false">TRIM(SUBSTITUTE($B422,CHAR(160)," "))</f>
        <v>95B M מגן מרפק שחור</v>
      </c>
    </row>
    <row r="423" customFormat="false" ht="15" hidden="false" customHeight="false" outlineLevel="0" collapsed="false">
      <c r="A423" s="20" t="n">
        <v>4413502</v>
      </c>
      <c r="B423" s="20" t="s">
        <v>566</v>
      </c>
      <c r="C423" s="20" t="str">
        <f aca="false">TRIM(SUBSTITUTE($B423,CHAR(160)," "))</f>
        <v>95B S מגן מרפק שחור</v>
      </c>
    </row>
    <row r="424" customFormat="false" ht="15" hidden="false" customHeight="false" outlineLevel="0" collapsed="false">
      <c r="A424" s="20" t="n">
        <v>4413503</v>
      </c>
      <c r="B424" s="20" t="s">
        <v>567</v>
      </c>
      <c r="C424" s="20" t="str">
        <f aca="false">TRIM(SUBSTITUTE($B424,CHAR(160)," "))</f>
        <v>95B XL מגן מרפק שחור</v>
      </c>
    </row>
    <row r="425" customFormat="false" ht="15" hidden="false" customHeight="false" outlineLevel="0" collapsed="false">
      <c r="A425" s="20" t="n">
        <v>4413504</v>
      </c>
      <c r="B425" s="20" t="s">
        <v>568</v>
      </c>
      <c r="C425" s="20" t="str">
        <f aca="false">TRIM(SUBSTITUTE($B425,CHAR(160)," "))</f>
        <v>95B XXLמגן מרפק שחור</v>
      </c>
    </row>
    <row r="426" customFormat="false" ht="15" hidden="false" customHeight="false" outlineLevel="0" collapsed="false">
      <c r="A426" s="20" t="n">
        <v>4413365</v>
      </c>
      <c r="B426" s="20" t="s">
        <v>569</v>
      </c>
      <c r="C426" s="20" t="str">
        <f aca="false">TRIM(SUBSTITUTE($B426,CHAR(160)," "))</f>
        <v>95C L 'מגן מרפק בז</v>
      </c>
    </row>
    <row r="427" customFormat="false" ht="15" hidden="false" customHeight="false" outlineLevel="0" collapsed="false">
      <c r="A427" s="20" t="n">
        <v>4413364</v>
      </c>
      <c r="B427" s="20" t="s">
        <v>570</v>
      </c>
      <c r="C427" s="20" t="str">
        <f aca="false">TRIM(SUBSTITUTE($B427,CHAR(160)," "))</f>
        <v>95C M 'מגן מרפק בז</v>
      </c>
    </row>
    <row r="428" customFormat="false" ht="15" hidden="false" customHeight="false" outlineLevel="0" collapsed="false">
      <c r="A428" s="20" t="n">
        <v>4413366</v>
      </c>
      <c r="B428" s="20" t="s">
        <v>571</v>
      </c>
      <c r="C428" s="20" t="str">
        <f aca="false">TRIM(SUBSTITUTE($B428,CHAR(160)," "))</f>
        <v>95C S 'מגן מרפק בז</v>
      </c>
    </row>
    <row r="429" customFormat="false" ht="15" hidden="false" customHeight="false" outlineLevel="0" collapsed="false">
      <c r="A429" s="20" t="n">
        <v>4413367</v>
      </c>
      <c r="B429" s="20" t="s">
        <v>572</v>
      </c>
      <c r="C429" s="20" t="str">
        <f aca="false">TRIM(SUBSTITUTE($B429,CHAR(160)," "))</f>
        <v>95C XL'מגן מרפק בז</v>
      </c>
    </row>
    <row r="430" customFormat="false" ht="15" hidden="false" customHeight="false" outlineLevel="0" collapsed="false">
      <c r="A430" s="20" t="n">
        <v>4413368</v>
      </c>
      <c r="B430" s="20" t="s">
        <v>573</v>
      </c>
      <c r="C430" s="20" t="str">
        <f aca="false">TRIM(SUBSTITUTE($B430,CHAR(160)," "))</f>
        <v>95C XS'מגן מרפק בז</v>
      </c>
    </row>
    <row r="431" customFormat="false" ht="15" hidden="false" customHeight="false" outlineLevel="0" collapsed="false">
      <c r="A431" s="20" t="n">
        <v>4413369</v>
      </c>
      <c r="B431" s="20" t="s">
        <v>574</v>
      </c>
      <c r="C431" s="20" t="str">
        <f aca="false">TRIM(SUBSTITUTE($B431,CHAR(160)," "))</f>
        <v>95C XXL'מגן מרפק בז</v>
      </c>
    </row>
    <row r="432" customFormat="false" ht="15" hidden="false" customHeight="false" outlineLevel="0" collapsed="false">
      <c r="A432" s="20" t="n">
        <v>4413363</v>
      </c>
      <c r="B432" s="20" t="s">
        <v>575</v>
      </c>
      <c r="C432" s="20" t="str">
        <f aca="false">TRIM(SUBSTITUTE($B432,CHAR(160)," "))</f>
        <v>95G XXLמגן מרפק אפור</v>
      </c>
    </row>
    <row r="433" customFormat="false" ht="15" hidden="false" customHeight="false" outlineLevel="0" collapsed="false">
      <c r="A433" s="20" t="n">
        <v>4408208</v>
      </c>
      <c r="B433" s="20" t="s">
        <v>576</v>
      </c>
      <c r="C433" s="20" t="str">
        <f aca="false">TRIM(SUBSTITUTE($B433,CHAR(160)," "))</f>
        <v>AC91 חבק טניס</v>
      </c>
    </row>
    <row r="434" customFormat="false" ht="15" hidden="false" customHeight="false" outlineLevel="0" collapsed="false">
      <c r="A434" s="20" t="n">
        <v>4413331</v>
      </c>
      <c r="B434" s="20" t="s">
        <v>577</v>
      </c>
      <c r="C434" s="20" t="str">
        <f aca="false">TRIM(SUBSTITUTE($B434,CHAR(160)," "))</f>
        <v>AC95 מגן מרפק</v>
      </c>
    </row>
    <row r="435" customFormat="false" ht="15" hidden="false" customHeight="false" outlineLevel="0" collapsed="false">
      <c r="A435" s="20" t="n">
        <v>4413405</v>
      </c>
      <c r="B435" s="20" t="s">
        <v>578</v>
      </c>
      <c r="C435" s="20" t="str">
        <f aca="false">TRIM(SUBSTITUTE($B435,CHAR(160)," "))</f>
        <v>SC95 S מגן מרפק</v>
      </c>
    </row>
    <row r="436" customFormat="false" ht="15" hidden="false" customHeight="false" outlineLevel="0" collapsed="false">
      <c r="A436" s="20" t="n">
        <v>4413409</v>
      </c>
      <c r="B436" s="20" t="s">
        <v>579</v>
      </c>
      <c r="C436" s="20" t="str">
        <f aca="false">TRIM(SUBSTITUTE($B436,CHAR(160)," "))</f>
        <v>SC95 XXL מגן מרפק</v>
      </c>
    </row>
    <row r="437" customFormat="false" ht="15" hidden="false" customHeight="false" outlineLevel="0" collapsed="false">
      <c r="A437" s="20" t="n">
        <v>4413531</v>
      </c>
      <c r="B437" s="20" t="s">
        <v>580</v>
      </c>
      <c r="C437" s="20" t="str">
        <f aca="false">TRIM(SUBSTITUTE($B437,CHAR(160)," "))</f>
        <v>ST91 מגן מרפק לטניס</v>
      </c>
    </row>
    <row r="438" customFormat="false" ht="15" hidden="false" customHeight="false" outlineLevel="0" collapsed="false">
      <c r="A438" s="20" t="n">
        <v>4420018</v>
      </c>
      <c r="B438" s="20" t="s">
        <v>581</v>
      </c>
      <c r="C438" s="20" t="str">
        <f aca="false">TRIM(SUBSTITUTE($B438,CHAR(160)," "))</f>
        <v>T90 רצועת טניס אלבו עם פלסטיק</v>
      </c>
    </row>
    <row r="439" customFormat="false" ht="15" hidden="false" customHeight="false" outlineLevel="0" collapsed="false">
      <c r="A439" s="20" t="n">
        <v>4420019</v>
      </c>
      <c r="B439" s="20" t="s">
        <v>582</v>
      </c>
      <c r="C439" s="20" t="str">
        <f aca="false">TRIM(SUBSTITUTE($B439,CHAR(160)," "))</f>
        <v>T91 L-XL רצועת טניס אלבו</v>
      </c>
    </row>
    <row r="440" customFormat="false" ht="15" hidden="false" customHeight="false" outlineLevel="0" collapsed="false">
      <c r="A440" s="20" t="n">
        <v>4420020</v>
      </c>
      <c r="B440" s="20" t="s">
        <v>583</v>
      </c>
      <c r="C440" s="20" t="str">
        <f aca="false">TRIM(SUBSTITUTE($B440,CHAR(160)," "))</f>
        <v>T91 S-M רצועת טניס אלבו</v>
      </c>
    </row>
    <row r="441" customFormat="false" ht="15" hidden="false" customHeight="false" outlineLevel="0" collapsed="false">
      <c r="A441" s="20" t="n">
        <v>4413212</v>
      </c>
      <c r="B441" s="20" t="s">
        <v>584</v>
      </c>
      <c r="C441" s="20" t="str">
        <f aca="false">TRIM(SUBSTITUTE($B441,CHAR(160)," "))</f>
        <v>T95 L מגן מרפק רגיל</v>
      </c>
    </row>
    <row r="442" customFormat="false" ht="15" hidden="false" customHeight="false" outlineLevel="0" collapsed="false">
      <c r="A442" s="20" t="n">
        <v>4413211</v>
      </c>
      <c r="B442" s="20" t="s">
        <v>585</v>
      </c>
      <c r="C442" s="20" t="str">
        <f aca="false">TRIM(SUBSTITUTE($B442,CHAR(160)," "))</f>
        <v>T95 M מגן מרפק רגיל</v>
      </c>
    </row>
    <row r="443" customFormat="false" ht="15" hidden="false" customHeight="false" outlineLevel="0" collapsed="false">
      <c r="A443" s="20" t="n">
        <v>4413210</v>
      </c>
      <c r="B443" s="20" t="s">
        <v>586</v>
      </c>
      <c r="C443" s="20" t="str">
        <f aca="false">TRIM(SUBSTITUTE($B443,CHAR(160)," "))</f>
        <v>T95 S מגן מרפק רגיל</v>
      </c>
    </row>
    <row r="444" customFormat="false" ht="15" hidden="false" customHeight="false" outlineLevel="0" collapsed="false">
      <c r="A444" s="20" t="n">
        <v>4413213</v>
      </c>
      <c r="B444" s="20" t="s">
        <v>587</v>
      </c>
      <c r="C444" s="20" t="str">
        <f aca="false">TRIM(SUBSTITUTE($B444,CHAR(160)," "))</f>
        <v>T95 XLמגן מרפק רגיל</v>
      </c>
    </row>
    <row r="445" customFormat="false" ht="15" hidden="false" customHeight="false" outlineLevel="0" collapsed="false">
      <c r="A445" s="20" t="n">
        <v>4413207</v>
      </c>
      <c r="B445" s="20" t="s">
        <v>588</v>
      </c>
      <c r="C445" s="20" t="str">
        <f aca="false">TRIM(SUBSTITUTE($B445,CHAR(160)," "))</f>
        <v>T95+ L מגן מרפק +רצועה</v>
      </c>
    </row>
    <row r="446" customFormat="false" ht="15" hidden="false" customHeight="false" outlineLevel="0" collapsed="false">
      <c r="A446" s="20" t="n">
        <v>4413208</v>
      </c>
      <c r="B446" s="20" t="s">
        <v>589</v>
      </c>
      <c r="C446" s="20" t="str">
        <f aca="false">TRIM(SUBSTITUTE($B446,CHAR(160)," "))</f>
        <v>T95+ XLמגן מרפק +רצועה</v>
      </c>
    </row>
    <row r="447" customFormat="false" ht="15" hidden="false" customHeight="false" outlineLevel="0" collapsed="false">
      <c r="A447" s="20" t="n">
        <v>4413168</v>
      </c>
      <c r="B447" s="20" t="s">
        <v>590</v>
      </c>
      <c r="C447" s="20" t="str">
        <f aca="false">TRIM(SUBSTITUTE($B447,CHAR(160)," "))</f>
        <v>80 L תתמתלה ליד רצועה</v>
      </c>
    </row>
    <row r="448" customFormat="false" ht="15" hidden="false" customHeight="false" outlineLevel="0" collapsed="false">
      <c r="A448" s="20" t="n">
        <v>4413167</v>
      </c>
      <c r="B448" s="20" t="s">
        <v>591</v>
      </c>
      <c r="C448" s="20" t="str">
        <f aca="false">TRIM(SUBSTITUTE($B448,CHAR(160)," "))</f>
        <v>80 M תתמתלה ליד רצועה</v>
      </c>
    </row>
    <row r="449" customFormat="false" ht="15" hidden="false" customHeight="false" outlineLevel="0" collapsed="false">
      <c r="A449" s="20" t="n">
        <v>4413166</v>
      </c>
      <c r="B449" s="20" t="s">
        <v>592</v>
      </c>
      <c r="C449" s="20" t="str">
        <f aca="false">TRIM(SUBSTITUTE($B449,CHAR(160)," "))</f>
        <v>80 S תתמתלה ליד רצועה</v>
      </c>
    </row>
    <row r="450" customFormat="false" ht="15" hidden="false" customHeight="false" outlineLevel="0" collapsed="false">
      <c r="A450" s="20" t="n">
        <v>4413163</v>
      </c>
      <c r="B450" s="20" t="s">
        <v>593</v>
      </c>
      <c r="C450" s="20" t="str">
        <f aca="false">TRIM(SUBSTITUTE($B450,CHAR(160)," "))</f>
        <v>80 XL תתמתלה ליד</v>
      </c>
    </row>
    <row r="451" customFormat="false" ht="15" hidden="false" customHeight="false" outlineLevel="0" collapsed="false">
      <c r="A451" s="20" t="n">
        <v>4413308</v>
      </c>
      <c r="B451" s="20" t="s">
        <v>594</v>
      </c>
      <c r="C451" s="20" t="str">
        <f aca="false">TRIM(SUBSTITUTE($B451,CHAR(160)," "))</f>
        <v>82 0 מתלה יד מספוג</v>
      </c>
    </row>
    <row r="452" customFormat="false" ht="15" hidden="false" customHeight="false" outlineLevel="0" collapsed="false">
      <c r="A452" s="20" t="n">
        <v>4413135</v>
      </c>
      <c r="B452" s="20" t="s">
        <v>595</v>
      </c>
      <c r="C452" s="20" t="str">
        <f aca="false">TRIM(SUBSTITUTE($B452,CHAR(160)," "))</f>
        <v>85 L (מתלה ליד )כיס</v>
      </c>
    </row>
    <row r="453" customFormat="false" ht="15" hidden="false" customHeight="false" outlineLevel="0" collapsed="false">
      <c r="A453" s="20" t="n">
        <v>4413136</v>
      </c>
      <c r="B453" s="20" t="s">
        <v>596</v>
      </c>
      <c r="C453" s="20" t="str">
        <f aca="false">TRIM(SUBSTITUTE($B453,CHAR(160)," "))</f>
        <v>85 M (מתלה ליד )כיס</v>
      </c>
    </row>
    <row r="454" customFormat="false" ht="15" hidden="false" customHeight="false" outlineLevel="0" collapsed="false">
      <c r="A454" s="20" t="n">
        <v>4413137</v>
      </c>
      <c r="B454" s="20" t="s">
        <v>597</v>
      </c>
      <c r="C454" s="20" t="str">
        <f aca="false">TRIM(SUBSTITUTE($B454,CHAR(160)," "))</f>
        <v>85 S (מתלה ליד )כיס</v>
      </c>
    </row>
    <row r="455" customFormat="false" ht="15" hidden="false" customHeight="false" outlineLevel="0" collapsed="false">
      <c r="A455" s="20" t="n">
        <v>4413138</v>
      </c>
      <c r="B455" s="20" t="s">
        <v>598</v>
      </c>
      <c r="C455" s="20" t="str">
        <f aca="false">TRIM(SUBSTITUTE($B455,CHAR(160)," "))</f>
        <v>85 XL (מתלה ליד )כיס</v>
      </c>
    </row>
    <row r="456" customFormat="false" ht="15" hidden="false" customHeight="false" outlineLevel="0" collapsed="false">
      <c r="A456" s="20" t="n">
        <v>4413176</v>
      </c>
      <c r="B456" s="20" t="s">
        <v>599</v>
      </c>
      <c r="C456" s="20" t="str">
        <f aca="false">TRIM(SUBSTITUTE($B456,CHAR(160)," "))</f>
        <v>85+ Lמתלה ליד)כיס(+רצועת חיזוק</v>
      </c>
    </row>
    <row r="457" customFormat="false" ht="15" hidden="false" customHeight="false" outlineLevel="0" collapsed="false">
      <c r="A457" s="20" t="n">
        <v>4413175</v>
      </c>
      <c r="B457" s="20" t="s">
        <v>600</v>
      </c>
      <c r="C457" s="20" t="str">
        <f aca="false">TRIM(SUBSTITUTE($B457,CHAR(160)," "))</f>
        <v>85+ Mמתלה ליד)כיס(+רצועת חיזוק</v>
      </c>
    </row>
    <row r="458" customFormat="false" ht="15" hidden="false" customHeight="false" outlineLevel="0" collapsed="false">
      <c r="A458" s="20" t="n">
        <v>4413174</v>
      </c>
      <c r="B458" s="20" t="s">
        <v>601</v>
      </c>
      <c r="C458" s="20" t="str">
        <f aca="false">TRIM(SUBSTITUTE($B458,CHAR(160)," "))</f>
        <v>85+ Sמתלה ליד)כיס(+רצועת חיזוק</v>
      </c>
    </row>
    <row r="459" customFormat="false" ht="15" hidden="false" customHeight="false" outlineLevel="0" collapsed="false">
      <c r="A459" s="20" t="n">
        <v>4413177</v>
      </c>
      <c r="B459" s="20" t="s">
        <v>602</v>
      </c>
      <c r="C459" s="20" t="str">
        <f aca="false">TRIM(SUBSTITUTE($B459,CHAR(160)," "))</f>
        <v>85+ XLמתלה ליד)כיס(רצועת חיזוק</v>
      </c>
    </row>
    <row r="460" customFormat="false" ht="15" hidden="false" customHeight="false" outlineLevel="0" collapsed="false">
      <c r="A460" s="20" t="n">
        <v>4413516</v>
      </c>
      <c r="B460" s="20" t="s">
        <v>603</v>
      </c>
      <c r="C460" s="20" t="str">
        <f aca="false">TRIM(SUBSTITUTE($B460,CHAR(160)," "))</f>
        <v>85B L מתלה רשת לזרוע שחור</v>
      </c>
    </row>
    <row r="461" customFormat="false" ht="15" hidden="false" customHeight="false" outlineLevel="0" collapsed="false">
      <c r="A461" s="20" t="n">
        <v>4413517</v>
      </c>
      <c r="B461" s="20" t="s">
        <v>604</v>
      </c>
      <c r="C461" s="20" t="str">
        <f aca="false">TRIM(SUBSTITUTE($B461,CHAR(160)," "))</f>
        <v>85B M מתלה רשת לזרוע שחור</v>
      </c>
    </row>
    <row r="462" customFormat="false" ht="15" hidden="false" customHeight="false" outlineLevel="0" collapsed="false">
      <c r="A462" s="20" t="n">
        <v>4413519</v>
      </c>
      <c r="B462" s="20" t="s">
        <v>605</v>
      </c>
      <c r="C462" s="20" t="str">
        <f aca="false">TRIM(SUBSTITUTE($B462,CHAR(160)," "))</f>
        <v>85B S מתלה רשת לזרוע שחור</v>
      </c>
    </row>
    <row r="463" customFormat="false" ht="15" hidden="false" customHeight="false" outlineLevel="0" collapsed="false">
      <c r="A463" s="20" t="n">
        <v>4413518</v>
      </c>
      <c r="B463" s="20" t="s">
        <v>606</v>
      </c>
      <c r="C463" s="20" t="str">
        <f aca="false">TRIM(SUBSTITUTE($B463,CHAR(160)," "))</f>
        <v>85B XL מתלה רשת לזרוע שחור</v>
      </c>
    </row>
    <row r="464" customFormat="false" ht="15" hidden="false" customHeight="false" outlineLevel="0" collapsed="false">
      <c r="A464" s="20" t="n">
        <v>4413455</v>
      </c>
      <c r="B464" s="20" t="s">
        <v>607</v>
      </c>
      <c r="C464" s="20" t="str">
        <f aca="false">TRIM(SUBSTITUTE($B464,CHAR(160)," "))</f>
        <v>85K מתלה ליד לילדים</v>
      </c>
    </row>
    <row r="465" customFormat="false" ht="15" hidden="false" customHeight="false" outlineLevel="0" collapsed="false">
      <c r="A465" s="20" t="n">
        <v>4407000</v>
      </c>
      <c r="B465" s="20" t="s">
        <v>608</v>
      </c>
      <c r="C465" s="20" t="str">
        <f aca="false">TRIM(SUBSTITUTE($B465,CHAR(160)," "))</f>
        <v>306 L זוג עקבים סיליקון</v>
      </c>
    </row>
    <row r="466" customFormat="false" ht="15" hidden="false" customHeight="false" outlineLevel="0" collapsed="false">
      <c r="A466" s="20" t="n">
        <v>4416000</v>
      </c>
      <c r="B466" s="20" t="s">
        <v>609</v>
      </c>
      <c r="C466" s="20" t="str">
        <f aca="false">TRIM(SUBSTITUTE($B466,CHAR(160)," "))</f>
        <v>307 L עקבים לדורבן-זוג כריות</v>
      </c>
    </row>
    <row r="467" customFormat="false" ht="15" hidden="false" customHeight="false" outlineLevel="0" collapsed="false">
      <c r="A467" s="20" t="n">
        <v>4416001</v>
      </c>
      <c r="B467" s="20" t="s">
        <v>610</v>
      </c>
      <c r="C467" s="20" t="str">
        <f aca="false">TRIM(SUBSTITUTE($B467,CHAR(160)," "))</f>
        <v>307 M עקבים לדורבן-זוג כריות</v>
      </c>
    </row>
    <row r="468" customFormat="false" ht="15" hidden="false" customHeight="false" outlineLevel="0" collapsed="false">
      <c r="A468" s="20" t="n">
        <v>4416002</v>
      </c>
      <c r="B468" s="20" t="s">
        <v>611</v>
      </c>
      <c r="C468" s="20" t="str">
        <f aca="false">TRIM(SUBSTITUTE($B468,CHAR(160)," "))</f>
        <v>307 S עקבים לדורבן-זוג כריות</v>
      </c>
    </row>
    <row r="469" customFormat="false" ht="15" hidden="false" customHeight="false" outlineLevel="0" collapsed="false">
      <c r="A469" s="20" t="n">
        <v>4411016</v>
      </c>
      <c r="B469" s="20" t="s">
        <v>612</v>
      </c>
      <c r="C469" s="20" t="str">
        <f aca="false">TRIM(SUBSTITUTE($B469,CHAR(160)," "))</f>
        <v>307 XL כרית סיליקון לעקב</v>
      </c>
    </row>
    <row r="470" customFormat="false" ht="15" hidden="false" customHeight="false" outlineLevel="0" collapsed="false">
      <c r="A470" s="20" t="n">
        <v>4416003</v>
      </c>
      <c r="B470" s="20" t="s">
        <v>613</v>
      </c>
      <c r="C470" s="20" t="str">
        <f aca="false">TRIM(SUBSTITUTE($B470,CHAR(160)," "))</f>
        <v>308 Lעקבים סיליקון כחול לדורבן</v>
      </c>
    </row>
    <row r="471" customFormat="false" ht="15" hidden="false" customHeight="false" outlineLevel="0" collapsed="false">
      <c r="A471" s="20" t="n">
        <v>4416005</v>
      </c>
      <c r="B471" s="20" t="s">
        <v>614</v>
      </c>
      <c r="C471" s="20" t="str">
        <f aca="false">TRIM(SUBSTITUTE($B471,CHAR(160)," "))</f>
        <v>308 Mעקבים סיליק.כחול לדורבן</v>
      </c>
    </row>
    <row r="472" customFormat="false" ht="15" hidden="false" customHeight="false" outlineLevel="0" collapsed="false">
      <c r="A472" s="20" t="n">
        <v>4416006</v>
      </c>
      <c r="B472" s="20" t="s">
        <v>615</v>
      </c>
      <c r="C472" s="20" t="str">
        <f aca="false">TRIM(SUBSTITUTE($B472,CHAR(160)," "))</f>
        <v>308 Sעקבים סיליק.כחול לדורבן</v>
      </c>
    </row>
    <row r="473" customFormat="false" ht="15" hidden="false" customHeight="false" outlineLevel="0" collapsed="false">
      <c r="A473" s="20" t="n">
        <v>4416011</v>
      </c>
      <c r="B473" s="20" t="s">
        <v>616</v>
      </c>
      <c r="C473" s="20" t="str">
        <f aca="false">TRIM(SUBSTITUTE($B473,CHAR(160)," "))</f>
        <v>309 L תתמוקפאעקב סיליקון+ קשת</v>
      </c>
    </row>
    <row r="474" customFormat="false" ht="15" hidden="false" customHeight="false" outlineLevel="0" collapsed="false">
      <c r="A474" s="20" t="n">
        <v>4416010</v>
      </c>
      <c r="B474" s="20" t="s">
        <v>617</v>
      </c>
      <c r="C474" s="20" t="str">
        <f aca="false">TRIM(SUBSTITUTE($B474,CHAR(160)," "))</f>
        <v>309 M תתעקב סיליקון+ קשת</v>
      </c>
    </row>
    <row r="475" customFormat="false" ht="15" hidden="false" customHeight="false" outlineLevel="0" collapsed="false">
      <c r="A475" s="20" t="n">
        <v>4416009</v>
      </c>
      <c r="B475" s="20" t="s">
        <v>618</v>
      </c>
      <c r="C475" s="20" t="str">
        <f aca="false">TRIM(SUBSTITUTE($B475,CHAR(160)," "))</f>
        <v>309 S תתמוקפאעקב סיליקון+ קשת</v>
      </c>
    </row>
    <row r="476" customFormat="false" ht="15" hidden="false" customHeight="false" outlineLevel="0" collapsed="false">
      <c r="A476" s="20" t="n">
        <v>4413033</v>
      </c>
      <c r="B476" s="20" t="s">
        <v>619</v>
      </c>
      <c r="C476" s="20" t="str">
        <f aca="false">TRIM(SUBSTITUTE($B476,CHAR(160)," "))</f>
        <v>311'מדב.ג'ל למניעת שפשוף 5 יח</v>
      </c>
    </row>
    <row r="477" customFormat="false" ht="15" hidden="false" customHeight="false" outlineLevel="0" collapsed="false">
      <c r="A477" s="20" t="n">
        <v>4413034</v>
      </c>
      <c r="B477" s="20" t="s">
        <v>620</v>
      </c>
      <c r="C477" s="20" t="str">
        <f aca="false">TRIM(SUBSTITUTE($B477,CHAR(160)," "))</f>
        <v>312 9 מ""ס להתאמהX5 מדבקה גדולה</v>
      </c>
    </row>
    <row r="478" customFormat="false" ht="15" hidden="false" customHeight="false" outlineLevel="0" collapsed="false">
      <c r="A478" s="20" t="n">
        <v>4415297</v>
      </c>
      <c r="B478" s="20" t="s">
        <v>621</v>
      </c>
      <c r="C478" s="20" t="str">
        <f aca="false">TRIM(SUBSTITUTE($B478,CHAR(160)," "))</f>
        <v>313 סט פלסטרים נגד שפשופים</v>
      </c>
    </row>
    <row r="479" customFormat="false" ht="15" hidden="false" customHeight="false" outlineLevel="0" collapsed="false">
      <c r="A479" s="20" t="n">
        <v>4402007</v>
      </c>
      <c r="B479" s="20" t="s">
        <v>622</v>
      </c>
      <c r="C479" s="20" t="str">
        <f aca="false">TRIM(SUBSTITUTE($B479,CHAR(160)," "))</f>
        <v>320 בליסטר פלסטר</v>
      </c>
    </row>
    <row r="480" customFormat="false" ht="15" hidden="false" customHeight="false" outlineLevel="0" collapsed="false">
      <c r="A480" s="20" t="n">
        <v>4421001</v>
      </c>
      <c r="B480" s="20" t="s">
        <v>623</v>
      </c>
      <c r="C480" s="20" t="str">
        <f aca="false">TRIM(SUBSTITUTE($B480,CHAR(160)," "))</f>
        <v>3611 שרוול מטטרזלי מסיליקון</v>
      </c>
    </row>
    <row r="481" customFormat="false" ht="15" hidden="false" customHeight="false" outlineLevel="0" collapsed="false">
      <c r="A481" s="20" t="n">
        <v>4413058</v>
      </c>
      <c r="B481" s="20" t="s">
        <v>624</v>
      </c>
      <c r="C481" s="20" t="str">
        <f aca="false">TRIM(SUBSTITUTE($B481,CHAR(160)," "))</f>
        <v>3622S מדבקה לשחרור לחץ 2 יח</v>
      </c>
    </row>
    <row r="482" customFormat="false" ht="15" hidden="false" customHeight="false" outlineLevel="0" collapsed="false">
      <c r="A482" s="20" t="n">
        <v>4411001</v>
      </c>
      <c r="B482" s="20" t="s">
        <v>625</v>
      </c>
      <c r="C482" s="20" t="str">
        <f aca="false">TRIM(SUBSTITUTE($B482,CHAR(160)," "))</f>
        <v>3623 כרית ליישור אצבע פטיש</v>
      </c>
    </row>
    <row r="483" customFormat="false" ht="15" hidden="false" customHeight="false" outlineLevel="0" collapsed="false">
      <c r="A483" s="20" t="n">
        <v>4402000</v>
      </c>
      <c r="B483" s="20" t="s">
        <v>626</v>
      </c>
      <c r="C483" s="20" t="str">
        <f aca="false">TRIM(SUBSTITUTE($B483,CHAR(160)," "))</f>
        <v>363 בננה לתמיכת אצבעות ז.כרית</v>
      </c>
    </row>
    <row r="484" customFormat="false" ht="15" hidden="false" customHeight="false" outlineLevel="0" collapsed="false">
      <c r="A484" s="20" t="n">
        <v>4413060</v>
      </c>
      <c r="B484" s="20" t="s">
        <v>627</v>
      </c>
      <c r="C484" s="20" t="str">
        <f aca="false">TRIM(SUBSTITUTE($B484,CHAR(160)," "))</f>
        <v>364 XLמפריד אצבע סיליקון ליבלת</v>
      </c>
    </row>
    <row r="485" customFormat="false" ht="15" hidden="false" customHeight="false" outlineLevel="0" collapsed="false">
      <c r="A485" s="20" t="n">
        <v>4413061</v>
      </c>
      <c r="B485" s="20" t="s">
        <v>628</v>
      </c>
      <c r="C485" s="20" t="str">
        <f aca="false">TRIM(SUBSTITUTE($B485,CHAR(160)," "))</f>
        <v>3641-מיישר בוהן סיליקון קשיח</v>
      </c>
    </row>
    <row r="486" customFormat="false" ht="15" hidden="false" customHeight="false" outlineLevel="0" collapsed="false">
      <c r="A486" s="20" t="n">
        <v>4413059</v>
      </c>
      <c r="B486" s="20" t="s">
        <v>629</v>
      </c>
      <c r="C486" s="20" t="str">
        <f aca="false">TRIM(SUBSTITUTE($B486,CHAR(160)," "))</f>
        <v>364S Lמפר.אצבע סיליק. ליבל.זוג</v>
      </c>
    </row>
    <row r="487" customFormat="false" ht="15" hidden="false" customHeight="false" outlineLevel="0" collapsed="false">
      <c r="A487" s="20" t="n">
        <v>4409001</v>
      </c>
      <c r="B487" s="20" t="s">
        <v>630</v>
      </c>
      <c r="C487" s="20" t="str">
        <f aca="false">TRIM(SUBSTITUTE($B487,CHAR(160)," "))</f>
        <v>365 X-Lטבעת אלסטית מסיליקון</v>
      </c>
    </row>
    <row r="488" customFormat="false" ht="15" hidden="false" customHeight="false" outlineLevel="0" collapsed="false">
      <c r="A488" s="20" t="n">
        <v>4409000</v>
      </c>
      <c r="B488" s="20" t="s">
        <v>631</v>
      </c>
      <c r="C488" s="20" t="str">
        <f aca="false">TRIM(SUBSTITUTE($B488,CHAR(160)," "))</f>
        <v>365 S-Lטבעת אלסטית מסיליקון</v>
      </c>
    </row>
    <row r="489" customFormat="false" ht="15" hidden="false" customHeight="false" outlineLevel="0" collapsed="false">
      <c r="A489" s="20" t="n">
        <v>4421000</v>
      </c>
      <c r="B489" s="20" t="s">
        <v>632</v>
      </c>
      <c r="C489" s="20" t="str">
        <f aca="false">TRIM(SUBSTITUTE($B489,CHAR(160)," "))</f>
        <v>3655 שרוול מסיליקון לאצבע</v>
      </c>
    </row>
    <row r="490" customFormat="false" ht="15" hidden="false" customHeight="false" outlineLevel="0" collapsed="false">
      <c r="A490" s="20" t="n">
        <v>4413340</v>
      </c>
      <c r="B490" s="20" t="s">
        <v>633</v>
      </c>
      <c r="C490" s="20" t="str">
        <f aca="false">TRIM(SUBSTITUTE($B490,CHAR(160)," "))</f>
        <v>3666 מפריד הלוקס</v>
      </c>
    </row>
    <row r="491" customFormat="false" ht="15" hidden="false" customHeight="false" outlineLevel="0" collapsed="false">
      <c r="A491" s="20" t="n">
        <v>4413063</v>
      </c>
      <c r="B491" s="20" t="s">
        <v>634</v>
      </c>
      <c r="C491" s="20" t="str">
        <f aca="false">TRIM(SUBSTITUTE($B491,CHAR(160)," "))</f>
        <v>366S-'מדבק.לשחרור לחץ מיבלת2יח</v>
      </c>
    </row>
    <row r="492" customFormat="false" ht="15" hidden="false" customHeight="false" outlineLevel="0" collapsed="false">
      <c r="A492" s="20" t="n">
        <v>4421003</v>
      </c>
      <c r="B492" s="20" t="s">
        <v>635</v>
      </c>
      <c r="C492" s="20" t="str">
        <f aca="false">TRIM(SUBSTITUTE($B492,CHAR(160)," "))</f>
        <v>3672 שרוול מגן לבוניון</v>
      </c>
    </row>
    <row r="493" customFormat="false" ht="15" hidden="false" customHeight="false" outlineLevel="0" collapsed="false">
      <c r="A493" s="20" t="n">
        <v>4413370</v>
      </c>
      <c r="B493" s="20" t="s">
        <v>636</v>
      </c>
      <c r="C493" s="20" t="str">
        <f aca="false">TRIM(SUBSTITUTE($B493,CHAR(160)," "))</f>
        <v>3674 0 מ.בוניון+מפריד אצבע</v>
      </c>
    </row>
    <row r="494" customFormat="false" ht="15" hidden="false" customHeight="false" outlineLevel="0" collapsed="false">
      <c r="A494" s="20" t="n">
        <v>4413371</v>
      </c>
      <c r="B494" s="20" t="s">
        <v>637</v>
      </c>
      <c r="C494" s="20" t="str">
        <f aca="false">TRIM(SUBSTITUTE($B494,CHAR(160)," "))</f>
        <v>3675 מגן זרת מסיליקון</v>
      </c>
    </row>
    <row r="495" customFormat="false" ht="15" hidden="false" customHeight="false" outlineLevel="0" collapsed="false">
      <c r="A495" s="20" t="n">
        <v>4413066</v>
      </c>
      <c r="B495" s="20" t="s">
        <v>638</v>
      </c>
      <c r="C495" s="20" t="str">
        <f aca="false">TRIM(SUBSTITUTE($B495,CHAR(160)," "))</f>
        <v>3677S-מד.לשחרור לחץ א.הבוניון</v>
      </c>
    </row>
    <row r="496" customFormat="false" ht="15" hidden="false" customHeight="false" outlineLevel="0" collapsed="false">
      <c r="A496" s="20" t="n">
        <v>4401001</v>
      </c>
      <c r="B496" s="20" t="s">
        <v>639</v>
      </c>
      <c r="C496" s="20" t="str">
        <f aca="false">TRIM(SUBSTITUTE($B496,CHAR(160)," "))</f>
        <v>369 XL אצבעון מסיליקון יחידה</v>
      </c>
    </row>
    <row r="497" customFormat="false" ht="15" hidden="false" customHeight="false" outlineLevel="0" collapsed="false">
      <c r="A497" s="20" t="n">
        <v>4401000</v>
      </c>
      <c r="B497" s="20" t="s">
        <v>640</v>
      </c>
      <c r="C497" s="20" t="str">
        <f aca="false">TRIM(SUBSTITUTE($B497,CHAR(160)," "))</f>
        <v>369 S-L אצבעון מסיליקון יחידה</v>
      </c>
    </row>
    <row r="498" customFormat="false" ht="15" hidden="false" customHeight="false" outlineLevel="0" collapsed="false">
      <c r="A498" s="20" t="n">
        <v>4408069</v>
      </c>
      <c r="B498" s="20" t="s">
        <v>641</v>
      </c>
      <c r="C498" s="20" t="str">
        <f aca="false">TRIM(SUBSTITUTE($B498,CHAR(160)," "))</f>
        <v>38 .חבישת""הלוקס ולגוס""לאחר נית</v>
      </c>
    </row>
    <row r="499" customFormat="false" ht="15" hidden="false" customHeight="false" outlineLevel="0" collapsed="false">
      <c r="A499" s="20" t="n">
        <v>4413452</v>
      </c>
      <c r="B499" s="20" t="s">
        <v>642</v>
      </c>
      <c r="C499" s="20" t="str">
        <f aca="false">TRIM(SUBSTITUTE($B499,CHAR(160)," "))</f>
        <v>386 מיישר בוניון-האלוקס ולגוס</v>
      </c>
    </row>
    <row r="500" customFormat="false" ht="15" hidden="false" customHeight="false" outlineLevel="0" collapsed="false">
      <c r="A500" s="20" t="n">
        <v>4413069</v>
      </c>
      <c r="B500" s="20" t="s">
        <v>643</v>
      </c>
      <c r="C500" s="20" t="str">
        <f aca="false">TRIM(SUBSTITUTE($B500,CHAR(160)," "))</f>
        <v>388L סד לילה לבוהן</v>
      </c>
    </row>
    <row r="501" customFormat="false" ht="15" hidden="false" customHeight="false" outlineLevel="0" collapsed="false">
      <c r="A501" s="20" t="n">
        <v>4413070</v>
      </c>
      <c r="B501" s="20" t="s">
        <v>644</v>
      </c>
      <c r="C501" s="20" t="str">
        <f aca="false">TRIM(SUBSTITUTE($B501,CHAR(160)," "))</f>
        <v>388R סד לילה לבוהן</v>
      </c>
    </row>
    <row r="502" customFormat="false" ht="15" hidden="false" customHeight="false" outlineLevel="0" collapsed="false">
      <c r="A502" s="20" t="n">
        <v>4411015</v>
      </c>
      <c r="B502" s="20" t="s">
        <v>645</v>
      </c>
      <c r="C502" s="20" t="str">
        <f aca="false">TRIM(SUBSTITUTE($B502,CHAR(160)," "))</f>
        <v>820 0 כרית חום וקור</v>
      </c>
    </row>
    <row r="503" customFormat="false" ht="15" hidden="false" customHeight="false" outlineLevel="0" collapsed="false">
      <c r="A503" s="20" t="n">
        <v>4413307</v>
      </c>
      <c r="B503" s="20" t="s">
        <v>646</v>
      </c>
      <c r="C503" s="20" t="str">
        <f aca="false">TRIM(SUBSTITUTE($B503,CHAR(160)," "))</f>
        <v>URI 3667 מגן בוניון</v>
      </c>
    </row>
    <row r="504" customFormat="false" ht="15" hidden="false" customHeight="false" outlineLevel="0" collapsed="false">
      <c r="A504" s="20" t="n">
        <v>4411000</v>
      </c>
      <c r="B504" s="20" t="s">
        <v>647</v>
      </c>
      <c r="C504" s="20" t="str">
        <f aca="false">TRIM(SUBSTITUTE($B504,CHAR(160)," "))</f>
        <v>כרית מטטרזלי סיליקון362</v>
      </c>
    </row>
    <row r="505" customFormat="false" ht="15" hidden="false" customHeight="false" outlineLevel="0" collapsed="false">
      <c r="A505" s="20" t="n">
        <v>4401002</v>
      </c>
      <c r="B505" s="20" t="s">
        <v>648</v>
      </c>
      <c r="C505" s="20" t="str">
        <f aca="false">TRIM(SUBSTITUTE($B505,CHAR(160)," "))</f>
        <v>PD 344-אבן טבעית להסרת עור קשה</v>
      </c>
    </row>
    <row r="506" customFormat="false" ht="15" hidden="false" customHeight="false" outlineLevel="0" collapsed="false">
      <c r="A506" s="20" t="n">
        <v>4419006</v>
      </c>
      <c r="B506" s="20" t="s">
        <v>649</v>
      </c>
      <c r="C506" s="20" t="str">
        <f aca="false">TRIM(SUBSTITUTE($B506,CHAR(160)," "))</f>
        <v>PD340-קוצץ ציפורניים</v>
      </c>
    </row>
    <row r="507" customFormat="false" ht="15" hidden="false" customHeight="false" outlineLevel="0" collapsed="false">
      <c r="A507" s="20" t="n">
        <v>4413150</v>
      </c>
      <c r="B507" s="20" t="s">
        <v>650</v>
      </c>
      <c r="C507" s="20" t="str">
        <f aca="false">TRIM(SUBSTITUTE($B507,CHAR(160)," "))</f>
        <v>PD341-מקצוע להסרת עור קשה</v>
      </c>
    </row>
    <row r="508" customFormat="false" ht="15" hidden="false" customHeight="false" outlineLevel="0" collapsed="false">
      <c r="A508" s="20" t="n">
        <v>4417000</v>
      </c>
      <c r="B508" s="20" t="s">
        <v>651</v>
      </c>
      <c r="C508" s="20" t="str">
        <f aca="false">TRIM(SUBSTITUTE($B508,CHAR(160)," "))</f>
        <v>PD342-פומפיה להסרת עור קשה</v>
      </c>
    </row>
    <row r="509" customFormat="false" ht="15" hidden="false" customHeight="false" outlineLevel="0" collapsed="false">
      <c r="A509" s="20" t="n">
        <v>4417001</v>
      </c>
      <c r="B509" s="20" t="s">
        <v>652</v>
      </c>
      <c r="C509" s="20" t="str">
        <f aca="false">TRIM(SUBSTITUTE($B509,CHAR(160)," "))</f>
        <v>PD343-פומפיה מאבן להסר.עור</v>
      </c>
    </row>
    <row r="510" customFormat="false" ht="15" hidden="false" customHeight="false" outlineLevel="0" collapsed="false">
      <c r="A510" s="20" t="n">
        <v>4415080</v>
      </c>
      <c r="B510" s="20" t="s">
        <v>653</v>
      </c>
      <c r="C510" s="20" t="str">
        <f aca="false">TRIM(SUBSTITUTE($B510,CHAR(160)," "))</f>
        <v>PD346-10 סכינים למקצוע</v>
      </c>
    </row>
    <row r="511" customFormat="false" ht="15" hidden="false" customHeight="false" outlineLevel="0" collapsed="false">
      <c r="A511" s="20" t="n">
        <v>4413152</v>
      </c>
      <c r="B511" s="20" t="s">
        <v>654</v>
      </c>
      <c r="C511" s="20" t="str">
        <f aca="false">TRIM(SUBSTITUTE($B511,CHAR(160)," "))</f>
        <v>PD350-תתמשופית ניקל קדמיום</v>
      </c>
    </row>
    <row r="512" customFormat="false" ht="15" hidden="false" customHeight="false" outlineLevel="0" collapsed="false">
      <c r="A512" s="20" t="n">
        <v>4411029</v>
      </c>
      <c r="B512" s="20" t="s">
        <v>655</v>
      </c>
      <c r="C512" s="20" t="str">
        <f aca="false">TRIM(SUBSTITUTE($B512,CHAR(160)," "))</f>
        <v>213CTSR L ימין CTS כפפות</v>
      </c>
    </row>
    <row r="513" customFormat="false" ht="15" hidden="false" customHeight="false" outlineLevel="0" collapsed="false">
      <c r="A513" s="20" t="n">
        <v>4408046</v>
      </c>
      <c r="B513" s="20" t="s">
        <v>656</v>
      </c>
      <c r="C513" s="20" t="str">
        <f aca="false">TRIM(SUBSTITUTE($B513,CHAR(160)," "))</f>
        <v>20 L חבק יד מתכוון עם צמדן</v>
      </c>
    </row>
    <row r="514" customFormat="false" ht="15" hidden="false" customHeight="false" outlineLevel="0" collapsed="false">
      <c r="A514" s="20" t="n">
        <v>4408047</v>
      </c>
      <c r="B514" s="20" t="s">
        <v>657</v>
      </c>
      <c r="C514" s="20" t="str">
        <f aca="false">TRIM(SUBSTITUTE($B514,CHAR(160)," "))</f>
        <v>20 M חבק יד מתכוון עם צמדן</v>
      </c>
    </row>
    <row r="515" customFormat="false" ht="15" hidden="false" customHeight="false" outlineLevel="0" collapsed="false">
      <c r="A515" s="20" t="n">
        <v>4408048</v>
      </c>
      <c r="B515" s="20" t="s">
        <v>658</v>
      </c>
      <c r="C515" s="20" t="str">
        <f aca="false">TRIM(SUBSTITUTE($B515,CHAR(160)," "))</f>
        <v>20 S חבק יד מתכוון עם צמדן</v>
      </c>
    </row>
    <row r="516" customFormat="false" ht="15" hidden="false" customHeight="false" outlineLevel="0" collapsed="false">
      <c r="A516" s="20" t="n">
        <v>4408049</v>
      </c>
      <c r="B516" s="20" t="s">
        <v>659</v>
      </c>
      <c r="C516" s="20" t="str">
        <f aca="false">TRIM(SUBSTITUTE($B516,CHAR(160)," "))</f>
        <v>20 XL חבק יד מתכוון עם צמדן</v>
      </c>
    </row>
    <row r="517" customFormat="false" ht="15" hidden="false" customHeight="false" outlineLevel="0" collapsed="false">
      <c r="A517" s="20" t="n">
        <v>4408050</v>
      </c>
      <c r="B517" s="20" t="s">
        <v>660</v>
      </c>
      <c r="C517" s="20" t="str">
        <f aca="false">TRIM(SUBSTITUTE($B517,CHAR(160)," "))</f>
        <v>20 XXL חבק יד מתכוון עם צמדן</v>
      </c>
    </row>
    <row r="518" customFormat="false" ht="15" hidden="false" customHeight="false" outlineLevel="0" collapsed="false">
      <c r="A518" s="20" t="n">
        <v>4408275</v>
      </c>
      <c r="B518" s="20" t="s">
        <v>661</v>
      </c>
      <c r="C518" s="20" t="str">
        <f aca="false">TRIM(SUBSTITUTE($B518,CHAR(160)," "))</f>
        <v>202 ONE SIZE חבק יד</v>
      </c>
    </row>
    <row r="519" customFormat="false" ht="15" hidden="false" customHeight="false" outlineLevel="0" collapsed="false">
      <c r="A519" s="20" t="n">
        <v>4408052</v>
      </c>
      <c r="B519" s="20" t="s">
        <v>662</v>
      </c>
      <c r="C519" s="20" t="str">
        <f aca="false">TRIM(SUBSTITUTE($B519,CHAR(160)," "))</f>
        <v>21 L חבק יד ארוך</v>
      </c>
    </row>
    <row r="520" customFormat="false" ht="15" hidden="false" customHeight="false" outlineLevel="0" collapsed="false">
      <c r="A520" s="20" t="n">
        <v>4408053</v>
      </c>
      <c r="B520" s="20" t="s">
        <v>663</v>
      </c>
      <c r="C520" s="20" t="str">
        <f aca="false">TRIM(SUBSTITUTE($B520,CHAR(160)," "))</f>
        <v>21 M חבק יד ארוך</v>
      </c>
    </row>
    <row r="521" customFormat="false" ht="15" hidden="false" customHeight="false" outlineLevel="0" collapsed="false">
      <c r="A521" s="20" t="n">
        <v>4408051</v>
      </c>
      <c r="B521" s="20" t="s">
        <v>664</v>
      </c>
      <c r="C521" s="20" t="str">
        <f aca="false">TRIM(SUBSTITUTE($B521,CHAR(160)," "))</f>
        <v>21 S חבק יד ארוך</v>
      </c>
    </row>
    <row r="522" customFormat="false" ht="15" hidden="false" customHeight="false" outlineLevel="0" collapsed="false">
      <c r="A522" s="20" t="n">
        <v>4408054</v>
      </c>
      <c r="B522" s="20" t="s">
        <v>665</v>
      </c>
      <c r="C522" s="20" t="str">
        <f aca="false">TRIM(SUBSTITUTE($B522,CHAR(160)," "))</f>
        <v>21 XL חבק יד ארוך</v>
      </c>
    </row>
    <row r="523" customFormat="false" ht="15" hidden="false" customHeight="false" outlineLevel="0" collapsed="false">
      <c r="A523" s="20" t="n">
        <v>4413399</v>
      </c>
      <c r="B523" s="20" t="s">
        <v>666</v>
      </c>
      <c r="C523" s="20" t="str">
        <f aca="false">TRIM(SUBSTITUTE($B523,CHAR(160)," "))</f>
        <v>21 XS מגן יד</v>
      </c>
    </row>
    <row r="524" customFormat="false" ht="15" hidden="false" customHeight="false" outlineLevel="0" collapsed="false">
      <c r="A524" s="20" t="n">
        <v>4413400</v>
      </c>
      <c r="B524" s="20" t="s">
        <v>667</v>
      </c>
      <c r="C524" s="20" t="str">
        <f aca="false">TRIM(SUBSTITUTE($B524,CHAR(160)," "))</f>
        <v>21 XXL מגן יד</v>
      </c>
    </row>
    <row r="525" customFormat="false" ht="15" hidden="false" customHeight="false" outlineLevel="0" collapsed="false">
      <c r="A525" s="20" t="n">
        <v>4411017</v>
      </c>
      <c r="B525" s="20" t="s">
        <v>668</v>
      </c>
      <c r="C525" s="20" t="str">
        <f aca="false">TRIM(SUBSTITUTE($B525,CHAR(160)," "))</f>
        <v>211L כפפות לחץ</v>
      </c>
    </row>
    <row r="526" customFormat="false" ht="15" hidden="false" customHeight="false" outlineLevel="0" collapsed="false">
      <c r="A526" s="20" t="n">
        <v>4411018</v>
      </c>
      <c r="B526" s="20" t="s">
        <v>669</v>
      </c>
      <c r="C526" s="20" t="str">
        <f aca="false">TRIM(SUBSTITUTE($B526,CHAR(160)," "))</f>
        <v>211M כפפות לחץ</v>
      </c>
    </row>
    <row r="527" customFormat="false" ht="15" hidden="false" customHeight="false" outlineLevel="0" collapsed="false">
      <c r="A527" s="20" t="n">
        <v>4411019</v>
      </c>
      <c r="B527" s="20" t="s">
        <v>670</v>
      </c>
      <c r="C527" s="20" t="str">
        <f aca="false">TRIM(SUBSTITUTE($B527,CHAR(160)," "))</f>
        <v>211S כפפות לחץ</v>
      </c>
    </row>
    <row r="528" customFormat="false" ht="15" hidden="false" customHeight="false" outlineLevel="0" collapsed="false">
      <c r="A528" s="20" t="n">
        <v>4411020</v>
      </c>
      <c r="B528" s="20" t="s">
        <v>671</v>
      </c>
      <c r="C528" s="20" t="str">
        <f aca="false">TRIM(SUBSTITUTE($B528,CHAR(160)," "))</f>
        <v>211XL כפפות לחץ</v>
      </c>
    </row>
    <row r="529" customFormat="false" ht="15" hidden="false" customHeight="false" outlineLevel="0" collapsed="false">
      <c r="A529" s="20" t="n">
        <v>4411021</v>
      </c>
      <c r="B529" s="20" t="s">
        <v>672</v>
      </c>
      <c r="C529" s="20" t="str">
        <f aca="false">TRIM(SUBSTITUTE($B529,CHAR(160)," "))</f>
        <v>212L כפפות אגודל לחץ</v>
      </c>
    </row>
    <row r="530" customFormat="false" ht="15" hidden="false" customHeight="false" outlineLevel="0" collapsed="false">
      <c r="A530" s="20" t="n">
        <v>4411022</v>
      </c>
      <c r="B530" s="20" t="s">
        <v>673</v>
      </c>
      <c r="C530" s="20" t="str">
        <f aca="false">TRIM(SUBSTITUTE($B530,CHAR(160)," "))</f>
        <v>212M כפפות אגודל לחץ</v>
      </c>
    </row>
    <row r="531" customFormat="false" ht="15" hidden="false" customHeight="false" outlineLevel="0" collapsed="false">
      <c r="A531" s="20" t="n">
        <v>4411023</v>
      </c>
      <c r="B531" s="20" t="s">
        <v>674</v>
      </c>
      <c r="C531" s="20" t="str">
        <f aca="false">TRIM(SUBSTITUTE($B531,CHAR(160)," "))</f>
        <v>212S כפפות אגודל לחץ</v>
      </c>
    </row>
    <row r="532" customFormat="false" ht="15" hidden="false" customHeight="false" outlineLevel="0" collapsed="false">
      <c r="A532" s="20" t="n">
        <v>4411024</v>
      </c>
      <c r="B532" s="20" t="s">
        <v>675</v>
      </c>
      <c r="C532" s="20" t="str">
        <f aca="false">TRIM(SUBSTITUTE($B532,CHAR(160)," "))</f>
        <v>212XL כפפות אגודל לחץ</v>
      </c>
    </row>
    <row r="533" customFormat="false" ht="15" hidden="false" customHeight="false" outlineLevel="0" collapsed="false">
      <c r="A533" s="20" t="n">
        <v>4411031</v>
      </c>
      <c r="B533" s="20" t="s">
        <v>676</v>
      </c>
      <c r="C533" s="20" t="str">
        <f aca="false">TRIM(SUBSTITUTE($B533,CHAR(160)," "))</f>
        <v>213CTS S ימין CTS כפפות</v>
      </c>
    </row>
    <row r="534" customFormat="false" ht="15" hidden="false" customHeight="false" outlineLevel="0" collapsed="false">
      <c r="A534" s="20" t="n">
        <v>4411026</v>
      </c>
      <c r="B534" s="20" t="s">
        <v>677</v>
      </c>
      <c r="C534" s="20" t="str">
        <f aca="false">TRIM(SUBSTITUTE($B534,CHAR(160)," "))</f>
        <v>213CTSL L שמאל CTS כפפות</v>
      </c>
    </row>
    <row r="535" customFormat="false" ht="15" hidden="false" customHeight="false" outlineLevel="0" collapsed="false">
      <c r="A535" s="20" t="n">
        <v>4411027</v>
      </c>
      <c r="B535" s="20" t="s">
        <v>678</v>
      </c>
      <c r="C535" s="20" t="str">
        <f aca="false">TRIM(SUBSTITUTE($B535,CHAR(160)," "))</f>
        <v>213CTSL M שמאל CTS כפפות</v>
      </c>
    </row>
    <row r="536" customFormat="false" ht="15" hidden="false" customHeight="false" outlineLevel="0" collapsed="false">
      <c r="A536" s="20" t="n">
        <v>4411028</v>
      </c>
      <c r="B536" s="20" t="s">
        <v>679</v>
      </c>
      <c r="C536" s="20" t="str">
        <f aca="false">TRIM(SUBSTITUTE($B536,CHAR(160)," "))</f>
        <v>213CTSL S שמאל CTS כפפות</v>
      </c>
    </row>
    <row r="537" customFormat="false" ht="15" hidden="false" customHeight="false" outlineLevel="0" collapsed="false">
      <c r="A537" s="20" t="n">
        <v>4411030</v>
      </c>
      <c r="B537" s="20" t="s">
        <v>680</v>
      </c>
      <c r="C537" s="20" t="str">
        <f aca="false">TRIM(SUBSTITUTE($B537,CHAR(160)," "))</f>
        <v>213CTSR M ימין CTS כפפות</v>
      </c>
    </row>
    <row r="538" customFormat="false" ht="15" hidden="false" customHeight="false" outlineLevel="0" collapsed="false">
      <c r="A538" s="20" t="n">
        <v>4415162</v>
      </c>
      <c r="B538" s="20" t="s">
        <v>681</v>
      </c>
      <c r="C538" s="20" t="str">
        <f aca="false">TRIM(SUBSTITUTE($B538,CHAR(160)," "))</f>
        <v>238L סד ליישור אצבע</v>
      </c>
    </row>
    <row r="539" customFormat="false" ht="15" hidden="false" customHeight="false" outlineLevel="0" collapsed="false">
      <c r="A539" s="20" t="n">
        <v>4415161</v>
      </c>
      <c r="B539" s="20" t="s">
        <v>682</v>
      </c>
      <c r="C539" s="20" t="str">
        <f aca="false">TRIM(SUBSTITUTE($B539,CHAR(160)," "))</f>
        <v>238M סד ליישור אצבע</v>
      </c>
    </row>
    <row r="540" customFormat="false" ht="15" hidden="false" customHeight="false" outlineLevel="0" collapsed="false">
      <c r="A540" s="20" t="n">
        <v>4415160</v>
      </c>
      <c r="B540" s="20" t="s">
        <v>683</v>
      </c>
      <c r="C540" s="20" t="str">
        <f aca="false">TRIM(SUBSTITUTE($B540,CHAR(160)," "))</f>
        <v>238S סד ליישור אצבע</v>
      </c>
    </row>
    <row r="541" customFormat="false" ht="15" hidden="false" customHeight="false" outlineLevel="0" collapsed="false">
      <c r="A541" s="20" t="n">
        <v>4415163</v>
      </c>
      <c r="B541" s="20" t="s">
        <v>684</v>
      </c>
      <c r="C541" s="20" t="str">
        <f aca="false">TRIM(SUBSTITUTE($B541,CHAR(160)," "))</f>
        <v>238XL סד ליישור אצבע</v>
      </c>
    </row>
    <row r="542" customFormat="false" ht="15" hidden="false" customHeight="false" outlineLevel="0" collapsed="false">
      <c r="A542" s="20" t="n">
        <v>4408057</v>
      </c>
      <c r="B542" s="20" t="s">
        <v>685</v>
      </c>
      <c r="C542" s="20" t="str">
        <f aca="false">TRIM(SUBSTITUTE($B542,CHAR(160)," "))</f>
        <v>24 M(תתחבקון ליד )ללא צמדן</v>
      </c>
    </row>
    <row r="543" customFormat="false" ht="15" hidden="false" customHeight="false" outlineLevel="0" collapsed="false">
      <c r="A543" s="20" t="n">
        <v>4408059</v>
      </c>
      <c r="B543" s="20" t="s">
        <v>686</v>
      </c>
      <c r="C543" s="20" t="str">
        <f aca="false">TRIM(SUBSTITUTE($B543,CHAR(160)," "))</f>
        <v>25 L חבק יד אגודלי</v>
      </c>
    </row>
    <row r="544" customFormat="false" ht="15" hidden="false" customHeight="false" outlineLevel="0" collapsed="false">
      <c r="A544" s="20" t="n">
        <v>4408060</v>
      </c>
      <c r="B544" s="20" t="s">
        <v>687</v>
      </c>
      <c r="C544" s="20" t="str">
        <f aca="false">TRIM(SUBSTITUTE($B544,CHAR(160)," "))</f>
        <v>25 M חבק יד אגודלי</v>
      </c>
    </row>
    <row r="545" customFormat="false" ht="15" hidden="false" customHeight="false" outlineLevel="0" collapsed="false">
      <c r="A545" s="20" t="n">
        <v>4408061</v>
      </c>
      <c r="B545" s="20" t="s">
        <v>688</v>
      </c>
      <c r="C545" s="20" t="str">
        <f aca="false">TRIM(SUBSTITUTE($B545,CHAR(160)," "))</f>
        <v>25 S חבק יד אגודלי</v>
      </c>
    </row>
    <row r="546" customFormat="false" ht="15" hidden="false" customHeight="false" outlineLevel="0" collapsed="false">
      <c r="A546" s="20" t="n">
        <v>4408062</v>
      </c>
      <c r="B546" s="20" t="s">
        <v>689</v>
      </c>
      <c r="C546" s="20" t="str">
        <f aca="false">TRIM(SUBSTITUTE($B546,CHAR(160)," "))</f>
        <v>25 XL חבק יד אגודלי</v>
      </c>
    </row>
    <row r="547" customFormat="false" ht="15" hidden="false" customHeight="false" outlineLevel="0" collapsed="false">
      <c r="A547" s="20" t="n">
        <v>4415000</v>
      </c>
      <c r="B547" s="20" t="s">
        <v>690</v>
      </c>
      <c r="C547" s="20" t="str">
        <f aca="false">TRIM(SUBSTITUTE($B547,CHAR(160)," "))</f>
        <v>26 L סד ליד דו צדדי לאחר שבר</v>
      </c>
    </row>
    <row r="548" customFormat="false" ht="15" hidden="false" customHeight="false" outlineLevel="0" collapsed="false">
      <c r="A548" s="20" t="n">
        <v>4415001</v>
      </c>
      <c r="B548" s="20" t="s">
        <v>691</v>
      </c>
      <c r="C548" s="20" t="str">
        <f aca="false">TRIM(SUBSTITUTE($B548,CHAR(160)," "))</f>
        <v>26 M סד ליד דו צדדי לאחר שבר</v>
      </c>
    </row>
    <row r="549" customFormat="false" ht="15" hidden="false" customHeight="false" outlineLevel="0" collapsed="false">
      <c r="A549" s="20" t="n">
        <v>4415002</v>
      </c>
      <c r="B549" s="20" t="s">
        <v>692</v>
      </c>
      <c r="C549" s="20" t="str">
        <f aca="false">TRIM(SUBSTITUTE($B549,CHAR(160)," "))</f>
        <v>26 S סד ליד דו צדדי לאחר שבר</v>
      </c>
    </row>
    <row r="550" customFormat="false" ht="15" hidden="false" customHeight="false" outlineLevel="0" collapsed="false">
      <c r="A550" s="20" t="n">
        <v>4415003</v>
      </c>
      <c r="B550" s="20" t="s">
        <v>693</v>
      </c>
      <c r="C550" s="20" t="str">
        <f aca="false">TRIM(SUBSTITUTE($B550,CHAR(160)," "))</f>
        <v>26 XL סד ליד דו צדדי לאחר שבר</v>
      </c>
    </row>
    <row r="551" customFormat="false" ht="15" hidden="false" customHeight="false" outlineLevel="0" collapsed="false">
      <c r="A551" s="20" t="n">
        <v>4415142</v>
      </c>
      <c r="B551" s="20" t="s">
        <v>694</v>
      </c>
      <c r="C551" s="20" t="str">
        <f aca="false">TRIM(SUBSTITUTE($B551,CHAR(160)," "))</f>
        <v>26 XS סד ליד דו צדדי לאחר שבר</v>
      </c>
    </row>
    <row r="552" customFormat="false" ht="15" hidden="false" customHeight="false" outlineLevel="0" collapsed="false">
      <c r="A552" s="20" t="n">
        <v>4415004</v>
      </c>
      <c r="B552" s="20" t="s">
        <v>695</v>
      </c>
      <c r="C552" s="20" t="str">
        <f aca="false">TRIM(SUBSTITUTE($B552,CHAR(160)," "))</f>
        <v>26 XXL סד ליד דו צדדי לאחר שבר</v>
      </c>
    </row>
    <row r="553" customFormat="false" ht="15" hidden="false" customHeight="false" outlineLevel="0" collapsed="false">
      <c r="A553" s="20" t="n">
        <v>4415158</v>
      </c>
      <c r="B553" s="20" t="s">
        <v>696</v>
      </c>
      <c r="C553" s="20" t="str">
        <f aca="false">TRIM(SUBSTITUTE($B553,CHAR(160)," "))</f>
        <v>266 סד ליד דו צדדי</v>
      </c>
    </row>
    <row r="554" customFormat="false" ht="15" hidden="false" customHeight="false" outlineLevel="0" collapsed="false">
      <c r="A554" s="20" t="n">
        <v>4415170</v>
      </c>
      <c r="B554" s="20" t="s">
        <v>697</v>
      </c>
      <c r="C554" s="20" t="str">
        <f aca="false">TRIM(SUBSTITUTE($B554,CHAR(160)," "))</f>
        <v>267LB L-XLסד יד שמאל שחור</v>
      </c>
    </row>
    <row r="555" customFormat="false" ht="15" hidden="false" customHeight="false" outlineLevel="0" collapsed="false">
      <c r="A555" s="20" t="n">
        <v>4415171</v>
      </c>
      <c r="B555" s="20" t="s">
        <v>698</v>
      </c>
      <c r="C555" s="20" t="str">
        <f aca="false">TRIM(SUBSTITUTE($B555,CHAR(160)," "))</f>
        <v>267LB S-M סד יד שמאל שחור</v>
      </c>
    </row>
    <row r="556" customFormat="false" ht="15" hidden="false" customHeight="false" outlineLevel="0" collapsed="false">
      <c r="A556" s="20" t="n">
        <v>4415165</v>
      </c>
      <c r="B556" s="20" t="s">
        <v>699</v>
      </c>
      <c r="C556" s="20" t="str">
        <f aca="false">TRIM(SUBSTITUTE($B556,CHAR(160)," "))</f>
        <v>267LC S-M'סד יד שמאל בז</v>
      </c>
    </row>
    <row r="557" customFormat="false" ht="15" hidden="false" customHeight="false" outlineLevel="0" collapsed="false">
      <c r="A557" s="20" t="n">
        <v>4415164</v>
      </c>
      <c r="B557" s="20" t="s">
        <v>700</v>
      </c>
      <c r="C557" s="20" t="str">
        <f aca="false">TRIM(SUBSTITUTE($B557,CHAR(160)," "))</f>
        <v>267LC L-XL 'סד יד שמאל בז</v>
      </c>
    </row>
    <row r="558" customFormat="false" ht="15" hidden="false" customHeight="false" outlineLevel="0" collapsed="false">
      <c r="A558" s="20" t="n">
        <v>4415166</v>
      </c>
      <c r="B558" s="20" t="s">
        <v>701</v>
      </c>
      <c r="C558" s="20" t="str">
        <f aca="false">TRIM(SUBSTITUTE($B558,CHAR(160)," "))</f>
        <v>267LC XXL'סד יד שמאל בז</v>
      </c>
    </row>
    <row r="559" customFormat="false" ht="15" hidden="false" customHeight="false" outlineLevel="0" collapsed="false">
      <c r="A559" s="20" t="n">
        <v>4415173</v>
      </c>
      <c r="B559" s="20" t="s">
        <v>702</v>
      </c>
      <c r="C559" s="20" t="str">
        <f aca="false">TRIM(SUBSTITUTE($B559,CHAR(160)," "))</f>
        <v>267RB L-XLסד יד ימין שחור</v>
      </c>
    </row>
    <row r="560" customFormat="false" ht="15" hidden="false" customHeight="false" outlineLevel="0" collapsed="false">
      <c r="A560" s="20" t="n">
        <v>4415174</v>
      </c>
      <c r="B560" s="20" t="s">
        <v>703</v>
      </c>
      <c r="C560" s="20" t="str">
        <f aca="false">TRIM(SUBSTITUTE($B560,CHAR(160)," "))</f>
        <v>267RB S-M סד יד ימין שחור</v>
      </c>
    </row>
    <row r="561" customFormat="false" ht="15" hidden="false" customHeight="false" outlineLevel="0" collapsed="false">
      <c r="A561" s="20" t="n">
        <v>4415167</v>
      </c>
      <c r="B561" s="20" t="s">
        <v>704</v>
      </c>
      <c r="C561" s="20" t="str">
        <f aca="false">TRIM(SUBSTITUTE($B561,CHAR(160)," "))</f>
        <v>267RC L-XL 'סד יד ימין בז</v>
      </c>
    </row>
    <row r="562" customFormat="false" ht="15" hidden="false" customHeight="false" outlineLevel="0" collapsed="false">
      <c r="A562" s="20" t="n">
        <v>4415168</v>
      </c>
      <c r="B562" s="20" t="s">
        <v>705</v>
      </c>
      <c r="C562" s="20" t="str">
        <f aca="false">TRIM(SUBSTITUTE($B562,CHAR(160)," "))</f>
        <v>267RC S-M 'סד יד ימין בז</v>
      </c>
    </row>
    <row r="563" customFormat="false" ht="15" hidden="false" customHeight="false" outlineLevel="0" collapsed="false">
      <c r="A563" s="20" t="n">
        <v>4415169</v>
      </c>
      <c r="B563" s="20" t="s">
        <v>706</v>
      </c>
      <c r="C563" s="20" t="str">
        <f aca="false">TRIM(SUBSTITUTE($B563,CHAR(160)," "))</f>
        <v>267RC XXL 'סד יד ימין בז</v>
      </c>
    </row>
    <row r="564" customFormat="false" ht="15" hidden="false" customHeight="false" outlineLevel="0" collapsed="false">
      <c r="A564" s="20" t="n">
        <v>4415159</v>
      </c>
      <c r="B564" s="20" t="s">
        <v>707</v>
      </c>
      <c r="C564" s="20" t="str">
        <f aca="false">TRIM(SUBSTITUTE($B564,CHAR(160)," "))</f>
        <v>268 סד לאגודל</v>
      </c>
    </row>
    <row r="565" customFormat="false" ht="15" hidden="false" customHeight="false" outlineLevel="0" collapsed="false">
      <c r="A565" s="20" t="n">
        <v>4415093</v>
      </c>
      <c r="B565" s="20" t="s">
        <v>708</v>
      </c>
      <c r="C565" s="20" t="str">
        <f aca="false">TRIM(SUBSTITUTE($B565,CHAR(160)," "))</f>
        <v>27 R-M סד ליד ימין</v>
      </c>
    </row>
    <row r="566" customFormat="false" ht="15" hidden="false" customHeight="false" outlineLevel="0" collapsed="false">
      <c r="A566" s="20" t="n">
        <v>4415124</v>
      </c>
      <c r="B566" s="20" t="s">
        <v>709</v>
      </c>
      <c r="C566" s="20" t="str">
        <f aca="false">TRIM(SUBSTITUTE($B566,CHAR(160)," "))</f>
        <v>278 L-XL סד יד ואגודל</v>
      </c>
    </row>
    <row r="567" customFormat="false" ht="15" hidden="false" customHeight="false" outlineLevel="0" collapsed="false">
      <c r="A567" s="20" t="n">
        <v>4415125</v>
      </c>
      <c r="B567" s="20" t="s">
        <v>710</v>
      </c>
      <c r="C567" s="20" t="str">
        <f aca="false">TRIM(SUBSTITUTE($B567,CHAR(160)," "))</f>
        <v>278 S-M סד יד ואגודל</v>
      </c>
    </row>
    <row r="568" customFormat="false" ht="15" hidden="false" customHeight="false" outlineLevel="0" collapsed="false">
      <c r="A568" s="20" t="n">
        <v>4415090</v>
      </c>
      <c r="B568" s="20" t="s">
        <v>711</v>
      </c>
      <c r="C568" s="20" t="str">
        <f aca="false">TRIM(SUBSTITUTE($B568,CHAR(160)," "))</f>
        <v>27L L סד ליד שמאל</v>
      </c>
    </row>
    <row r="569" customFormat="false" ht="15" hidden="false" customHeight="false" outlineLevel="0" collapsed="false">
      <c r="A569" s="20" t="n">
        <v>4415089</v>
      </c>
      <c r="B569" s="20" t="s">
        <v>712</v>
      </c>
      <c r="C569" s="20" t="str">
        <f aca="false">TRIM(SUBSTITUTE($B569,CHAR(160)," "))</f>
        <v>27L M סד ליד שמאל</v>
      </c>
    </row>
    <row r="570" customFormat="false" ht="15" hidden="false" customHeight="false" outlineLevel="0" collapsed="false">
      <c r="A570" s="20" t="n">
        <v>4415096</v>
      </c>
      <c r="B570" s="20" t="s">
        <v>713</v>
      </c>
      <c r="C570" s="20" t="str">
        <f aca="false">TRIM(SUBSTITUTE($B570,CHAR(160)," "))</f>
        <v>27L S סד ליד שמאל</v>
      </c>
    </row>
    <row r="571" customFormat="false" ht="15" hidden="false" customHeight="false" outlineLevel="0" collapsed="false">
      <c r="A571" s="20" t="n">
        <v>4415091</v>
      </c>
      <c r="B571" s="20" t="s">
        <v>714</v>
      </c>
      <c r="C571" s="20" t="str">
        <f aca="false">TRIM(SUBSTITUTE($B571,CHAR(160)," "))</f>
        <v>27L XLסד ליד שמאל</v>
      </c>
    </row>
    <row r="572" customFormat="false" ht="15" hidden="false" customHeight="false" outlineLevel="0" collapsed="false">
      <c r="A572" s="20" t="n">
        <v>4415094</v>
      </c>
      <c r="B572" s="20" t="s">
        <v>715</v>
      </c>
      <c r="C572" s="20" t="str">
        <f aca="false">TRIM(SUBSTITUTE($B572,CHAR(160)," "))</f>
        <v>27R L סד ליד ימין</v>
      </c>
    </row>
    <row r="573" customFormat="false" ht="15" hidden="false" customHeight="false" outlineLevel="0" collapsed="false">
      <c r="A573" s="20" t="n">
        <v>4415095</v>
      </c>
      <c r="B573" s="20" t="s">
        <v>716</v>
      </c>
      <c r="C573" s="20" t="str">
        <f aca="false">TRIM(SUBSTITUTE($B573,CHAR(160)," "))</f>
        <v>27R XLסד ליד ימין</v>
      </c>
    </row>
    <row r="574" customFormat="false" ht="15" hidden="false" customHeight="false" outlineLevel="0" collapsed="false">
      <c r="A574" s="20" t="n">
        <v>4415025</v>
      </c>
      <c r="B574" s="20" t="s">
        <v>717</v>
      </c>
      <c r="C574" s="20" t="str">
        <f aca="false">TRIM(SUBSTITUTE($B574,CHAR(160)," "))</f>
        <v>28-XS סד לאגודל לאחר שבר</v>
      </c>
    </row>
    <row r="575" customFormat="false" ht="15" hidden="false" customHeight="false" outlineLevel="0" collapsed="false">
      <c r="A575" s="20" t="n">
        <v>4415005</v>
      </c>
      <c r="B575" s="20" t="s">
        <v>718</v>
      </c>
      <c r="C575" s="20" t="str">
        <f aca="false">TRIM(SUBSTITUTE($B575,CHAR(160)," "))</f>
        <v>28 L סד לאגודל לאחר שבר</v>
      </c>
    </row>
    <row r="576" customFormat="false" ht="15" hidden="false" customHeight="false" outlineLevel="0" collapsed="false">
      <c r="A576" s="20" t="n">
        <v>4415006</v>
      </c>
      <c r="B576" s="20" t="s">
        <v>719</v>
      </c>
      <c r="C576" s="20" t="str">
        <f aca="false">TRIM(SUBSTITUTE($B576,CHAR(160)," "))</f>
        <v>28 M סד לאגודל לאחר שבר</v>
      </c>
    </row>
    <row r="577" customFormat="false" ht="15" hidden="false" customHeight="false" outlineLevel="0" collapsed="false">
      <c r="A577" s="20" t="n">
        <v>4415007</v>
      </c>
      <c r="B577" s="20" t="s">
        <v>720</v>
      </c>
      <c r="C577" s="20" t="str">
        <f aca="false">TRIM(SUBSTITUTE($B577,CHAR(160)," "))</f>
        <v>28 S סד לאגודל לאחר שבר</v>
      </c>
    </row>
    <row r="578" customFormat="false" ht="15" hidden="false" customHeight="false" outlineLevel="0" collapsed="false">
      <c r="A578" s="20" t="n">
        <v>4415008</v>
      </c>
      <c r="B578" s="20" t="s">
        <v>721</v>
      </c>
      <c r="C578" s="20" t="str">
        <f aca="false">TRIM(SUBSTITUTE($B578,CHAR(160)," "))</f>
        <v>28 XL סד לאגודל לאחר שבר</v>
      </c>
    </row>
    <row r="579" customFormat="false" ht="15" hidden="false" customHeight="false" outlineLevel="0" collapsed="false">
      <c r="A579" s="20" t="n">
        <v>4415009</v>
      </c>
      <c r="B579" s="20" t="s">
        <v>722</v>
      </c>
      <c r="C579" s="20" t="str">
        <f aca="false">TRIM(SUBSTITUTE($B579,CHAR(160)," "))</f>
        <v>28 XXL סד לאגודל לאחר שבר</v>
      </c>
    </row>
    <row r="580" customFormat="false" ht="15" hidden="false" customHeight="false" outlineLevel="0" collapsed="false">
      <c r="A580" s="20" t="n">
        <v>4415021</v>
      </c>
      <c r="B580" s="20" t="s">
        <v>723</v>
      </c>
      <c r="C580" s="20" t="str">
        <f aca="false">TRIM(SUBSTITUTE($B580,CHAR(160)," "))</f>
        <v>28A S-M סד לאגודל</v>
      </c>
    </row>
    <row r="581" customFormat="false" ht="15" hidden="false" customHeight="false" outlineLevel="0" collapsed="false">
      <c r="A581" s="20" t="n">
        <v>4415028</v>
      </c>
      <c r="B581" s="20" t="s">
        <v>724</v>
      </c>
      <c r="C581" s="20" t="str">
        <f aca="false">TRIM(SUBSTITUTE($B581,CHAR(160)," "))</f>
        <v>AC-28 סד לאגודל</v>
      </c>
    </row>
    <row r="582" customFormat="false" ht="15" hidden="false" customHeight="false" outlineLevel="0" collapsed="false">
      <c r="A582" s="20" t="n">
        <v>4408268</v>
      </c>
      <c r="B582" s="20" t="s">
        <v>725</v>
      </c>
      <c r="C582" s="20" t="str">
        <f aca="false">TRIM(SUBSTITUTE($B582,CHAR(160)," "))</f>
        <v>ST20 חבק יד</v>
      </c>
    </row>
    <row r="583" customFormat="false" ht="15" hidden="false" customHeight="false" outlineLevel="0" collapsed="false">
      <c r="A583" s="20" t="n">
        <v>4408267</v>
      </c>
      <c r="B583" s="20" t="s">
        <v>726</v>
      </c>
      <c r="C583" s="20" t="str">
        <f aca="false">TRIM(SUBSTITUTE($B583,CHAR(160)," "))</f>
        <v>ST25 חבק שורש לכף היד</v>
      </c>
    </row>
    <row r="584" customFormat="false" ht="15" hidden="false" customHeight="false" outlineLevel="0" collapsed="false">
      <c r="A584" s="20" t="n">
        <v>4415177</v>
      </c>
      <c r="B584" s="20" t="s">
        <v>727</v>
      </c>
      <c r="C584" s="20" t="str">
        <f aca="false">TRIM(SUBSTITUTE($B584,CHAR(160)," "))</f>
        <v>ST28 סד אגודלי עם מוט תמיכה</v>
      </c>
    </row>
    <row r="585" customFormat="false" ht="15" hidden="false" customHeight="false" outlineLevel="0" collapsed="false">
      <c r="A585" s="20" t="n">
        <v>4408095</v>
      </c>
      <c r="B585" s="20" t="s">
        <v>728</v>
      </c>
      <c r="C585" s="20" t="str">
        <f aca="false">TRIM(SUBSTITUTE($B585,CHAR(160)," "))</f>
        <v>T20 L-XL חבק יד עם צמדן</v>
      </c>
    </row>
    <row r="586" customFormat="false" ht="15" hidden="false" customHeight="false" outlineLevel="0" collapsed="false">
      <c r="A586" s="20" t="n">
        <v>4408094</v>
      </c>
      <c r="B586" s="20" t="s">
        <v>729</v>
      </c>
      <c r="C586" s="20" t="str">
        <f aca="false">TRIM(SUBSTITUTE($B586,CHAR(160)," "))</f>
        <v>T20 S-M חבק יד עם צמדן</v>
      </c>
    </row>
    <row r="587" customFormat="false" ht="15" hidden="false" customHeight="false" outlineLevel="0" collapsed="false">
      <c r="A587" s="20" t="n">
        <v>4408097</v>
      </c>
      <c r="B587" s="20" t="s">
        <v>730</v>
      </c>
      <c r="C587" s="20" t="str">
        <f aca="false">TRIM(SUBSTITUTE($B587,CHAR(160)," "))</f>
        <v>T20C L-XL חבק יד עם צמדן חום</v>
      </c>
    </row>
    <row r="588" customFormat="false" ht="15" hidden="false" customHeight="false" outlineLevel="0" collapsed="false">
      <c r="A588" s="20" t="n">
        <v>4408096</v>
      </c>
      <c r="B588" s="20" t="s">
        <v>731</v>
      </c>
      <c r="C588" s="20" t="str">
        <f aca="false">TRIM(SUBSTITUTE($B588,CHAR(160)," "))</f>
        <v>T20C S-M חבק יד עם צמדןחום</v>
      </c>
    </row>
    <row r="589" customFormat="false" ht="15" hidden="false" customHeight="false" outlineLevel="0" collapsed="false">
      <c r="A589" s="20" t="n">
        <v>4408098</v>
      </c>
      <c r="B589" s="20" t="s">
        <v>732</v>
      </c>
      <c r="C589" s="20" t="str">
        <f aca="false">TRIM(SUBSTITUTE($B589,CHAR(160)," "))</f>
        <v>T25-חבק יד אגודלי</v>
      </c>
    </row>
    <row r="590" customFormat="false" ht="15" hidden="false" customHeight="false" outlineLevel="0" collapsed="false">
      <c r="A590" s="20" t="n">
        <v>4408264</v>
      </c>
      <c r="B590" s="20" t="s">
        <v>733</v>
      </c>
      <c r="C590" s="20" t="str">
        <f aca="false">TRIM(SUBSTITUTE($B590,CHAR(160)," "))</f>
        <v>T25B חבק יד אגודלי</v>
      </c>
    </row>
    <row r="591" customFormat="false" ht="15" hidden="false" customHeight="false" outlineLevel="0" collapsed="false">
      <c r="A591" s="20" t="n">
        <v>4408099</v>
      </c>
      <c r="B591" s="20" t="s">
        <v>734</v>
      </c>
      <c r="C591" s="20" t="str">
        <f aca="false">TRIM(SUBSTITUTE($B591,CHAR(160)," "))</f>
        <v>T25C-חבק יד אגודלי</v>
      </c>
    </row>
    <row r="592" customFormat="false" ht="15" hidden="false" customHeight="false" outlineLevel="0" collapsed="false">
      <c r="A592" s="20" t="n">
        <v>4415111</v>
      </c>
      <c r="B592" s="20" t="s">
        <v>735</v>
      </c>
      <c r="C592" s="20" t="str">
        <f aca="false">TRIM(SUBSTITUTE($B592,CHAR(160)," "))</f>
        <v>T26 L סד לאגודל דו צדדי</v>
      </c>
    </row>
    <row r="593" customFormat="false" ht="15" hidden="false" customHeight="false" outlineLevel="0" collapsed="false">
      <c r="A593" s="20" t="n">
        <v>4415110</v>
      </c>
      <c r="B593" s="20" t="s">
        <v>736</v>
      </c>
      <c r="C593" s="20" t="str">
        <f aca="false">TRIM(SUBSTITUTE($B593,CHAR(160)," "))</f>
        <v>T26 M סד לאגודל דו צדדי</v>
      </c>
    </row>
    <row r="594" customFormat="false" ht="15" hidden="false" customHeight="false" outlineLevel="0" collapsed="false">
      <c r="A594" s="20" t="n">
        <v>4415109</v>
      </c>
      <c r="B594" s="20" t="s">
        <v>737</v>
      </c>
      <c r="C594" s="20" t="str">
        <f aca="false">TRIM(SUBSTITUTE($B594,CHAR(160)," "))</f>
        <v>T26 S סד לאגודל דו צדדי</v>
      </c>
    </row>
    <row r="595" customFormat="false" ht="15" hidden="false" customHeight="false" outlineLevel="0" collapsed="false">
      <c r="A595" s="20" t="n">
        <v>4415112</v>
      </c>
      <c r="B595" s="20" t="s">
        <v>738</v>
      </c>
      <c r="C595" s="20" t="str">
        <f aca="false">TRIM(SUBSTITUTE($B595,CHAR(160)," "))</f>
        <v>T26 XLסד לאגודל דו צדדי</v>
      </c>
    </row>
    <row r="596" customFormat="false" ht="15" hidden="false" customHeight="false" outlineLevel="0" collapsed="false">
      <c r="A596" s="20" t="n">
        <v>4415130</v>
      </c>
      <c r="B596" s="20" t="s">
        <v>739</v>
      </c>
      <c r="C596" s="20" t="str">
        <f aca="false">TRIM(SUBSTITUTE($B596,CHAR(160)," "))</f>
        <v>T27L L סד ליד שמאל</v>
      </c>
    </row>
    <row r="597" customFormat="false" ht="15" hidden="false" customHeight="false" outlineLevel="0" collapsed="false">
      <c r="A597" s="20" t="n">
        <v>4415131</v>
      </c>
      <c r="B597" s="20" t="s">
        <v>740</v>
      </c>
      <c r="C597" s="20" t="str">
        <f aca="false">TRIM(SUBSTITUTE($B597,CHAR(160)," "))</f>
        <v>T27L M סד ליד שמאל</v>
      </c>
    </row>
    <row r="598" customFormat="false" ht="15" hidden="false" customHeight="false" outlineLevel="0" collapsed="false">
      <c r="A598" s="20" t="n">
        <v>4415132</v>
      </c>
      <c r="B598" s="20" t="s">
        <v>741</v>
      </c>
      <c r="C598" s="20" t="str">
        <f aca="false">TRIM(SUBSTITUTE($B598,CHAR(160)," "))</f>
        <v>T27L S סד ליד שמאל</v>
      </c>
    </row>
    <row r="599" customFormat="false" ht="15" hidden="false" customHeight="false" outlineLevel="0" collapsed="false">
      <c r="A599" s="20" t="n">
        <v>4415133</v>
      </c>
      <c r="B599" s="20" t="s">
        <v>742</v>
      </c>
      <c r="C599" s="20" t="str">
        <f aca="false">TRIM(SUBSTITUTE($B599,CHAR(160)," "))</f>
        <v>T27L XL סד ליד שמאל</v>
      </c>
    </row>
    <row r="600" customFormat="false" ht="15" hidden="false" customHeight="false" outlineLevel="0" collapsed="false">
      <c r="A600" s="20" t="n">
        <v>4415137</v>
      </c>
      <c r="B600" s="20" t="s">
        <v>743</v>
      </c>
      <c r="C600" s="20" t="str">
        <f aca="false">TRIM(SUBSTITUTE($B600,CHAR(160)," "))</f>
        <v>T27R Mסד ליד ימין</v>
      </c>
    </row>
    <row r="601" customFormat="false" ht="15" hidden="false" customHeight="false" outlineLevel="0" collapsed="false">
      <c r="A601" s="20" t="n">
        <v>4415138</v>
      </c>
      <c r="B601" s="20" t="s">
        <v>744</v>
      </c>
      <c r="C601" s="20" t="str">
        <f aca="false">TRIM(SUBSTITUTE($B601,CHAR(160)," "))</f>
        <v>T27R Sסד ליד ימין</v>
      </c>
    </row>
    <row r="602" customFormat="false" ht="15" hidden="false" customHeight="false" outlineLevel="0" collapsed="false">
      <c r="A602" s="20" t="n">
        <v>4415139</v>
      </c>
      <c r="B602" s="20" t="s">
        <v>745</v>
      </c>
      <c r="C602" s="20" t="str">
        <f aca="false">TRIM(SUBSTITUTE($B602,CHAR(160)," "))</f>
        <v>T27R XLסד ליד ימין</v>
      </c>
    </row>
    <row r="603" customFormat="false" ht="15" hidden="false" customHeight="false" outlineLevel="0" collapsed="false">
      <c r="A603" s="20" t="n">
        <v>4415065</v>
      </c>
      <c r="B603" s="20" t="s">
        <v>746</v>
      </c>
      <c r="C603" s="20" t="str">
        <f aca="false">TRIM(SUBSTITUTE($B603,CHAR(160)," "))</f>
        <v>T28 L סד לאגודל כפפה</v>
      </c>
    </row>
    <row r="604" customFormat="false" ht="15" hidden="false" customHeight="false" outlineLevel="0" collapsed="false">
      <c r="A604" s="20" t="n">
        <v>4415066</v>
      </c>
      <c r="B604" s="20" t="s">
        <v>747</v>
      </c>
      <c r="C604" s="20" t="str">
        <f aca="false">TRIM(SUBSTITUTE($B604,CHAR(160)," "))</f>
        <v>T28 M סד לאגודל כפפה</v>
      </c>
    </row>
    <row r="605" customFormat="false" ht="15" hidden="false" customHeight="false" outlineLevel="0" collapsed="false">
      <c r="A605" s="20" t="n">
        <v>4415064</v>
      </c>
      <c r="B605" s="20" t="s">
        <v>748</v>
      </c>
      <c r="C605" s="20" t="str">
        <f aca="false">TRIM(SUBSTITUTE($B605,CHAR(160)," "))</f>
        <v>T28 S סד לאגודל כפפה</v>
      </c>
    </row>
    <row r="606" customFormat="false" ht="15" hidden="false" customHeight="false" outlineLevel="0" collapsed="false">
      <c r="A606" s="20" t="n">
        <v>4415067</v>
      </c>
      <c r="B606" s="20" t="s">
        <v>749</v>
      </c>
      <c r="C606" s="20" t="str">
        <f aca="false">TRIM(SUBSTITUTE($B606,CHAR(160)," "))</f>
        <v>T28 XL סד לאגודל כפפה</v>
      </c>
    </row>
    <row r="607" customFormat="false" ht="15" hidden="false" customHeight="false" outlineLevel="0" collapsed="false">
      <c r="A607" s="20" t="n">
        <v>4415118</v>
      </c>
      <c r="B607" s="20" t="s">
        <v>750</v>
      </c>
      <c r="C607" s="20" t="str">
        <f aca="false">TRIM(SUBSTITUTE($B607,CHAR(160)," "))</f>
        <v>T28 XXLסד לאגודל צד ימין</v>
      </c>
    </row>
    <row r="608" customFormat="false" ht="15" hidden="false" customHeight="false" outlineLevel="0" collapsed="false">
      <c r="A608" s="20" t="n">
        <v>4415073</v>
      </c>
      <c r="B608" s="20" t="s">
        <v>751</v>
      </c>
      <c r="C608" s="20" t="str">
        <f aca="false">TRIM(SUBSTITUTE($B608,CHAR(160)," "))</f>
        <v>T28A L-XL סד לאגודל</v>
      </c>
    </row>
    <row r="609" customFormat="false" ht="15" hidden="false" customHeight="false" outlineLevel="0" collapsed="false">
      <c r="A609" s="20" t="n">
        <v>4415072</v>
      </c>
      <c r="B609" s="20" t="s">
        <v>752</v>
      </c>
      <c r="C609" s="20" t="str">
        <f aca="false">TRIM(SUBSTITUTE($B609,CHAR(160)," "))</f>
        <v>T28A S-M סד לאגודל</v>
      </c>
    </row>
    <row r="610" customFormat="false" ht="15" hidden="false" customHeight="false" outlineLevel="0" collapsed="false">
      <c r="A610" s="20" t="n">
        <v>4415176</v>
      </c>
      <c r="B610" s="20" t="s">
        <v>753</v>
      </c>
      <c r="C610" s="20" t="str">
        <f aca="false">TRIM(SUBSTITUTE($B610,CHAR(160)," "))</f>
        <v>T28A XS סד לאגודל</v>
      </c>
    </row>
    <row r="611" customFormat="false" ht="15" hidden="false" customHeight="false" outlineLevel="0" collapsed="false">
      <c r="A611" s="20" t="n">
        <v>4415075</v>
      </c>
      <c r="B611" s="20" t="s">
        <v>754</v>
      </c>
      <c r="C611" s="20" t="str">
        <f aca="false">TRIM(SUBSTITUTE($B611,CHAR(160)," "))</f>
        <v>T28AC L-XL סד לאגודל</v>
      </c>
    </row>
    <row r="612" customFormat="false" ht="15" hidden="false" customHeight="false" outlineLevel="0" collapsed="false">
      <c r="A612" s="20" t="n">
        <v>4415074</v>
      </c>
      <c r="B612" s="20" t="s">
        <v>755</v>
      </c>
      <c r="C612" s="20" t="str">
        <f aca="false">TRIM(SUBSTITUTE($B612,CHAR(160)," "))</f>
        <v>T28AC S-M סד לאגודל</v>
      </c>
    </row>
    <row r="613" customFormat="false" ht="15" hidden="false" customHeight="false" outlineLevel="0" collapsed="false">
      <c r="A613" s="20" t="n">
        <v>4415071</v>
      </c>
      <c r="B613" s="20" t="s">
        <v>756</v>
      </c>
      <c r="C613" s="20" t="str">
        <f aca="false">TRIM(SUBSTITUTE($B613,CHAR(160)," "))</f>
        <v>T28C XL סד לאגודל כפפה</v>
      </c>
    </row>
    <row r="614" customFormat="false" ht="15" hidden="false" customHeight="false" outlineLevel="0" collapsed="false">
      <c r="A614" s="20" t="n">
        <v>4415069</v>
      </c>
      <c r="B614" s="20" t="s">
        <v>757</v>
      </c>
      <c r="C614" s="20" t="str">
        <f aca="false">TRIM(SUBSTITUTE($B614,CHAR(160)," "))</f>
        <v>T28C L סד לאגודל כפפה</v>
      </c>
    </row>
    <row r="615" customFormat="false" ht="15" hidden="false" customHeight="false" outlineLevel="0" collapsed="false">
      <c r="A615" s="20" t="n">
        <v>4415070</v>
      </c>
      <c r="B615" s="20" t="s">
        <v>758</v>
      </c>
      <c r="C615" s="20" t="str">
        <f aca="false">TRIM(SUBSTITUTE($B615,CHAR(160)," "))</f>
        <v>T28C M סד לאגודל כפפה</v>
      </c>
    </row>
    <row r="616" customFormat="false" ht="15" hidden="false" customHeight="false" outlineLevel="0" collapsed="false">
      <c r="A616" s="20" t="n">
        <v>4415068</v>
      </c>
      <c r="B616" s="20" t="s">
        <v>759</v>
      </c>
      <c r="C616" s="20" t="str">
        <f aca="false">TRIM(SUBSTITUTE($B616,CHAR(160)," "))</f>
        <v>T28C S סד לאגודל כפפה</v>
      </c>
    </row>
    <row r="617" customFormat="false" ht="15" hidden="false" customHeight="false" outlineLevel="0" collapsed="false">
      <c r="A617" s="20" t="n">
        <v>4415029</v>
      </c>
      <c r="B617" s="20" t="s">
        <v>760</v>
      </c>
      <c r="C617" s="20" t="str">
        <f aca="false">TRIM(SUBSTITUTE($B617,CHAR(160)," "))</f>
        <v>סד קיבוע לאצבע הדק</v>
      </c>
    </row>
    <row r="618" customFormat="false" ht="15" hidden="false" customHeight="false" outlineLevel="0" collapsed="false">
      <c r="A618" s="20" t="n">
        <v>4418014</v>
      </c>
      <c r="B618" s="20" t="s">
        <v>761</v>
      </c>
      <c r="C618" s="20" t="str">
        <f aca="false">TRIM(SUBSTITUTE($B618,CHAR(160)," "))</f>
        <v>1314- 62 L צוארון ספוגי</v>
      </c>
    </row>
    <row r="619" customFormat="false" ht="15" hidden="false" customHeight="false" outlineLevel="0" collapsed="false">
      <c r="A619" s="20" t="n">
        <v>4418000</v>
      </c>
      <c r="B619" s="20" t="s">
        <v>762</v>
      </c>
      <c r="C619" s="20" t="str">
        <f aca="false">TRIM(SUBSTITUTE($B619,CHAR(160)," "))</f>
        <v>60 L צוארון ספוגי</v>
      </c>
    </row>
    <row r="620" customFormat="false" ht="15" hidden="false" customHeight="false" outlineLevel="0" collapsed="false">
      <c r="A620" s="20" t="n">
        <v>4418001</v>
      </c>
      <c r="B620" s="20" t="s">
        <v>763</v>
      </c>
      <c r="C620" s="20" t="str">
        <f aca="false">TRIM(SUBSTITUTE($B620,CHAR(160)," "))</f>
        <v>60 M צוארון ספוגי</v>
      </c>
    </row>
    <row r="621" customFormat="false" ht="15" hidden="false" customHeight="false" outlineLevel="0" collapsed="false">
      <c r="A621" s="20" t="n">
        <v>4418002</v>
      </c>
      <c r="B621" s="20" t="s">
        <v>764</v>
      </c>
      <c r="C621" s="20" t="str">
        <f aca="false">TRIM(SUBSTITUTE($B621,CHAR(160)," "))</f>
        <v>60 S צוארון ספוגי</v>
      </c>
    </row>
    <row r="622" customFormat="false" ht="15" hidden="false" customHeight="false" outlineLevel="0" collapsed="false">
      <c r="A622" s="20" t="n">
        <v>4418003</v>
      </c>
      <c r="B622" s="20" t="s">
        <v>765</v>
      </c>
      <c r="C622" s="20" t="str">
        <f aca="false">TRIM(SUBSTITUTE($B622,CHAR(160)," "))</f>
        <v>60 XL צוארון ספוגי</v>
      </c>
    </row>
    <row r="623" customFormat="false" ht="15" hidden="false" customHeight="false" outlineLevel="0" collapsed="false">
      <c r="A623" s="20" t="n">
        <v>4418004</v>
      </c>
      <c r="B623" s="20" t="s">
        <v>766</v>
      </c>
      <c r="C623" s="20" t="str">
        <f aca="false">TRIM(SUBSTITUTE($B623,CHAR(160)," "))</f>
        <v>60 XXL צוארון ספוגי</v>
      </c>
    </row>
    <row r="624" customFormat="false" ht="15" hidden="false" customHeight="false" outlineLevel="0" collapsed="false">
      <c r="A624" s="20" t="n">
        <v>4418016</v>
      </c>
      <c r="B624" s="20" t="s">
        <v>767</v>
      </c>
      <c r="C624" s="20" t="str">
        <f aca="false">TRIM(SUBSTITUTE($B624,CHAR(160)," "))</f>
        <v>60XS צוארון ספוגי</v>
      </c>
    </row>
    <row r="625" customFormat="false" ht="15" hidden="false" customHeight="false" outlineLevel="0" collapsed="false">
      <c r="A625" s="20" t="n">
        <v>4418013</v>
      </c>
      <c r="B625" s="20" t="s">
        <v>768</v>
      </c>
      <c r="C625" s="20" t="str">
        <f aca="false">TRIM(SUBSTITUTE($B625,CHAR(160)," "))</f>
        <v>62 M צוארון ספוגי</v>
      </c>
    </row>
    <row r="626" customFormat="false" ht="15" hidden="false" customHeight="false" outlineLevel="0" collapsed="false">
      <c r="A626" s="20" t="n">
        <v>4418012</v>
      </c>
      <c r="B626" s="20" t="s">
        <v>769</v>
      </c>
      <c r="C626" s="20" t="str">
        <f aca="false">TRIM(SUBSTITUTE($B626,CHAR(160)," "))</f>
        <v>62 S צוארון ספוגי</v>
      </c>
    </row>
    <row r="627" customFormat="false" ht="15" hidden="false" customHeight="false" outlineLevel="0" collapsed="false">
      <c r="A627" s="20" t="n">
        <v>4418015</v>
      </c>
      <c r="B627" s="20" t="s">
        <v>770</v>
      </c>
      <c r="C627" s="20" t="str">
        <f aca="false">TRIM(SUBSTITUTE($B627,CHAR(160)," "))</f>
        <v>62 XL צוארון ספוגי</v>
      </c>
    </row>
    <row r="628" customFormat="false" ht="15" hidden="false" customHeight="false" outlineLevel="0" collapsed="false">
      <c r="A628" s="20" t="n">
        <v>4418007</v>
      </c>
      <c r="B628" s="20" t="s">
        <v>771</v>
      </c>
      <c r="C628" s="20" t="str">
        <f aca="false">TRIM(SUBSTITUTE($B628,CHAR(160)," "))</f>
        <v>63 L צוארון פלסטי מתכוון</v>
      </c>
    </row>
    <row r="629" customFormat="false" ht="15" hidden="false" customHeight="false" outlineLevel="0" collapsed="false">
      <c r="A629" s="20" t="n">
        <v>4418006</v>
      </c>
      <c r="B629" s="20" t="s">
        <v>772</v>
      </c>
      <c r="C629" s="20" t="str">
        <f aca="false">TRIM(SUBSTITUTE($B629,CHAR(160)," "))</f>
        <v>63 M צוארון פלסטי מתכוון</v>
      </c>
    </row>
    <row r="630" customFormat="false" ht="15" hidden="false" customHeight="false" outlineLevel="0" collapsed="false">
      <c r="A630" s="20" t="n">
        <v>4418005</v>
      </c>
      <c r="B630" s="20" t="s">
        <v>773</v>
      </c>
      <c r="C630" s="20" t="str">
        <f aca="false">TRIM(SUBSTITUTE($B630,CHAR(160)," "))</f>
        <v>63 S צוארון פלסטי מתכוון</v>
      </c>
    </row>
    <row r="631" customFormat="false" ht="15" hidden="false" customHeight="false" outlineLevel="0" collapsed="false">
      <c r="A631" s="20" t="n">
        <v>4419003</v>
      </c>
      <c r="B631" s="20" t="s">
        <v>774</v>
      </c>
      <c r="C631" s="20" t="str">
        <f aca="false">TRIM(SUBSTITUTE($B631,CHAR(160)," "))</f>
        <v>FC310-תתקרם הגנה לכף הרגל</v>
      </c>
    </row>
    <row r="632" customFormat="false" ht="15" hidden="false" customHeight="false" outlineLevel="0" collapsed="false">
      <c r="A632" s="20" t="n">
        <v>4419002</v>
      </c>
      <c r="B632" s="20" t="s">
        <v>775</v>
      </c>
      <c r="C632" s="20" t="str">
        <f aca="false">TRIM(SUBSTITUTE($B632,CHAR(160)," "))</f>
        <v>FC311-תתקרם דאודורנט לכף הרגל</v>
      </c>
    </row>
    <row r="633" customFormat="false" ht="15" hidden="false" customHeight="false" outlineLevel="0" collapsed="false">
      <c r="A633" s="20" t="n">
        <v>4419004</v>
      </c>
      <c r="B633" s="20" t="s">
        <v>776</v>
      </c>
      <c r="C633" s="20" t="str">
        <f aca="false">TRIM(SUBSTITUTE($B633,CHAR(160)," "))</f>
        <v>FC312-תתקרם מירוק גרגרי פילינג</v>
      </c>
    </row>
    <row r="634" customFormat="false" ht="15" hidden="false" customHeight="false" outlineLevel="0" collapsed="false">
      <c r="A634" s="20" t="n">
        <v>4419005</v>
      </c>
      <c r="B634" s="20" t="s">
        <v>777</v>
      </c>
      <c r="C634" s="20" t="str">
        <f aca="false">TRIM(SUBSTITUTE($B634,CHAR(160)," "))</f>
        <v>FC313- תתקרם ריכוך</v>
      </c>
    </row>
    <row r="635" customFormat="false" ht="15" hidden="false" customHeight="false" outlineLevel="0" collapsed="false">
      <c r="A635" s="20" t="n">
        <v>4409003</v>
      </c>
      <c r="B635" s="20" t="s">
        <v>778</v>
      </c>
      <c r="C635" s="20" t="str">
        <f aca="false">TRIM(SUBSTITUTE($B635,CHAR(160)," "))</f>
        <v>FC314-תתטלק נוזלי</v>
      </c>
    </row>
    <row r="636" customFormat="false" ht="15" hidden="false" customHeight="false" outlineLevel="0" collapsed="false">
      <c r="A636" s="20" t="n">
        <v>4403009</v>
      </c>
      <c r="B636" s="20" t="s">
        <v>779</v>
      </c>
      <c r="C636" s="20" t="str">
        <f aca="false">TRIM(SUBSTITUTE($B636,CHAR(160)," "))</f>
        <v>FC315-תתג'ל צינון</v>
      </c>
    </row>
    <row r="637" customFormat="false" ht="15" hidden="false" customHeight="false" outlineLevel="0" collapsed="false">
      <c r="A637" s="20" t="n">
        <v>4419010</v>
      </c>
      <c r="B637" s="20" t="s">
        <v>780</v>
      </c>
      <c r="C637" s="20" t="str">
        <f aca="false">TRIM(SUBSTITUTE($B637,CHAR(160)," "))</f>
        <v>FC316 קרם רגליים שיקומי</v>
      </c>
    </row>
    <row r="638" customFormat="false" ht="15" hidden="false" customHeight="false" outlineLevel="0" collapsed="false">
      <c r="A638" s="20" t="n">
        <v>4404000</v>
      </c>
      <c r="B638" s="20" t="s">
        <v>781</v>
      </c>
      <c r="C638" s="20" t="str">
        <f aca="false">TRIM(SUBSTITUTE($B638,CHAR(160)," "))</f>
        <v>FC330Z-תתדאו'אנטי בקט.לנעל120</v>
      </c>
    </row>
    <row r="639" customFormat="false" ht="15" hidden="false" customHeight="false" outlineLevel="0" collapsed="false">
      <c r="A639" s="20" t="n">
        <v>4422003</v>
      </c>
      <c r="B639" s="20" t="s">
        <v>782</v>
      </c>
      <c r="C639" s="20" t="str">
        <f aca="false">TRIM(SUBSTITUTE($B639,CHAR(160)," "))</f>
        <v>FC331Z- 120 תתתרסיס מרענן לרגל</v>
      </c>
    </row>
    <row r="640" customFormat="false" ht="15" hidden="false" customHeight="false" outlineLevel="0" collapsed="false">
      <c r="A640" s="20" t="n">
        <v>4409002</v>
      </c>
      <c r="B640" s="20" t="s">
        <v>783</v>
      </c>
      <c r="C640" s="20" t="str">
        <f aca="false">TRIM(SUBSTITUTE($B640,CHAR(160)," "))</f>
        <v>FC341-טיפות נגד פטרת הציפורן</v>
      </c>
    </row>
    <row r="641" customFormat="false" ht="15" hidden="false" customHeight="false" outlineLevel="0" collapsed="false">
      <c r="A641" s="20" t="n">
        <v>4413002</v>
      </c>
      <c r="B641" s="20" t="s">
        <v>784</v>
      </c>
      <c r="C641" s="20" t="str">
        <f aca="false">TRIM(SUBSTITUTE($B641,CHAR(160)," "))</f>
        <v>30 L מגן קרסול מתכוון עם סקוטש</v>
      </c>
    </row>
    <row r="642" customFormat="false" ht="15" hidden="false" customHeight="false" outlineLevel="0" collapsed="false">
      <c r="A642" s="20" t="n">
        <v>4413003</v>
      </c>
      <c r="B642" s="20" t="s">
        <v>785</v>
      </c>
      <c r="C642" s="20" t="str">
        <f aca="false">TRIM(SUBSTITUTE($B642,CHAR(160)," "))</f>
        <v>30 M מגן קרסול מתכוון עם סקוטש</v>
      </c>
    </row>
    <row r="643" customFormat="false" ht="15" hidden="false" customHeight="false" outlineLevel="0" collapsed="false">
      <c r="A643" s="20" t="n">
        <v>4413000</v>
      </c>
      <c r="B643" s="20" t="s">
        <v>786</v>
      </c>
      <c r="C643" s="20" t="str">
        <f aca="false">TRIM(SUBSTITUTE($B643,CHAR(160)," "))</f>
        <v>30 S מגן קרסול מתכוון עם סקוטש</v>
      </c>
    </row>
    <row r="644" customFormat="false" ht="15" hidden="false" customHeight="false" outlineLevel="0" collapsed="false">
      <c r="A644" s="20" t="n">
        <v>4413004</v>
      </c>
      <c r="B644" s="20" t="s">
        <v>787</v>
      </c>
      <c r="C644" s="20" t="str">
        <f aca="false">TRIM(SUBSTITUTE($B644,CHAR(160)," "))</f>
        <v>30 XL מגן קרסול מתכוון סקוטש</v>
      </c>
    </row>
    <row r="645" customFormat="false" ht="15" hidden="false" customHeight="false" outlineLevel="0" collapsed="false">
      <c r="A645" s="20" t="n">
        <v>4413005</v>
      </c>
      <c r="B645" s="20" t="s">
        <v>788</v>
      </c>
      <c r="C645" s="20" t="str">
        <f aca="false">TRIM(SUBSTITUTE($B645,CHAR(160)," "))</f>
        <v>30 XXL מגן קרסול מתכוון+סקוטש</v>
      </c>
    </row>
    <row r="646" customFormat="false" ht="15" hidden="false" customHeight="false" outlineLevel="0" collapsed="false">
      <c r="A646" s="20" t="n">
        <v>4415011</v>
      </c>
      <c r="B646" s="20" t="s">
        <v>789</v>
      </c>
      <c r="C646" s="20" t="str">
        <f aca="false">TRIM(SUBSTITUTE($B646,CHAR(160)," "))</f>
        <v>32 L סד קרסול+מוטות אלומיניום</v>
      </c>
    </row>
    <row r="647" customFormat="false" ht="15" hidden="false" customHeight="false" outlineLevel="0" collapsed="false">
      <c r="A647" s="20" t="n">
        <v>4415012</v>
      </c>
      <c r="B647" s="20" t="s">
        <v>790</v>
      </c>
      <c r="C647" s="20" t="str">
        <f aca="false">TRIM(SUBSTITUTE($B647,CHAR(160)," "))</f>
        <v>32 M סד קרסול+מוטות אלומיניום</v>
      </c>
    </row>
    <row r="648" customFormat="false" ht="15" hidden="false" customHeight="false" outlineLevel="0" collapsed="false">
      <c r="A648" s="20" t="n">
        <v>4415013</v>
      </c>
      <c r="B648" s="20" t="s">
        <v>791</v>
      </c>
      <c r="C648" s="20" t="str">
        <f aca="false">TRIM(SUBSTITUTE($B648,CHAR(160)," "))</f>
        <v>32 XL סד קרסול+מוטות אלומיניום</v>
      </c>
    </row>
    <row r="649" customFormat="false" ht="15" hidden="false" customHeight="false" outlineLevel="0" collapsed="false">
      <c r="A649" s="20" t="n">
        <v>4413347</v>
      </c>
      <c r="B649" s="20" t="s">
        <v>792</v>
      </c>
      <c r="C649" s="20" t="str">
        <f aca="false">TRIM(SUBSTITUTE($B649,CHAR(160)," "))</f>
        <v>322-L מגן קרסול+כרית סילקון</v>
      </c>
    </row>
    <row r="650" customFormat="false" ht="15" hidden="false" customHeight="false" outlineLevel="0" collapsed="false">
      <c r="A650" s="20" t="n">
        <v>4413336</v>
      </c>
      <c r="B650" s="20" t="s">
        <v>793</v>
      </c>
      <c r="C650" s="20" t="str">
        <f aca="false">TRIM(SUBSTITUTE($B650,CHAR(160)," "))</f>
        <v>322-M מגן קרסול+כרית סילקון</v>
      </c>
    </row>
    <row r="651" customFormat="false" ht="15" hidden="false" customHeight="false" outlineLevel="0" collapsed="false">
      <c r="A651" s="20" t="n">
        <v>4413335</v>
      </c>
      <c r="B651" s="20" t="s">
        <v>794</v>
      </c>
      <c r="C651" s="20" t="str">
        <f aca="false">TRIM(SUBSTITUTE($B651,CHAR(160)," "))</f>
        <v>322-S מגן קרסול+כרית סילקון</v>
      </c>
    </row>
    <row r="652" customFormat="false" ht="15" hidden="false" customHeight="false" outlineLevel="0" collapsed="false">
      <c r="A652" s="20" t="n">
        <v>4413337</v>
      </c>
      <c r="B652" s="20" t="s">
        <v>795</v>
      </c>
      <c r="C652" s="20" t="str">
        <f aca="false">TRIM(SUBSTITUTE($B652,CHAR(160)," "))</f>
        <v>322XL מגן קרסול+כרית סילקון</v>
      </c>
    </row>
    <row r="653" customFormat="false" ht="15" hidden="false" customHeight="false" outlineLevel="0" collapsed="false">
      <c r="A653" s="20" t="n">
        <v>4413338</v>
      </c>
      <c r="B653" s="20" t="s">
        <v>796</v>
      </c>
      <c r="C653" s="20" t="str">
        <f aca="false">TRIM(SUBSTITUTE($B653,CHAR(160)," "))</f>
        <v>322XXLמגן קרסול+כרית סילקון</v>
      </c>
    </row>
    <row r="654" customFormat="false" ht="15" hidden="false" customHeight="false" outlineLevel="0" collapsed="false">
      <c r="A654" s="20" t="n">
        <v>4415015</v>
      </c>
      <c r="B654" s="20" t="s">
        <v>797</v>
      </c>
      <c r="C654" s="20" t="str">
        <f aca="false">TRIM(SUBSTITUTE($B654,CHAR(160)," "))</f>
        <v>33 Lסד קל לקרסול עם סדי פלסטיק</v>
      </c>
    </row>
    <row r="655" customFormat="false" ht="15" hidden="false" customHeight="false" outlineLevel="0" collapsed="false">
      <c r="A655" s="20" t="n">
        <v>4415016</v>
      </c>
      <c r="B655" s="20" t="s">
        <v>798</v>
      </c>
      <c r="C655" s="20" t="str">
        <f aca="false">TRIM(SUBSTITUTE($B655,CHAR(160)," "))</f>
        <v>33 Mסד קל לקרסול עם סדי פלסטיק</v>
      </c>
    </row>
    <row r="656" customFormat="false" ht="15" hidden="false" customHeight="false" outlineLevel="0" collapsed="false">
      <c r="A656" s="20" t="n">
        <v>4415017</v>
      </c>
      <c r="B656" s="20" t="s">
        <v>799</v>
      </c>
      <c r="C656" s="20" t="str">
        <f aca="false">TRIM(SUBSTITUTE($B656,CHAR(160)," "))</f>
        <v>33 Sסד קל לקרסול עם סדי פלסטיק</v>
      </c>
    </row>
    <row r="657" customFormat="false" ht="15" hidden="false" customHeight="false" outlineLevel="0" collapsed="false">
      <c r="A657" s="20" t="n">
        <v>4415018</v>
      </c>
      <c r="B657" s="20" t="s">
        <v>800</v>
      </c>
      <c r="C657" s="20" t="str">
        <f aca="false">TRIM(SUBSTITUTE($B657,CHAR(160)," "))</f>
        <v>33 XL.סד קל לקרסול עם סדי פלסט</v>
      </c>
    </row>
    <row r="658" customFormat="false" ht="15" hidden="false" customHeight="false" outlineLevel="0" collapsed="false">
      <c r="A658" s="20" t="n">
        <v>4413428</v>
      </c>
      <c r="B658" s="20" t="s">
        <v>801</v>
      </c>
      <c r="C658" s="20" t="str">
        <f aca="false">TRIM(SUBSTITUTE($B658,CHAR(160)," "))</f>
        <v>332CL'מייצב קרסול עם שרוכים בז</v>
      </c>
    </row>
    <row r="659" customFormat="false" ht="15" hidden="false" customHeight="false" outlineLevel="0" collapsed="false">
      <c r="A659" s="20" t="n">
        <v>4413429</v>
      </c>
      <c r="B659" s="20" t="s">
        <v>802</v>
      </c>
      <c r="C659" s="20" t="str">
        <f aca="false">TRIM(SUBSTITUTE($B659,CHAR(160)," "))</f>
        <v>332CM'מייצב קרסול עם שרוכים בז</v>
      </c>
    </row>
    <row r="660" customFormat="false" ht="15" hidden="false" customHeight="false" outlineLevel="0" collapsed="false">
      <c r="A660" s="20" t="n">
        <v>4413430</v>
      </c>
      <c r="B660" s="20" t="s">
        <v>803</v>
      </c>
      <c r="C660" s="20" t="str">
        <f aca="false">TRIM(SUBSTITUTE($B660,CHAR(160)," "))</f>
        <v>332CS'מייצב קרסול עם שרוכים בז</v>
      </c>
    </row>
    <row r="661" customFormat="false" ht="15" hidden="false" customHeight="false" outlineLevel="0" collapsed="false">
      <c r="A661" s="20" t="n">
        <v>4413431</v>
      </c>
      <c r="B661" s="20" t="s">
        <v>804</v>
      </c>
      <c r="C661" s="20" t="str">
        <f aca="false">TRIM(SUBSTITUTE($B661,CHAR(160)," "))</f>
        <v>332CXLמייצב קרסול עם שרוכים בז</v>
      </c>
    </row>
    <row r="662" customFormat="false" ht="15" hidden="false" customHeight="false" outlineLevel="0" collapsed="false">
      <c r="A662" s="20" t="n">
        <v>4413432</v>
      </c>
      <c r="B662" s="20" t="s">
        <v>805</v>
      </c>
      <c r="C662" s="20" t="str">
        <f aca="false">TRIM(SUBSTITUTE($B662,CHAR(160)," "))</f>
        <v>332CXXLמיצב קרסול עם שרוכים בז</v>
      </c>
    </row>
    <row r="663" customFormat="false" ht="15" hidden="false" customHeight="false" outlineLevel="0" collapsed="false">
      <c r="A663" s="20" t="n">
        <v>4415019</v>
      </c>
      <c r="B663" s="20" t="s">
        <v>806</v>
      </c>
      <c r="C663" s="20" t="str">
        <f aca="false">TRIM(SUBSTITUTE($B663,CHAR(160)," "))</f>
        <v>333 סד לקרסול עם כריות אויר</v>
      </c>
    </row>
    <row r="664" customFormat="false" ht="15" hidden="false" customHeight="false" outlineLevel="0" collapsed="false">
      <c r="A664" s="20" t="n">
        <v>4413043</v>
      </c>
      <c r="B664" s="20" t="s">
        <v>807</v>
      </c>
      <c r="C664" s="20" t="str">
        <f aca="false">TRIM(SUBSTITUTE($B664,CHAR(160)," "))</f>
        <v>34 L מגן קרסול עקב סגור</v>
      </c>
    </row>
    <row r="665" customFormat="false" ht="15" hidden="false" customHeight="false" outlineLevel="0" collapsed="false">
      <c r="A665" s="20" t="n">
        <v>4413041</v>
      </c>
      <c r="B665" s="20" t="s">
        <v>808</v>
      </c>
      <c r="C665" s="20" t="str">
        <f aca="false">TRIM(SUBSTITUTE($B665,CHAR(160)," "))</f>
        <v>34 M מגן קרסול עקב סגור</v>
      </c>
    </row>
    <row r="666" customFormat="false" ht="15" hidden="false" customHeight="false" outlineLevel="0" collapsed="false">
      <c r="A666" s="20" t="n">
        <v>4413042</v>
      </c>
      <c r="B666" s="20" t="s">
        <v>809</v>
      </c>
      <c r="C666" s="20" t="str">
        <f aca="false">TRIM(SUBSTITUTE($B666,CHAR(160)," "))</f>
        <v>34 S מגן קרסול עקב סגור</v>
      </c>
    </row>
    <row r="667" customFormat="false" ht="15" hidden="false" customHeight="false" outlineLevel="0" collapsed="false">
      <c r="A667" s="20" t="n">
        <v>4413044</v>
      </c>
      <c r="B667" s="20" t="s">
        <v>810</v>
      </c>
      <c r="C667" s="20" t="str">
        <f aca="false">TRIM(SUBSTITUTE($B667,CHAR(160)," "))</f>
        <v>34 XL מגן קרסול עקב סגור</v>
      </c>
    </row>
    <row r="668" customFormat="false" ht="15" hidden="false" customHeight="false" outlineLevel="0" collapsed="false">
      <c r="A668" s="20" t="n">
        <v>4413045</v>
      </c>
      <c r="B668" s="20" t="s">
        <v>811</v>
      </c>
      <c r="C668" s="20" t="str">
        <f aca="false">TRIM(SUBSTITUTE($B668,CHAR(160)," "))</f>
        <v>34 XS מגן קרסול עקב סגור</v>
      </c>
    </row>
    <row r="669" customFormat="false" ht="15" hidden="false" customHeight="false" outlineLevel="0" collapsed="false">
      <c r="A669" s="20" t="n">
        <v>4413046</v>
      </c>
      <c r="B669" s="20" t="s">
        <v>812</v>
      </c>
      <c r="C669" s="20" t="str">
        <f aca="false">TRIM(SUBSTITUTE($B669,CHAR(160)," "))</f>
        <v>34 XXL מגן קרסול עקב סגור</v>
      </c>
    </row>
    <row r="670" customFormat="false" ht="15" hidden="false" customHeight="false" outlineLevel="0" collapsed="false">
      <c r="A670" s="20" t="n">
        <v>4413161</v>
      </c>
      <c r="B670" s="20" t="s">
        <v>813</v>
      </c>
      <c r="C670" s="20" t="str">
        <f aca="false">TRIM(SUBSTITUTE($B670,CHAR(160)," "))</f>
        <v>34+ L מגן קרסול עקב סגור+רצוע</v>
      </c>
    </row>
    <row r="671" customFormat="false" ht="15" hidden="false" customHeight="false" outlineLevel="0" collapsed="false">
      <c r="A671" s="20" t="n">
        <v>4413160</v>
      </c>
      <c r="B671" s="20" t="s">
        <v>814</v>
      </c>
      <c r="C671" s="20" t="str">
        <f aca="false">TRIM(SUBSTITUTE($B671,CHAR(160)," "))</f>
        <v>34+ M מגן קרסול עקב סגור+רצוע</v>
      </c>
    </row>
    <row r="672" customFormat="false" ht="15" hidden="false" customHeight="false" outlineLevel="0" collapsed="false">
      <c r="A672" s="20" t="n">
        <v>4413159</v>
      </c>
      <c r="B672" s="20" t="s">
        <v>815</v>
      </c>
      <c r="C672" s="20" t="str">
        <f aca="false">TRIM(SUBSTITUTE($B672,CHAR(160)," "))</f>
        <v>34+ S מגן קרסול עקב סגור+רצוע</v>
      </c>
    </row>
    <row r="673" customFormat="false" ht="15" hidden="false" customHeight="false" outlineLevel="0" collapsed="false">
      <c r="A673" s="20" t="n">
        <v>4413162</v>
      </c>
      <c r="B673" s="20" t="s">
        <v>816</v>
      </c>
      <c r="C673" s="20" t="str">
        <f aca="false">TRIM(SUBSTITUTE($B673,CHAR(160)," "))</f>
        <v>34+XL מגן קרסול עקב סגור+רצוע</v>
      </c>
    </row>
    <row r="674" customFormat="false" ht="15" hidden="false" customHeight="false" outlineLevel="0" collapsed="false">
      <c r="A674" s="20" t="n">
        <v>4413303</v>
      </c>
      <c r="B674" s="20" t="s">
        <v>817</v>
      </c>
      <c r="C674" s="20" t="str">
        <f aca="false">TRIM(SUBSTITUTE($B674,CHAR(160)," "))</f>
        <v>34+XXL מ.קרסול+עכב סגור+רצועות</v>
      </c>
    </row>
    <row r="675" customFormat="false" ht="15" hidden="false" customHeight="false" outlineLevel="0" collapsed="false">
      <c r="A675" s="20" t="n">
        <v>4413048</v>
      </c>
      <c r="B675" s="20" t="s">
        <v>818</v>
      </c>
      <c r="C675" s="20" t="str">
        <f aca="false">TRIM(SUBSTITUTE($B675,CHAR(160)," "))</f>
        <v>35 L מגן קרסול לבן</v>
      </c>
    </row>
    <row r="676" customFormat="false" ht="15" hidden="false" customHeight="false" outlineLevel="0" collapsed="false">
      <c r="A676" s="20" t="n">
        <v>4413049</v>
      </c>
      <c r="B676" s="20" t="s">
        <v>819</v>
      </c>
      <c r="C676" s="20" t="str">
        <f aca="false">TRIM(SUBSTITUTE($B676,CHAR(160)," "))</f>
        <v>35 M מגן קרסול לבן</v>
      </c>
    </row>
    <row r="677" customFormat="false" ht="15" hidden="false" customHeight="false" outlineLevel="0" collapsed="false">
      <c r="A677" s="20" t="n">
        <v>4413047</v>
      </c>
      <c r="B677" s="20" t="s">
        <v>820</v>
      </c>
      <c r="C677" s="20" t="str">
        <f aca="false">TRIM(SUBSTITUTE($B677,CHAR(160)," "))</f>
        <v>35 S מגן קרסול לבן</v>
      </c>
    </row>
    <row r="678" customFormat="false" ht="15" hidden="false" customHeight="false" outlineLevel="0" collapsed="false">
      <c r="A678" s="20" t="n">
        <v>4413050</v>
      </c>
      <c r="B678" s="20" t="s">
        <v>821</v>
      </c>
      <c r="C678" s="20" t="str">
        <f aca="false">TRIM(SUBSTITUTE($B678,CHAR(160)," "))</f>
        <v>35 XL מגן קרסול לבן</v>
      </c>
    </row>
    <row r="679" customFormat="false" ht="15" hidden="false" customHeight="false" outlineLevel="0" collapsed="false">
      <c r="A679" s="20" t="n">
        <v>4413324</v>
      </c>
      <c r="B679" s="20" t="s">
        <v>822</v>
      </c>
      <c r="C679" s="20" t="str">
        <f aca="false">TRIM(SUBSTITUTE($B679,CHAR(160)," "))</f>
        <v>35 XS מגן קרסול לבן</v>
      </c>
    </row>
    <row r="680" customFormat="false" ht="15" hidden="false" customHeight="false" outlineLevel="0" collapsed="false">
      <c r="A680" s="20" t="n">
        <v>4413051</v>
      </c>
      <c r="B680" s="20" t="s">
        <v>823</v>
      </c>
      <c r="C680" s="20" t="str">
        <f aca="false">TRIM(SUBSTITUTE($B680,CHAR(160)," "))</f>
        <v>35 XXL מגן קרסול לבן</v>
      </c>
    </row>
    <row r="681" customFormat="false" ht="15" hidden="false" customHeight="false" outlineLevel="0" collapsed="false">
      <c r="A681" s="20" t="n">
        <v>4413490</v>
      </c>
      <c r="B681" s="20" t="s">
        <v>824</v>
      </c>
      <c r="C681" s="20" t="str">
        <f aca="false">TRIM(SUBSTITUTE($B681,CHAR(160)," "))</f>
        <v>35B L מגן קרסול שחור</v>
      </c>
    </row>
    <row r="682" customFormat="false" ht="15" hidden="false" customHeight="false" outlineLevel="0" collapsed="false">
      <c r="A682" s="20" t="n">
        <v>4413492</v>
      </c>
      <c r="B682" s="20" t="s">
        <v>825</v>
      </c>
      <c r="C682" s="20" t="str">
        <f aca="false">TRIM(SUBSTITUTE($B682,CHAR(160)," "))</f>
        <v>35B M מגן קרסול שחור</v>
      </c>
    </row>
    <row r="683" customFormat="false" ht="15" hidden="false" customHeight="false" outlineLevel="0" collapsed="false">
      <c r="A683" s="20" t="n">
        <v>4413493</v>
      </c>
      <c r="B683" s="20" t="s">
        <v>826</v>
      </c>
      <c r="C683" s="20" t="str">
        <f aca="false">TRIM(SUBSTITUTE($B683,CHAR(160)," "))</f>
        <v>35B S מגן קרסול שחור</v>
      </c>
    </row>
    <row r="684" customFormat="false" ht="15" hidden="false" customHeight="false" outlineLevel="0" collapsed="false">
      <c r="A684" s="20" t="n">
        <v>4413491</v>
      </c>
      <c r="B684" s="20" t="s">
        <v>827</v>
      </c>
      <c r="C684" s="20" t="str">
        <f aca="false">TRIM(SUBSTITUTE($B684,CHAR(160)," "))</f>
        <v>35B XL מגן קרסול שחור</v>
      </c>
    </row>
    <row r="685" customFormat="false" ht="15" hidden="false" customHeight="false" outlineLevel="0" collapsed="false">
      <c r="A685" s="20" t="n">
        <v>4413494</v>
      </c>
      <c r="B685" s="20" t="s">
        <v>828</v>
      </c>
      <c r="C685" s="20" t="str">
        <f aca="false">TRIM(SUBSTITUTE($B685,CHAR(160)," "))</f>
        <v>35B XXL מגן קרסול שחור</v>
      </c>
    </row>
    <row r="686" customFormat="false" ht="15" hidden="false" customHeight="false" outlineLevel="0" collapsed="false">
      <c r="A686" s="20" t="n">
        <v>4413053</v>
      </c>
      <c r="B686" s="20" t="s">
        <v>829</v>
      </c>
      <c r="C686" s="20" t="str">
        <f aca="false">TRIM(SUBSTITUTE($B686,CHAR(160)," "))</f>
        <v>35C L מגן קרסול חום</v>
      </c>
    </row>
    <row r="687" customFormat="false" ht="15" hidden="false" customHeight="false" outlineLevel="0" collapsed="false">
      <c r="A687" s="20" t="n">
        <v>4413054</v>
      </c>
      <c r="B687" s="20" t="s">
        <v>830</v>
      </c>
      <c r="C687" s="20" t="str">
        <f aca="false">TRIM(SUBSTITUTE($B687,CHAR(160)," "))</f>
        <v>35C M מגן קרסול חום</v>
      </c>
    </row>
    <row r="688" customFormat="false" ht="15" hidden="false" customHeight="false" outlineLevel="0" collapsed="false">
      <c r="A688" s="20" t="n">
        <v>4413052</v>
      </c>
      <c r="B688" s="20" t="s">
        <v>831</v>
      </c>
      <c r="C688" s="20" t="str">
        <f aca="false">TRIM(SUBSTITUTE($B688,CHAR(160)," "))</f>
        <v>35C S מגן קרסול חום</v>
      </c>
    </row>
    <row r="689" customFormat="false" ht="15" hidden="false" customHeight="false" outlineLevel="0" collapsed="false">
      <c r="A689" s="20" t="n">
        <v>4413055</v>
      </c>
      <c r="B689" s="20" t="s">
        <v>832</v>
      </c>
      <c r="C689" s="20" t="str">
        <f aca="false">TRIM(SUBSTITUTE($B689,CHAR(160)," "))</f>
        <v>35C XL מגן קרסול חום</v>
      </c>
    </row>
    <row r="690" customFormat="false" ht="15" hidden="false" customHeight="false" outlineLevel="0" collapsed="false">
      <c r="A690" s="20" t="n">
        <v>4413530</v>
      </c>
      <c r="B690" s="20" t="s">
        <v>833</v>
      </c>
      <c r="C690" s="20" t="str">
        <f aca="false">TRIM(SUBSTITUTE($B690,CHAR(160)," "))</f>
        <v>35C XXL מגן קרסול חום</v>
      </c>
    </row>
    <row r="691" customFormat="false" ht="15" hidden="false" customHeight="false" outlineLevel="0" collapsed="false">
      <c r="A691" s="20" t="n">
        <v>4413326</v>
      </c>
      <c r="B691" s="20" t="s">
        <v>834</v>
      </c>
      <c r="C691" s="20" t="str">
        <f aca="false">TRIM(SUBSTITUTE($B691,CHAR(160)," "))</f>
        <v>AC37 מגן קרסול נושם</v>
      </c>
    </row>
    <row r="692" customFormat="false" ht="15" hidden="false" customHeight="false" outlineLevel="0" collapsed="false">
      <c r="A692" s="20" t="n">
        <v>4413534</v>
      </c>
      <c r="B692" s="20" t="s">
        <v>835</v>
      </c>
      <c r="C692" s="20" t="str">
        <f aca="false">TRIM(SUBSTITUTE($B692,CHAR(160)," "))</f>
        <v>SH333 מקבע קרסול</v>
      </c>
    </row>
    <row r="693" customFormat="false" ht="15" hidden="false" customHeight="false" outlineLevel="0" collapsed="false">
      <c r="A693" s="20" t="n">
        <v>4408269</v>
      </c>
      <c r="B693" s="20" t="s">
        <v>836</v>
      </c>
      <c r="C693" s="20" t="str">
        <f aca="false">TRIM(SUBSTITUTE($B693,CHAR(160)," "))</f>
        <v>ST37 חבק לקרסול</v>
      </c>
    </row>
    <row r="694" customFormat="false" ht="15" hidden="false" customHeight="false" outlineLevel="0" collapsed="false">
      <c r="A694" s="20" t="n">
        <v>4415105</v>
      </c>
      <c r="B694" s="20" t="s">
        <v>837</v>
      </c>
      <c r="C694" s="20" t="str">
        <f aca="false">TRIM(SUBSTITUTE($B694,CHAR(160)," "))</f>
        <v>T32 S סד קרסול+מוטות אלומיניום</v>
      </c>
    </row>
    <row r="695" customFormat="false" ht="15" hidden="false" customHeight="false" outlineLevel="0" collapsed="false">
      <c r="A695" s="20" t="n">
        <v>4415084</v>
      </c>
      <c r="B695" s="20" t="s">
        <v>838</v>
      </c>
      <c r="C695" s="20" t="str">
        <f aca="false">TRIM(SUBSTITUTE($B695,CHAR(160)," "))</f>
        <v>T33 L סד לקרסול</v>
      </c>
    </row>
    <row r="696" customFormat="false" ht="15" hidden="false" customHeight="false" outlineLevel="0" collapsed="false">
      <c r="A696" s="20" t="n">
        <v>4415083</v>
      </c>
      <c r="B696" s="20" t="s">
        <v>839</v>
      </c>
      <c r="C696" s="20" t="str">
        <f aca="false">TRIM(SUBSTITUTE($B696,CHAR(160)," "))</f>
        <v>T33 M סד לקרסול</v>
      </c>
    </row>
    <row r="697" customFormat="false" ht="15" hidden="false" customHeight="false" outlineLevel="0" collapsed="false">
      <c r="A697" s="20" t="n">
        <v>4415120</v>
      </c>
      <c r="B697" s="20" t="s">
        <v>840</v>
      </c>
      <c r="C697" s="20" t="str">
        <f aca="false">TRIM(SUBSTITUTE($B697,CHAR(160)," "))</f>
        <v>T33 XXL סד לקרסול</v>
      </c>
    </row>
    <row r="698" customFormat="false" ht="15" hidden="false" customHeight="false" outlineLevel="0" collapsed="false">
      <c r="A698" s="20" t="n">
        <v>4413217</v>
      </c>
      <c r="B698" s="20" t="s">
        <v>841</v>
      </c>
      <c r="C698" s="20" t="str">
        <f aca="false">TRIM(SUBSTITUTE($B698,CHAR(160)," "))</f>
        <v>T35 Lמגן קרסול+ צמדן</v>
      </c>
    </row>
    <row r="699" customFormat="false" ht="15" hidden="false" customHeight="false" outlineLevel="0" collapsed="false">
      <c r="A699" s="20" t="n">
        <v>4413216</v>
      </c>
      <c r="B699" s="20" t="s">
        <v>842</v>
      </c>
      <c r="C699" s="20" t="str">
        <f aca="false">TRIM(SUBSTITUTE($B699,CHAR(160)," "))</f>
        <v>T35 Mמגן קרסול+ צמדן</v>
      </c>
    </row>
    <row r="700" customFormat="false" ht="15" hidden="false" customHeight="false" outlineLevel="0" collapsed="false">
      <c r="A700" s="20" t="n">
        <v>4413215</v>
      </c>
      <c r="B700" s="20" t="s">
        <v>843</v>
      </c>
      <c r="C700" s="20" t="str">
        <f aca="false">TRIM(SUBSTITUTE($B700,CHAR(160)," "))</f>
        <v>T35 Sמגן קרסול+ צמדן</v>
      </c>
    </row>
    <row r="701" customFormat="false" ht="15" hidden="false" customHeight="false" outlineLevel="0" collapsed="false">
      <c r="A701" s="20" t="n">
        <v>4413218</v>
      </c>
      <c r="B701" s="20" t="s">
        <v>844</v>
      </c>
      <c r="C701" s="20" t="str">
        <f aca="false">TRIM(SUBSTITUTE($B701,CHAR(160)," "))</f>
        <v>T35 XLמגן קרסול+ צמדן</v>
      </c>
    </row>
    <row r="702" customFormat="false" ht="15" hidden="false" customHeight="false" outlineLevel="0" collapsed="false">
      <c r="A702" s="20" t="n">
        <v>4420036</v>
      </c>
      <c r="B702" s="20" t="s">
        <v>845</v>
      </c>
      <c r="C702" s="20" t="str">
        <f aca="false">TRIM(SUBSTITUTE($B702,CHAR(160)," "))</f>
        <v>301CM 41-45 'רפידת ג'ל בז</v>
      </c>
    </row>
    <row r="703" customFormat="false" ht="15" hidden="false" customHeight="false" outlineLevel="0" collapsed="false">
      <c r="A703" s="20" t="n">
        <v>4420035</v>
      </c>
      <c r="B703" s="20" t="s">
        <v>846</v>
      </c>
      <c r="C703" s="20" t="str">
        <f aca="false">TRIM(SUBSTITUTE($B703,CHAR(160)," "))</f>
        <v>301CW 36-40 'רפידת ג'ל בז</v>
      </c>
    </row>
    <row r="704" customFormat="false" ht="15" hidden="false" customHeight="false" outlineLevel="0" collapsed="false">
      <c r="A704" s="20" t="n">
        <v>4420038</v>
      </c>
      <c r="B704" s="20" t="s">
        <v>847</v>
      </c>
      <c r="C704" s="20" t="str">
        <f aca="false">TRIM(SUBSTITUTE($B704,CHAR(160)," "))</f>
        <v>301JM רפידת ג'ל כחול40-45</v>
      </c>
    </row>
    <row r="705" customFormat="false" ht="15" hidden="false" customHeight="false" outlineLevel="0" collapsed="false">
      <c r="A705" s="20" t="n">
        <v>4420037</v>
      </c>
      <c r="B705" s="20" t="s">
        <v>848</v>
      </c>
      <c r="C705" s="20" t="str">
        <f aca="false">TRIM(SUBSTITUTE($B705,CHAR(160)," "))</f>
        <v>301JW רפידת ג'ל כחול36-40</v>
      </c>
    </row>
    <row r="706" customFormat="false" ht="15" hidden="false" customHeight="false" outlineLevel="0" collapsed="false">
      <c r="A706" s="20" t="n">
        <v>4420028</v>
      </c>
      <c r="B706" s="20" t="s">
        <v>849</v>
      </c>
      <c r="C706" s="20" t="str">
        <f aca="false">TRIM(SUBSTITUTE($B706,CHAR(160)," "))</f>
        <v>35-37 רפידת ספורט 376 מידה</v>
      </c>
    </row>
    <row r="707" customFormat="false" ht="15" hidden="false" customHeight="false" outlineLevel="0" collapsed="false">
      <c r="A707" s="20" t="n">
        <v>4420000</v>
      </c>
      <c r="B707" s="20" t="s">
        <v>850</v>
      </c>
      <c r="C707" s="20" t="str">
        <f aca="false">TRIM(SUBSTITUTE($B707,CHAR(160)," "))</f>
        <v>370 רפידת נוחות-זוג</v>
      </c>
    </row>
    <row r="708" customFormat="false" ht="15" hidden="false" customHeight="false" outlineLevel="0" collapsed="false">
      <c r="A708" s="20" t="n">
        <v>4420027</v>
      </c>
      <c r="B708" s="20" t="s">
        <v>851</v>
      </c>
      <c r="C708" s="20" t="str">
        <f aca="false">TRIM(SUBSTITUTE($B708,CHAR(160)," "))</f>
        <v>370K 0 רפידת לילדים אנטי ריח</v>
      </c>
    </row>
    <row r="709" customFormat="false" ht="15" hidden="false" customHeight="false" outlineLevel="0" collapsed="false">
      <c r="A709" s="20" t="n">
        <v>4420001</v>
      </c>
      <c r="B709" s="20" t="s">
        <v>852</v>
      </c>
      <c r="C709" s="20" t="str">
        <f aca="false">TRIM(SUBSTITUTE($B709,CHAR(160)," "))</f>
        <v>371 רפידת מגבת כותנה-זוג</v>
      </c>
    </row>
    <row r="710" customFormat="false" ht="15" hidden="false" customHeight="false" outlineLevel="0" collapsed="false">
      <c r="A710" s="20" t="n">
        <v>4420002</v>
      </c>
      <c r="B710" s="20" t="s">
        <v>853</v>
      </c>
      <c r="C710" s="20" t="str">
        <f aca="false">TRIM(SUBSTITUTE($B710,CHAR(160)," "))</f>
        <v>372 רפידת אנטי ריח -זוג</v>
      </c>
    </row>
    <row r="711" customFormat="false" ht="15" hidden="false" customHeight="false" outlineLevel="0" collapsed="false">
      <c r="A711" s="20" t="n">
        <v>4420003</v>
      </c>
      <c r="B711" s="20" t="s">
        <v>854</v>
      </c>
      <c r="C711" s="20" t="str">
        <f aca="false">TRIM(SUBSTITUTE($B711,CHAR(160)," "))</f>
        <v>374 רפידת בולמת זעזועים -זוג</v>
      </c>
    </row>
    <row r="712" customFormat="false" ht="15" hidden="false" customHeight="false" outlineLevel="0" collapsed="false">
      <c r="A712" s="20" t="n">
        <v>4420007</v>
      </c>
      <c r="B712" s="20" t="s">
        <v>855</v>
      </c>
      <c r="C712" s="20" t="str">
        <f aca="false">TRIM(SUBSTITUTE($B712,CHAR(160)," "))</f>
        <v>377 רפ.ורטופדית ספורט זוג38</v>
      </c>
    </row>
    <row r="713" customFormat="false" ht="15" hidden="false" customHeight="false" outlineLevel="0" collapsed="false">
      <c r="A713" s="20" t="n">
        <v>4420012</v>
      </c>
      <c r="B713" s="20" t="s">
        <v>856</v>
      </c>
      <c r="C713" s="20" t="str">
        <f aca="false">TRIM(SUBSTITUTE($B713,CHAR(160)," "))</f>
        <v>377 רפידה אורט.ספורט זוג43</v>
      </c>
    </row>
    <row r="714" customFormat="false" ht="15" hidden="false" customHeight="false" outlineLevel="0" collapsed="false">
      <c r="A714" s="20" t="n">
        <v>4420004</v>
      </c>
      <c r="B714" s="20" t="s">
        <v>857</v>
      </c>
      <c r="C714" s="20" t="str">
        <f aca="false">TRIM(SUBSTITUTE($B714,CHAR(160)," "))</f>
        <v>377 רפ.אורטופדית ספורט זוג35</v>
      </c>
    </row>
    <row r="715" customFormat="false" ht="15" hidden="false" customHeight="false" outlineLevel="0" collapsed="false">
      <c r="A715" s="20" t="n">
        <v>4420006</v>
      </c>
      <c r="B715" s="20" t="s">
        <v>858</v>
      </c>
      <c r="C715" s="20" t="str">
        <f aca="false">TRIM(SUBSTITUTE($B715,CHAR(160)," "))</f>
        <v>377 רפ.אורטופדית ספורט זוג37</v>
      </c>
    </row>
    <row r="716" customFormat="false" ht="15" hidden="false" customHeight="false" outlineLevel="0" collapsed="false">
      <c r="A716" s="20" t="n">
        <v>4420008</v>
      </c>
      <c r="B716" s="20" t="s">
        <v>859</v>
      </c>
      <c r="C716" s="20" t="str">
        <f aca="false">TRIM(SUBSTITUTE($B716,CHAR(160)," "))</f>
        <v>377 רפ.אורטופדית ספורט זוג39</v>
      </c>
    </row>
    <row r="717" customFormat="false" ht="15" hidden="false" customHeight="false" outlineLevel="0" collapsed="false">
      <c r="A717" s="20" t="n">
        <v>4420009</v>
      </c>
      <c r="B717" s="20" t="s">
        <v>860</v>
      </c>
      <c r="C717" s="20" t="str">
        <f aca="false">TRIM(SUBSTITUTE($B717,CHAR(160)," "))</f>
        <v>377 רפ.אורטופדית ספורט זוג40</v>
      </c>
    </row>
    <row r="718" customFormat="false" ht="15" hidden="false" customHeight="false" outlineLevel="0" collapsed="false">
      <c r="A718" s="20" t="n">
        <v>4420015</v>
      </c>
      <c r="B718" s="20" t="s">
        <v>861</v>
      </c>
      <c r="C718" s="20" t="str">
        <f aca="false">TRIM(SUBSTITUTE($B718,CHAR(160)," "))</f>
        <v>377 רפ.אורטופדית ספורט זוג46</v>
      </c>
    </row>
    <row r="719" customFormat="false" ht="15" hidden="false" customHeight="false" outlineLevel="0" collapsed="false">
      <c r="A719" s="20" t="n">
        <v>4420013</v>
      </c>
      <c r="B719" s="20" t="s">
        <v>862</v>
      </c>
      <c r="C719" s="20" t="str">
        <f aca="false">TRIM(SUBSTITUTE($B719,CHAR(160)," "))</f>
        <v>377 רפידה אורט.ספורט זוג44</v>
      </c>
    </row>
    <row r="720" customFormat="false" ht="15" hidden="false" customHeight="false" outlineLevel="0" collapsed="false">
      <c r="A720" s="20" t="n">
        <v>4420010</v>
      </c>
      <c r="B720" s="20" t="s">
        <v>863</v>
      </c>
      <c r="C720" s="20" t="str">
        <f aca="false">TRIM(SUBSTITUTE($B720,CHAR(160)," "))</f>
        <v>377 רפידה אורטופ.ספורט זוג41</v>
      </c>
    </row>
    <row r="721" customFormat="false" ht="15" hidden="false" customHeight="false" outlineLevel="0" collapsed="false">
      <c r="A721" s="20" t="n">
        <v>4420005</v>
      </c>
      <c r="B721" s="20" t="s">
        <v>864</v>
      </c>
      <c r="C721" s="20" t="str">
        <f aca="false">TRIM(SUBSTITUTE($B721,CHAR(160)," "))</f>
        <v>377 רפ.אורטופדית ספורט זוג36</v>
      </c>
    </row>
    <row r="722" customFormat="false" ht="15" hidden="false" customHeight="false" outlineLevel="0" collapsed="false">
      <c r="A722" s="20" t="n">
        <v>4420014</v>
      </c>
      <c r="B722" s="20" t="s">
        <v>865</v>
      </c>
      <c r="C722" s="20" t="str">
        <f aca="false">TRIM(SUBSTITUTE($B722,CHAR(160)," "))</f>
        <v>377 רפ.אורטופדית ספורט זוג45</v>
      </c>
    </row>
    <row r="723" customFormat="false" ht="15" hidden="false" customHeight="false" outlineLevel="0" collapsed="false">
      <c r="A723" s="20" t="n">
        <v>4420011</v>
      </c>
      <c r="B723" s="20" t="s">
        <v>866</v>
      </c>
      <c r="C723" s="20" t="str">
        <f aca="false">TRIM(SUBSTITUTE($B723,CHAR(160)," "))</f>
        <v>377 רפידה אורטופ.ספורט זוג42</v>
      </c>
    </row>
    <row r="724" customFormat="false" ht="15" hidden="false" customHeight="false" outlineLevel="0" collapsed="false">
      <c r="A724" s="20" t="n">
        <v>4420029</v>
      </c>
      <c r="B724" s="20" t="s">
        <v>867</v>
      </c>
      <c r="C724" s="20" t="str">
        <f aca="false">TRIM(SUBSTITUTE($B724,CHAR(160)," "))</f>
        <v>38-40 רפידת ספורט 376 מידה</v>
      </c>
    </row>
    <row r="725" customFormat="false" ht="15" hidden="false" customHeight="false" outlineLevel="0" collapsed="false">
      <c r="A725" s="20" t="n">
        <v>4420030</v>
      </c>
      <c r="B725" s="20" t="s">
        <v>868</v>
      </c>
      <c r="C725" s="20" t="str">
        <f aca="false">TRIM(SUBSTITUTE($B725,CHAR(160)," "))</f>
        <v>41-43 רפידת ספורט 376 מידה</v>
      </c>
    </row>
    <row r="726" customFormat="false" ht="15" hidden="false" customHeight="false" outlineLevel="0" collapsed="false">
      <c r="A726" s="20" t="n">
        <v>4420031</v>
      </c>
      <c r="B726" s="20" t="s">
        <v>869</v>
      </c>
      <c r="C726" s="20" t="str">
        <f aca="false">TRIM(SUBSTITUTE($B726,CHAR(160)," "))</f>
        <v>44-45 רפידת ספורט 376 מידה</v>
      </c>
    </row>
    <row r="727" customFormat="false" ht="15" hidden="false" customHeight="false" outlineLevel="0" collapsed="false">
      <c r="A727" s="20" t="n">
        <v>4420032</v>
      </c>
      <c r="B727" s="20" t="s">
        <v>870</v>
      </c>
      <c r="C727" s="20" t="str">
        <f aca="false">TRIM(SUBSTITUTE($B727,CHAR(160)," "))</f>
        <v>46-47 רפידת ספורט 376 מידה</v>
      </c>
    </row>
    <row r="728" customFormat="false" ht="15" hidden="false" customHeight="false" outlineLevel="0" collapsed="false">
      <c r="A728" s="20" t="n">
        <v>4420033</v>
      </c>
      <c r="B728" s="20" t="s">
        <v>871</v>
      </c>
      <c r="C728" s="20" t="str">
        <f aca="false">TRIM(SUBSTITUTE($B728,CHAR(160)," "))</f>
        <v>SP372 רפידה אנטי ריח ספורט</v>
      </c>
    </row>
    <row r="729" customFormat="false" ht="15" hidden="false" customHeight="false" outlineLevel="0" collapsed="false">
      <c r="A729" s="20" t="n">
        <v>4413112</v>
      </c>
      <c r="B729" s="20" t="s">
        <v>872</v>
      </c>
      <c r="C729" s="20" t="str">
        <f aca="false">TRIM(SUBSTITUTE($B729,CHAR(160)," "))</f>
        <v>49 L מגן ירך</v>
      </c>
    </row>
    <row r="730" customFormat="false" ht="15" hidden="false" customHeight="false" outlineLevel="0" collapsed="false">
      <c r="A730" s="20" t="n">
        <v>4413113</v>
      </c>
      <c r="B730" s="20" t="s">
        <v>873</v>
      </c>
      <c r="C730" s="20" t="str">
        <f aca="false">TRIM(SUBSTITUTE($B730,CHAR(160)," "))</f>
        <v>49 M מגן ירך</v>
      </c>
    </row>
    <row r="731" customFormat="false" ht="15" hidden="false" customHeight="false" outlineLevel="0" collapsed="false">
      <c r="A731" s="20" t="n">
        <v>4413111</v>
      </c>
      <c r="B731" s="20" t="s">
        <v>874</v>
      </c>
      <c r="C731" s="20" t="str">
        <f aca="false">TRIM(SUBSTITUTE($B731,CHAR(160)," "))</f>
        <v>49 S מגן ירך</v>
      </c>
    </row>
    <row r="732" customFormat="false" ht="15" hidden="false" customHeight="false" outlineLevel="0" collapsed="false">
      <c r="A732" s="20" t="n">
        <v>4413114</v>
      </c>
      <c r="B732" s="20" t="s">
        <v>875</v>
      </c>
      <c r="C732" s="20" t="str">
        <f aca="false">TRIM(SUBSTITUTE($B732,CHAR(160)," "))</f>
        <v>49 XL מגן ירך</v>
      </c>
    </row>
    <row r="733" customFormat="false" ht="15" hidden="false" customHeight="false" outlineLevel="0" collapsed="false">
      <c r="A733" s="20" t="n">
        <v>4413115</v>
      </c>
      <c r="B733" s="20" t="s">
        <v>876</v>
      </c>
      <c r="C733" s="20" t="str">
        <f aca="false">TRIM(SUBSTITUTE($B733,CHAR(160)," "))</f>
        <v>49 XXL מגן ירך</v>
      </c>
    </row>
    <row r="734" customFormat="false" ht="15" hidden="false" customHeight="false" outlineLevel="0" collapsed="false">
      <c r="A734" s="20" t="n">
        <v>4413330</v>
      </c>
      <c r="B734" s="20" t="s">
        <v>877</v>
      </c>
      <c r="C734" s="20" t="str">
        <f aca="false">TRIM(SUBSTITUTE($B734,CHAR(160)," "))</f>
        <v>AC49 מגן ירך</v>
      </c>
    </row>
    <row r="735" customFormat="false" ht="15" hidden="false" customHeight="false" outlineLevel="0" collapsed="false">
      <c r="A735" s="20" t="n">
        <v>4413533</v>
      </c>
      <c r="B735" s="20" t="s">
        <v>878</v>
      </c>
      <c r="C735" s="20" t="str">
        <f aca="false">TRIM(SUBSTITUTE($B735,CHAR(160)," "))</f>
        <v>ST49 מגן ירך</v>
      </c>
    </row>
    <row r="736" customFormat="false" ht="15" hidden="false" customHeight="false" outlineLevel="0" collapsed="false">
      <c r="A736" s="20" t="n">
        <v>4413179</v>
      </c>
      <c r="B736" s="20" t="s">
        <v>879</v>
      </c>
      <c r="C736" s="20" t="str">
        <f aca="false">TRIM(SUBSTITUTE($B736,CHAR(160)," "))</f>
        <v>T39 M מגן שוק</v>
      </c>
    </row>
    <row r="737" customFormat="false" ht="15" hidden="false" customHeight="false" outlineLevel="0" collapsed="false">
      <c r="A737" s="20" t="n">
        <v>4413180</v>
      </c>
      <c r="B737" s="20" t="s">
        <v>880</v>
      </c>
      <c r="C737" s="20" t="str">
        <f aca="false">TRIM(SUBSTITUTE($B737,CHAR(160)," "))</f>
        <v>T39 S מגן שוק</v>
      </c>
    </row>
    <row r="738" customFormat="false" ht="15" hidden="false" customHeight="false" outlineLevel="0" collapsed="false">
      <c r="A738" s="20" t="n">
        <v>4413178</v>
      </c>
      <c r="B738" s="20" t="s">
        <v>881</v>
      </c>
      <c r="C738" s="20" t="str">
        <f aca="false">TRIM(SUBSTITUTE($B738,CHAR(160)," "))</f>
        <v>T39 XL מגן שוק</v>
      </c>
    </row>
    <row r="739" customFormat="false" ht="15" hidden="false" customHeight="false" outlineLevel="0" collapsed="false">
      <c r="A739" s="20" t="n">
        <v>4413234</v>
      </c>
      <c r="B739" s="20" t="s">
        <v>882</v>
      </c>
      <c r="C739" s="20" t="str">
        <f aca="false">TRIM(SUBSTITUTE($B739,CHAR(160)," "))</f>
        <v>T49 M מגן ירך</v>
      </c>
    </row>
    <row r="740" customFormat="false" ht="15" hidden="false" customHeight="false" outlineLevel="0" collapsed="false">
      <c r="A740" s="20" t="n">
        <v>4413402</v>
      </c>
      <c r="B740" s="20" t="s">
        <v>883</v>
      </c>
      <c r="C740" s="20" t="str">
        <f aca="false">TRIM(SUBSTITUTE($B740,CHAR(160)," "))</f>
        <v>T49 XS מגן ירך</v>
      </c>
    </row>
    <row r="741" customFormat="false" ht="15" hidden="false" customHeight="false" outlineLevel="0" collapsed="false">
      <c r="A741" s="20" t="n">
        <v>4408207</v>
      </c>
      <c r="B741" s="20" t="s">
        <v>884</v>
      </c>
      <c r="C741" s="20" t="str">
        <f aca="false">TRIM(SUBSTITUTE($B741,CHAR(160)," "))</f>
        <v>AC-25 חבק לשורש כף היד</v>
      </c>
    </row>
    <row r="742" customFormat="false" ht="15" hidden="false" customHeight="false" outlineLevel="0" collapsed="false">
      <c r="A742" s="20" t="n">
        <v>4415026</v>
      </c>
      <c r="B742" s="20" t="s">
        <v>885</v>
      </c>
      <c r="C742" s="20" t="str">
        <f aca="false">TRIM(SUBSTITUTE($B742,CHAR(160)," "))</f>
        <v>AC-27L סד לש.כף יד שמאל</v>
      </c>
    </row>
    <row r="743" customFormat="false" ht="15" hidden="false" customHeight="false" outlineLevel="0" collapsed="false">
      <c r="A743" s="20" t="n">
        <v>4415027</v>
      </c>
      <c r="B743" s="20" t="s">
        <v>886</v>
      </c>
      <c r="C743" s="20" t="str">
        <f aca="false">TRIM(SUBSTITUTE($B743,CHAR(160)," "))</f>
        <v>AC-27R סד לש.כף יד ימין</v>
      </c>
    </row>
    <row r="744" customFormat="false" ht="15" hidden="false" customHeight="false" outlineLevel="0" collapsed="false">
      <c r="A744" s="20" t="n">
        <v>4408249</v>
      </c>
      <c r="B744" s="20" t="s">
        <v>887</v>
      </c>
      <c r="C744" s="20" t="str">
        <f aca="false">TRIM(SUBSTITUTE($B744,CHAR(160)," "))</f>
        <v>SC25 L חבק יד</v>
      </c>
    </row>
    <row r="745" customFormat="false" ht="15" hidden="false" customHeight="false" outlineLevel="0" collapsed="false">
      <c r="A745" s="20" t="n">
        <v>4408248</v>
      </c>
      <c r="B745" s="20" t="s">
        <v>888</v>
      </c>
      <c r="C745" s="20" t="str">
        <f aca="false">TRIM(SUBSTITUTE($B745,CHAR(160)," "))</f>
        <v>SC25 M חבק יד</v>
      </c>
    </row>
    <row r="746" customFormat="false" ht="15" hidden="false" customHeight="false" outlineLevel="0" collapsed="false">
      <c r="A746" s="20" t="n">
        <v>4408247</v>
      </c>
      <c r="B746" s="20" t="s">
        <v>889</v>
      </c>
      <c r="C746" s="20" t="str">
        <f aca="false">TRIM(SUBSTITUTE($B746,CHAR(160)," "))</f>
        <v>SC25 S חבק יד</v>
      </c>
    </row>
    <row r="747" customFormat="false" ht="15" hidden="false" customHeight="false" outlineLevel="0" collapsed="false">
      <c r="A747" s="20" t="n">
        <v>4408250</v>
      </c>
      <c r="B747" s="20" t="s">
        <v>890</v>
      </c>
      <c r="C747" s="20" t="str">
        <f aca="false">TRIM(SUBSTITUTE($B747,CHAR(160)," "))</f>
        <v>SC25 XL חבק יד</v>
      </c>
    </row>
    <row r="748" customFormat="false" ht="15" hidden="false" customHeight="false" outlineLevel="0" collapsed="false">
      <c r="A748" s="20" t="n">
        <v>4413422</v>
      </c>
      <c r="B748" s="20" t="s">
        <v>891</v>
      </c>
      <c r="C748" s="20" t="str">
        <f aca="false">TRIM(SUBSTITUTE($B748,CHAR(160)," "))</f>
        <v>SC35L L מגן קרסול שמאל</v>
      </c>
    </row>
    <row r="749" customFormat="false" ht="15" hidden="false" customHeight="false" outlineLevel="0" collapsed="false">
      <c r="A749" s="20" t="n">
        <v>4413421</v>
      </c>
      <c r="B749" s="20" t="s">
        <v>892</v>
      </c>
      <c r="C749" s="20" t="str">
        <f aca="false">TRIM(SUBSTITUTE($B749,CHAR(160)," "))</f>
        <v>SC35L M מגן קרסול שמאל</v>
      </c>
    </row>
    <row r="750" customFormat="false" ht="15" hidden="false" customHeight="false" outlineLevel="0" collapsed="false">
      <c r="A750" s="20" t="n">
        <v>4413420</v>
      </c>
      <c r="B750" s="20" t="s">
        <v>893</v>
      </c>
      <c r="C750" s="20" t="str">
        <f aca="false">TRIM(SUBSTITUTE($B750,CHAR(160)," "))</f>
        <v>SC35L S מגן קרסול שמאל</v>
      </c>
    </row>
    <row r="751" customFormat="false" ht="15" hidden="false" customHeight="false" outlineLevel="0" collapsed="false">
      <c r="A751" s="20" t="n">
        <v>4413423</v>
      </c>
      <c r="B751" s="20" t="s">
        <v>894</v>
      </c>
      <c r="C751" s="20" t="str">
        <f aca="false">TRIM(SUBSTITUTE($B751,CHAR(160)," "))</f>
        <v>SC35L XL מגן קרסול שמאל</v>
      </c>
    </row>
    <row r="752" customFormat="false" ht="15" hidden="false" customHeight="false" outlineLevel="0" collapsed="false">
      <c r="A752" s="20" t="n">
        <v>4413426</v>
      </c>
      <c r="B752" s="20" t="s">
        <v>895</v>
      </c>
      <c r="C752" s="20" t="str">
        <f aca="false">TRIM(SUBSTITUTE($B752,CHAR(160)," "))</f>
        <v>SC35R L מגן קרסול ימין</v>
      </c>
    </row>
    <row r="753" customFormat="false" ht="15" hidden="false" customHeight="false" outlineLevel="0" collapsed="false">
      <c r="A753" s="20" t="n">
        <v>4413425</v>
      </c>
      <c r="B753" s="20" t="s">
        <v>896</v>
      </c>
      <c r="C753" s="20" t="str">
        <f aca="false">TRIM(SUBSTITUTE($B753,CHAR(160)," "))</f>
        <v>SC35R M מגן קרסול ימין</v>
      </c>
    </row>
    <row r="754" customFormat="false" ht="15" hidden="false" customHeight="false" outlineLevel="0" collapsed="false">
      <c r="A754" s="20" t="n">
        <v>4413424</v>
      </c>
      <c r="B754" s="20" t="s">
        <v>897</v>
      </c>
      <c r="C754" s="20" t="str">
        <f aca="false">TRIM(SUBSTITUTE($B754,CHAR(160)," "))</f>
        <v>SC35R S מגן קרסול ימין</v>
      </c>
    </row>
    <row r="755" customFormat="false" ht="15" hidden="false" customHeight="false" outlineLevel="0" collapsed="false">
      <c r="A755" s="20" t="n">
        <v>4413427</v>
      </c>
      <c r="B755" s="20" t="s">
        <v>898</v>
      </c>
      <c r="C755" s="20" t="str">
        <f aca="false">TRIM(SUBSTITUTE($B755,CHAR(160)," "))</f>
        <v>SC35R XLמגן קרסול ימין</v>
      </c>
    </row>
    <row r="756" customFormat="false" ht="15" hidden="false" customHeight="false" outlineLevel="0" collapsed="false">
      <c r="A756" s="20" t="n">
        <v>4413417</v>
      </c>
      <c r="B756" s="20" t="s">
        <v>899</v>
      </c>
      <c r="C756" s="20" t="str">
        <f aca="false">TRIM(SUBSTITUTE($B756,CHAR(160)," "))</f>
        <v>SC39 L מגן שוק</v>
      </c>
    </row>
    <row r="757" customFormat="false" ht="15" hidden="false" customHeight="false" outlineLevel="0" collapsed="false">
      <c r="A757" s="20" t="n">
        <v>4413416</v>
      </c>
      <c r="B757" s="20" t="s">
        <v>900</v>
      </c>
      <c r="C757" s="20" t="str">
        <f aca="false">TRIM(SUBSTITUTE($B757,CHAR(160)," "))</f>
        <v>SC39 M מגן שוק</v>
      </c>
    </row>
    <row r="758" customFormat="false" ht="15" hidden="false" customHeight="false" outlineLevel="0" collapsed="false">
      <c r="A758" s="20" t="n">
        <v>4413415</v>
      </c>
      <c r="B758" s="20" t="s">
        <v>901</v>
      </c>
      <c r="C758" s="20" t="str">
        <f aca="false">TRIM(SUBSTITUTE($B758,CHAR(160)," "))</f>
        <v>SC39 S מגן שוק</v>
      </c>
    </row>
    <row r="759" customFormat="false" ht="15" hidden="false" customHeight="false" outlineLevel="0" collapsed="false">
      <c r="A759" s="20" t="n">
        <v>4413418</v>
      </c>
      <c r="B759" s="20" t="s">
        <v>902</v>
      </c>
      <c r="C759" s="20" t="str">
        <f aca="false">TRIM(SUBSTITUTE($B759,CHAR(160)," "))</f>
        <v>SC39 XL מגן שוק</v>
      </c>
    </row>
    <row r="760" customFormat="false" ht="15" hidden="false" customHeight="false" outlineLevel="0" collapsed="false">
      <c r="A760" s="20" t="n">
        <v>4413419</v>
      </c>
      <c r="B760" s="20" t="s">
        <v>903</v>
      </c>
      <c r="C760" s="20" t="str">
        <f aca="false">TRIM(SUBSTITUTE($B760,CHAR(160)," "))</f>
        <v>SC39 XXLמגן שוק</v>
      </c>
    </row>
    <row r="761" customFormat="false" ht="15" hidden="false" customHeight="false" outlineLevel="0" collapsed="false">
      <c r="A761" s="20" t="n">
        <v>4413440</v>
      </c>
      <c r="B761" s="20" t="s">
        <v>904</v>
      </c>
      <c r="C761" s="20" t="str">
        <f aca="false">TRIM(SUBSTITUTE($B761,CHAR(160)," "))</f>
        <v>SC422 L מגן ברך</v>
      </c>
    </row>
    <row r="762" customFormat="false" ht="15" hidden="false" customHeight="false" outlineLevel="0" collapsed="false">
      <c r="A762" s="20" t="n">
        <v>4413439</v>
      </c>
      <c r="B762" s="20" t="s">
        <v>905</v>
      </c>
      <c r="C762" s="20" t="str">
        <f aca="false">TRIM(SUBSTITUTE($B762,CHAR(160)," "))</f>
        <v>SC422 M מגן ברך</v>
      </c>
    </row>
    <row r="763" customFormat="false" ht="15" hidden="false" customHeight="false" outlineLevel="0" collapsed="false">
      <c r="A763" s="20" t="n">
        <v>4413441</v>
      </c>
      <c r="B763" s="20" t="s">
        <v>906</v>
      </c>
      <c r="C763" s="20" t="str">
        <f aca="false">TRIM(SUBSTITUTE($B763,CHAR(160)," "))</f>
        <v>SC422 XL מגן ברך</v>
      </c>
    </row>
    <row r="764" customFormat="false" ht="15" hidden="false" customHeight="false" outlineLevel="0" collapsed="false">
      <c r="A764" s="20" t="n">
        <v>4413407</v>
      </c>
      <c r="B764" s="20" t="s">
        <v>907</v>
      </c>
      <c r="C764" s="20" t="str">
        <f aca="false">TRIM(SUBSTITUTE($B764,CHAR(160)," "))</f>
        <v>SC95 L מגן מרפק</v>
      </c>
    </row>
    <row r="765" customFormat="false" ht="15" hidden="false" customHeight="false" outlineLevel="0" collapsed="false">
      <c r="A765" s="20" t="n">
        <v>4413406</v>
      </c>
      <c r="B765" s="20" t="s">
        <v>908</v>
      </c>
      <c r="C765" s="20" t="str">
        <f aca="false">TRIM(SUBSTITUTE($B765,CHAR(160)," "))</f>
        <v>SC95 M מגן מרפק</v>
      </c>
    </row>
    <row r="766" customFormat="false" ht="15" hidden="false" customHeight="false" outlineLevel="0" collapsed="false">
      <c r="A766" s="20" t="n">
        <v>4413408</v>
      </c>
      <c r="B766" s="20" t="s">
        <v>909</v>
      </c>
      <c r="C766" s="20" t="str">
        <f aca="false">TRIM(SUBSTITUTE($B766,CHAR(160)," "))</f>
        <v>SC95 XLמגן מרפק</v>
      </c>
    </row>
    <row r="767" customFormat="false" ht="15" hidden="false" customHeight="false" outlineLevel="0" collapsed="false">
      <c r="A767" s="20" t="n">
        <v>4413181</v>
      </c>
      <c r="B767" s="20" t="s">
        <v>910</v>
      </c>
      <c r="C767" s="20" t="str">
        <f aca="false">TRIM(SUBSTITUTE($B767,CHAR(160)," "))</f>
        <v>T39 L מגן שוק</v>
      </c>
    </row>
    <row r="768" customFormat="false" ht="15" hidden="false" customHeight="false" outlineLevel="0" collapsed="false">
      <c r="A768" s="20" t="n">
        <v>4420034</v>
      </c>
      <c r="B768" s="20" t="s">
        <v>911</v>
      </c>
      <c r="C768" s="20" t="str">
        <f aca="false">TRIM(SUBSTITUTE($B768,CHAR(160)," "))</f>
        <v>381 HV רצועה אלסטית</v>
      </c>
    </row>
    <row r="769" customFormat="false" ht="15" hidden="false" customHeight="false" outlineLevel="0" collapsed="false">
      <c r="A769" s="20" t="n">
        <v>4415299</v>
      </c>
      <c r="B769" s="20" t="s">
        <v>912</v>
      </c>
      <c r="C769" s="20" t="str">
        <f aca="false">TRIM(SUBSTITUTE($B769,CHAR(160)," "))</f>
        <v>388B L סד לילה שחור לבוהן ימין</v>
      </c>
    </row>
    <row r="770" customFormat="false" ht="15" hidden="false" customHeight="false" outlineLevel="0" collapsed="false">
      <c r="A770" s="20" t="n">
        <v>4415298</v>
      </c>
      <c r="B770" s="20" t="s">
        <v>913</v>
      </c>
      <c r="C770" s="20" t="str">
        <f aca="false">TRIM(SUBSTITUTE($B770,CHAR(160)," "))</f>
        <v>388B L סד לילה שחור לבוהן שמאל</v>
      </c>
    </row>
    <row r="771" customFormat="false" ht="15" hidden="false" customHeight="false" outlineLevel="0" collapsed="false">
      <c r="A771" s="20" t="n">
        <v>4422000</v>
      </c>
      <c r="B771" s="20" t="s">
        <v>914</v>
      </c>
      <c r="C771" s="20" t="str">
        <f aca="false">TRIM(SUBSTITUTE($B771,CHAR(160)," "))</f>
        <v>801 תחבושת אלסטית מקררת</v>
      </c>
    </row>
    <row r="772" customFormat="false" ht="15" hidden="false" customHeight="false" outlineLevel="0" collapsed="false">
      <c r="A772" s="20" t="n">
        <v>4422023</v>
      </c>
      <c r="B772" s="20" t="s">
        <v>915</v>
      </c>
      <c r="C772" s="20" t="str">
        <f aca="false">TRIM(SUBSTITUTE($B772,CHAR(160)," "))</f>
        <v>806CB-BEIGE תחבושת א.נצמ</v>
      </c>
    </row>
    <row r="773" customFormat="false" ht="15" hidden="false" customHeight="false" outlineLevel="0" collapsed="false">
      <c r="A773" s="20" t="n">
        <v>4422024</v>
      </c>
      <c r="B773" s="20" t="s">
        <v>916</v>
      </c>
      <c r="C773" s="20" t="str">
        <f aca="false">TRIM(SUBSTITUTE($B773,CHAR(160)," "))</f>
        <v>806CB-BLACK תחבושת א.נצמ</v>
      </c>
    </row>
    <row r="774" customFormat="false" ht="15" hidden="false" customHeight="false" outlineLevel="0" collapsed="false">
      <c r="A774" s="20" t="n">
        <v>4422025</v>
      </c>
      <c r="B774" s="20" t="s">
        <v>917</v>
      </c>
      <c r="C774" s="20" t="str">
        <f aca="false">TRIM(SUBSTITUTE($B774,CHAR(160)," "))</f>
        <v>806CB-GREEN תחבושת א.נצמ</v>
      </c>
    </row>
    <row r="775" customFormat="false" ht="15" hidden="false" customHeight="false" outlineLevel="0" collapsed="false">
      <c r="A775" s="20" t="n">
        <v>4422026</v>
      </c>
      <c r="B775" s="20" t="s">
        <v>918</v>
      </c>
      <c r="C775" s="20" t="str">
        <f aca="false">TRIM(SUBSTITUTE($B775,CHAR(160)," "))</f>
        <v>806CB-PINK תחבושת א.נצמ</v>
      </c>
    </row>
    <row r="776" customFormat="false" ht="15" hidden="false" customHeight="false" outlineLevel="0" collapsed="false">
      <c r="A776" s="20" t="n">
        <v>4422032</v>
      </c>
      <c r="B776" s="20" t="s">
        <v>919</v>
      </c>
      <c r="C776" s="20" t="str">
        <f aca="false">TRIM(SUBSTITUTE($B776,CHAR(160)," "))</f>
        <v>807B-Bתחבושת נצמדת שחור 20 מ""מ</v>
      </c>
    </row>
    <row r="777" customFormat="false" ht="15" hidden="false" customHeight="false" outlineLevel="0" collapsed="false">
      <c r="A777" s="20" t="n">
        <v>4422033</v>
      </c>
      <c r="B777" s="20" t="s">
        <v>920</v>
      </c>
      <c r="C777" s="20" t="str">
        <f aca="false">TRIM(SUBSTITUTE($B777,CHAR(160)," "))</f>
        <v>807CB-BLתחבושת נצמדת כחול20מ""מ</v>
      </c>
    </row>
    <row r="778" customFormat="false" ht="15" hidden="false" customHeight="false" outlineLevel="0" collapsed="false">
      <c r="A778" s="20" t="n">
        <v>4422031</v>
      </c>
      <c r="B778" s="20" t="s">
        <v>921</v>
      </c>
      <c r="C778" s="20" t="str">
        <f aca="false">TRIM(SUBSTITUTE($B778,CHAR(160)," "))</f>
        <v>807CB-Cתחבושת נצמדת בז' 20 מ""מ</v>
      </c>
    </row>
    <row r="779" customFormat="false" ht="15" hidden="false" customHeight="false" outlineLevel="0" collapsed="false">
      <c r="A779" s="20" t="n">
        <v>4422034</v>
      </c>
      <c r="B779" s="20" t="s">
        <v>922</v>
      </c>
      <c r="C779" s="20" t="str">
        <f aca="false">TRIM(SUBSTITUTE($B779,CHAR(160)," "))</f>
        <v>807CB-P תחבושת נצמדת ורוד 20ממ</v>
      </c>
    </row>
    <row r="780" customFormat="false" ht="15" hidden="false" customHeight="false" outlineLevel="0" collapsed="false">
      <c r="A780" s="20" t="n">
        <v>4422027</v>
      </c>
      <c r="B780" s="20" t="s">
        <v>923</v>
      </c>
      <c r="C780" s="20" t="str">
        <f aca="false">TRIM(SUBSTITUTE($B780,CHAR(160)," "))</f>
        <v>B10 - תחבושת אלסטית 10 ס""מ</v>
      </c>
    </row>
    <row r="781" customFormat="false" ht="15" hidden="false" customHeight="false" outlineLevel="0" collapsed="false">
      <c r="A781" s="20" t="n">
        <v>4422028</v>
      </c>
      <c r="B781" s="20" t="s">
        <v>924</v>
      </c>
      <c r="C781" s="20" t="str">
        <f aca="false">TRIM(SUBSTITUTE($B781,CHAR(160)," "))</f>
        <v>B10 - תחבושת אלסטית 5ס""מ</v>
      </c>
    </row>
    <row r="782" customFormat="false" ht="15" hidden="false" customHeight="false" outlineLevel="0" collapsed="false">
      <c r="A782" s="20" t="n">
        <v>4422029</v>
      </c>
      <c r="B782" s="20" t="s">
        <v>925</v>
      </c>
      <c r="C782" s="20" t="str">
        <f aca="false">TRIM(SUBSTITUTE($B782,CHAR(160)," "))</f>
        <v>B75 תחבושת אלסטית 7.5ס""מ</v>
      </c>
    </row>
  </sheetData>
  <mergeCells count="1">
    <mergeCell ref="A3:O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40"/>
    <col collapsed="false" customWidth="true" hidden="false" outlineLevel="0" max="4" min="4" style="1" width="20"/>
  </cols>
  <sheetData>
    <row r="1" customFormat="false" ht="17.35" hidden="false" customHeight="false" outlineLevel="0" collapsed="false">
      <c r="A1" s="2" t="s">
        <v>926</v>
      </c>
    </row>
    <row r="2" customFormat="false" ht="15" hidden="false" customHeight="false" outlineLevel="0" collapsed="false">
      <c r="A2" s="3" t="s">
        <v>1</v>
      </c>
      <c r="B2" s="4" t="n">
        <v>46290</v>
      </c>
    </row>
    <row r="3" customFormat="false" ht="22.35" hidden="false" customHeight="true" outlineLevel="0" collapsed="false">
      <c r="A3" s="5" t="s">
        <v>927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5" customFormat="false" ht="15" hidden="false" customHeight="false" outlineLevel="0" collapsed="false">
      <c r="A5" s="19" t="s">
        <v>928</v>
      </c>
      <c r="B5" s="19" t="s">
        <v>39</v>
      </c>
      <c r="C5" s="19" t="s">
        <v>929</v>
      </c>
      <c r="D5" s="19" t="s">
        <v>930</v>
      </c>
    </row>
    <row r="6" customFormat="false" ht="15" hidden="false" customHeight="false" outlineLevel="0" collapsed="false">
      <c r="A6" s="20" t="s">
        <v>931</v>
      </c>
      <c r="B6" s="20" t="n">
        <v>4420016</v>
      </c>
      <c r="C6" s="20" t="s">
        <v>160</v>
      </c>
      <c r="D6" s="20" t="str">
        <f aca="false">TRIM(SUBSTITUTE($A6,CHAR(160)," "))</f>
        <v>40 0</v>
      </c>
    </row>
    <row r="7" customFormat="false" ht="15" hidden="false" customHeight="false" outlineLevel="0" collapsed="false">
      <c r="A7" s="20" t="s">
        <v>932</v>
      </c>
      <c r="B7" s="20" t="n">
        <v>4420017</v>
      </c>
      <c r="C7" s="20" t="s">
        <v>933</v>
      </c>
      <c r="D7" s="20" t="str">
        <f aca="false">TRIM(SUBSTITUTE($A7,CHAR(160)," "))</f>
        <v>4022 0</v>
      </c>
    </row>
    <row r="8" customFormat="false" ht="15" hidden="false" customHeight="false" outlineLevel="0" collapsed="false">
      <c r="A8" s="20" t="s">
        <v>934</v>
      </c>
      <c r="B8" s="20" t="n">
        <v>4413074</v>
      </c>
      <c r="C8" s="20" t="s">
        <v>162</v>
      </c>
      <c r="D8" s="20" t="str">
        <f aca="false">TRIM(SUBSTITUTE($A8,CHAR(160)," "))</f>
        <v>41 XL</v>
      </c>
    </row>
    <row r="9" customFormat="false" ht="15" hidden="false" customHeight="false" outlineLevel="0" collapsed="false">
      <c r="A9" s="20" t="s">
        <v>935</v>
      </c>
      <c r="B9" s="20" t="n">
        <v>4413072</v>
      </c>
      <c r="C9" s="20" t="s">
        <v>163</v>
      </c>
      <c r="D9" s="20" t="str">
        <f aca="false">TRIM(SUBSTITUTE($A9,CHAR(160)," "))</f>
        <v>41 L</v>
      </c>
    </row>
    <row r="10" customFormat="false" ht="15" hidden="false" customHeight="false" outlineLevel="0" collapsed="false">
      <c r="A10" s="20" t="s">
        <v>936</v>
      </c>
      <c r="B10" s="20" t="n">
        <v>4413073</v>
      </c>
      <c r="C10" s="20" t="s">
        <v>164</v>
      </c>
      <c r="D10" s="20" t="str">
        <f aca="false">TRIM(SUBSTITUTE($A10,CHAR(160)," "))</f>
        <v>41 M</v>
      </c>
    </row>
    <row r="11" customFormat="false" ht="15" hidden="false" customHeight="false" outlineLevel="0" collapsed="false">
      <c r="A11" s="20" t="s">
        <v>937</v>
      </c>
      <c r="B11" s="20" t="n">
        <v>4413071</v>
      </c>
      <c r="C11" s="20" t="s">
        <v>165</v>
      </c>
      <c r="D11" s="20" t="str">
        <f aca="false">TRIM(SUBSTITUTE($A11,CHAR(160)," "))</f>
        <v>41 S</v>
      </c>
    </row>
    <row r="12" customFormat="false" ht="15" hidden="false" customHeight="false" outlineLevel="0" collapsed="false">
      <c r="A12" s="20" t="s">
        <v>938</v>
      </c>
      <c r="B12" s="20" t="n">
        <v>4413076</v>
      </c>
      <c r="C12" s="20" t="s">
        <v>168</v>
      </c>
      <c r="D12" s="20" t="str">
        <f aca="false">TRIM(SUBSTITUTE($A12,CHAR(160)," "))</f>
        <v>41X L</v>
      </c>
    </row>
    <row r="13" customFormat="false" ht="15" hidden="false" customHeight="false" outlineLevel="0" collapsed="false">
      <c r="A13" s="20" t="s">
        <v>939</v>
      </c>
      <c r="B13" s="20" t="n">
        <v>4413079</v>
      </c>
      <c r="C13" s="20" t="s">
        <v>171</v>
      </c>
      <c r="D13" s="20" t="str">
        <f aca="false">TRIM(SUBSTITUTE($A13,CHAR(160)," "))</f>
        <v>41X XL</v>
      </c>
    </row>
    <row r="14" customFormat="false" ht="15" hidden="false" customHeight="false" outlineLevel="0" collapsed="false">
      <c r="A14" s="20" t="s">
        <v>940</v>
      </c>
      <c r="B14" s="20" t="n">
        <v>4413089</v>
      </c>
      <c r="C14" s="20" t="s">
        <v>176</v>
      </c>
      <c r="D14" s="20" t="str">
        <f aca="false">TRIM(SUBSTITUTE($A14,CHAR(160)," "))</f>
        <v>422 S</v>
      </c>
    </row>
    <row r="15" customFormat="false" ht="15" hidden="false" customHeight="false" outlineLevel="0" collapsed="false">
      <c r="A15" s="20" t="s">
        <v>941</v>
      </c>
      <c r="B15" s="20" t="n">
        <v>4413284</v>
      </c>
      <c r="C15" s="20" t="s">
        <v>188</v>
      </c>
      <c r="D15" s="20" t="str">
        <f aca="false">TRIM(SUBSTITUTE($A15,CHAR(160)," "))</f>
        <v>422E XXXL</v>
      </c>
    </row>
    <row r="16" customFormat="false" ht="15" hidden="false" customHeight="false" outlineLevel="0" collapsed="false">
      <c r="A16" s="20" t="s">
        <v>942</v>
      </c>
      <c r="B16" s="20" t="n">
        <v>4413332</v>
      </c>
      <c r="C16" s="20" t="s">
        <v>194</v>
      </c>
      <c r="D16" s="20" t="str">
        <f aca="false">TRIM(SUBSTITUTE($A16,CHAR(160)," "))</f>
        <v>45 XS</v>
      </c>
    </row>
    <row r="17" customFormat="false" ht="15" hidden="false" customHeight="false" outlineLevel="0" collapsed="false">
      <c r="A17" s="20" t="s">
        <v>943</v>
      </c>
      <c r="B17" s="20" t="n">
        <v>4413092</v>
      </c>
      <c r="C17" s="20" t="s">
        <v>195</v>
      </c>
      <c r="D17" s="20" t="str">
        <f aca="false">TRIM(SUBSTITUTE($A17,CHAR(160)," "))</f>
        <v>45 L</v>
      </c>
    </row>
    <row r="18" customFormat="false" ht="15" hidden="false" customHeight="false" outlineLevel="0" collapsed="false">
      <c r="A18" s="20" t="s">
        <v>944</v>
      </c>
      <c r="B18" s="20" t="n">
        <v>4413093</v>
      </c>
      <c r="C18" s="20" t="s">
        <v>196</v>
      </c>
      <c r="D18" s="20" t="str">
        <f aca="false">TRIM(SUBSTITUTE($A18,CHAR(160)," "))</f>
        <v>45 M</v>
      </c>
    </row>
    <row r="19" customFormat="false" ht="15" hidden="false" customHeight="false" outlineLevel="0" collapsed="false">
      <c r="A19" s="20" t="s">
        <v>945</v>
      </c>
      <c r="B19" s="20" t="n">
        <v>4413094</v>
      </c>
      <c r="C19" s="20" t="s">
        <v>197</v>
      </c>
      <c r="D19" s="20" t="str">
        <f aca="false">TRIM(SUBSTITUTE($A19,CHAR(160)," "))</f>
        <v>45 S</v>
      </c>
    </row>
    <row r="20" customFormat="false" ht="15" hidden="false" customHeight="false" outlineLevel="0" collapsed="false">
      <c r="A20" s="20" t="s">
        <v>946</v>
      </c>
      <c r="B20" s="20" t="n">
        <v>4413095</v>
      </c>
      <c r="C20" s="20" t="s">
        <v>198</v>
      </c>
      <c r="D20" s="20" t="str">
        <f aca="false">TRIM(SUBSTITUTE($A20,CHAR(160)," "))</f>
        <v>45 XL</v>
      </c>
    </row>
    <row r="21" customFormat="false" ht="15" hidden="false" customHeight="false" outlineLevel="0" collapsed="false">
      <c r="A21" s="20" t="s">
        <v>947</v>
      </c>
      <c r="B21" s="20" t="n">
        <v>4413096</v>
      </c>
      <c r="C21" s="20" t="s">
        <v>199</v>
      </c>
      <c r="D21" s="20" t="str">
        <f aca="false">TRIM(SUBSTITUTE($A21,CHAR(160)," "))</f>
        <v>45 XXL</v>
      </c>
    </row>
    <row r="22" customFormat="false" ht="15" hidden="false" customHeight="false" outlineLevel="0" collapsed="false">
      <c r="A22" s="20" t="s">
        <v>948</v>
      </c>
      <c r="B22" s="20" t="n">
        <v>4413495</v>
      </c>
      <c r="C22" s="20" t="s">
        <v>200</v>
      </c>
      <c r="D22" s="20" t="str">
        <f aca="false">TRIM(SUBSTITUTE($A22,CHAR(160)," "))</f>
        <v>45B L</v>
      </c>
    </row>
    <row r="23" customFormat="false" ht="15" hidden="false" customHeight="false" outlineLevel="0" collapsed="false">
      <c r="A23" s="20" t="s">
        <v>949</v>
      </c>
      <c r="B23" s="20" t="n">
        <v>4413497</v>
      </c>
      <c r="C23" s="20" t="s">
        <v>201</v>
      </c>
      <c r="D23" s="20" t="str">
        <f aca="false">TRIM(SUBSTITUTE($A23,CHAR(160)," "))</f>
        <v>45B M</v>
      </c>
    </row>
    <row r="24" customFormat="false" ht="15" hidden="false" customHeight="false" outlineLevel="0" collapsed="false">
      <c r="A24" s="20" t="s">
        <v>950</v>
      </c>
      <c r="B24" s="20" t="n">
        <v>4413498</v>
      </c>
      <c r="C24" s="20" t="s">
        <v>202</v>
      </c>
      <c r="D24" s="20" t="str">
        <f aca="false">TRIM(SUBSTITUTE($A24,CHAR(160)," "))</f>
        <v>45B S</v>
      </c>
    </row>
    <row r="25" customFormat="false" ht="15" hidden="false" customHeight="false" outlineLevel="0" collapsed="false">
      <c r="A25" s="20" t="s">
        <v>951</v>
      </c>
      <c r="B25" s="20" t="n">
        <v>4413496</v>
      </c>
      <c r="C25" s="20" t="s">
        <v>203</v>
      </c>
      <c r="D25" s="20" t="str">
        <f aca="false">TRIM(SUBSTITUTE($A25,CHAR(160)," "))</f>
        <v>45B XL</v>
      </c>
    </row>
    <row r="26" customFormat="false" ht="15" hidden="false" customHeight="false" outlineLevel="0" collapsed="false">
      <c r="A26" s="20" t="s">
        <v>952</v>
      </c>
      <c r="B26" s="20" t="n">
        <v>4413499</v>
      </c>
      <c r="C26" s="20" t="s">
        <v>204</v>
      </c>
      <c r="D26" s="20" t="str">
        <f aca="false">TRIM(SUBSTITUTE($A26,CHAR(160)," "))</f>
        <v>45B XXL</v>
      </c>
    </row>
    <row r="27" customFormat="false" ht="15" hidden="false" customHeight="false" outlineLevel="0" collapsed="false">
      <c r="A27" s="20" t="s">
        <v>953</v>
      </c>
      <c r="B27" s="20" t="n">
        <v>4413098</v>
      </c>
      <c r="C27" s="20" t="s">
        <v>205</v>
      </c>
      <c r="D27" s="20" t="str">
        <f aca="false">TRIM(SUBSTITUTE($A27,CHAR(160)," "))</f>
        <v>45C L</v>
      </c>
    </row>
    <row r="28" customFormat="false" ht="15" hidden="false" customHeight="false" outlineLevel="0" collapsed="false">
      <c r="A28" s="20" t="s">
        <v>954</v>
      </c>
      <c r="B28" s="20" t="n">
        <v>4413099</v>
      </c>
      <c r="C28" s="20" t="s">
        <v>206</v>
      </c>
      <c r="D28" s="20" t="str">
        <f aca="false">TRIM(SUBSTITUTE($A28,CHAR(160)," "))</f>
        <v>45C M</v>
      </c>
    </row>
    <row r="29" customFormat="false" ht="15" hidden="false" customHeight="false" outlineLevel="0" collapsed="false">
      <c r="A29" s="20" t="s">
        <v>955</v>
      </c>
      <c r="B29" s="20" t="n">
        <v>4413097</v>
      </c>
      <c r="C29" s="20" t="s">
        <v>207</v>
      </c>
      <c r="D29" s="20" t="str">
        <f aca="false">TRIM(SUBSTITUTE($A29,CHAR(160)," "))</f>
        <v>45C S</v>
      </c>
    </row>
    <row r="30" customFormat="false" ht="15" hidden="false" customHeight="false" outlineLevel="0" collapsed="false">
      <c r="A30" s="20" t="s">
        <v>956</v>
      </c>
      <c r="B30" s="20" t="n">
        <v>4413100</v>
      </c>
      <c r="C30" s="20" t="s">
        <v>208</v>
      </c>
      <c r="D30" s="20" t="str">
        <f aca="false">TRIM(SUBSTITUTE($A30,CHAR(160)," "))</f>
        <v>45C XL</v>
      </c>
    </row>
    <row r="31" customFormat="false" ht="15" hidden="false" customHeight="false" outlineLevel="0" collapsed="false">
      <c r="A31" s="20" t="s">
        <v>957</v>
      </c>
      <c r="B31" s="20" t="n">
        <v>4413102</v>
      </c>
      <c r="C31" s="20" t="s">
        <v>209</v>
      </c>
      <c r="D31" s="20" t="str">
        <f aca="false">TRIM(SUBSTITUTE($A31,CHAR(160)," "))</f>
        <v>45E L</v>
      </c>
    </row>
    <row r="32" customFormat="false" ht="15" hidden="false" customHeight="false" outlineLevel="0" collapsed="false">
      <c r="A32" s="20" t="s">
        <v>958</v>
      </c>
      <c r="B32" s="20" t="n">
        <v>4413103</v>
      </c>
      <c r="C32" s="20" t="s">
        <v>210</v>
      </c>
      <c r="D32" s="20" t="str">
        <f aca="false">TRIM(SUBSTITUTE($A32,CHAR(160)," "))</f>
        <v>45E M</v>
      </c>
    </row>
    <row r="33" customFormat="false" ht="15" hidden="false" customHeight="false" outlineLevel="0" collapsed="false">
      <c r="A33" s="20" t="s">
        <v>959</v>
      </c>
      <c r="B33" s="20" t="n">
        <v>4413101</v>
      </c>
      <c r="C33" s="20" t="s">
        <v>211</v>
      </c>
      <c r="D33" s="20" t="str">
        <f aca="false">TRIM(SUBSTITUTE($A33,CHAR(160)," "))</f>
        <v>45E S</v>
      </c>
    </row>
    <row r="34" customFormat="false" ht="15" hidden="false" customHeight="false" outlineLevel="0" collapsed="false">
      <c r="A34" s="20" t="s">
        <v>960</v>
      </c>
      <c r="B34" s="20" t="n">
        <v>4413104</v>
      </c>
      <c r="C34" s="20" t="s">
        <v>212</v>
      </c>
      <c r="D34" s="20" t="str">
        <f aca="false">TRIM(SUBSTITUTE($A34,CHAR(160)," "))</f>
        <v>45E XL</v>
      </c>
    </row>
    <row r="35" customFormat="false" ht="15" hidden="false" customHeight="false" outlineLevel="0" collapsed="false">
      <c r="A35" s="20" t="s">
        <v>961</v>
      </c>
      <c r="B35" s="20" t="n">
        <v>4413105</v>
      </c>
      <c r="C35" s="20" t="s">
        <v>213</v>
      </c>
      <c r="D35" s="20" t="str">
        <f aca="false">TRIM(SUBSTITUTE($A35,CHAR(160)," "))</f>
        <v>45E XXL</v>
      </c>
    </row>
    <row r="36" customFormat="false" ht="15" hidden="false" customHeight="false" outlineLevel="0" collapsed="false">
      <c r="A36" s="20" t="s">
        <v>962</v>
      </c>
      <c r="B36" s="20" t="n">
        <v>4413396</v>
      </c>
      <c r="C36" s="20" t="s">
        <v>214</v>
      </c>
      <c r="D36" s="20" t="str">
        <f aca="false">TRIM(SUBSTITUTE($A36,CHAR(160)," "))</f>
        <v>45EC L</v>
      </c>
    </row>
    <row r="37" customFormat="false" ht="15" hidden="false" customHeight="false" outlineLevel="0" collapsed="false">
      <c r="A37" s="20" t="s">
        <v>963</v>
      </c>
      <c r="B37" s="20" t="n">
        <v>4413395</v>
      </c>
      <c r="C37" s="20" t="s">
        <v>215</v>
      </c>
      <c r="D37" s="20" t="str">
        <f aca="false">TRIM(SUBSTITUTE($A37,CHAR(160)," "))</f>
        <v>45EC M</v>
      </c>
    </row>
    <row r="38" customFormat="false" ht="15" hidden="false" customHeight="false" outlineLevel="0" collapsed="false">
      <c r="A38" s="20" t="s">
        <v>964</v>
      </c>
      <c r="B38" s="20" t="n">
        <v>4413394</v>
      </c>
      <c r="C38" s="20" t="s">
        <v>216</v>
      </c>
      <c r="D38" s="20" t="str">
        <f aca="false">TRIM(SUBSTITUTE($A38,CHAR(160)," "))</f>
        <v>45EC S</v>
      </c>
    </row>
    <row r="39" customFormat="false" ht="15" hidden="false" customHeight="false" outlineLevel="0" collapsed="false">
      <c r="A39" s="20" t="s">
        <v>965</v>
      </c>
      <c r="B39" s="20" t="n">
        <v>4413397</v>
      </c>
      <c r="C39" s="20" t="s">
        <v>217</v>
      </c>
      <c r="D39" s="20" t="str">
        <f aca="false">TRIM(SUBSTITUTE($A39,CHAR(160)," "))</f>
        <v>45EC XL</v>
      </c>
    </row>
    <row r="40" customFormat="false" ht="15" hidden="false" customHeight="false" outlineLevel="0" collapsed="false">
      <c r="A40" s="20" t="s">
        <v>966</v>
      </c>
      <c r="B40" s="20" t="n">
        <v>4413398</v>
      </c>
      <c r="C40" s="20" t="s">
        <v>218</v>
      </c>
      <c r="D40" s="20" t="str">
        <f aca="false">TRIM(SUBSTITUTE($A40,CHAR(160)," "))</f>
        <v>45EC XXL</v>
      </c>
    </row>
    <row r="41" customFormat="false" ht="15" hidden="false" customHeight="false" outlineLevel="0" collapsed="false">
      <c r="A41" s="20" t="s">
        <v>967</v>
      </c>
      <c r="B41" s="20" t="n">
        <v>4413107</v>
      </c>
      <c r="C41" s="20" t="s">
        <v>219</v>
      </c>
      <c r="D41" s="20" t="str">
        <f aca="false">TRIM(SUBSTITUTE($A41,CHAR(160)," "))</f>
        <v>48 L</v>
      </c>
    </row>
    <row r="42" customFormat="false" ht="15" hidden="false" customHeight="false" outlineLevel="0" collapsed="false">
      <c r="A42" s="20" t="s">
        <v>968</v>
      </c>
      <c r="B42" s="20" t="n">
        <v>4413108</v>
      </c>
      <c r="C42" s="20" t="s">
        <v>220</v>
      </c>
      <c r="D42" s="20" t="str">
        <f aca="false">TRIM(SUBSTITUTE($A42,CHAR(160)," "))</f>
        <v>48 M</v>
      </c>
    </row>
    <row r="43" customFormat="false" ht="15" hidden="false" customHeight="false" outlineLevel="0" collapsed="false">
      <c r="A43" s="20" t="s">
        <v>969</v>
      </c>
      <c r="B43" s="20" t="n">
        <v>4420026</v>
      </c>
      <c r="C43" s="20" t="s">
        <v>224</v>
      </c>
      <c r="D43" s="20" t="str">
        <f aca="false">TRIM(SUBSTITUTE($A43,CHAR(160)," "))</f>
        <v>AC40 0</v>
      </c>
    </row>
    <row r="44" customFormat="false" ht="15" hidden="false" customHeight="false" outlineLevel="0" collapsed="false">
      <c r="A44" s="20" t="s">
        <v>970</v>
      </c>
      <c r="B44" s="20" t="n">
        <v>4413328</v>
      </c>
      <c r="C44" s="20" t="s">
        <v>225</v>
      </c>
      <c r="D44" s="20" t="str">
        <f aca="false">TRIM(SUBSTITUTE($A44,CHAR(160)," "))</f>
        <v>AC43D 0</v>
      </c>
    </row>
    <row r="45" customFormat="false" ht="15" hidden="false" customHeight="false" outlineLevel="0" collapsed="false">
      <c r="A45" s="20" t="s">
        <v>971</v>
      </c>
      <c r="B45" s="20" t="n">
        <v>4413329</v>
      </c>
      <c r="C45" s="20" t="s">
        <v>226</v>
      </c>
      <c r="D45" s="20" t="str">
        <f aca="false">TRIM(SUBSTITUTE($A45,CHAR(160)," "))</f>
        <v>AC45X 0</v>
      </c>
    </row>
    <row r="46" customFormat="false" ht="15" hidden="false" customHeight="false" outlineLevel="0" collapsed="false">
      <c r="A46" s="20" t="s">
        <v>972</v>
      </c>
      <c r="B46" s="20" t="n">
        <v>4402011</v>
      </c>
      <c r="C46" s="20" t="s">
        <v>227</v>
      </c>
      <c r="D46" s="20" t="str">
        <f aca="false">TRIM(SUBSTITUTE($A46,CHAR(160)," "))</f>
        <v>ST422 0</v>
      </c>
    </row>
    <row r="47" customFormat="false" ht="15" hidden="false" customHeight="false" outlineLevel="0" collapsed="false">
      <c r="A47" s="20" t="s">
        <v>973</v>
      </c>
      <c r="B47" s="20" t="n">
        <v>4413438</v>
      </c>
      <c r="C47" s="20" t="s">
        <v>228</v>
      </c>
      <c r="D47" s="20" t="str">
        <f aca="false">TRIM(SUBSTITUTE($A47,CHAR(160)," "))</f>
        <v>SC422 S</v>
      </c>
    </row>
    <row r="48" customFormat="false" ht="15" hidden="false" customHeight="false" outlineLevel="0" collapsed="false">
      <c r="A48" s="20" t="s">
        <v>974</v>
      </c>
      <c r="B48" s="20" t="n">
        <v>4413442</v>
      </c>
      <c r="C48" s="20" t="s">
        <v>229</v>
      </c>
      <c r="D48" s="20" t="str">
        <f aca="false">TRIM(SUBSTITUTE($A48,CHAR(160)," "))</f>
        <v>SC422 XXL</v>
      </c>
    </row>
    <row r="49" customFormat="false" ht="15" hidden="false" customHeight="false" outlineLevel="0" collapsed="false">
      <c r="A49" s="20" t="s">
        <v>975</v>
      </c>
      <c r="B49" s="20" t="n">
        <v>4422037</v>
      </c>
      <c r="C49" s="20" t="s">
        <v>230</v>
      </c>
      <c r="D49" s="20" t="str">
        <f aca="false">TRIM(SUBSTITUTE($A49,CHAR(160)," "))</f>
        <v>SH422 1</v>
      </c>
    </row>
    <row r="50" customFormat="false" ht="15" hidden="false" customHeight="false" outlineLevel="0" collapsed="false">
      <c r="A50" s="20" t="s">
        <v>976</v>
      </c>
      <c r="B50" s="20" t="n">
        <v>4422038</v>
      </c>
      <c r="C50" s="20" t="s">
        <v>231</v>
      </c>
      <c r="D50" s="20" t="str">
        <f aca="false">TRIM(SUBSTITUTE($A50,CHAR(160)," "))</f>
        <v>SH422 2</v>
      </c>
    </row>
    <row r="51" customFormat="false" ht="15" hidden="false" customHeight="false" outlineLevel="0" collapsed="false">
      <c r="A51" s="20" t="s">
        <v>977</v>
      </c>
      <c r="B51" s="20" t="n">
        <v>4422039</v>
      </c>
      <c r="C51" s="20" t="s">
        <v>232</v>
      </c>
      <c r="D51" s="20" t="str">
        <f aca="false">TRIM(SUBSTITUTE($A51,CHAR(160)," "))</f>
        <v>SH422 3</v>
      </c>
    </row>
    <row r="52" customFormat="false" ht="15" hidden="false" customHeight="false" outlineLevel="0" collapsed="false">
      <c r="A52" s="20" t="s">
        <v>978</v>
      </c>
      <c r="B52" s="20" t="n">
        <v>4422040</v>
      </c>
      <c r="C52" s="20" t="s">
        <v>233</v>
      </c>
      <c r="D52" s="20" t="str">
        <f aca="false">TRIM(SUBSTITUTE($A52,CHAR(160)," "))</f>
        <v>SH422 4</v>
      </c>
    </row>
    <row r="53" customFormat="false" ht="15" hidden="false" customHeight="false" outlineLevel="0" collapsed="false">
      <c r="A53" s="20" t="s">
        <v>979</v>
      </c>
      <c r="B53" s="20" t="n">
        <v>4422041</v>
      </c>
      <c r="C53" s="20" t="s">
        <v>234</v>
      </c>
      <c r="D53" s="20" t="str">
        <f aca="false">TRIM(SUBSTITUTE($A53,CHAR(160)," "))</f>
        <v>SH422 5</v>
      </c>
    </row>
    <row r="54" customFormat="false" ht="15" hidden="false" customHeight="false" outlineLevel="0" collapsed="false">
      <c r="A54" s="20" t="s">
        <v>980</v>
      </c>
      <c r="B54" s="20" t="n">
        <v>4422042</v>
      </c>
      <c r="C54" s="20" t="s">
        <v>235</v>
      </c>
      <c r="D54" s="20" t="str">
        <f aca="false">TRIM(SUBSTITUTE($A54,CHAR(160)," "))</f>
        <v>SH422 6</v>
      </c>
    </row>
    <row r="55" customFormat="false" ht="15" hidden="false" customHeight="false" outlineLevel="0" collapsed="false">
      <c r="A55" s="20" t="s">
        <v>981</v>
      </c>
      <c r="B55" s="20" t="n">
        <v>4413532</v>
      </c>
      <c r="C55" s="20" t="s">
        <v>236</v>
      </c>
      <c r="D55" s="20" t="str">
        <f aca="false">TRIM(SUBSTITUTE($A55,CHAR(160)," "))</f>
        <v>ST433 0</v>
      </c>
    </row>
    <row r="56" customFormat="false" ht="15" hidden="false" customHeight="false" outlineLevel="0" collapsed="false">
      <c r="A56" s="20" t="s">
        <v>982</v>
      </c>
      <c r="B56" s="20" t="n">
        <v>4413184</v>
      </c>
      <c r="C56" s="20" t="s">
        <v>237</v>
      </c>
      <c r="D56" s="20" t="str">
        <f aca="false">TRIM(SUBSTITUTE($A56,CHAR(160)," "))</f>
        <v>T45 L</v>
      </c>
    </row>
    <row r="57" customFormat="false" ht="15" hidden="false" customHeight="false" outlineLevel="0" collapsed="false">
      <c r="A57" s="20" t="s">
        <v>983</v>
      </c>
      <c r="B57" s="20" t="n">
        <v>4413183</v>
      </c>
      <c r="C57" s="20" t="s">
        <v>238</v>
      </c>
      <c r="D57" s="20" t="str">
        <f aca="false">TRIM(SUBSTITUTE($A57,CHAR(160)," "))</f>
        <v>T45 M</v>
      </c>
    </row>
    <row r="58" customFormat="false" ht="15" hidden="false" customHeight="false" outlineLevel="0" collapsed="false">
      <c r="A58" s="20" t="s">
        <v>984</v>
      </c>
      <c r="B58" s="20" t="n">
        <v>4413185</v>
      </c>
      <c r="C58" s="20" t="s">
        <v>239</v>
      </c>
      <c r="D58" s="20" t="str">
        <f aca="false">TRIM(SUBSTITUTE($A58,CHAR(160)," "))</f>
        <v>T45 XL</v>
      </c>
    </row>
    <row r="59" customFormat="false" ht="15" hidden="false" customHeight="false" outlineLevel="0" collapsed="false">
      <c r="A59" s="20" t="s">
        <v>985</v>
      </c>
      <c r="B59" s="20" t="n">
        <v>4413182</v>
      </c>
      <c r="C59" s="20" t="s">
        <v>252</v>
      </c>
      <c r="D59" s="20" t="str">
        <f aca="false">TRIM(SUBSTITUTE($A59,CHAR(160)," "))</f>
        <v>T45 S</v>
      </c>
    </row>
    <row r="60" customFormat="false" ht="15" hidden="false" customHeight="false" outlineLevel="0" collapsed="false">
      <c r="A60" s="20" t="s">
        <v>986</v>
      </c>
      <c r="B60" s="20" t="n">
        <v>4413286</v>
      </c>
      <c r="C60" s="20" t="s">
        <v>253</v>
      </c>
      <c r="D60" s="20" t="str">
        <f aca="false">TRIM(SUBSTITUTE($A60,CHAR(160)," "))</f>
        <v>T45 XXL</v>
      </c>
    </row>
    <row r="61" customFormat="false" ht="15" hidden="false" customHeight="false" outlineLevel="0" collapsed="false">
      <c r="A61" s="20" t="s">
        <v>987</v>
      </c>
      <c r="B61" s="20" t="n">
        <v>4413260</v>
      </c>
      <c r="C61" s="20" t="s">
        <v>254</v>
      </c>
      <c r="D61" s="20" t="str">
        <f aca="false">TRIM(SUBSTITUTE($A61,CHAR(160)," "))</f>
        <v>T45X XXL</v>
      </c>
    </row>
    <row r="62" customFormat="false" ht="15" hidden="false" customHeight="false" outlineLevel="0" collapsed="false">
      <c r="A62" s="20" t="s">
        <v>988</v>
      </c>
      <c r="B62" s="20" t="n">
        <v>4413224</v>
      </c>
      <c r="C62" s="20" t="s">
        <v>258</v>
      </c>
      <c r="D62" s="20" t="str">
        <f aca="false">TRIM(SUBSTITUTE($A62,CHAR(160)," "))</f>
        <v>T45X XL</v>
      </c>
    </row>
    <row r="63" customFormat="false" ht="15" hidden="false" customHeight="false" outlineLevel="0" collapsed="false">
      <c r="A63" s="20" t="s">
        <v>989</v>
      </c>
      <c r="B63" s="20" t="n">
        <v>4403040</v>
      </c>
      <c r="C63" s="20" t="s">
        <v>260</v>
      </c>
      <c r="D63" s="20" t="str">
        <f aca="false">TRIM(SUBSTITUTE($A63,CHAR(160)," "))</f>
        <v>3444B 0</v>
      </c>
    </row>
    <row r="64" customFormat="false" ht="15" hidden="false" customHeight="false" outlineLevel="0" collapsed="false">
      <c r="A64" s="20" t="s">
        <v>990</v>
      </c>
      <c r="B64" s="20" t="n">
        <v>4403001</v>
      </c>
      <c r="C64" s="20" t="s">
        <v>262</v>
      </c>
      <c r="D64" s="20" t="str">
        <f aca="false">TRIM(SUBSTITUTE($A64,CHAR(160)," "))</f>
        <v>390B-39-42</v>
      </c>
    </row>
    <row r="65" customFormat="false" ht="15" hidden="false" customHeight="false" outlineLevel="0" collapsed="false">
      <c r="A65" s="20" t="s">
        <v>991</v>
      </c>
      <c r="B65" s="20" t="n">
        <v>4403002</v>
      </c>
      <c r="C65" s="20" t="s">
        <v>263</v>
      </c>
      <c r="D65" s="20" t="str">
        <f aca="false">TRIM(SUBSTITUTE($A65,CHAR(160)," "))</f>
        <v>390B-43-46</v>
      </c>
    </row>
    <row r="66" customFormat="false" ht="15" hidden="false" customHeight="false" outlineLevel="0" collapsed="false">
      <c r="A66" s="20" t="s">
        <v>992</v>
      </c>
      <c r="B66" s="20" t="n">
        <v>4403000</v>
      </c>
      <c r="C66" s="20" t="s">
        <v>264</v>
      </c>
      <c r="D66" s="20" t="str">
        <f aca="false">TRIM(SUBSTITUTE($A66,CHAR(160)," "))</f>
        <v>390B-35-38</v>
      </c>
    </row>
    <row r="67" customFormat="false" ht="15" hidden="false" customHeight="false" outlineLevel="0" collapsed="false">
      <c r="A67" s="20" t="s">
        <v>993</v>
      </c>
      <c r="B67" s="20" t="n">
        <v>4403003</v>
      </c>
      <c r="C67" s="20" t="s">
        <v>266</v>
      </c>
      <c r="D67" s="20" t="str">
        <f aca="false">TRIM(SUBSTITUTE($A67,CHAR(160)," "))</f>
        <v>390G-35-38</v>
      </c>
    </row>
    <row r="68" customFormat="false" ht="15" hidden="false" customHeight="false" outlineLevel="0" collapsed="false">
      <c r="A68" s="20" t="s">
        <v>994</v>
      </c>
      <c r="B68" s="20" t="n">
        <v>4403006</v>
      </c>
      <c r="C68" s="20" t="s">
        <v>267</v>
      </c>
      <c r="D68" s="20" t="str">
        <f aca="false">TRIM(SUBSTITUTE($A68,CHAR(160)," "))</f>
        <v>390W-35-38</v>
      </c>
    </row>
    <row r="69" customFormat="false" ht="15" hidden="false" customHeight="false" outlineLevel="0" collapsed="false">
      <c r="A69" s="20" t="s">
        <v>995</v>
      </c>
      <c r="B69" s="20" t="n">
        <v>4403007</v>
      </c>
      <c r="C69" s="20" t="s">
        <v>268</v>
      </c>
      <c r="D69" s="20" t="str">
        <f aca="false">TRIM(SUBSTITUTE($A69,CHAR(160)," "))</f>
        <v>390W-39-42</v>
      </c>
    </row>
    <row r="70" customFormat="false" ht="15" hidden="false" customHeight="false" outlineLevel="0" collapsed="false">
      <c r="A70" s="20" t="s">
        <v>996</v>
      </c>
      <c r="B70" s="20" t="n">
        <v>4403008</v>
      </c>
      <c r="C70" s="20" t="s">
        <v>269</v>
      </c>
      <c r="D70" s="20" t="str">
        <f aca="false">TRIM(SUBSTITUTE($A70,CHAR(160)," "))</f>
        <v>390W-43-46</v>
      </c>
    </row>
    <row r="71" customFormat="false" ht="15" hidden="false" customHeight="false" outlineLevel="0" collapsed="false">
      <c r="A71" s="20" t="s">
        <v>997</v>
      </c>
      <c r="B71" s="20" t="n">
        <v>4403017</v>
      </c>
      <c r="C71" s="20" t="s">
        <v>270</v>
      </c>
      <c r="D71" s="20" t="str">
        <f aca="false">TRIM(SUBSTITUTE($A71,CHAR(160)," "))</f>
        <v>394B-35-38</v>
      </c>
    </row>
    <row r="72" customFormat="false" ht="15" hidden="false" customHeight="false" outlineLevel="0" collapsed="false">
      <c r="A72" s="20" t="s">
        <v>998</v>
      </c>
      <c r="B72" s="20" t="n">
        <v>4403018</v>
      </c>
      <c r="C72" s="20" t="s">
        <v>271</v>
      </c>
      <c r="D72" s="20" t="str">
        <f aca="false">TRIM(SUBSTITUTE($A72,CHAR(160)," "))</f>
        <v>394B-39-42</v>
      </c>
    </row>
    <row r="73" customFormat="false" ht="15" hidden="false" customHeight="false" outlineLevel="0" collapsed="false">
      <c r="A73" s="20" t="s">
        <v>999</v>
      </c>
      <c r="B73" s="20" t="n">
        <v>4403019</v>
      </c>
      <c r="C73" s="20" t="s">
        <v>272</v>
      </c>
      <c r="D73" s="20" t="str">
        <f aca="false">TRIM(SUBSTITUTE($A73,CHAR(160)," "))</f>
        <v>394B-43-46</v>
      </c>
    </row>
    <row r="74" customFormat="false" ht="15" hidden="false" customHeight="false" outlineLevel="0" collapsed="false">
      <c r="A74" s="20" t="s">
        <v>1000</v>
      </c>
      <c r="B74" s="20" t="n">
        <v>4403023</v>
      </c>
      <c r="C74" s="20" t="s">
        <v>276</v>
      </c>
      <c r="D74" s="20" t="str">
        <f aca="false">TRIM(SUBSTITUTE($A74,CHAR(160)," "))</f>
        <v>394W-35-38</v>
      </c>
    </row>
    <row r="75" customFormat="false" ht="15" hidden="false" customHeight="false" outlineLevel="0" collapsed="false">
      <c r="A75" s="20" t="s">
        <v>1001</v>
      </c>
      <c r="B75" s="20" t="n">
        <v>4403024</v>
      </c>
      <c r="C75" s="20" t="s">
        <v>277</v>
      </c>
      <c r="D75" s="20" t="str">
        <f aca="false">TRIM(SUBSTITUTE($A75,CHAR(160)," "))</f>
        <v>394W-39-42</v>
      </c>
    </row>
    <row r="76" customFormat="false" ht="15" hidden="false" customHeight="false" outlineLevel="0" collapsed="false">
      <c r="A76" s="20" t="s">
        <v>1002</v>
      </c>
      <c r="B76" s="20" t="n">
        <v>4403025</v>
      </c>
      <c r="C76" s="20" t="s">
        <v>278</v>
      </c>
      <c r="D76" s="20" t="str">
        <f aca="false">TRIM(SUBSTITUTE($A76,CHAR(160)," "))</f>
        <v>394W-43-46</v>
      </c>
    </row>
    <row r="77" customFormat="false" ht="15" hidden="false" customHeight="false" outlineLevel="0" collapsed="false">
      <c r="A77" s="20" t="s">
        <v>1003</v>
      </c>
      <c r="B77" s="20" t="n">
        <v>4403044</v>
      </c>
      <c r="C77" s="20" t="s">
        <v>279</v>
      </c>
      <c r="D77" s="20" t="str">
        <f aca="false">TRIM(SUBSTITUTE($A77,CHAR(160)," "))</f>
        <v>395B-39-42</v>
      </c>
    </row>
    <row r="78" customFormat="false" ht="15" hidden="false" customHeight="false" outlineLevel="0" collapsed="false">
      <c r="A78" s="20" t="s">
        <v>1004</v>
      </c>
      <c r="B78" s="20" t="n">
        <v>4403045</v>
      </c>
      <c r="C78" s="20" t="s">
        <v>280</v>
      </c>
      <c r="D78" s="20" t="str">
        <f aca="false">TRIM(SUBSTITUTE($A78,CHAR(160)," "))</f>
        <v>395B-43-46</v>
      </c>
    </row>
    <row r="79" customFormat="false" ht="15" hidden="false" customHeight="false" outlineLevel="0" collapsed="false">
      <c r="A79" s="20" t="s">
        <v>1005</v>
      </c>
      <c r="B79" s="20" t="n">
        <v>4403029</v>
      </c>
      <c r="C79" s="20" t="s">
        <v>284</v>
      </c>
      <c r="D79" s="20" t="str">
        <f aca="false">TRIM(SUBSTITUTE($A79,CHAR(160)," "))</f>
        <v>397-39-42</v>
      </c>
    </row>
    <row r="80" customFormat="false" ht="15" hidden="false" customHeight="false" outlineLevel="0" collapsed="false">
      <c r="A80" s="20" t="s">
        <v>1006</v>
      </c>
      <c r="B80" s="20" t="n">
        <v>4403041</v>
      </c>
      <c r="C80" s="20" t="s">
        <v>286</v>
      </c>
      <c r="D80" s="20" t="str">
        <f aca="false">TRIM(SUBSTITUTE($A80,CHAR(160)," "))</f>
        <v>397A-35-38</v>
      </c>
    </row>
    <row r="81" customFormat="false" ht="15" hidden="false" customHeight="false" outlineLevel="0" collapsed="false">
      <c r="A81" s="20" t="s">
        <v>1007</v>
      </c>
      <c r="B81" s="20" t="n">
        <v>4403042</v>
      </c>
      <c r="C81" s="20" t="s">
        <v>287</v>
      </c>
      <c r="D81" s="20" t="str">
        <f aca="false">TRIM(SUBSTITUTE($A81,CHAR(160)," "))</f>
        <v>397A-39-42</v>
      </c>
    </row>
    <row r="82" customFormat="false" ht="15" hidden="false" customHeight="false" outlineLevel="0" collapsed="false">
      <c r="A82" s="20" t="s">
        <v>1008</v>
      </c>
      <c r="B82" s="20" t="n">
        <v>4403043</v>
      </c>
      <c r="C82" s="20" t="s">
        <v>288</v>
      </c>
      <c r="D82" s="20" t="str">
        <f aca="false">TRIM(SUBSTITUTE($A82,CHAR(160)," "))</f>
        <v>397A-43-46</v>
      </c>
    </row>
    <row r="83" customFormat="false" ht="15" hidden="false" customHeight="false" outlineLevel="0" collapsed="false">
      <c r="A83" s="20" t="s">
        <v>1009</v>
      </c>
      <c r="B83" s="20" t="n">
        <v>4403005</v>
      </c>
      <c r="C83" s="20" t="s">
        <v>289</v>
      </c>
      <c r="D83" s="20" t="str">
        <f aca="false">TRIM(SUBSTITUTE($A83,CHAR(160)," "))</f>
        <v>390G-43-46</v>
      </c>
    </row>
    <row r="84" customFormat="false" ht="15" hidden="false" customHeight="false" outlineLevel="0" collapsed="false">
      <c r="A84" s="20" t="s">
        <v>1010</v>
      </c>
      <c r="B84" s="20" t="n">
        <v>4403034</v>
      </c>
      <c r="C84" s="20" t="s">
        <v>290</v>
      </c>
      <c r="D84" s="20" t="str">
        <f aca="false">TRIM(SUBSTITUTE($A84,CHAR(160)," "))</f>
        <v>ST3555-S-M</v>
      </c>
    </row>
    <row r="85" customFormat="false" ht="15" hidden="false" customHeight="false" outlineLevel="0" collapsed="false">
      <c r="A85" s="20" t="s">
        <v>1011</v>
      </c>
      <c r="B85" s="20" t="n">
        <v>4403035</v>
      </c>
      <c r="C85" s="20" t="s">
        <v>291</v>
      </c>
      <c r="D85" s="20" t="str">
        <f aca="false">TRIM(SUBSTITUTE($A85,CHAR(160)," "))</f>
        <v>ST3555-L-XL</v>
      </c>
    </row>
    <row r="86" customFormat="false" ht="15" hidden="false" customHeight="false" outlineLevel="0" collapsed="false">
      <c r="A86" s="20" t="s">
        <v>1012</v>
      </c>
      <c r="B86" s="20" t="n">
        <v>4408119</v>
      </c>
      <c r="C86" s="20" t="s">
        <v>298</v>
      </c>
      <c r="D86" s="20" t="str">
        <f aca="false">TRIM(SUBSTITUTE($A86,CHAR(160)," "))</f>
        <v>06U L</v>
      </c>
    </row>
    <row r="87" customFormat="false" ht="15" hidden="false" customHeight="false" outlineLevel="0" collapsed="false">
      <c r="A87" s="20" t="s">
        <v>1013</v>
      </c>
      <c r="B87" s="20" t="n">
        <v>4408120</v>
      </c>
      <c r="C87" s="20" t="s">
        <v>300</v>
      </c>
      <c r="D87" s="20" t="str">
        <f aca="false">TRIM(SUBSTITUTE($A87,CHAR(160)," "))</f>
        <v>06U XL</v>
      </c>
    </row>
    <row r="88" customFormat="false" ht="15" hidden="false" customHeight="false" outlineLevel="0" collapsed="false">
      <c r="A88" s="20" t="s">
        <v>1014</v>
      </c>
      <c r="B88" s="20" t="n">
        <v>4408245</v>
      </c>
      <c r="C88" s="20" t="s">
        <v>302</v>
      </c>
      <c r="D88" s="20" t="str">
        <f aca="false">TRIM(SUBSTITUTE($A88,CHAR(160)," "))</f>
        <v>077A XXL</v>
      </c>
    </row>
    <row r="89" customFormat="false" ht="15" hidden="false" customHeight="false" outlineLevel="0" collapsed="false">
      <c r="A89" s="20" t="s">
        <v>1015</v>
      </c>
      <c r="B89" s="20" t="n">
        <v>4408135</v>
      </c>
      <c r="C89" s="20" t="s">
        <v>303</v>
      </c>
      <c r="D89" s="20" t="str">
        <f aca="false">TRIM(SUBSTITUTE($A89,CHAR(160)," "))</f>
        <v>077A-L-XL</v>
      </c>
    </row>
    <row r="90" customFormat="false" ht="15" hidden="false" customHeight="false" outlineLevel="0" collapsed="false">
      <c r="A90" s="20" t="s">
        <v>1016</v>
      </c>
      <c r="B90" s="20" t="n">
        <v>4408134</v>
      </c>
      <c r="C90" s="20" t="s">
        <v>304</v>
      </c>
      <c r="D90" s="20" t="str">
        <f aca="false">TRIM(SUBSTITUTE($A90,CHAR(160)," "))</f>
        <v>077A-S-M</v>
      </c>
    </row>
    <row r="91" customFormat="false" ht="15" hidden="false" customHeight="false" outlineLevel="0" collapsed="false">
      <c r="A91" s="20" t="s">
        <v>1017</v>
      </c>
      <c r="B91" s="20" t="n">
        <v>4408192</v>
      </c>
      <c r="C91" s="20" t="s">
        <v>305</v>
      </c>
      <c r="D91" s="20" t="str">
        <f aca="false">TRIM(SUBSTITUTE($A91,CHAR(160)," "))</f>
        <v>078 L</v>
      </c>
    </row>
    <row r="92" customFormat="false" ht="15" hidden="false" customHeight="false" outlineLevel="0" collapsed="false">
      <c r="A92" s="20" t="s">
        <v>1018</v>
      </c>
      <c r="B92" s="20" t="n">
        <v>4408221</v>
      </c>
      <c r="C92" s="20" t="s">
        <v>311</v>
      </c>
      <c r="D92" s="20" t="str">
        <f aca="false">TRIM(SUBSTITUTE($A92,CHAR(160)," "))</f>
        <v>078G L</v>
      </c>
    </row>
    <row r="93" customFormat="false" ht="15" hidden="false" customHeight="false" outlineLevel="0" collapsed="false">
      <c r="A93" s="20" t="s">
        <v>1019</v>
      </c>
      <c r="B93" s="20" t="n">
        <v>4408220</v>
      </c>
      <c r="C93" s="20" t="s">
        <v>312</v>
      </c>
      <c r="D93" s="20" t="str">
        <f aca="false">TRIM(SUBSTITUTE($A93,CHAR(160)," "))</f>
        <v>078G M</v>
      </c>
    </row>
    <row r="94" customFormat="false" ht="15" hidden="false" customHeight="false" outlineLevel="0" collapsed="false">
      <c r="A94" s="20" t="s">
        <v>1020</v>
      </c>
      <c r="B94" s="20" t="n">
        <v>4408219</v>
      </c>
      <c r="C94" s="20" t="s">
        <v>313</v>
      </c>
      <c r="D94" s="20" t="str">
        <f aca="false">TRIM(SUBSTITUTE($A94,CHAR(160)," "))</f>
        <v>078G S</v>
      </c>
    </row>
    <row r="95" customFormat="false" ht="15" hidden="false" customHeight="false" outlineLevel="0" collapsed="false">
      <c r="A95" s="20" t="s">
        <v>1021</v>
      </c>
      <c r="B95" s="20" t="n">
        <v>4408222</v>
      </c>
      <c r="C95" s="20" t="s">
        <v>314</v>
      </c>
      <c r="D95" s="20" t="str">
        <f aca="false">TRIM(SUBSTITUTE($A95,CHAR(160)," "))</f>
        <v>078G XL</v>
      </c>
    </row>
    <row r="96" customFormat="false" ht="15" hidden="false" customHeight="false" outlineLevel="0" collapsed="false">
      <c r="A96" s="20" t="s">
        <v>1022</v>
      </c>
      <c r="B96" s="20" t="n">
        <v>4408223</v>
      </c>
      <c r="C96" s="20" t="s">
        <v>315</v>
      </c>
      <c r="D96" s="20" t="str">
        <f aca="false">TRIM(SUBSTITUTE($A96,CHAR(160)," "))</f>
        <v>078G XXL</v>
      </c>
    </row>
    <row r="97" customFormat="false" ht="15" hidden="false" customHeight="false" outlineLevel="0" collapsed="false">
      <c r="A97" s="20" t="s">
        <v>1023</v>
      </c>
      <c r="B97" s="20" t="n">
        <v>4408218</v>
      </c>
      <c r="C97" s="20" t="s">
        <v>316</v>
      </c>
      <c r="D97" s="20" t="str">
        <f aca="false">TRIM(SUBSTITUTE($A97,CHAR(160)," "))</f>
        <v>078 XL</v>
      </c>
    </row>
    <row r="98" customFormat="false" ht="15" hidden="false" customHeight="false" outlineLevel="0" collapsed="false">
      <c r="A98" s="20" t="s">
        <v>1024</v>
      </c>
      <c r="B98" s="20" t="n">
        <v>4408265</v>
      </c>
      <c r="C98" s="20" t="s">
        <v>317</v>
      </c>
      <c r="D98" s="20" t="str">
        <f aca="false">TRIM(SUBSTITUTE($A98,CHAR(160)," "))</f>
        <v>078 XXL</v>
      </c>
    </row>
    <row r="99" customFormat="false" ht="15" hidden="false" customHeight="false" outlineLevel="0" collapsed="false">
      <c r="A99" s="20" t="s">
        <v>1025</v>
      </c>
      <c r="B99" s="20" t="n">
        <v>4408015</v>
      </c>
      <c r="C99" s="20" t="s">
        <v>1026</v>
      </c>
      <c r="D99" s="20" t="str">
        <f aca="false">TRIM(SUBSTITUTE($A99,CHAR(160)," "))</f>
        <v>07AU L</v>
      </c>
    </row>
    <row r="100" customFormat="false" ht="15" hidden="false" customHeight="false" outlineLevel="0" collapsed="false">
      <c r="A100" s="20" t="s">
        <v>1027</v>
      </c>
      <c r="B100" s="20" t="n">
        <v>4408016</v>
      </c>
      <c r="C100" s="20" t="s">
        <v>1028</v>
      </c>
      <c r="D100" s="20" t="str">
        <f aca="false">TRIM(SUBSTITUTE($A100,CHAR(160)," "))</f>
        <v>07AU M</v>
      </c>
    </row>
    <row r="101" customFormat="false" ht="15" hidden="false" customHeight="false" outlineLevel="0" collapsed="false">
      <c r="A101" s="20" t="s">
        <v>1029</v>
      </c>
      <c r="B101" s="20" t="n">
        <v>4408014</v>
      </c>
      <c r="C101" s="20" t="s">
        <v>1030</v>
      </c>
      <c r="D101" s="20" t="str">
        <f aca="false">TRIM(SUBSTITUTE($A101,CHAR(160)," "))</f>
        <v>07AU S</v>
      </c>
    </row>
    <row r="102" customFormat="false" ht="15" hidden="false" customHeight="false" outlineLevel="0" collapsed="false">
      <c r="A102" s="20" t="s">
        <v>1031</v>
      </c>
      <c r="B102" s="20" t="n">
        <v>4408017</v>
      </c>
      <c r="C102" s="20" t="s">
        <v>1032</v>
      </c>
      <c r="D102" s="20" t="str">
        <f aca="false">TRIM(SUBSTITUTE($A102,CHAR(160)," "))</f>
        <v>07AU XL</v>
      </c>
    </row>
    <row r="103" customFormat="false" ht="15" hidden="false" customHeight="false" outlineLevel="0" collapsed="false">
      <c r="A103" s="20" t="s">
        <v>1033</v>
      </c>
      <c r="B103" s="20" t="n">
        <v>4408018</v>
      </c>
      <c r="C103" s="20" t="s">
        <v>1034</v>
      </c>
      <c r="D103" s="20" t="str">
        <f aca="false">TRIM(SUBSTITUTE($A103,CHAR(160)," "))</f>
        <v>07AU XXL</v>
      </c>
    </row>
    <row r="104" customFormat="false" ht="15" hidden="false" customHeight="false" outlineLevel="0" collapsed="false">
      <c r="A104" s="20" t="s">
        <v>1035</v>
      </c>
      <c r="B104" s="20" t="n">
        <v>4408027</v>
      </c>
      <c r="C104" s="20" t="s">
        <v>1036</v>
      </c>
      <c r="D104" s="20" t="str">
        <f aca="false">TRIM(SUBSTITUTE($A104,CHAR(160)," "))</f>
        <v>10 L</v>
      </c>
    </row>
    <row r="105" customFormat="false" ht="15" hidden="false" customHeight="false" outlineLevel="0" collapsed="false">
      <c r="A105" s="20" t="s">
        <v>1037</v>
      </c>
      <c r="B105" s="20" t="n">
        <v>4408028</v>
      </c>
      <c r="C105" s="20" t="s">
        <v>1038</v>
      </c>
      <c r="D105" s="20" t="str">
        <f aca="false">TRIM(SUBSTITUTE($A105,CHAR(160)," "))</f>
        <v>10 M</v>
      </c>
    </row>
    <row r="106" customFormat="false" ht="15" hidden="false" customHeight="false" outlineLevel="0" collapsed="false">
      <c r="A106" s="20" t="s">
        <v>1039</v>
      </c>
      <c r="B106" s="20" t="n">
        <v>4408029</v>
      </c>
      <c r="C106" s="20" t="s">
        <v>1040</v>
      </c>
      <c r="D106" s="20" t="str">
        <f aca="false">TRIM(SUBSTITUTE($A106,CHAR(160)," "))</f>
        <v>10 XL</v>
      </c>
    </row>
    <row r="107" customFormat="false" ht="15" hidden="false" customHeight="false" outlineLevel="0" collapsed="false">
      <c r="A107" s="20" t="s">
        <v>1041</v>
      </c>
      <c r="B107" s="20" t="n">
        <v>4408032</v>
      </c>
      <c r="C107" s="20" t="s">
        <v>1042</v>
      </c>
      <c r="D107" s="20" t="str">
        <f aca="false">TRIM(SUBSTITUTE($A107,CHAR(160)," "))</f>
        <v>11 L</v>
      </c>
    </row>
    <row r="108" customFormat="false" ht="15" hidden="false" customHeight="false" outlineLevel="0" collapsed="false">
      <c r="A108" s="20" t="s">
        <v>1043</v>
      </c>
      <c r="B108" s="20" t="n">
        <v>4408033</v>
      </c>
      <c r="C108" s="20" t="s">
        <v>1044</v>
      </c>
      <c r="D108" s="20" t="str">
        <f aca="false">TRIM(SUBSTITUTE($A108,CHAR(160)," "))</f>
        <v>11 M</v>
      </c>
    </row>
    <row r="109" customFormat="false" ht="15" hidden="false" customHeight="false" outlineLevel="0" collapsed="false">
      <c r="A109" s="20" t="s">
        <v>1045</v>
      </c>
      <c r="B109" s="20" t="n">
        <v>4408031</v>
      </c>
      <c r="C109" s="20" t="s">
        <v>1046</v>
      </c>
      <c r="D109" s="20" t="str">
        <f aca="false">TRIM(SUBSTITUTE($A109,CHAR(160)," "))</f>
        <v>11 S</v>
      </c>
    </row>
    <row r="110" customFormat="false" ht="15" hidden="false" customHeight="false" outlineLevel="0" collapsed="false">
      <c r="A110" s="20" t="s">
        <v>1047</v>
      </c>
      <c r="B110" s="20" t="n">
        <v>4408034</v>
      </c>
      <c r="C110" s="20" t="s">
        <v>1048</v>
      </c>
      <c r="D110" s="20" t="str">
        <f aca="false">TRIM(SUBSTITUTE($A110,CHAR(160)," "))</f>
        <v>11 XL</v>
      </c>
    </row>
    <row r="111" customFormat="false" ht="15" hidden="false" customHeight="false" outlineLevel="0" collapsed="false">
      <c r="A111" s="20" t="s">
        <v>1049</v>
      </c>
      <c r="B111" s="20" t="n">
        <v>4408035</v>
      </c>
      <c r="C111" s="20" t="s">
        <v>1050</v>
      </c>
      <c r="D111" s="20" t="str">
        <f aca="false">TRIM(SUBSTITUTE($A111,CHAR(160)," "))</f>
        <v>11 XXL</v>
      </c>
    </row>
    <row r="112" customFormat="false" ht="15" hidden="false" customHeight="false" outlineLevel="0" collapsed="false">
      <c r="A112" s="20" t="s">
        <v>1051</v>
      </c>
      <c r="B112" s="20" t="n">
        <v>4408115</v>
      </c>
      <c r="C112" s="20" t="s">
        <v>340</v>
      </c>
      <c r="D112" s="20" t="str">
        <f aca="false">TRIM(SUBSTITUTE($A112,CHAR(160)," "))</f>
        <v>11EU L</v>
      </c>
    </row>
    <row r="113" customFormat="false" ht="15" hidden="false" customHeight="false" outlineLevel="0" collapsed="false">
      <c r="A113" s="20" t="s">
        <v>1052</v>
      </c>
      <c r="B113" s="20" t="n">
        <v>4408114</v>
      </c>
      <c r="C113" s="20" t="s">
        <v>341</v>
      </c>
      <c r="D113" s="20" t="str">
        <f aca="false">TRIM(SUBSTITUTE($A113,CHAR(160)," "))</f>
        <v>11EU M</v>
      </c>
    </row>
    <row r="114" customFormat="false" ht="15" hidden="false" customHeight="false" outlineLevel="0" collapsed="false">
      <c r="A114" s="20" t="s">
        <v>1053</v>
      </c>
      <c r="B114" s="20" t="n">
        <v>4408116</v>
      </c>
      <c r="C114" s="20" t="s">
        <v>343</v>
      </c>
      <c r="D114" s="20" t="str">
        <f aca="false">TRIM(SUBSTITUTE($A114,CHAR(160)," "))</f>
        <v>11EU XL</v>
      </c>
    </row>
    <row r="115" customFormat="false" ht="15" hidden="false" customHeight="false" outlineLevel="0" collapsed="false">
      <c r="A115" s="20" t="s">
        <v>1054</v>
      </c>
      <c r="B115" s="20" t="n">
        <v>4408132</v>
      </c>
      <c r="C115" s="20" t="s">
        <v>344</v>
      </c>
      <c r="D115" s="20" t="str">
        <f aca="false">TRIM(SUBSTITUTE($A115,CHAR(160)," "))</f>
        <v>11EU XXL</v>
      </c>
    </row>
    <row r="116" customFormat="false" ht="15" hidden="false" customHeight="false" outlineLevel="0" collapsed="false">
      <c r="A116" s="20" t="s">
        <v>1055</v>
      </c>
      <c r="B116" s="20" t="n">
        <v>4408147</v>
      </c>
      <c r="C116" s="20" t="s">
        <v>345</v>
      </c>
      <c r="D116" s="20" t="str">
        <f aca="false">TRIM(SUBSTITUTE($A116,CHAR(160)," "))</f>
        <v>11PS L</v>
      </c>
    </row>
    <row r="117" customFormat="false" ht="15" hidden="false" customHeight="false" outlineLevel="0" collapsed="false">
      <c r="A117" s="20" t="s">
        <v>1056</v>
      </c>
      <c r="B117" s="20" t="n">
        <v>4408145</v>
      </c>
      <c r="C117" s="20" t="s">
        <v>347</v>
      </c>
      <c r="D117" s="20" t="str">
        <f aca="false">TRIM(SUBSTITUTE($A117,CHAR(160)," "))</f>
        <v>11PS S</v>
      </c>
    </row>
    <row r="118" customFormat="false" ht="15" hidden="false" customHeight="false" outlineLevel="0" collapsed="false">
      <c r="A118" s="20" t="s">
        <v>1057</v>
      </c>
      <c r="B118" s="20" t="n">
        <v>4408148</v>
      </c>
      <c r="C118" s="20" t="s">
        <v>348</v>
      </c>
      <c r="D118" s="20" t="str">
        <f aca="false">TRIM(SUBSTITUTE($A118,CHAR(160)," "))</f>
        <v>11PS XL</v>
      </c>
    </row>
    <row r="119" customFormat="false" ht="15" hidden="false" customHeight="false" outlineLevel="0" collapsed="false">
      <c r="A119" s="20" t="s">
        <v>1058</v>
      </c>
      <c r="B119" s="20" t="n">
        <v>4408149</v>
      </c>
      <c r="C119" s="20" t="s">
        <v>349</v>
      </c>
      <c r="D119" s="20" t="str">
        <f aca="false">TRIM(SUBSTITUTE($A119,CHAR(160)," "))</f>
        <v>11PS XXL</v>
      </c>
    </row>
    <row r="120" customFormat="false" ht="15" hidden="false" customHeight="false" outlineLevel="0" collapsed="false">
      <c r="A120" s="20" t="s">
        <v>1059</v>
      </c>
      <c r="B120" s="20" t="n">
        <v>4408261</v>
      </c>
      <c r="C120" s="20" t="s">
        <v>350</v>
      </c>
      <c r="D120" s="20" t="str">
        <f aca="false">TRIM(SUBSTITUTE($A120,CHAR(160)," "))</f>
        <v>11STO L</v>
      </c>
    </row>
    <row r="121" customFormat="false" ht="15" hidden="false" customHeight="false" outlineLevel="0" collapsed="false">
      <c r="A121" s="20" t="s">
        <v>1060</v>
      </c>
      <c r="B121" s="20" t="n">
        <v>4408260</v>
      </c>
      <c r="C121" s="20" t="s">
        <v>351</v>
      </c>
      <c r="D121" s="20" t="str">
        <f aca="false">TRIM(SUBSTITUTE($A121,CHAR(160)," "))</f>
        <v>11STO M</v>
      </c>
    </row>
    <row r="122" customFormat="false" ht="15" hidden="false" customHeight="false" outlineLevel="0" collapsed="false">
      <c r="A122" s="20" t="s">
        <v>1061</v>
      </c>
      <c r="B122" s="20" t="n">
        <v>4408259</v>
      </c>
      <c r="C122" s="20" t="s">
        <v>352</v>
      </c>
      <c r="D122" s="20" t="str">
        <f aca="false">TRIM(SUBSTITUTE($A122,CHAR(160)," "))</f>
        <v>11STO S</v>
      </c>
    </row>
    <row r="123" customFormat="false" ht="15" hidden="false" customHeight="false" outlineLevel="0" collapsed="false">
      <c r="A123" s="20" t="s">
        <v>1062</v>
      </c>
      <c r="B123" s="20" t="n">
        <v>4408262</v>
      </c>
      <c r="C123" s="20" t="s">
        <v>353</v>
      </c>
      <c r="D123" s="20" t="str">
        <f aca="false">TRIM(SUBSTITUTE($A123,CHAR(160)," "))</f>
        <v>11STO XL</v>
      </c>
    </row>
    <row r="124" customFormat="false" ht="15" hidden="false" customHeight="false" outlineLevel="0" collapsed="false">
      <c r="A124" s="20" t="s">
        <v>1063</v>
      </c>
      <c r="B124" s="20" t="n">
        <v>4408263</v>
      </c>
      <c r="C124" s="20" t="s">
        <v>354</v>
      </c>
      <c r="D124" s="20" t="str">
        <f aca="false">TRIM(SUBSTITUTE($A124,CHAR(160)," "))</f>
        <v>11STO XXL</v>
      </c>
    </row>
    <row r="125" customFormat="false" ht="15" hidden="false" customHeight="false" outlineLevel="0" collapsed="false">
      <c r="A125" s="20" t="s">
        <v>1064</v>
      </c>
      <c r="B125" s="20" t="n">
        <v>4408152</v>
      </c>
      <c r="C125" s="20" t="s">
        <v>355</v>
      </c>
      <c r="D125" s="20" t="str">
        <f aca="false">TRIM(SUBSTITUTE($A125,CHAR(160)," "))</f>
        <v>11TO L</v>
      </c>
    </row>
    <row r="126" customFormat="false" ht="15" hidden="false" customHeight="false" outlineLevel="0" collapsed="false">
      <c r="A126" s="20" t="s">
        <v>1065</v>
      </c>
      <c r="B126" s="20" t="n">
        <v>4408151</v>
      </c>
      <c r="C126" s="20" t="s">
        <v>356</v>
      </c>
      <c r="D126" s="20" t="str">
        <f aca="false">TRIM(SUBSTITUTE($A126,CHAR(160)," "))</f>
        <v>11TO M</v>
      </c>
    </row>
    <row r="127" customFormat="false" ht="15" hidden="false" customHeight="false" outlineLevel="0" collapsed="false">
      <c r="A127" s="20" t="s">
        <v>1066</v>
      </c>
      <c r="B127" s="20" t="n">
        <v>4408150</v>
      </c>
      <c r="C127" s="20" t="s">
        <v>357</v>
      </c>
      <c r="D127" s="20" t="str">
        <f aca="false">TRIM(SUBSTITUTE($A127,CHAR(160)," "))</f>
        <v>11TO S</v>
      </c>
    </row>
    <row r="128" customFormat="false" ht="15" hidden="false" customHeight="false" outlineLevel="0" collapsed="false">
      <c r="A128" s="20" t="s">
        <v>1067</v>
      </c>
      <c r="B128" s="20" t="n">
        <v>4408153</v>
      </c>
      <c r="C128" s="20" t="s">
        <v>358</v>
      </c>
      <c r="D128" s="20" t="str">
        <f aca="false">TRIM(SUBSTITUTE($A128,CHAR(160)," "))</f>
        <v>11TO XL</v>
      </c>
    </row>
    <row r="129" customFormat="false" ht="15" hidden="false" customHeight="false" outlineLevel="0" collapsed="false">
      <c r="A129" s="20" t="s">
        <v>1068</v>
      </c>
      <c r="B129" s="20" t="n">
        <v>4408154</v>
      </c>
      <c r="C129" s="20" t="s">
        <v>359</v>
      </c>
      <c r="D129" s="20" t="str">
        <f aca="false">TRIM(SUBSTITUTE($A129,CHAR(160)," "))</f>
        <v>11TO XXL</v>
      </c>
    </row>
    <row r="130" customFormat="false" ht="15" hidden="false" customHeight="false" outlineLevel="0" collapsed="false">
      <c r="A130" s="20" t="s">
        <v>1069</v>
      </c>
      <c r="B130" s="20" t="n">
        <v>4408179</v>
      </c>
      <c r="C130" s="20" t="s">
        <v>373</v>
      </c>
      <c r="D130" s="20" t="str">
        <f aca="false">TRIM(SUBSTITUTE($A130,CHAR(160)," "))</f>
        <v>13 XL</v>
      </c>
    </row>
    <row r="131" customFormat="false" ht="15" hidden="false" customHeight="false" outlineLevel="0" collapsed="false">
      <c r="A131" s="20" t="s">
        <v>1070</v>
      </c>
      <c r="B131" s="20" t="n">
        <v>4408180</v>
      </c>
      <c r="C131" s="20" t="s">
        <v>374</v>
      </c>
      <c r="D131" s="20" t="str">
        <f aca="false">TRIM(SUBSTITUTE($A131,CHAR(160)," "))</f>
        <v>13 XXL</v>
      </c>
    </row>
    <row r="132" customFormat="false" ht="15" hidden="false" customHeight="false" outlineLevel="0" collapsed="false">
      <c r="A132" s="20" t="s">
        <v>1071</v>
      </c>
      <c r="B132" s="20" t="n">
        <v>4408203</v>
      </c>
      <c r="C132" s="20" t="s">
        <v>375</v>
      </c>
      <c r="D132" s="20" t="str">
        <f aca="false">TRIM(SUBSTITUTE($A132,CHAR(160)," "))</f>
        <v>14 0</v>
      </c>
    </row>
    <row r="133" customFormat="false" ht="15" hidden="false" customHeight="false" outlineLevel="0" collapsed="false">
      <c r="A133" s="20" t="s">
        <v>1072</v>
      </c>
      <c r="B133" s="20" t="n">
        <v>4408131</v>
      </c>
      <c r="C133" s="20" t="s">
        <v>379</v>
      </c>
      <c r="D133" s="20" t="str">
        <f aca="false">TRIM(SUBSTITUTE($A133,CHAR(160)," "))</f>
        <v>15W L</v>
      </c>
    </row>
    <row r="134" customFormat="false" ht="15" hidden="false" customHeight="false" outlineLevel="0" collapsed="false">
      <c r="A134" s="20" t="s">
        <v>1073</v>
      </c>
      <c r="B134" s="20" t="n">
        <v>4408230</v>
      </c>
      <c r="C134" s="20" t="s">
        <v>383</v>
      </c>
      <c r="D134" s="20" t="str">
        <f aca="false">TRIM(SUBSTITUTE($A134,CHAR(160)," "))</f>
        <v>16-L-XL</v>
      </c>
    </row>
    <row r="135" customFormat="false" ht="15" hidden="false" customHeight="false" outlineLevel="0" collapsed="false">
      <c r="A135" s="20" t="s">
        <v>1074</v>
      </c>
      <c r="B135" s="20" t="n">
        <v>4408231</v>
      </c>
      <c r="C135" s="20" t="s">
        <v>384</v>
      </c>
      <c r="D135" s="20" t="str">
        <f aca="false">TRIM(SUBSTITUTE($A135,CHAR(160)," "))</f>
        <v>16-S-M</v>
      </c>
    </row>
    <row r="136" customFormat="false" ht="15" hidden="false" customHeight="false" outlineLevel="0" collapsed="false">
      <c r="A136" s="20" t="s">
        <v>1075</v>
      </c>
      <c r="B136" s="20" t="n">
        <v>4408232</v>
      </c>
      <c r="C136" s="20" t="s">
        <v>385</v>
      </c>
      <c r="D136" s="20" t="str">
        <f aca="false">TRIM(SUBSTITUTE($A136,CHAR(160)," "))</f>
        <v>16 XXL</v>
      </c>
    </row>
    <row r="137" customFormat="false" ht="15" hidden="false" customHeight="false" outlineLevel="0" collapsed="false">
      <c r="A137" s="20" t="s">
        <v>1076</v>
      </c>
      <c r="B137" s="20" t="n">
        <v>4408274</v>
      </c>
      <c r="C137" s="20" t="s">
        <v>395</v>
      </c>
      <c r="D137" s="20" t="str">
        <f aca="false">TRIM(SUBSTITUTE($A137,CHAR(160)," "))</f>
        <v>70N L</v>
      </c>
    </row>
    <row r="138" customFormat="false" ht="15" hidden="false" customHeight="false" outlineLevel="0" collapsed="false">
      <c r="A138" s="20" t="s">
        <v>1077</v>
      </c>
      <c r="B138" s="20" t="n">
        <v>4408273</v>
      </c>
      <c r="C138" s="20" t="s">
        <v>396</v>
      </c>
      <c r="D138" s="20" t="str">
        <f aca="false">TRIM(SUBSTITUTE($A138,CHAR(160)," "))</f>
        <v>70N M</v>
      </c>
    </row>
    <row r="139" customFormat="false" ht="15" hidden="false" customHeight="false" outlineLevel="0" collapsed="false">
      <c r="A139" s="20" t="s">
        <v>1078</v>
      </c>
      <c r="B139" s="20" t="n">
        <v>4408272</v>
      </c>
      <c r="C139" s="20" t="s">
        <v>397</v>
      </c>
      <c r="D139" s="20" t="str">
        <f aca="false">TRIM(SUBSTITUTE($A139,CHAR(160)," "))</f>
        <v>70N S</v>
      </c>
    </row>
    <row r="140" customFormat="false" ht="15" hidden="false" customHeight="false" outlineLevel="0" collapsed="false">
      <c r="A140" s="20" t="s">
        <v>1079</v>
      </c>
      <c r="B140" s="20" t="n">
        <v>4408271</v>
      </c>
      <c r="C140" s="20" t="s">
        <v>398</v>
      </c>
      <c r="D140" s="20" t="str">
        <f aca="false">TRIM(SUBSTITUTE($A140,CHAR(160)," "))</f>
        <v>70N XS</v>
      </c>
    </row>
    <row r="141" customFormat="false" ht="15" hidden="false" customHeight="false" outlineLevel="0" collapsed="false">
      <c r="A141" s="20" t="s">
        <v>1080</v>
      </c>
      <c r="B141" s="20" t="n">
        <v>4408205</v>
      </c>
      <c r="C141" s="20" t="s">
        <v>402</v>
      </c>
      <c r="D141" s="20" t="str">
        <f aca="false">TRIM(SUBSTITUTE($A141,CHAR(160)," "))</f>
        <v>AC07 0</v>
      </c>
    </row>
    <row r="142" customFormat="false" ht="15" hidden="false" customHeight="false" outlineLevel="0" collapsed="false">
      <c r="A142" s="20" t="s">
        <v>1081</v>
      </c>
      <c r="B142" s="20" t="n">
        <v>4408206</v>
      </c>
      <c r="C142" s="20" t="s">
        <v>403</v>
      </c>
      <c r="D142" s="20" t="str">
        <f aca="false">TRIM(SUBSTITUTE($A142,CHAR(160)," "))</f>
        <v>AC11 0</v>
      </c>
    </row>
    <row r="143" customFormat="false" ht="15" hidden="false" customHeight="false" outlineLevel="0" collapsed="false">
      <c r="A143" s="20" t="s">
        <v>1082</v>
      </c>
      <c r="B143" s="20" t="n">
        <v>4408226</v>
      </c>
      <c r="C143" s="20" t="s">
        <v>405</v>
      </c>
      <c r="D143" s="20" t="str">
        <f aca="false">TRIM(SUBSTITUTE($A143,CHAR(160)," "))</f>
        <v>11UG L</v>
      </c>
    </row>
    <row r="144" customFormat="false" ht="15" hidden="false" customHeight="false" outlineLevel="0" collapsed="false">
      <c r="A144" s="20" t="s">
        <v>1083</v>
      </c>
      <c r="B144" s="20" t="n">
        <v>4408190</v>
      </c>
      <c r="C144" s="20" t="s">
        <v>407</v>
      </c>
      <c r="D144" s="20" t="str">
        <f aca="false">TRIM(SUBSTITUTE($A144,CHAR(160)," "))</f>
        <v>078 M</v>
      </c>
    </row>
    <row r="145" customFormat="false" ht="15" hidden="false" customHeight="false" outlineLevel="0" collapsed="false">
      <c r="A145" s="20" t="s">
        <v>1084</v>
      </c>
      <c r="B145" s="20" t="n">
        <v>4408217</v>
      </c>
      <c r="C145" s="20" t="s">
        <v>410</v>
      </c>
      <c r="D145" s="20" t="str">
        <f aca="false">TRIM(SUBSTITUTE($A145,CHAR(160)," "))</f>
        <v>078 S</v>
      </c>
    </row>
    <row r="146" customFormat="false" ht="15" hidden="false" customHeight="false" outlineLevel="0" collapsed="false">
      <c r="A146" s="20" t="s">
        <v>1085</v>
      </c>
      <c r="B146" s="20" t="n">
        <v>4408270</v>
      </c>
      <c r="C146" s="20" t="s">
        <v>411</v>
      </c>
      <c r="D146" s="20" t="str">
        <f aca="false">TRIM(SUBSTITUTE($A146,CHAR(160)," "))</f>
        <v>ST11 0</v>
      </c>
    </row>
    <row r="147" customFormat="false" ht="15" hidden="false" customHeight="false" outlineLevel="0" collapsed="false">
      <c r="A147" s="20" t="s">
        <v>1086</v>
      </c>
      <c r="B147" s="20" t="n">
        <v>4408090</v>
      </c>
      <c r="C147" s="20" t="s">
        <v>412</v>
      </c>
      <c r="D147" s="20" t="str">
        <f aca="false">TRIM(SUBSTITUTE($A147,CHAR(160)," "))</f>
        <v>T11C L</v>
      </c>
    </row>
    <row r="148" customFormat="false" ht="15" hidden="false" customHeight="false" outlineLevel="0" collapsed="false">
      <c r="A148" s="20" t="s">
        <v>1087</v>
      </c>
      <c r="B148" s="20" t="n">
        <v>4408091</v>
      </c>
      <c r="C148" s="20" t="s">
        <v>413</v>
      </c>
      <c r="D148" s="20" t="str">
        <f aca="false">TRIM(SUBSTITUTE($A148,CHAR(160)," "))</f>
        <v>T11C M</v>
      </c>
    </row>
    <row r="149" customFormat="false" ht="15" hidden="false" customHeight="false" outlineLevel="0" collapsed="false">
      <c r="A149" s="20" t="s">
        <v>1088</v>
      </c>
      <c r="B149" s="20" t="n">
        <v>4408089</v>
      </c>
      <c r="C149" s="20" t="s">
        <v>414</v>
      </c>
      <c r="D149" s="20" t="str">
        <f aca="false">TRIM(SUBSTITUTE($A149,CHAR(160)," "))</f>
        <v>T11C S</v>
      </c>
    </row>
    <row r="150" customFormat="false" ht="15" hidden="false" customHeight="false" outlineLevel="0" collapsed="false">
      <c r="A150" s="20" t="s">
        <v>1089</v>
      </c>
      <c r="B150" s="20" t="n">
        <v>4408092</v>
      </c>
      <c r="C150" s="20" t="s">
        <v>415</v>
      </c>
      <c r="D150" s="20" t="str">
        <f aca="false">TRIM(SUBSTITUTE($A150,CHAR(160)," "))</f>
        <v>T11C XL</v>
      </c>
    </row>
    <row r="151" customFormat="false" ht="15" hidden="false" customHeight="false" outlineLevel="0" collapsed="false">
      <c r="A151" s="20" t="s">
        <v>1090</v>
      </c>
      <c r="B151" s="20" t="n">
        <v>4408093</v>
      </c>
      <c r="C151" s="20" t="s">
        <v>416</v>
      </c>
      <c r="D151" s="20" t="str">
        <f aca="false">TRIM(SUBSTITUTE($A151,CHAR(160)," "))</f>
        <v>T11C XXL</v>
      </c>
    </row>
    <row r="152" customFormat="false" ht="15" hidden="false" customHeight="false" outlineLevel="0" collapsed="false">
      <c r="A152" s="20" t="s">
        <v>1091</v>
      </c>
      <c r="B152" s="20" t="n">
        <v>4409011</v>
      </c>
      <c r="C152" s="20" t="s">
        <v>419</v>
      </c>
      <c r="D152" s="20" t="str">
        <f aca="false">TRIM(SUBSTITUTE($A152,CHAR(160)," "))</f>
        <v>804AT-B</v>
      </c>
    </row>
    <row r="153" customFormat="false" ht="15" hidden="false" customHeight="false" outlineLevel="0" collapsed="false">
      <c r="A153" s="20" t="s">
        <v>1092</v>
      </c>
      <c r="B153" s="20" t="n">
        <v>4409013</v>
      </c>
      <c r="C153" s="20" t="s">
        <v>420</v>
      </c>
      <c r="D153" s="20" t="str">
        <f aca="false">TRIM(SUBSTITUTE($A153,CHAR(160)," "))</f>
        <v>804AT-BL</v>
      </c>
    </row>
    <row r="154" customFormat="false" ht="15" hidden="false" customHeight="false" outlineLevel="0" collapsed="false">
      <c r="A154" s="20" t="s">
        <v>1093</v>
      </c>
      <c r="B154" s="20" t="n">
        <v>4409012</v>
      </c>
      <c r="C154" s="20" t="s">
        <v>421</v>
      </c>
      <c r="D154" s="20" t="str">
        <f aca="false">TRIM(SUBSTITUTE($A154,CHAR(160)," "))</f>
        <v>804AT-C</v>
      </c>
    </row>
    <row r="155" customFormat="false" ht="15" hidden="false" customHeight="false" outlineLevel="0" collapsed="false">
      <c r="A155" s="20" t="s">
        <v>1094</v>
      </c>
      <c r="B155" s="20" t="n">
        <v>4409010</v>
      </c>
      <c r="C155" s="20" t="s">
        <v>422</v>
      </c>
      <c r="D155" s="20" t="str">
        <f aca="false">TRIM(SUBSTITUTE($A155,CHAR(160)," "))</f>
        <v>804AT-W</v>
      </c>
    </row>
    <row r="156" customFormat="false" ht="15" hidden="false" customHeight="false" outlineLevel="0" collapsed="false">
      <c r="A156" s="20" t="s">
        <v>1095</v>
      </c>
      <c r="B156" s="20" t="n">
        <v>4401012</v>
      </c>
      <c r="C156" s="20" t="s">
        <v>1096</v>
      </c>
      <c r="D156" s="20" t="str">
        <f aca="false">TRIM(SUBSTITUTE($A156,CHAR(160)," "))</f>
        <v>805AT-B</v>
      </c>
    </row>
    <row r="157" customFormat="false" ht="15" hidden="false" customHeight="false" outlineLevel="0" collapsed="false">
      <c r="A157" s="20" t="s">
        <v>1097</v>
      </c>
      <c r="B157" s="20" t="n">
        <v>4401013</v>
      </c>
      <c r="C157" s="20" t="s">
        <v>1098</v>
      </c>
      <c r="D157" s="20" t="str">
        <f aca="false">TRIM(SUBSTITUTE($A157,CHAR(160)," "))</f>
        <v>805AT-BL</v>
      </c>
    </row>
    <row r="158" customFormat="false" ht="15" hidden="false" customHeight="false" outlineLevel="0" collapsed="false">
      <c r="A158" s="20" t="s">
        <v>1099</v>
      </c>
      <c r="B158" s="20" t="n">
        <v>4401011</v>
      </c>
      <c r="C158" s="20" t="s">
        <v>1100</v>
      </c>
      <c r="D158" s="20" t="str">
        <f aca="false">TRIM(SUBSTITUTE($A158,CHAR(160)," "))</f>
        <v>805AT-C</v>
      </c>
    </row>
    <row r="159" customFormat="false" ht="15" hidden="false" customHeight="false" outlineLevel="0" collapsed="false">
      <c r="A159" s="20" t="s">
        <v>1101</v>
      </c>
      <c r="B159" s="20" t="n">
        <v>4401014</v>
      </c>
      <c r="C159" s="20" t="s">
        <v>1102</v>
      </c>
      <c r="D159" s="20" t="str">
        <f aca="false">TRIM(SUBSTITUTE($A159,CHAR(160)," "))</f>
        <v>805AT-W</v>
      </c>
    </row>
    <row r="160" customFormat="false" ht="15" hidden="false" customHeight="false" outlineLevel="0" collapsed="false">
      <c r="A160" s="20" t="s">
        <v>1103</v>
      </c>
      <c r="B160" s="20" t="n">
        <v>4409017</v>
      </c>
      <c r="C160" s="20" t="s">
        <v>427</v>
      </c>
      <c r="D160" s="20" t="str">
        <f aca="false">TRIM(SUBSTITUTE($A160,CHAR(160)," "))</f>
        <v>808KT-B</v>
      </c>
    </row>
    <row r="161" customFormat="false" ht="15" hidden="false" customHeight="false" outlineLevel="0" collapsed="false">
      <c r="A161" s="20" t="s">
        <v>1104</v>
      </c>
      <c r="B161" s="20" t="n">
        <v>4409015</v>
      </c>
      <c r="C161" s="20" t="s">
        <v>428</v>
      </c>
      <c r="D161" s="20" t="str">
        <f aca="false">TRIM(SUBSTITUTE($A161,CHAR(160)," "))</f>
        <v>808KT-BL</v>
      </c>
    </row>
    <row r="162" customFormat="false" ht="15" hidden="false" customHeight="false" outlineLevel="0" collapsed="false">
      <c r="A162" s="20" t="s">
        <v>1105</v>
      </c>
      <c r="B162" s="20" t="n">
        <v>4409016</v>
      </c>
      <c r="C162" s="20" t="s">
        <v>429</v>
      </c>
      <c r="D162" s="20" t="str">
        <f aca="false">TRIM(SUBSTITUTE($A162,CHAR(160)," "))</f>
        <v>808KT-C</v>
      </c>
    </row>
    <row r="163" customFormat="false" ht="15" hidden="false" customHeight="false" outlineLevel="0" collapsed="false">
      <c r="A163" s="20" t="s">
        <v>1106</v>
      </c>
      <c r="B163" s="20" t="n">
        <v>4409014</v>
      </c>
      <c r="C163" s="20" t="s">
        <v>430</v>
      </c>
      <c r="D163" s="20" t="str">
        <f aca="false">TRIM(SUBSTITUTE($A163,CHAR(160)," "))</f>
        <v>808KT-P</v>
      </c>
    </row>
    <row r="164" customFormat="false" ht="15" hidden="false" customHeight="false" outlineLevel="0" collapsed="false">
      <c r="A164" s="20" t="s">
        <v>1107</v>
      </c>
      <c r="B164" s="20" t="n">
        <v>4419013</v>
      </c>
      <c r="C164" s="20" t="s">
        <v>431</v>
      </c>
      <c r="D164" s="20" t="str">
        <f aca="false">TRIM(SUBSTITUTE($A164,CHAR(160)," "))</f>
        <v>239B-L-XL</v>
      </c>
    </row>
    <row r="165" customFormat="false" ht="15" hidden="false" customHeight="false" outlineLevel="0" collapsed="false">
      <c r="A165" s="20" t="s">
        <v>1108</v>
      </c>
      <c r="B165" s="20" t="n">
        <v>4419011</v>
      </c>
      <c r="C165" s="20" t="s">
        <v>432</v>
      </c>
      <c r="D165" s="20" t="str">
        <f aca="false">TRIM(SUBSTITUTE($A165,CHAR(160)," "))</f>
        <v>239B-S-M</v>
      </c>
    </row>
    <row r="166" customFormat="false" ht="15" hidden="false" customHeight="false" outlineLevel="0" collapsed="false">
      <c r="A166" s="20" t="s">
        <v>1109</v>
      </c>
      <c r="B166" s="20" t="n">
        <v>4419014</v>
      </c>
      <c r="C166" s="20" t="s">
        <v>434</v>
      </c>
      <c r="D166" s="20" t="str">
        <f aca="false">TRIM(SUBSTITUTE($A166,CHAR(160)," "))</f>
        <v>239TR-L-XL</v>
      </c>
    </row>
    <row r="167" customFormat="false" ht="15" hidden="false" customHeight="false" outlineLevel="0" collapsed="false">
      <c r="A167" s="20" t="s">
        <v>1110</v>
      </c>
      <c r="B167" s="20" t="n">
        <v>4414000</v>
      </c>
      <c r="C167" s="20" t="s">
        <v>436</v>
      </c>
      <c r="D167" s="20" t="str">
        <f aca="false">TRIM(SUBSTITUTE($A167,CHAR(160)," "))</f>
        <v>FC342 0</v>
      </c>
    </row>
    <row r="168" customFormat="false" ht="15" hidden="false" customHeight="false" outlineLevel="0" collapsed="false">
      <c r="A168" s="20" t="s">
        <v>1111</v>
      </c>
      <c r="B168" s="20" t="n">
        <v>4421008</v>
      </c>
      <c r="C168" s="20" t="s">
        <v>439</v>
      </c>
      <c r="D168" s="20" t="str">
        <f aca="false">TRIM(SUBSTITUTE($A168,CHAR(160)," "))</f>
        <v>351 0</v>
      </c>
    </row>
    <row r="169" customFormat="false" ht="15" hidden="false" customHeight="false" outlineLevel="0" collapsed="false">
      <c r="A169" s="20" t="s">
        <v>1112</v>
      </c>
      <c r="B169" s="20" t="n">
        <v>4421007</v>
      </c>
      <c r="C169" s="20" t="s">
        <v>440</v>
      </c>
      <c r="D169" s="20" t="str">
        <f aca="false">TRIM(SUBSTITUTE($A169,CHAR(160)," "))</f>
        <v>350 0</v>
      </c>
    </row>
    <row r="170" customFormat="false" ht="15" hidden="false" customHeight="false" outlineLevel="0" collapsed="false">
      <c r="A170" s="20" t="s">
        <v>1113</v>
      </c>
      <c r="B170" s="20" t="n">
        <v>4413149</v>
      </c>
      <c r="C170" s="20" t="s">
        <v>441</v>
      </c>
      <c r="D170" s="20" t="str">
        <f aca="false">TRIM(SUBSTITUTE($A170,CHAR(160)," "))</f>
        <v>FC321 0</v>
      </c>
    </row>
    <row r="171" customFormat="false" ht="15" hidden="false" customHeight="false" outlineLevel="0" collapsed="false">
      <c r="A171" s="20" t="s">
        <v>1114</v>
      </c>
      <c r="B171" s="20" t="n">
        <v>4422036</v>
      </c>
      <c r="C171" s="20" t="s">
        <v>442</v>
      </c>
      <c r="D171" s="20" t="str">
        <f aca="false">TRIM(SUBSTITUTE($A171,CHAR(160)," "))</f>
        <v>FC334 0</v>
      </c>
    </row>
    <row r="172" customFormat="false" ht="15" hidden="false" customHeight="false" outlineLevel="0" collapsed="false">
      <c r="A172" s="20" t="s">
        <v>1115</v>
      </c>
      <c r="B172" s="20" t="n">
        <v>4409004</v>
      </c>
      <c r="C172" s="20" t="s">
        <v>443</v>
      </c>
      <c r="D172" s="20" t="str">
        <f aca="false">TRIM(SUBSTITUTE($A172,CHAR(160)," "))</f>
        <v>FC335 0</v>
      </c>
    </row>
    <row r="173" customFormat="false" ht="15" hidden="false" customHeight="false" outlineLevel="0" collapsed="false">
      <c r="A173" s="20" t="s">
        <v>1116</v>
      </c>
      <c r="B173" s="20" t="n">
        <v>4422035</v>
      </c>
      <c r="C173" s="20" t="s">
        <v>444</v>
      </c>
      <c r="D173" s="20" t="str">
        <f aca="false">TRIM(SUBSTITUTE($A173,CHAR(160)," "))</f>
        <v>FC333 0</v>
      </c>
    </row>
    <row r="174" customFormat="false" ht="15" hidden="false" customHeight="false" outlineLevel="0" collapsed="false">
      <c r="A174" s="20" t="s">
        <v>1117</v>
      </c>
      <c r="B174" s="20" t="n">
        <v>4421006</v>
      </c>
      <c r="C174" s="20" t="s">
        <v>445</v>
      </c>
      <c r="D174" s="20" t="str">
        <f aca="false">TRIM(SUBSTITUTE($A174,CHAR(160)," "))</f>
        <v>251 0</v>
      </c>
    </row>
    <row r="175" customFormat="false" ht="15" hidden="false" customHeight="false" outlineLevel="0" collapsed="false">
      <c r="A175" s="20" t="s">
        <v>1118</v>
      </c>
      <c r="B175" s="20" t="n">
        <v>4421005</v>
      </c>
      <c r="C175" s="20" t="s">
        <v>446</v>
      </c>
      <c r="D175" s="20" t="str">
        <f aca="false">TRIM(SUBSTITUTE($A175,CHAR(160)," "))</f>
        <v>250 0</v>
      </c>
    </row>
    <row r="176" customFormat="false" ht="15" hidden="false" customHeight="false" outlineLevel="0" collapsed="false">
      <c r="A176" s="20" t="s">
        <v>1119</v>
      </c>
      <c r="B176" s="20" t="n">
        <v>4413165</v>
      </c>
      <c r="C176" s="20" t="s">
        <v>448</v>
      </c>
      <c r="D176" s="20" t="str">
        <f aca="false">TRIM(SUBSTITUTE($A176,CHAR(160)," "))</f>
        <v>74-L-XL</v>
      </c>
    </row>
    <row r="177" customFormat="false" ht="15" hidden="false" customHeight="false" outlineLevel="0" collapsed="false">
      <c r="A177" s="20" t="s">
        <v>1120</v>
      </c>
      <c r="B177" s="20" t="n">
        <v>4413130</v>
      </c>
      <c r="C177" s="20" t="s">
        <v>449</v>
      </c>
      <c r="D177" s="20" t="str">
        <f aca="false">TRIM(SUBSTITUTE($A177,CHAR(160)," "))</f>
        <v>75 XXL</v>
      </c>
    </row>
    <row r="178" customFormat="false" ht="15" hidden="false" customHeight="false" outlineLevel="0" collapsed="false">
      <c r="A178" s="20" t="s">
        <v>1121</v>
      </c>
      <c r="B178" s="20" t="n">
        <v>4413127</v>
      </c>
      <c r="C178" s="20" t="s">
        <v>450</v>
      </c>
      <c r="D178" s="20" t="str">
        <f aca="false">TRIM(SUBSTITUTE($A178,CHAR(160)," "))</f>
        <v>75 L</v>
      </c>
    </row>
    <row r="179" customFormat="false" ht="15" hidden="false" customHeight="false" outlineLevel="0" collapsed="false">
      <c r="A179" s="20" t="s">
        <v>1122</v>
      </c>
      <c r="B179" s="20" t="n">
        <v>4413128</v>
      </c>
      <c r="C179" s="20" t="s">
        <v>451</v>
      </c>
      <c r="D179" s="20" t="str">
        <f aca="false">TRIM(SUBSTITUTE($A179,CHAR(160)," "))</f>
        <v>75 M</v>
      </c>
    </row>
    <row r="180" customFormat="false" ht="15" hidden="false" customHeight="false" outlineLevel="0" collapsed="false">
      <c r="A180" s="20" t="s">
        <v>1123</v>
      </c>
      <c r="B180" s="20" t="n">
        <v>4413126</v>
      </c>
      <c r="C180" s="20" t="s">
        <v>452</v>
      </c>
      <c r="D180" s="20" t="str">
        <f aca="false">TRIM(SUBSTITUTE($A180,CHAR(160)," "))</f>
        <v>75 S</v>
      </c>
    </row>
    <row r="181" customFormat="false" ht="15" hidden="false" customHeight="false" outlineLevel="0" collapsed="false">
      <c r="A181" s="20" t="s">
        <v>1124</v>
      </c>
      <c r="B181" s="20" t="n">
        <v>4413129</v>
      </c>
      <c r="C181" s="20" t="s">
        <v>453</v>
      </c>
      <c r="D181" s="20" t="str">
        <f aca="false">TRIM(SUBSTITUTE($A181,CHAR(160)," "))</f>
        <v>75 XL</v>
      </c>
    </row>
    <row r="182" customFormat="false" ht="15" hidden="false" customHeight="false" outlineLevel="0" collapsed="false">
      <c r="A182" s="20" t="s">
        <v>1125</v>
      </c>
      <c r="B182" s="20" t="n">
        <v>4413132</v>
      </c>
      <c r="C182" s="20" t="s">
        <v>454</v>
      </c>
      <c r="D182" s="20" t="str">
        <f aca="false">TRIM(SUBSTITUTE($A182,CHAR(160)," "))</f>
        <v>76 L</v>
      </c>
    </row>
    <row r="183" customFormat="false" ht="15" hidden="false" customHeight="false" outlineLevel="0" collapsed="false">
      <c r="A183" s="20" t="s">
        <v>1126</v>
      </c>
      <c r="B183" s="20" t="n">
        <v>4413133</v>
      </c>
      <c r="C183" s="20" t="s">
        <v>455</v>
      </c>
      <c r="D183" s="20" t="str">
        <f aca="false">TRIM(SUBSTITUTE($A183,CHAR(160)," "))</f>
        <v>76 M</v>
      </c>
    </row>
    <row r="184" customFormat="false" ht="15" hidden="false" customHeight="false" outlineLevel="0" collapsed="false">
      <c r="A184" s="20" t="s">
        <v>1127</v>
      </c>
      <c r="B184" s="20" t="n">
        <v>4413131</v>
      </c>
      <c r="C184" s="20" t="s">
        <v>456</v>
      </c>
      <c r="D184" s="20" t="str">
        <f aca="false">TRIM(SUBSTITUTE($A184,CHAR(160)," "))</f>
        <v>76 S</v>
      </c>
    </row>
    <row r="185" customFormat="false" ht="15" hidden="false" customHeight="false" outlineLevel="0" collapsed="false">
      <c r="A185" s="20" t="s">
        <v>1128</v>
      </c>
      <c r="B185" s="20" t="n">
        <v>4413134</v>
      </c>
      <c r="C185" s="20" t="s">
        <v>457</v>
      </c>
      <c r="D185" s="20" t="str">
        <f aca="false">TRIM(SUBSTITUTE($A185,CHAR(160)," "))</f>
        <v>76 XL</v>
      </c>
    </row>
    <row r="186" customFormat="false" ht="15" hidden="false" customHeight="false" outlineLevel="0" collapsed="false">
      <c r="A186" s="20" t="s">
        <v>1129</v>
      </c>
      <c r="B186" s="20" t="n">
        <v>4413197</v>
      </c>
      <c r="C186" s="20" t="s">
        <v>467</v>
      </c>
      <c r="D186" s="20" t="str">
        <f aca="false">TRIM(SUBSTITUTE($A186,CHAR(160)," "))</f>
        <v>87 L</v>
      </c>
    </row>
    <row r="187" customFormat="false" ht="15" hidden="false" customHeight="false" outlineLevel="0" collapsed="false">
      <c r="A187" s="20" t="s">
        <v>1130</v>
      </c>
      <c r="B187" s="20" t="n">
        <v>4413196</v>
      </c>
      <c r="C187" s="20" t="s">
        <v>468</v>
      </c>
      <c r="D187" s="20" t="str">
        <f aca="false">TRIM(SUBSTITUTE($A187,CHAR(160)," "))</f>
        <v>87 M</v>
      </c>
    </row>
    <row r="188" customFormat="false" ht="15" hidden="false" customHeight="false" outlineLevel="0" collapsed="false">
      <c r="A188" s="20" t="s">
        <v>1131</v>
      </c>
      <c r="B188" s="20" t="n">
        <v>4413195</v>
      </c>
      <c r="C188" s="20" t="s">
        <v>469</v>
      </c>
      <c r="D188" s="20" t="str">
        <f aca="false">TRIM(SUBSTITUTE($A188,CHAR(160)," "))</f>
        <v>87 S</v>
      </c>
    </row>
    <row r="189" customFormat="false" ht="15" hidden="false" customHeight="false" outlineLevel="0" collapsed="false">
      <c r="A189" s="20" t="s">
        <v>1132</v>
      </c>
      <c r="B189" s="20" t="n">
        <v>4413198</v>
      </c>
      <c r="C189" s="20" t="s">
        <v>470</v>
      </c>
      <c r="D189" s="20" t="str">
        <f aca="false">TRIM(SUBSTITUTE($A189,CHAR(160)," "))</f>
        <v>87 XL</v>
      </c>
    </row>
    <row r="190" customFormat="false" ht="15" hidden="false" customHeight="false" outlineLevel="0" collapsed="false">
      <c r="A190" s="20" t="s">
        <v>1133</v>
      </c>
      <c r="B190" s="20" t="n">
        <v>4413204</v>
      </c>
      <c r="C190" s="20" t="s">
        <v>471</v>
      </c>
      <c r="D190" s="20" t="str">
        <f aca="false">TRIM(SUBSTITUTE($A190,CHAR(160)," "))</f>
        <v>87 XXL</v>
      </c>
    </row>
    <row r="191" customFormat="false" ht="15" hidden="false" customHeight="false" outlineLevel="0" collapsed="false">
      <c r="A191" s="20" t="s">
        <v>1134</v>
      </c>
      <c r="B191" s="20" t="n">
        <v>4413456</v>
      </c>
      <c r="C191" s="20" t="s">
        <v>472</v>
      </c>
      <c r="D191" s="20" t="str">
        <f aca="false">TRIM(SUBSTITUTE($A191,CHAR(160)," "))</f>
        <v>AC75 XXL</v>
      </c>
    </row>
    <row r="192" customFormat="false" ht="15" hidden="false" customHeight="false" outlineLevel="0" collapsed="false">
      <c r="A192" s="20" t="s">
        <v>1135</v>
      </c>
      <c r="B192" s="20" t="n">
        <v>4413453</v>
      </c>
      <c r="C192" s="20" t="s">
        <v>473</v>
      </c>
      <c r="D192" s="20" t="str">
        <f aca="false">TRIM(SUBSTITUTE($A192,CHAR(160)," "))</f>
        <v>AC75-S-XL</v>
      </c>
    </row>
    <row r="193" customFormat="false" ht="15" hidden="false" customHeight="false" outlineLevel="0" collapsed="false">
      <c r="A193" s="20" t="s">
        <v>1136</v>
      </c>
      <c r="B193" s="20" t="n">
        <v>4422006</v>
      </c>
      <c r="C193" s="20" t="s">
        <v>474</v>
      </c>
      <c r="D193" s="20" t="str">
        <f aca="false">TRIM(SUBSTITUTE($A193,CHAR(160)," "))</f>
        <v>T78 L</v>
      </c>
    </row>
    <row r="194" customFormat="false" ht="15" hidden="false" customHeight="false" outlineLevel="0" collapsed="false">
      <c r="A194" s="20" t="s">
        <v>1137</v>
      </c>
      <c r="B194" s="20" t="n">
        <v>4422005</v>
      </c>
      <c r="C194" s="20" t="s">
        <v>475</v>
      </c>
      <c r="D194" s="20" t="str">
        <f aca="false">TRIM(SUBSTITUTE($A194,CHAR(160)," "))</f>
        <v>T78 M</v>
      </c>
    </row>
    <row r="195" customFormat="false" ht="15" hidden="false" customHeight="false" outlineLevel="0" collapsed="false">
      <c r="A195" s="20" t="s">
        <v>1138</v>
      </c>
      <c r="B195" s="20" t="n">
        <v>4422004</v>
      </c>
      <c r="C195" s="20" t="s">
        <v>476</v>
      </c>
      <c r="D195" s="20" t="str">
        <f aca="false">TRIM(SUBSTITUTE($A195,CHAR(160)," "))</f>
        <v>T78 S</v>
      </c>
    </row>
    <row r="196" customFormat="false" ht="15" hidden="false" customHeight="false" outlineLevel="0" collapsed="false">
      <c r="A196" s="20" t="s">
        <v>1139</v>
      </c>
      <c r="B196" s="20" t="n">
        <v>4422007</v>
      </c>
      <c r="C196" s="20" t="s">
        <v>477</v>
      </c>
      <c r="D196" s="20" t="str">
        <f aca="false">TRIM(SUBSTITUTE($A196,CHAR(160)," "))</f>
        <v>T78 XL</v>
      </c>
    </row>
    <row r="197" customFormat="false" ht="15" hidden="false" customHeight="false" outlineLevel="0" collapsed="false">
      <c r="A197" s="20" t="s">
        <v>1140</v>
      </c>
      <c r="B197" s="20" t="n">
        <v>4422009</v>
      </c>
      <c r="C197" s="20" t="s">
        <v>478</v>
      </c>
      <c r="D197" s="20" t="str">
        <f aca="false">TRIM(SUBSTITUTE($A197,CHAR(160)," "))</f>
        <v>T78 XXL</v>
      </c>
    </row>
    <row r="198" customFormat="false" ht="15" hidden="false" customHeight="false" outlineLevel="0" collapsed="false">
      <c r="A198" s="20" t="s">
        <v>1141</v>
      </c>
      <c r="B198" s="20" t="n">
        <v>4413056</v>
      </c>
      <c r="C198" s="20" t="s">
        <v>479</v>
      </c>
      <c r="D198" s="20" t="str">
        <f aca="false">TRIM(SUBSTITUTE($A198,CHAR(160)," "))</f>
        <v>LF360 0</v>
      </c>
    </row>
    <row r="199" customFormat="false" ht="15" hidden="false" customHeight="false" outlineLevel="0" collapsed="false">
      <c r="A199" s="20" t="s">
        <v>1142</v>
      </c>
      <c r="B199" s="20" t="n">
        <v>4420022</v>
      </c>
      <c r="C199" s="20" t="s">
        <v>480</v>
      </c>
      <c r="D199" s="20" t="str">
        <f aca="false">TRIM(SUBSTITUTE($A199,CHAR(160)," "))</f>
        <v>LF370 0</v>
      </c>
    </row>
    <row r="200" customFormat="false" ht="15" hidden="false" customHeight="false" outlineLevel="0" collapsed="false">
      <c r="A200" s="20" t="s">
        <v>1143</v>
      </c>
      <c r="B200" s="20" t="n">
        <v>4420023</v>
      </c>
      <c r="C200" s="20" t="s">
        <v>481</v>
      </c>
      <c r="D200" s="20" t="str">
        <f aca="false">TRIM(SUBSTITUTE($A200,CHAR(160)," "))</f>
        <v>LF371 0</v>
      </c>
    </row>
    <row r="201" customFormat="false" ht="15" hidden="false" customHeight="false" outlineLevel="0" collapsed="false">
      <c r="A201" s="20" t="s">
        <v>1144</v>
      </c>
      <c r="B201" s="20" t="n">
        <v>4420025</v>
      </c>
      <c r="C201" s="20" t="s">
        <v>482</v>
      </c>
      <c r="D201" s="20" t="str">
        <f aca="false">TRIM(SUBSTITUTE($A201,CHAR(160)," "))</f>
        <v>LF374 0</v>
      </c>
    </row>
    <row r="202" customFormat="false" ht="15" hidden="false" customHeight="false" outlineLevel="0" collapsed="false">
      <c r="A202" s="20" t="s">
        <v>1145</v>
      </c>
      <c r="B202" s="20" t="n">
        <v>4413276</v>
      </c>
      <c r="C202" s="20" t="s">
        <v>483</v>
      </c>
      <c r="D202" s="20" t="str">
        <f aca="false">TRIM(SUBSTITUTE($A202,CHAR(160)," "))</f>
        <v>LF377 L</v>
      </c>
    </row>
    <row r="203" customFormat="false" ht="15" hidden="false" customHeight="false" outlineLevel="0" collapsed="false">
      <c r="A203" s="20" t="s">
        <v>1146</v>
      </c>
      <c r="B203" s="20" t="n">
        <v>4413277</v>
      </c>
      <c r="C203" s="20" t="s">
        <v>484</v>
      </c>
      <c r="D203" s="20" t="str">
        <f aca="false">TRIM(SUBSTITUTE($A203,CHAR(160)," "))</f>
        <v>LF377 M</v>
      </c>
    </row>
    <row r="204" customFormat="false" ht="15" hidden="false" customHeight="false" outlineLevel="0" collapsed="false">
      <c r="A204" s="20" t="s">
        <v>1147</v>
      </c>
      <c r="B204" s="20" t="n">
        <v>4413278</v>
      </c>
      <c r="C204" s="20" t="s">
        <v>485</v>
      </c>
      <c r="D204" s="20" t="str">
        <f aca="false">TRIM(SUBSTITUTE($A204,CHAR(160)," "))</f>
        <v>LF377 S</v>
      </c>
    </row>
    <row r="205" customFormat="false" ht="15" hidden="false" customHeight="false" outlineLevel="0" collapsed="false">
      <c r="A205" s="20" t="s">
        <v>1148</v>
      </c>
      <c r="B205" s="20" t="n">
        <v>4413451</v>
      </c>
      <c r="C205" s="20" t="s">
        <v>486</v>
      </c>
      <c r="D205" s="20" t="str">
        <f aca="false">TRIM(SUBSTITUTE($A205,CHAR(160)," "))</f>
        <v>LF378 L</v>
      </c>
    </row>
    <row r="206" customFormat="false" ht="15" hidden="false" customHeight="false" outlineLevel="0" collapsed="false">
      <c r="A206" s="20" t="s">
        <v>1149</v>
      </c>
      <c r="B206" s="20" t="n">
        <v>4420024</v>
      </c>
      <c r="C206" s="20" t="s">
        <v>487</v>
      </c>
      <c r="D206" s="20" t="str">
        <f aca="false">TRIM(SUBSTITUTE($A206,CHAR(160)," "))</f>
        <v>LF373 0</v>
      </c>
    </row>
    <row r="207" customFormat="false" ht="15" hidden="false" customHeight="false" outlineLevel="0" collapsed="false">
      <c r="A207" s="20" t="s">
        <v>1150</v>
      </c>
      <c r="B207" s="20" t="n">
        <v>4413372</v>
      </c>
      <c r="C207" s="20" t="s">
        <v>490</v>
      </c>
      <c r="D207" s="20" t="str">
        <f aca="false">TRIM(SUBSTITUTE($A207,CHAR(160)," "))</f>
        <v>302W 0</v>
      </c>
    </row>
    <row r="208" customFormat="false" ht="15" hidden="false" customHeight="false" outlineLevel="0" collapsed="false">
      <c r="A208" s="20" t="s">
        <v>1151</v>
      </c>
      <c r="B208" s="20" t="n">
        <v>4413348</v>
      </c>
      <c r="C208" s="20" t="s">
        <v>491</v>
      </c>
      <c r="D208" s="20" t="str">
        <f aca="false">TRIM(SUBSTITUTE($A208,CHAR(160)," "))</f>
        <v>302M 0</v>
      </c>
    </row>
    <row r="209" customFormat="false" ht="15" hidden="false" customHeight="false" outlineLevel="0" collapsed="false">
      <c r="A209" s="20" t="s">
        <v>1152</v>
      </c>
      <c r="B209" s="20" t="n">
        <v>4413018</v>
      </c>
      <c r="C209" s="20" t="s">
        <v>494</v>
      </c>
      <c r="D209" s="20" t="str">
        <f aca="false">TRIM(SUBSTITUTE($A209,CHAR(160)," "))</f>
        <v>303-37-38</v>
      </c>
    </row>
    <row r="210" customFormat="false" ht="15" hidden="false" customHeight="false" outlineLevel="0" collapsed="false">
      <c r="A210" s="20" t="s">
        <v>1153</v>
      </c>
      <c r="B210" s="20" t="n">
        <v>4413020</v>
      </c>
      <c r="C210" s="20" t="s">
        <v>496</v>
      </c>
      <c r="D210" s="20" t="str">
        <f aca="false">TRIM(SUBSTITUTE($A210,CHAR(160)," "))</f>
        <v>303-41-42</v>
      </c>
    </row>
    <row r="211" customFormat="false" ht="15" hidden="false" customHeight="false" outlineLevel="0" collapsed="false">
      <c r="A211" s="20" t="s">
        <v>1154</v>
      </c>
      <c r="B211" s="20" t="n">
        <v>4413022</v>
      </c>
      <c r="C211" s="20" t="s">
        <v>498</v>
      </c>
      <c r="D211" s="20" t="str">
        <f aca="false">TRIM(SUBSTITUTE($A211,CHAR(160)," "))</f>
        <v>303-45-46</v>
      </c>
    </row>
    <row r="212" customFormat="false" ht="15" hidden="false" customHeight="false" outlineLevel="0" collapsed="false">
      <c r="A212" s="20" t="s">
        <v>1155</v>
      </c>
      <c r="B212" s="20" t="n">
        <v>4413154</v>
      </c>
      <c r="C212" s="20" t="s">
        <v>500</v>
      </c>
      <c r="D212" s="20" t="str">
        <f aca="false">TRIM(SUBSTITUTE($A212,CHAR(160)," "))</f>
        <v>305GA-37-38</v>
      </c>
    </row>
    <row r="213" customFormat="false" ht="15" hidden="false" customHeight="false" outlineLevel="0" collapsed="false">
      <c r="A213" s="20" t="s">
        <v>1156</v>
      </c>
      <c r="B213" s="20" t="n">
        <v>4413155</v>
      </c>
      <c r="C213" s="20" t="s">
        <v>501</v>
      </c>
      <c r="D213" s="20" t="str">
        <f aca="false">TRIM(SUBSTITUTE($A213,CHAR(160)," "))</f>
        <v>305GA-39-40</v>
      </c>
    </row>
    <row r="214" customFormat="false" ht="15" hidden="false" customHeight="false" outlineLevel="0" collapsed="false">
      <c r="A214" s="20" t="s">
        <v>1157</v>
      </c>
      <c r="B214" s="20" t="n">
        <v>4413156</v>
      </c>
      <c r="C214" s="20" t="s">
        <v>502</v>
      </c>
      <c r="D214" s="20" t="str">
        <f aca="false">TRIM(SUBSTITUTE($A214,CHAR(160)," "))</f>
        <v>305GA-41-42</v>
      </c>
    </row>
    <row r="215" customFormat="false" ht="15" hidden="false" customHeight="false" outlineLevel="0" collapsed="false">
      <c r="A215" s="20" t="s">
        <v>1158</v>
      </c>
      <c r="B215" s="20" t="n">
        <v>4413157</v>
      </c>
      <c r="C215" s="20" t="s">
        <v>503</v>
      </c>
      <c r="D215" s="20" t="str">
        <f aca="false">TRIM(SUBSTITUTE($A215,CHAR(160)," "))</f>
        <v>305GA-43-44</v>
      </c>
    </row>
    <row r="216" customFormat="false" ht="15" hidden="false" customHeight="false" outlineLevel="0" collapsed="false">
      <c r="A216" s="20" t="s">
        <v>1159</v>
      </c>
      <c r="B216" s="20" t="n">
        <v>4413158</v>
      </c>
      <c r="C216" s="20" t="s">
        <v>504</v>
      </c>
      <c r="D216" s="20" t="str">
        <f aca="false">TRIM(SUBSTITUTE($A216,CHAR(160)," "))</f>
        <v>305GA-45-46</v>
      </c>
    </row>
    <row r="217" customFormat="false" ht="15" hidden="false" customHeight="false" outlineLevel="0" collapsed="false">
      <c r="A217" s="20" t="s">
        <v>1160</v>
      </c>
      <c r="B217" s="20" t="n">
        <v>4413523</v>
      </c>
      <c r="C217" s="20" t="s">
        <v>509</v>
      </c>
      <c r="D217" s="20" t="str">
        <f aca="false">TRIM(SUBSTITUTE($A217,CHAR(160)," "))</f>
        <v>379COM-35-38</v>
      </c>
    </row>
    <row r="218" customFormat="false" ht="15" hidden="false" customHeight="false" outlineLevel="0" collapsed="false">
      <c r="A218" s="20" t="s">
        <v>1161</v>
      </c>
      <c r="B218" s="20" t="n">
        <v>4413527</v>
      </c>
      <c r="C218" s="20" t="s">
        <v>510</v>
      </c>
      <c r="D218" s="20" t="str">
        <f aca="false">TRIM(SUBSTITUTE($A218,CHAR(160)," "))</f>
        <v>379WRK-35-38</v>
      </c>
    </row>
    <row r="219" customFormat="false" ht="15" hidden="false" customHeight="false" outlineLevel="0" collapsed="false">
      <c r="A219" s="20" t="s">
        <v>1162</v>
      </c>
      <c r="B219" s="20" t="n">
        <v>4413524</v>
      </c>
      <c r="C219" s="20" t="s">
        <v>511</v>
      </c>
      <c r="D219" s="20" t="str">
        <f aca="false">TRIM(SUBSTITUTE($A219,CHAR(160)," "))</f>
        <v>379COM-39-42</v>
      </c>
    </row>
    <row r="220" customFormat="false" ht="15" hidden="false" customHeight="false" outlineLevel="0" collapsed="false">
      <c r="A220" s="20" t="s">
        <v>1163</v>
      </c>
      <c r="B220" s="20" t="n">
        <v>4413528</v>
      </c>
      <c r="C220" s="20" t="s">
        <v>512</v>
      </c>
      <c r="D220" s="20" t="str">
        <f aca="false">TRIM(SUBSTITUTE($A220,CHAR(160)," "))</f>
        <v>379WRK-39-42</v>
      </c>
    </row>
    <row r="221" customFormat="false" ht="15" hidden="false" customHeight="false" outlineLevel="0" collapsed="false">
      <c r="A221" s="20" t="s">
        <v>1164</v>
      </c>
      <c r="B221" s="20" t="n">
        <v>4413525</v>
      </c>
      <c r="C221" s="20" t="s">
        <v>513</v>
      </c>
      <c r="D221" s="20" t="str">
        <f aca="false">TRIM(SUBSTITUTE($A221,CHAR(160)," "))</f>
        <v>379COM-43-46</v>
      </c>
    </row>
    <row r="222" customFormat="false" ht="15" hidden="false" customHeight="false" outlineLevel="0" collapsed="false">
      <c r="A222" s="20" t="s">
        <v>1165</v>
      </c>
      <c r="B222" s="20" t="n">
        <v>4413529</v>
      </c>
      <c r="C222" s="20" t="s">
        <v>514</v>
      </c>
      <c r="D222" s="20" t="str">
        <f aca="false">TRIM(SUBSTITUTE($A222,CHAR(160)," "))</f>
        <v>379WRK-43-46</v>
      </c>
    </row>
    <row r="223" customFormat="false" ht="15" hidden="false" customHeight="false" outlineLevel="0" collapsed="false">
      <c r="A223" s="20" t="s">
        <v>1166</v>
      </c>
      <c r="B223" s="20" t="n">
        <v>4413450</v>
      </c>
      <c r="C223" s="20" t="s">
        <v>515</v>
      </c>
      <c r="D223" s="20" t="str">
        <f aca="false">TRIM(SUBSTITUTE($A223,CHAR(160)," "))</f>
        <v>LF378 M</v>
      </c>
    </row>
    <row r="224" customFormat="false" ht="15" hidden="false" customHeight="false" outlineLevel="0" collapsed="false">
      <c r="A224" s="20" t="s">
        <v>1167</v>
      </c>
      <c r="B224" s="20" t="n">
        <v>4413449</v>
      </c>
      <c r="C224" s="20" t="s">
        <v>516</v>
      </c>
      <c r="D224" s="20" t="str">
        <f aca="false">TRIM(SUBSTITUTE($A224,CHAR(160)," "))</f>
        <v>LF378 S</v>
      </c>
    </row>
    <row r="225" customFormat="false" ht="15" hidden="false" customHeight="false" outlineLevel="0" collapsed="false">
      <c r="A225" s="20" t="s">
        <v>1168</v>
      </c>
      <c r="B225" s="20" t="n">
        <v>4413520</v>
      </c>
      <c r="C225" s="20" t="s">
        <v>517</v>
      </c>
      <c r="D225" s="20" t="str">
        <f aca="false">TRIM(SUBSTITUTE($A225,CHAR(160)," "))</f>
        <v>379MSP-35-38</v>
      </c>
    </row>
    <row r="226" customFormat="false" ht="15" hidden="false" customHeight="false" outlineLevel="0" collapsed="false">
      <c r="A226" s="20" t="s">
        <v>1169</v>
      </c>
      <c r="B226" s="20" t="n">
        <v>4413522</v>
      </c>
      <c r="C226" s="20" t="s">
        <v>518</v>
      </c>
      <c r="D226" s="20" t="str">
        <f aca="false">TRIM(SUBSTITUTE($A226,CHAR(160)," "))</f>
        <v>379MSP-43-46</v>
      </c>
    </row>
    <row r="227" customFormat="false" ht="15" hidden="false" customHeight="false" outlineLevel="0" collapsed="false">
      <c r="A227" s="20" t="s">
        <v>1170</v>
      </c>
      <c r="B227" s="20" t="n">
        <v>4413521</v>
      </c>
      <c r="C227" s="20" t="s">
        <v>519</v>
      </c>
      <c r="D227" s="20" t="str">
        <f aca="false">TRIM(SUBSTITUTE($A227,CHAR(160)," "))</f>
        <v>379MSP-39-42</v>
      </c>
    </row>
    <row r="228" customFormat="false" ht="15" hidden="false" customHeight="false" outlineLevel="0" collapsed="false">
      <c r="A228" s="20" t="s">
        <v>1171</v>
      </c>
      <c r="B228" s="20" t="n">
        <v>4413117</v>
      </c>
      <c r="C228" s="20" t="s">
        <v>520</v>
      </c>
      <c r="D228" s="20" t="str">
        <f aca="false">TRIM(SUBSTITUTE($A228,CHAR(160)," "))</f>
        <v>50 L</v>
      </c>
    </row>
    <row r="229" customFormat="false" ht="15" hidden="false" customHeight="false" outlineLevel="0" collapsed="false">
      <c r="A229" s="20" t="s">
        <v>1172</v>
      </c>
      <c r="B229" s="20" t="n">
        <v>4413118</v>
      </c>
      <c r="C229" s="20" t="s">
        <v>521</v>
      </c>
      <c r="D229" s="20" t="str">
        <f aca="false">TRIM(SUBSTITUTE($A229,CHAR(160)," "))</f>
        <v>50 M</v>
      </c>
    </row>
    <row r="230" customFormat="false" ht="15" hidden="false" customHeight="false" outlineLevel="0" collapsed="false">
      <c r="A230" s="20" t="s">
        <v>1173</v>
      </c>
      <c r="B230" s="20" t="n">
        <v>4413119</v>
      </c>
      <c r="C230" s="20" t="s">
        <v>523</v>
      </c>
      <c r="D230" s="20" t="str">
        <f aca="false">TRIM(SUBSTITUTE($A230,CHAR(160)," "))</f>
        <v>50 XL</v>
      </c>
    </row>
    <row r="231" customFormat="false" ht="15" hidden="false" customHeight="false" outlineLevel="0" collapsed="false">
      <c r="A231" s="20" t="s">
        <v>1174</v>
      </c>
      <c r="B231" s="20" t="n">
        <v>4413122</v>
      </c>
      <c r="C231" s="20" t="s">
        <v>525</v>
      </c>
      <c r="D231" s="20" t="str">
        <f aca="false">TRIM(SUBSTITUTE($A231,CHAR(160)," "))</f>
        <v>55 L</v>
      </c>
    </row>
    <row r="232" customFormat="false" ht="15" hidden="false" customHeight="false" outlineLevel="0" collapsed="false">
      <c r="A232" s="20" t="s">
        <v>1175</v>
      </c>
      <c r="B232" s="20" t="n">
        <v>4413124</v>
      </c>
      <c r="C232" s="20" t="s">
        <v>528</v>
      </c>
      <c r="D232" s="20" t="str">
        <f aca="false">TRIM(SUBSTITUTE($A232,CHAR(160)," "))</f>
        <v>55 XL</v>
      </c>
    </row>
    <row r="233" customFormat="false" ht="15" hidden="false" customHeight="false" outlineLevel="0" collapsed="false">
      <c r="A233" s="20" t="s">
        <v>1176</v>
      </c>
      <c r="B233" s="20" t="n">
        <v>4408071</v>
      </c>
      <c r="C233" s="20" t="s">
        <v>530</v>
      </c>
      <c r="D233" s="20" t="str">
        <f aca="false">TRIM(SUBSTITUTE($A233,CHAR(160)," "))</f>
        <v>59D L</v>
      </c>
    </row>
    <row r="234" customFormat="false" ht="15" hidden="false" customHeight="false" outlineLevel="0" collapsed="false">
      <c r="A234" s="20" t="s">
        <v>1177</v>
      </c>
      <c r="B234" s="20" t="n">
        <v>4408072</v>
      </c>
      <c r="C234" s="20" t="s">
        <v>531</v>
      </c>
      <c r="D234" s="20" t="str">
        <f aca="false">TRIM(SUBSTITUTE($A234,CHAR(160)," "))</f>
        <v>59D M</v>
      </c>
    </row>
    <row r="235" customFormat="false" ht="15" hidden="false" customHeight="false" outlineLevel="0" collapsed="false">
      <c r="A235" s="20" t="s">
        <v>1178</v>
      </c>
      <c r="B235" s="20" t="n">
        <v>4408070</v>
      </c>
      <c r="C235" s="20" t="s">
        <v>532</v>
      </c>
      <c r="D235" s="20" t="str">
        <f aca="false">TRIM(SUBSTITUTE($A235,CHAR(160)," "))</f>
        <v>59D S</v>
      </c>
    </row>
    <row r="236" customFormat="false" ht="15" hidden="false" customHeight="false" outlineLevel="0" collapsed="false">
      <c r="A236" s="20" t="s">
        <v>1179</v>
      </c>
      <c r="B236" s="20" t="n">
        <v>4408073</v>
      </c>
      <c r="C236" s="20" t="s">
        <v>533</v>
      </c>
      <c r="D236" s="20" t="str">
        <f aca="false">TRIM(SUBSTITUTE($A236,CHAR(160)," "))</f>
        <v>59D XL</v>
      </c>
    </row>
    <row r="237" customFormat="false" ht="15" hidden="false" customHeight="false" outlineLevel="0" collapsed="false">
      <c r="A237" s="20" t="s">
        <v>1180</v>
      </c>
      <c r="B237" s="20" t="n">
        <v>4408076</v>
      </c>
      <c r="C237" s="20" t="s">
        <v>535</v>
      </c>
      <c r="D237" s="20" t="str">
        <f aca="false">TRIM(SUBSTITUTE($A237,CHAR(160)," "))</f>
        <v>59L L</v>
      </c>
    </row>
    <row r="238" customFormat="false" ht="15" hidden="false" customHeight="false" outlineLevel="0" collapsed="false">
      <c r="A238" s="20" t="s">
        <v>1181</v>
      </c>
      <c r="B238" s="20" t="n">
        <v>4408077</v>
      </c>
      <c r="C238" s="20" t="s">
        <v>536</v>
      </c>
      <c r="D238" s="20" t="str">
        <f aca="false">TRIM(SUBSTITUTE($A238,CHAR(160)," "))</f>
        <v>59L M</v>
      </c>
    </row>
    <row r="239" customFormat="false" ht="15" hidden="false" customHeight="false" outlineLevel="0" collapsed="false">
      <c r="A239" s="20" t="s">
        <v>1182</v>
      </c>
      <c r="B239" s="20" t="n">
        <v>4408075</v>
      </c>
      <c r="C239" s="20" t="s">
        <v>537</v>
      </c>
      <c r="D239" s="20" t="str">
        <f aca="false">TRIM(SUBSTITUTE($A239,CHAR(160)," "))</f>
        <v>59L S</v>
      </c>
    </row>
    <row r="240" customFormat="false" ht="15" hidden="false" customHeight="false" outlineLevel="0" collapsed="false">
      <c r="A240" s="20" t="s">
        <v>1183</v>
      </c>
      <c r="B240" s="20" t="n">
        <v>4408078</v>
      </c>
      <c r="C240" s="20" t="s">
        <v>538</v>
      </c>
      <c r="D240" s="20" t="str">
        <f aca="false">TRIM(SUBSTITUTE($A240,CHAR(160)," "))</f>
        <v>59L XL</v>
      </c>
    </row>
    <row r="241" customFormat="false" ht="15" hidden="false" customHeight="false" outlineLevel="0" collapsed="false">
      <c r="A241" s="20" t="s">
        <v>1184</v>
      </c>
      <c r="B241" s="20" t="n">
        <v>4408080</v>
      </c>
      <c r="C241" s="20" t="s">
        <v>539</v>
      </c>
      <c r="D241" s="20" t="str">
        <f aca="false">TRIM(SUBSTITUTE($A241,CHAR(160)," "))</f>
        <v>59R L</v>
      </c>
    </row>
    <row r="242" customFormat="false" ht="15" hidden="false" customHeight="false" outlineLevel="0" collapsed="false">
      <c r="A242" s="20" t="s">
        <v>1185</v>
      </c>
      <c r="B242" s="20" t="n">
        <v>4408081</v>
      </c>
      <c r="C242" s="20" t="s">
        <v>540</v>
      </c>
      <c r="D242" s="20" t="str">
        <f aca="false">TRIM(SUBSTITUTE($A242,CHAR(160)," "))</f>
        <v>59R M</v>
      </c>
    </row>
    <row r="243" customFormat="false" ht="15" hidden="false" customHeight="false" outlineLevel="0" collapsed="false">
      <c r="A243" s="20" t="s">
        <v>1186</v>
      </c>
      <c r="B243" s="20" t="n">
        <v>4408079</v>
      </c>
      <c r="C243" s="20" t="s">
        <v>541</v>
      </c>
      <c r="D243" s="20" t="str">
        <f aca="false">TRIM(SUBSTITUTE($A243,CHAR(160)," "))</f>
        <v>59R S</v>
      </c>
    </row>
    <row r="244" customFormat="false" ht="15" hidden="false" customHeight="false" outlineLevel="0" collapsed="false">
      <c r="A244" s="20" t="s">
        <v>1187</v>
      </c>
      <c r="B244" s="20" t="n">
        <v>4408082</v>
      </c>
      <c r="C244" s="20" t="s">
        <v>542</v>
      </c>
      <c r="D244" s="20" t="str">
        <f aca="false">TRIM(SUBSTITUTE($A244,CHAR(160)," "))</f>
        <v>59R XL</v>
      </c>
    </row>
    <row r="245" customFormat="false" ht="15" hidden="false" customHeight="false" outlineLevel="0" collapsed="false">
      <c r="A245" s="20" t="s">
        <v>1188</v>
      </c>
      <c r="B245" s="20" t="n">
        <v>4408266</v>
      </c>
      <c r="C245" s="20" t="s">
        <v>549</v>
      </c>
      <c r="D245" s="20" t="str">
        <f aca="false">TRIM(SUBSTITUTE($A245,CHAR(160)," "))</f>
        <v>91B 0</v>
      </c>
    </row>
    <row r="246" customFormat="false" ht="15" hidden="false" customHeight="false" outlineLevel="0" collapsed="false">
      <c r="A246" s="20" t="s">
        <v>1189</v>
      </c>
      <c r="B246" s="20" t="n">
        <v>4408084</v>
      </c>
      <c r="C246" s="20" t="s">
        <v>550</v>
      </c>
      <c r="D246" s="20" t="str">
        <f aca="false">TRIM(SUBSTITUTE($A246,CHAR(160)," "))</f>
        <v>922 L</v>
      </c>
    </row>
    <row r="247" customFormat="false" ht="15" hidden="false" customHeight="false" outlineLevel="0" collapsed="false">
      <c r="A247" s="20" t="s">
        <v>1190</v>
      </c>
      <c r="B247" s="20" t="n">
        <v>4408087</v>
      </c>
      <c r="C247" s="20" t="s">
        <v>553</v>
      </c>
      <c r="D247" s="20" t="str">
        <f aca="false">TRIM(SUBSTITUTE($A247,CHAR(160)," "))</f>
        <v>922 XL</v>
      </c>
    </row>
    <row r="248" customFormat="false" ht="15" hidden="false" customHeight="false" outlineLevel="0" collapsed="false">
      <c r="A248" s="20" t="s">
        <v>1191</v>
      </c>
      <c r="B248" s="20" t="n">
        <v>4413139</v>
      </c>
      <c r="C248" s="20" t="s">
        <v>555</v>
      </c>
      <c r="D248" s="20" t="str">
        <f aca="false">TRIM(SUBSTITUTE($A248,CHAR(160)," "))</f>
        <v>95 L</v>
      </c>
    </row>
    <row r="249" customFormat="false" ht="15" hidden="false" customHeight="false" outlineLevel="0" collapsed="false">
      <c r="A249" s="20" t="s">
        <v>1192</v>
      </c>
      <c r="B249" s="20" t="n">
        <v>4413140</v>
      </c>
      <c r="C249" s="20" t="s">
        <v>556</v>
      </c>
      <c r="D249" s="20" t="str">
        <f aca="false">TRIM(SUBSTITUTE($A249,CHAR(160)," "))</f>
        <v>95 M</v>
      </c>
    </row>
    <row r="250" customFormat="false" ht="15" hidden="false" customHeight="false" outlineLevel="0" collapsed="false">
      <c r="A250" s="20" t="s">
        <v>1193</v>
      </c>
      <c r="B250" s="20" t="n">
        <v>4413141</v>
      </c>
      <c r="C250" s="20" t="s">
        <v>557</v>
      </c>
      <c r="D250" s="20" t="str">
        <f aca="false">TRIM(SUBSTITUTE($A250,CHAR(160)," "))</f>
        <v>95 S</v>
      </c>
    </row>
    <row r="251" customFormat="false" ht="15" hidden="false" customHeight="false" outlineLevel="0" collapsed="false">
      <c r="A251" s="20" t="s">
        <v>1194</v>
      </c>
      <c r="B251" s="20" t="n">
        <v>4413142</v>
      </c>
      <c r="C251" s="20" t="s">
        <v>558</v>
      </c>
      <c r="D251" s="20" t="str">
        <f aca="false">TRIM(SUBSTITUTE($A251,CHAR(160)," "))</f>
        <v>95 XL</v>
      </c>
    </row>
    <row r="252" customFormat="false" ht="15" hidden="false" customHeight="false" outlineLevel="0" collapsed="false">
      <c r="A252" s="20" t="s">
        <v>1195</v>
      </c>
      <c r="B252" s="20" t="n">
        <v>4413143</v>
      </c>
      <c r="C252" s="20" t="s">
        <v>559</v>
      </c>
      <c r="D252" s="20" t="str">
        <f aca="false">TRIM(SUBSTITUTE($A252,CHAR(160)," "))</f>
        <v>95 XS</v>
      </c>
    </row>
    <row r="253" customFormat="false" ht="15" hidden="false" customHeight="false" outlineLevel="0" collapsed="false">
      <c r="A253" s="20" t="s">
        <v>1196</v>
      </c>
      <c r="B253" s="20" t="n">
        <v>4413144</v>
      </c>
      <c r="C253" s="20" t="s">
        <v>560</v>
      </c>
      <c r="D253" s="20" t="str">
        <f aca="false">TRIM(SUBSTITUTE($A253,CHAR(160)," "))</f>
        <v>95 XXL</v>
      </c>
    </row>
    <row r="254" customFormat="false" ht="15" hidden="false" customHeight="false" outlineLevel="0" collapsed="false">
      <c r="A254" s="20" t="s">
        <v>1197</v>
      </c>
      <c r="B254" s="20" t="n">
        <v>4413500</v>
      </c>
      <c r="C254" s="20" t="s">
        <v>564</v>
      </c>
      <c r="D254" s="20" t="str">
        <f aca="false">TRIM(SUBSTITUTE($A254,CHAR(160)," "))</f>
        <v>95B L</v>
      </c>
    </row>
    <row r="255" customFormat="false" ht="15" hidden="false" customHeight="false" outlineLevel="0" collapsed="false">
      <c r="A255" s="20" t="s">
        <v>1198</v>
      </c>
      <c r="B255" s="20" t="n">
        <v>4413501</v>
      </c>
      <c r="C255" s="20" t="s">
        <v>565</v>
      </c>
      <c r="D255" s="20" t="str">
        <f aca="false">TRIM(SUBSTITUTE($A255,CHAR(160)," "))</f>
        <v>95B M</v>
      </c>
    </row>
    <row r="256" customFormat="false" ht="15" hidden="false" customHeight="false" outlineLevel="0" collapsed="false">
      <c r="A256" s="20" t="s">
        <v>1199</v>
      </c>
      <c r="B256" s="20" t="n">
        <v>4413502</v>
      </c>
      <c r="C256" s="20" t="s">
        <v>566</v>
      </c>
      <c r="D256" s="20" t="str">
        <f aca="false">TRIM(SUBSTITUTE($A256,CHAR(160)," "))</f>
        <v>95B S</v>
      </c>
    </row>
    <row r="257" customFormat="false" ht="15" hidden="false" customHeight="false" outlineLevel="0" collapsed="false">
      <c r="A257" s="20" t="s">
        <v>1200</v>
      </c>
      <c r="B257" s="20" t="n">
        <v>4413503</v>
      </c>
      <c r="C257" s="20" t="s">
        <v>567</v>
      </c>
      <c r="D257" s="20" t="str">
        <f aca="false">TRIM(SUBSTITUTE($A257,CHAR(160)," "))</f>
        <v>95B XL</v>
      </c>
    </row>
    <row r="258" customFormat="false" ht="15" hidden="false" customHeight="false" outlineLevel="0" collapsed="false">
      <c r="A258" s="20" t="s">
        <v>1201</v>
      </c>
      <c r="B258" s="20" t="n">
        <v>4413504</v>
      </c>
      <c r="C258" s="20" t="s">
        <v>568</v>
      </c>
      <c r="D258" s="20" t="str">
        <f aca="false">TRIM(SUBSTITUTE($A258,CHAR(160)," "))</f>
        <v>95B XXL</v>
      </c>
    </row>
    <row r="259" customFormat="false" ht="15" hidden="false" customHeight="false" outlineLevel="0" collapsed="false">
      <c r="A259" s="20" t="s">
        <v>1202</v>
      </c>
      <c r="B259" s="20" t="n">
        <v>4413365</v>
      </c>
      <c r="C259" s="20" t="s">
        <v>569</v>
      </c>
      <c r="D259" s="20" t="str">
        <f aca="false">TRIM(SUBSTITUTE($A259,CHAR(160)," "))</f>
        <v>95C L</v>
      </c>
    </row>
    <row r="260" customFormat="false" ht="15" hidden="false" customHeight="false" outlineLevel="0" collapsed="false">
      <c r="A260" s="20" t="s">
        <v>1203</v>
      </c>
      <c r="B260" s="20" t="n">
        <v>4413364</v>
      </c>
      <c r="C260" s="20" t="s">
        <v>570</v>
      </c>
      <c r="D260" s="20" t="str">
        <f aca="false">TRIM(SUBSTITUTE($A260,CHAR(160)," "))</f>
        <v>95C M</v>
      </c>
    </row>
    <row r="261" customFormat="false" ht="15" hidden="false" customHeight="false" outlineLevel="0" collapsed="false">
      <c r="A261" s="20" t="s">
        <v>1204</v>
      </c>
      <c r="B261" s="20" t="n">
        <v>4413366</v>
      </c>
      <c r="C261" s="20" t="s">
        <v>571</v>
      </c>
      <c r="D261" s="20" t="str">
        <f aca="false">TRIM(SUBSTITUTE($A261,CHAR(160)," "))</f>
        <v>95C S</v>
      </c>
    </row>
    <row r="262" customFormat="false" ht="15" hidden="false" customHeight="false" outlineLevel="0" collapsed="false">
      <c r="A262" s="20" t="s">
        <v>1205</v>
      </c>
      <c r="B262" s="20" t="n">
        <v>4413367</v>
      </c>
      <c r="C262" s="20" t="s">
        <v>572</v>
      </c>
      <c r="D262" s="20" t="str">
        <f aca="false">TRIM(SUBSTITUTE($A262,CHAR(160)," "))</f>
        <v>95C XL</v>
      </c>
    </row>
    <row r="263" customFormat="false" ht="15" hidden="false" customHeight="false" outlineLevel="0" collapsed="false">
      <c r="A263" s="20" t="s">
        <v>1206</v>
      </c>
      <c r="B263" s="20" t="n">
        <v>4413368</v>
      </c>
      <c r="C263" s="20" t="s">
        <v>573</v>
      </c>
      <c r="D263" s="20" t="str">
        <f aca="false">TRIM(SUBSTITUTE($A263,CHAR(160)," "))</f>
        <v>95C XS</v>
      </c>
    </row>
    <row r="264" customFormat="false" ht="15" hidden="false" customHeight="false" outlineLevel="0" collapsed="false">
      <c r="A264" s="20" t="s">
        <v>1207</v>
      </c>
      <c r="B264" s="20" t="n">
        <v>4413369</v>
      </c>
      <c r="C264" s="20" t="s">
        <v>574</v>
      </c>
      <c r="D264" s="20" t="str">
        <f aca="false">TRIM(SUBSTITUTE($A264,CHAR(160)," "))</f>
        <v>95C XXL</v>
      </c>
    </row>
    <row r="265" customFormat="false" ht="15" hidden="false" customHeight="false" outlineLevel="0" collapsed="false">
      <c r="A265" s="20" t="s">
        <v>1208</v>
      </c>
      <c r="B265" s="20" t="n">
        <v>4408208</v>
      </c>
      <c r="C265" s="20" t="s">
        <v>576</v>
      </c>
      <c r="D265" s="20" t="str">
        <f aca="false">TRIM(SUBSTITUTE($A265,CHAR(160)," "))</f>
        <v>AC91 0</v>
      </c>
    </row>
    <row r="266" customFormat="false" ht="15" hidden="false" customHeight="false" outlineLevel="0" collapsed="false">
      <c r="A266" s="20" t="s">
        <v>1209</v>
      </c>
      <c r="B266" s="20" t="n">
        <v>4413331</v>
      </c>
      <c r="C266" s="20" t="s">
        <v>577</v>
      </c>
      <c r="D266" s="20" t="str">
        <f aca="false">TRIM(SUBSTITUTE($A266,CHAR(160)," "))</f>
        <v>AC95 0</v>
      </c>
    </row>
    <row r="267" customFormat="false" ht="15" hidden="false" customHeight="false" outlineLevel="0" collapsed="false">
      <c r="A267" s="20" t="s">
        <v>1210</v>
      </c>
      <c r="B267" s="20" t="n">
        <v>4413405</v>
      </c>
      <c r="C267" s="20" t="s">
        <v>578</v>
      </c>
      <c r="D267" s="20" t="str">
        <f aca="false">TRIM(SUBSTITUTE($A267,CHAR(160)," "))</f>
        <v>SC95 S</v>
      </c>
    </row>
    <row r="268" customFormat="false" ht="15" hidden="false" customHeight="false" outlineLevel="0" collapsed="false">
      <c r="A268" s="20" t="s">
        <v>1211</v>
      </c>
      <c r="B268" s="20" t="n">
        <v>4413531</v>
      </c>
      <c r="C268" s="20" t="s">
        <v>580</v>
      </c>
      <c r="D268" s="20" t="str">
        <f aca="false">TRIM(SUBSTITUTE($A268,CHAR(160)," "))</f>
        <v>ST91 0</v>
      </c>
    </row>
    <row r="269" customFormat="false" ht="15" hidden="false" customHeight="false" outlineLevel="0" collapsed="false">
      <c r="A269" s="20" t="s">
        <v>1212</v>
      </c>
      <c r="B269" s="20" t="n">
        <v>4420018</v>
      </c>
      <c r="C269" s="20" t="s">
        <v>581</v>
      </c>
      <c r="D269" s="20" t="str">
        <f aca="false">TRIM(SUBSTITUTE($A269,CHAR(160)," "))</f>
        <v>(missing in TRANS source - cell was blank/error)</v>
      </c>
    </row>
    <row r="270" customFormat="false" ht="15" hidden="false" customHeight="false" outlineLevel="0" collapsed="false">
      <c r="A270" s="20" t="s">
        <v>1213</v>
      </c>
      <c r="B270" s="20" t="n">
        <v>4413210</v>
      </c>
      <c r="C270" s="20" t="s">
        <v>586</v>
      </c>
      <c r="D270" s="20" t="str">
        <f aca="false">TRIM(SUBSTITUTE($A270,CHAR(160)," "))</f>
        <v>T95 S</v>
      </c>
    </row>
    <row r="271" customFormat="false" ht="15" hidden="false" customHeight="false" outlineLevel="0" collapsed="false">
      <c r="A271" s="20" t="s">
        <v>1214</v>
      </c>
      <c r="B271" s="20" t="n">
        <v>4413135</v>
      </c>
      <c r="C271" s="20" t="s">
        <v>595</v>
      </c>
      <c r="D271" s="20" t="str">
        <f aca="false">TRIM(SUBSTITUTE($A271,CHAR(160)," "))</f>
        <v>85 L</v>
      </c>
    </row>
    <row r="272" customFormat="false" ht="15" hidden="false" customHeight="false" outlineLevel="0" collapsed="false">
      <c r="A272" s="20" t="s">
        <v>1215</v>
      </c>
      <c r="B272" s="20" t="n">
        <v>4413136</v>
      </c>
      <c r="C272" s="20" t="s">
        <v>596</v>
      </c>
      <c r="D272" s="20" t="str">
        <f aca="false">TRIM(SUBSTITUTE($A272,CHAR(160)," "))</f>
        <v>85 M</v>
      </c>
    </row>
    <row r="273" customFormat="false" ht="15" hidden="false" customHeight="false" outlineLevel="0" collapsed="false">
      <c r="A273" s="20" t="s">
        <v>1216</v>
      </c>
      <c r="B273" s="20" t="n">
        <v>4413137</v>
      </c>
      <c r="C273" s="20" t="s">
        <v>597</v>
      </c>
      <c r="D273" s="20" t="str">
        <f aca="false">TRIM(SUBSTITUTE($A273,CHAR(160)," "))</f>
        <v>85 S</v>
      </c>
    </row>
    <row r="274" customFormat="false" ht="15" hidden="false" customHeight="false" outlineLevel="0" collapsed="false">
      <c r="A274" s="20" t="s">
        <v>1217</v>
      </c>
      <c r="B274" s="20" t="n">
        <v>4413138</v>
      </c>
      <c r="C274" s="20" t="s">
        <v>598</v>
      </c>
      <c r="D274" s="20" t="str">
        <f aca="false">TRIM(SUBSTITUTE($A274,CHAR(160)," "))</f>
        <v>85 XL</v>
      </c>
    </row>
    <row r="275" customFormat="false" ht="15" hidden="false" customHeight="false" outlineLevel="0" collapsed="false">
      <c r="A275" s="20" t="s">
        <v>1218</v>
      </c>
      <c r="B275" s="20" t="n">
        <v>4413176</v>
      </c>
      <c r="C275" s="20" t="s">
        <v>599</v>
      </c>
      <c r="D275" s="20" t="str">
        <f aca="false">TRIM(SUBSTITUTE($A275,CHAR(160)," "))</f>
        <v>85+ L</v>
      </c>
    </row>
    <row r="276" customFormat="false" ht="15" hidden="false" customHeight="false" outlineLevel="0" collapsed="false">
      <c r="A276" s="20" t="s">
        <v>1219</v>
      </c>
      <c r="B276" s="20" t="n">
        <v>4413175</v>
      </c>
      <c r="C276" s="20" t="s">
        <v>600</v>
      </c>
      <c r="D276" s="20" t="str">
        <f aca="false">TRIM(SUBSTITUTE($A276,CHAR(160)," "))</f>
        <v>85+ M</v>
      </c>
    </row>
    <row r="277" customFormat="false" ht="15" hidden="false" customHeight="false" outlineLevel="0" collapsed="false">
      <c r="A277" s="20" t="s">
        <v>1220</v>
      </c>
      <c r="B277" s="20" t="n">
        <v>4413177</v>
      </c>
      <c r="C277" s="20" t="s">
        <v>602</v>
      </c>
      <c r="D277" s="20" t="str">
        <f aca="false">TRIM(SUBSTITUTE($A277,CHAR(160)," "))</f>
        <v>85+ XL</v>
      </c>
    </row>
    <row r="278" customFormat="false" ht="15" hidden="false" customHeight="false" outlineLevel="0" collapsed="false">
      <c r="A278" s="20" t="s">
        <v>1221</v>
      </c>
      <c r="B278" s="20" t="n">
        <v>4413516</v>
      </c>
      <c r="C278" s="20" t="s">
        <v>603</v>
      </c>
      <c r="D278" s="20" t="str">
        <f aca="false">TRIM(SUBSTITUTE($A278,CHAR(160)," "))</f>
        <v>85B L</v>
      </c>
    </row>
    <row r="279" customFormat="false" ht="15" hidden="false" customHeight="false" outlineLevel="0" collapsed="false">
      <c r="A279" s="20" t="s">
        <v>1222</v>
      </c>
      <c r="B279" s="20" t="n">
        <v>4413517</v>
      </c>
      <c r="C279" s="20" t="s">
        <v>604</v>
      </c>
      <c r="D279" s="20" t="str">
        <f aca="false">TRIM(SUBSTITUTE($A279,CHAR(160)," "))</f>
        <v>85B M</v>
      </c>
    </row>
    <row r="280" customFormat="false" ht="15" hidden="false" customHeight="false" outlineLevel="0" collapsed="false">
      <c r="A280" s="20" t="s">
        <v>1223</v>
      </c>
      <c r="B280" s="20" t="n">
        <v>4413519</v>
      </c>
      <c r="C280" s="20" t="s">
        <v>605</v>
      </c>
      <c r="D280" s="20" t="str">
        <f aca="false">TRIM(SUBSTITUTE($A280,CHAR(160)," "))</f>
        <v>85B S</v>
      </c>
    </row>
    <row r="281" customFormat="false" ht="15" hidden="false" customHeight="false" outlineLevel="0" collapsed="false">
      <c r="A281" s="20" t="s">
        <v>1224</v>
      </c>
      <c r="B281" s="20" t="n">
        <v>4413518</v>
      </c>
      <c r="C281" s="20" t="s">
        <v>606</v>
      </c>
      <c r="D281" s="20" t="str">
        <f aca="false">TRIM(SUBSTITUTE($A281,CHAR(160)," "))</f>
        <v>85B XL</v>
      </c>
    </row>
    <row r="282" customFormat="false" ht="15" hidden="false" customHeight="false" outlineLevel="0" collapsed="false">
      <c r="A282" s="20" t="s">
        <v>1225</v>
      </c>
      <c r="B282" s="20" t="n">
        <v>4413455</v>
      </c>
      <c r="C282" s="20" t="s">
        <v>607</v>
      </c>
      <c r="D282" s="20" t="str">
        <f aca="false">TRIM(SUBSTITUTE($A282,CHAR(160)," "))</f>
        <v>85K 0</v>
      </c>
    </row>
    <row r="283" customFormat="false" ht="15" hidden="false" customHeight="false" outlineLevel="0" collapsed="false">
      <c r="A283" s="20" t="s">
        <v>1226</v>
      </c>
      <c r="B283" s="20" t="n">
        <v>4416000</v>
      </c>
      <c r="C283" s="20" t="s">
        <v>609</v>
      </c>
      <c r="D283" s="20" t="str">
        <f aca="false">TRIM(SUBSTITUTE($A283,CHAR(160)," "))</f>
        <v>307 L</v>
      </c>
    </row>
    <row r="284" customFormat="false" ht="15" hidden="false" customHeight="false" outlineLevel="0" collapsed="false">
      <c r="A284" s="20" t="s">
        <v>1227</v>
      </c>
      <c r="B284" s="20" t="n">
        <v>4416001</v>
      </c>
      <c r="C284" s="20" t="s">
        <v>610</v>
      </c>
      <c r="D284" s="20" t="str">
        <f aca="false">TRIM(SUBSTITUTE($A284,CHAR(160)," "))</f>
        <v>307 M</v>
      </c>
    </row>
    <row r="285" customFormat="false" ht="15" hidden="false" customHeight="false" outlineLevel="0" collapsed="false">
      <c r="A285" s="20" t="s">
        <v>1228</v>
      </c>
      <c r="B285" s="20" t="n">
        <v>4416002</v>
      </c>
      <c r="C285" s="20" t="s">
        <v>611</v>
      </c>
      <c r="D285" s="20" t="str">
        <f aca="false">TRIM(SUBSTITUTE($A285,CHAR(160)," "))</f>
        <v>307 S</v>
      </c>
    </row>
    <row r="286" customFormat="false" ht="15" hidden="false" customHeight="false" outlineLevel="0" collapsed="false">
      <c r="A286" s="20" t="s">
        <v>1229</v>
      </c>
      <c r="B286" s="20" t="n">
        <v>4411016</v>
      </c>
      <c r="C286" s="20" t="s">
        <v>612</v>
      </c>
      <c r="D286" s="20" t="str">
        <f aca="false">TRIM(SUBSTITUTE($A286,CHAR(160)," "))</f>
        <v>307 XL</v>
      </c>
    </row>
    <row r="287" customFormat="false" ht="15" hidden="false" customHeight="false" outlineLevel="0" collapsed="false">
      <c r="A287" s="20" t="s">
        <v>1230</v>
      </c>
      <c r="B287" s="20" t="n">
        <v>4416003</v>
      </c>
      <c r="C287" s="20" t="s">
        <v>613</v>
      </c>
      <c r="D287" s="20" t="str">
        <f aca="false">TRIM(SUBSTITUTE($A287,CHAR(160)," "))</f>
        <v>308 L</v>
      </c>
    </row>
    <row r="288" customFormat="false" ht="15" hidden="false" customHeight="false" outlineLevel="0" collapsed="false">
      <c r="A288" s="20" t="s">
        <v>1231</v>
      </c>
      <c r="B288" s="20" t="n">
        <v>4416005</v>
      </c>
      <c r="C288" s="20" t="s">
        <v>614</v>
      </c>
      <c r="D288" s="20" t="str">
        <f aca="false">TRIM(SUBSTITUTE($A288,CHAR(160)," "))</f>
        <v>308 M</v>
      </c>
    </row>
    <row r="289" customFormat="false" ht="15" hidden="false" customHeight="false" outlineLevel="0" collapsed="false">
      <c r="A289" s="20" t="s">
        <v>1232</v>
      </c>
      <c r="B289" s="20" t="n">
        <v>4413033</v>
      </c>
      <c r="C289" s="20" t="s">
        <v>619</v>
      </c>
      <c r="D289" s="20" t="str">
        <f aca="false">TRIM(SUBSTITUTE($A289,CHAR(160)," "))</f>
        <v>311 0</v>
      </c>
    </row>
    <row r="290" customFormat="false" ht="15" hidden="false" customHeight="false" outlineLevel="0" collapsed="false">
      <c r="A290" s="20" t="s">
        <v>1233</v>
      </c>
      <c r="B290" s="20" t="n">
        <v>4413034</v>
      </c>
      <c r="C290" s="20" t="s">
        <v>1234</v>
      </c>
      <c r="D290" s="20" t="str">
        <f aca="false">TRIM(SUBSTITUTE($A290,CHAR(160)," "))</f>
        <v>312 0</v>
      </c>
    </row>
    <row r="291" customFormat="false" ht="15" hidden="false" customHeight="false" outlineLevel="0" collapsed="false">
      <c r="A291" s="20" t="s">
        <v>1235</v>
      </c>
      <c r="B291" s="20" t="n">
        <v>4415297</v>
      </c>
      <c r="C291" s="20" t="s">
        <v>621</v>
      </c>
      <c r="D291" s="20" t="str">
        <f aca="false">TRIM(SUBSTITUTE($A291,CHAR(160)," "))</f>
        <v>313 0</v>
      </c>
    </row>
    <row r="292" customFormat="false" ht="15" hidden="false" customHeight="false" outlineLevel="0" collapsed="false">
      <c r="A292" s="20" t="s">
        <v>1236</v>
      </c>
      <c r="B292" s="20" t="n">
        <v>4402007</v>
      </c>
      <c r="C292" s="20" t="s">
        <v>622</v>
      </c>
      <c r="D292" s="20" t="str">
        <f aca="false">TRIM(SUBSTITUTE($A292,CHAR(160)," "))</f>
        <v>320 0</v>
      </c>
    </row>
    <row r="293" customFormat="false" ht="15" hidden="false" customHeight="false" outlineLevel="0" collapsed="false">
      <c r="A293" s="20" t="s">
        <v>1237</v>
      </c>
      <c r="B293" s="20" t="n">
        <v>4421001</v>
      </c>
      <c r="C293" s="20" t="s">
        <v>623</v>
      </c>
      <c r="D293" s="20" t="str">
        <f aca="false">TRIM(SUBSTITUTE($A293,CHAR(160)," "))</f>
        <v>3611 0</v>
      </c>
    </row>
    <row r="294" customFormat="false" ht="15" hidden="false" customHeight="false" outlineLevel="0" collapsed="false">
      <c r="A294" s="20" t="s">
        <v>1238</v>
      </c>
      <c r="B294" s="20" t="n">
        <v>4413058</v>
      </c>
      <c r="C294" s="20" t="s">
        <v>624</v>
      </c>
      <c r="D294" s="20" t="str">
        <f aca="false">TRIM(SUBSTITUTE($A294,CHAR(160)," "))</f>
        <v>3622S 0</v>
      </c>
    </row>
    <row r="295" customFormat="false" ht="15" hidden="false" customHeight="false" outlineLevel="0" collapsed="false">
      <c r="A295" s="20" t="s">
        <v>1239</v>
      </c>
      <c r="B295" s="20" t="n">
        <v>4411001</v>
      </c>
      <c r="C295" s="20" t="s">
        <v>625</v>
      </c>
      <c r="D295" s="20" t="str">
        <f aca="false">TRIM(SUBSTITUTE($A295,CHAR(160)," "))</f>
        <v>3623 0</v>
      </c>
    </row>
    <row r="296" customFormat="false" ht="15" hidden="false" customHeight="false" outlineLevel="0" collapsed="false">
      <c r="A296" s="20" t="s">
        <v>1240</v>
      </c>
      <c r="B296" s="20" t="n">
        <v>4402000</v>
      </c>
      <c r="C296" s="20" t="s">
        <v>626</v>
      </c>
      <c r="D296" s="20" t="str">
        <f aca="false">TRIM(SUBSTITUTE($A296,CHAR(160)," "))</f>
        <v>363-L-R</v>
      </c>
    </row>
    <row r="297" customFormat="false" ht="15" hidden="false" customHeight="false" outlineLevel="0" collapsed="false">
      <c r="A297" s="20" t="s">
        <v>1241</v>
      </c>
      <c r="B297" s="20" t="n">
        <v>4413060</v>
      </c>
      <c r="C297" s="20" t="s">
        <v>627</v>
      </c>
      <c r="D297" s="20" t="str">
        <f aca="false">TRIM(SUBSTITUTE($A297,CHAR(160)," "))</f>
        <v>364 XL</v>
      </c>
    </row>
    <row r="298" customFormat="false" ht="15" hidden="false" customHeight="false" outlineLevel="0" collapsed="false">
      <c r="A298" s="20" t="s">
        <v>1242</v>
      </c>
      <c r="B298" s="20" t="n">
        <v>4413061</v>
      </c>
      <c r="C298" s="20" t="s">
        <v>628</v>
      </c>
      <c r="D298" s="20" t="str">
        <f aca="false">TRIM(SUBSTITUTE($A298,CHAR(160)," "))</f>
        <v>3641 0</v>
      </c>
    </row>
    <row r="299" customFormat="false" ht="15" hidden="false" customHeight="false" outlineLevel="0" collapsed="false">
      <c r="A299" s="20" t="s">
        <v>1243</v>
      </c>
      <c r="B299" s="20" t="n">
        <v>4413059</v>
      </c>
      <c r="C299" s="20" t="s">
        <v>629</v>
      </c>
      <c r="D299" s="20" t="str">
        <f aca="false">TRIM(SUBSTITUTE($A299,CHAR(160)," "))</f>
        <v>364-S-L</v>
      </c>
    </row>
    <row r="300" customFormat="false" ht="15" hidden="false" customHeight="false" outlineLevel="0" collapsed="false">
      <c r="A300" s="20" t="s">
        <v>1244</v>
      </c>
      <c r="B300" s="20" t="n">
        <v>4409001</v>
      </c>
      <c r="C300" s="20" t="s">
        <v>630</v>
      </c>
      <c r="D300" s="20" t="str">
        <f aca="false">TRIM(SUBSTITUTE($A300,CHAR(160)," "))</f>
        <v>365-XL</v>
      </c>
    </row>
    <row r="301" customFormat="false" ht="15" hidden="false" customHeight="false" outlineLevel="0" collapsed="false">
      <c r="A301" s="20" t="s">
        <v>1245</v>
      </c>
      <c r="B301" s="20" t="n">
        <v>4409000</v>
      </c>
      <c r="C301" s="20" t="s">
        <v>631</v>
      </c>
      <c r="D301" s="20" t="str">
        <f aca="false">TRIM(SUBSTITUTE($A301,CHAR(160)," "))</f>
        <v>365-S-L</v>
      </c>
    </row>
    <row r="302" customFormat="false" ht="15" hidden="false" customHeight="false" outlineLevel="0" collapsed="false">
      <c r="A302" s="20" t="s">
        <v>1246</v>
      </c>
      <c r="B302" s="20" t="n">
        <v>4421000</v>
      </c>
      <c r="C302" s="20" t="s">
        <v>632</v>
      </c>
      <c r="D302" s="20" t="str">
        <f aca="false">TRIM(SUBSTITUTE($A302,CHAR(160)," "))</f>
        <v>3655 0</v>
      </c>
    </row>
    <row r="303" customFormat="false" ht="15" hidden="false" customHeight="false" outlineLevel="0" collapsed="false">
      <c r="A303" s="20" t="s">
        <v>1247</v>
      </c>
      <c r="B303" s="20" t="n">
        <v>4413340</v>
      </c>
      <c r="C303" s="20" t="s">
        <v>633</v>
      </c>
      <c r="D303" s="20" t="str">
        <f aca="false">TRIM(SUBSTITUTE($A303,CHAR(160)," "))</f>
        <v>3666 0</v>
      </c>
    </row>
    <row r="304" customFormat="false" ht="15" hidden="false" customHeight="false" outlineLevel="0" collapsed="false">
      <c r="A304" s="20" t="s">
        <v>1248</v>
      </c>
      <c r="B304" s="20" t="n">
        <v>4413063</v>
      </c>
      <c r="C304" s="20" t="s">
        <v>634</v>
      </c>
      <c r="D304" s="20" t="str">
        <f aca="false">TRIM(SUBSTITUTE($A304,CHAR(160)," "))</f>
        <v>366S 0</v>
      </c>
    </row>
    <row r="305" customFormat="false" ht="15" hidden="false" customHeight="false" outlineLevel="0" collapsed="false">
      <c r="A305" s="20" t="s">
        <v>1249</v>
      </c>
      <c r="B305" s="20" t="n">
        <v>4421003</v>
      </c>
      <c r="C305" s="20" t="s">
        <v>635</v>
      </c>
      <c r="D305" s="20" t="str">
        <f aca="false">TRIM(SUBSTITUTE($A305,CHAR(160)," "))</f>
        <v>3672 0</v>
      </c>
    </row>
    <row r="306" customFormat="false" ht="15" hidden="false" customHeight="false" outlineLevel="0" collapsed="false">
      <c r="A306" s="20" t="s">
        <v>1250</v>
      </c>
      <c r="B306" s="20" t="n">
        <v>4413370</v>
      </c>
      <c r="C306" s="20" t="s">
        <v>636</v>
      </c>
      <c r="D306" s="20" t="str">
        <f aca="false">TRIM(SUBSTITUTE($A306,CHAR(160)," "))</f>
        <v>3674 0</v>
      </c>
    </row>
    <row r="307" customFormat="false" ht="15" hidden="false" customHeight="false" outlineLevel="0" collapsed="false">
      <c r="A307" s="20" t="s">
        <v>1251</v>
      </c>
      <c r="B307" s="20" t="n">
        <v>4413371</v>
      </c>
      <c r="C307" s="20" t="s">
        <v>637</v>
      </c>
      <c r="D307" s="20" t="str">
        <f aca="false">TRIM(SUBSTITUTE($A307,CHAR(160)," "))</f>
        <v>3675 0</v>
      </c>
    </row>
    <row r="308" customFormat="false" ht="15" hidden="false" customHeight="false" outlineLevel="0" collapsed="false">
      <c r="A308" s="20" t="s">
        <v>1252</v>
      </c>
      <c r="B308" s="20" t="n">
        <v>4413066</v>
      </c>
      <c r="C308" s="20" t="s">
        <v>638</v>
      </c>
      <c r="D308" s="20" t="str">
        <f aca="false">TRIM(SUBSTITUTE($A308,CHAR(160)," "))</f>
        <v>3677S 0</v>
      </c>
    </row>
    <row r="309" customFormat="false" ht="15" hidden="false" customHeight="false" outlineLevel="0" collapsed="false">
      <c r="A309" s="20" t="s">
        <v>1253</v>
      </c>
      <c r="B309" s="20" t="n">
        <v>4401001</v>
      </c>
      <c r="C309" s="20" t="s">
        <v>639</v>
      </c>
      <c r="D309" s="20" t="str">
        <f aca="false">TRIM(SUBSTITUTE($A309,CHAR(160)," "))</f>
        <v>369-XL</v>
      </c>
    </row>
    <row r="310" customFormat="false" ht="15" hidden="false" customHeight="false" outlineLevel="0" collapsed="false">
      <c r="A310" s="20" t="s">
        <v>1254</v>
      </c>
      <c r="B310" s="20" t="n">
        <v>4401000</v>
      </c>
      <c r="C310" s="20" t="s">
        <v>640</v>
      </c>
      <c r="D310" s="20" t="str">
        <f aca="false">TRIM(SUBSTITUTE($A310,CHAR(160)," "))</f>
        <v>369-S-L</v>
      </c>
    </row>
    <row r="311" customFormat="false" ht="15" hidden="false" customHeight="false" outlineLevel="0" collapsed="false">
      <c r="A311" s="20" t="s">
        <v>1255</v>
      </c>
      <c r="B311" s="20" t="n">
        <v>4408069</v>
      </c>
      <c r="C311" s="20" t="s">
        <v>1256</v>
      </c>
      <c r="D311" s="20" t="str">
        <f aca="false">TRIM(SUBSTITUTE($A311,CHAR(160)," "))</f>
        <v>38 0</v>
      </c>
    </row>
    <row r="312" customFormat="false" ht="15" hidden="false" customHeight="false" outlineLevel="0" collapsed="false">
      <c r="A312" s="20" t="s">
        <v>1257</v>
      </c>
      <c r="B312" s="20" t="n">
        <v>4413452</v>
      </c>
      <c r="C312" s="20" t="s">
        <v>642</v>
      </c>
      <c r="D312" s="20" t="str">
        <f aca="false">TRIM(SUBSTITUTE($A312,CHAR(160)," "))</f>
        <v>386 0</v>
      </c>
    </row>
    <row r="313" customFormat="false" ht="15" hidden="false" customHeight="false" outlineLevel="0" collapsed="false">
      <c r="A313" s="20" t="s">
        <v>1258</v>
      </c>
      <c r="B313" s="20" t="n">
        <v>4411015</v>
      </c>
      <c r="C313" s="20" t="s">
        <v>645</v>
      </c>
      <c r="D313" s="20" t="str">
        <f aca="false">TRIM(SUBSTITUTE($A313,CHAR(160)," "))</f>
        <v>820 0</v>
      </c>
    </row>
    <row r="314" customFormat="false" ht="15" hidden="false" customHeight="false" outlineLevel="0" collapsed="false">
      <c r="A314" s="20" t="s">
        <v>1259</v>
      </c>
      <c r="B314" s="20" t="n">
        <v>4413307</v>
      </c>
      <c r="C314" s="20" t="s">
        <v>646</v>
      </c>
      <c r="D314" s="20" t="str">
        <f aca="false">TRIM(SUBSTITUTE($A314,CHAR(160)," "))</f>
        <v>3667 0</v>
      </c>
    </row>
    <row r="315" customFormat="false" ht="15" hidden="false" customHeight="false" outlineLevel="0" collapsed="false">
      <c r="A315" s="20" t="s">
        <v>1260</v>
      </c>
      <c r="B315" s="20" t="n">
        <v>4411000</v>
      </c>
      <c r="C315" s="20" t="s">
        <v>647</v>
      </c>
      <c r="D315" s="20" t="str">
        <f aca="false">TRIM(SUBSTITUTE($A315,CHAR(160)," "))</f>
        <v>362-L-R</v>
      </c>
    </row>
    <row r="316" customFormat="false" ht="15" hidden="false" customHeight="false" outlineLevel="0" collapsed="false">
      <c r="A316" s="20" t="s">
        <v>1261</v>
      </c>
      <c r="B316" s="20" t="n">
        <v>4401002</v>
      </c>
      <c r="C316" s="20" t="s">
        <v>648</v>
      </c>
      <c r="D316" s="20" t="str">
        <f aca="false">TRIM(SUBSTITUTE($A316,CHAR(160)," "))</f>
        <v>PD344 0</v>
      </c>
    </row>
    <row r="317" customFormat="false" ht="15" hidden="false" customHeight="false" outlineLevel="0" collapsed="false">
      <c r="A317" s="20" t="s">
        <v>1262</v>
      </c>
      <c r="B317" s="20" t="n">
        <v>4419006</v>
      </c>
      <c r="C317" s="20" t="s">
        <v>649</v>
      </c>
      <c r="D317" s="20" t="str">
        <f aca="false">TRIM(SUBSTITUTE($A317,CHAR(160)," "))</f>
        <v>PD340 0</v>
      </c>
    </row>
    <row r="318" customFormat="false" ht="15" hidden="false" customHeight="false" outlineLevel="0" collapsed="false">
      <c r="A318" s="20" t="s">
        <v>1263</v>
      </c>
      <c r="B318" s="20" t="n">
        <v>4413150</v>
      </c>
      <c r="C318" s="20" t="s">
        <v>650</v>
      </c>
      <c r="D318" s="20" t="str">
        <f aca="false">TRIM(SUBSTITUTE($A318,CHAR(160)," "))</f>
        <v>PD341 0</v>
      </c>
    </row>
    <row r="319" customFormat="false" ht="15" hidden="false" customHeight="false" outlineLevel="0" collapsed="false">
      <c r="A319" s="20" t="s">
        <v>1264</v>
      </c>
      <c r="B319" s="20" t="n">
        <v>4417000</v>
      </c>
      <c r="C319" s="20" t="s">
        <v>651</v>
      </c>
      <c r="D319" s="20" t="str">
        <f aca="false">TRIM(SUBSTITUTE($A319,CHAR(160)," "))</f>
        <v>PD342 0</v>
      </c>
    </row>
    <row r="320" customFormat="false" ht="15" hidden="false" customHeight="false" outlineLevel="0" collapsed="false">
      <c r="A320" s="20" t="s">
        <v>1265</v>
      </c>
      <c r="B320" s="20" t="n">
        <v>4415080</v>
      </c>
      <c r="C320" s="20" t="s">
        <v>653</v>
      </c>
      <c r="D320" s="20" t="str">
        <f aca="false">TRIM(SUBSTITUTE($A320,CHAR(160)," "))</f>
        <v>PD346 0</v>
      </c>
    </row>
    <row r="321" customFormat="false" ht="15" hidden="false" customHeight="false" outlineLevel="0" collapsed="false">
      <c r="A321" s="20" t="s">
        <v>1266</v>
      </c>
      <c r="B321" s="20" t="n">
        <v>4411029</v>
      </c>
      <c r="C321" s="20" t="s">
        <v>655</v>
      </c>
      <c r="D321" s="20" t="str">
        <f aca="false">TRIM(SUBSTITUTE($A321,CHAR(160)," "))</f>
        <v>213CTSR L</v>
      </c>
    </row>
    <row r="322" customFormat="false" ht="15" hidden="false" customHeight="false" outlineLevel="0" collapsed="false">
      <c r="A322" s="20" t="s">
        <v>1267</v>
      </c>
      <c r="B322" s="20" t="n">
        <v>4408046</v>
      </c>
      <c r="C322" s="20" t="s">
        <v>656</v>
      </c>
      <c r="D322" s="20" t="str">
        <f aca="false">TRIM(SUBSTITUTE($A322,CHAR(160)," "))</f>
        <v>20 L</v>
      </c>
    </row>
    <row r="323" customFormat="false" ht="15" hidden="false" customHeight="false" outlineLevel="0" collapsed="false">
      <c r="A323" s="20" t="s">
        <v>1268</v>
      </c>
      <c r="B323" s="20" t="n">
        <v>4408047</v>
      </c>
      <c r="C323" s="20" t="s">
        <v>657</v>
      </c>
      <c r="D323" s="20" t="str">
        <f aca="false">TRIM(SUBSTITUTE($A323,CHAR(160)," "))</f>
        <v>20 M</v>
      </c>
    </row>
    <row r="324" customFormat="false" ht="15" hidden="false" customHeight="false" outlineLevel="0" collapsed="false">
      <c r="A324" s="20" t="s">
        <v>1269</v>
      </c>
      <c r="B324" s="20" t="n">
        <v>4408048</v>
      </c>
      <c r="C324" s="20" t="s">
        <v>658</v>
      </c>
      <c r="D324" s="20" t="str">
        <f aca="false">TRIM(SUBSTITUTE($A324,CHAR(160)," "))</f>
        <v>20 S</v>
      </c>
    </row>
    <row r="325" customFormat="false" ht="15" hidden="false" customHeight="false" outlineLevel="0" collapsed="false">
      <c r="A325" s="20" t="s">
        <v>1270</v>
      </c>
      <c r="B325" s="20" t="n">
        <v>4408049</v>
      </c>
      <c r="C325" s="20" t="s">
        <v>659</v>
      </c>
      <c r="D325" s="20" t="str">
        <f aca="false">TRIM(SUBSTITUTE($A325,CHAR(160)," "))</f>
        <v>20 XL</v>
      </c>
    </row>
    <row r="326" customFormat="false" ht="15" hidden="false" customHeight="false" outlineLevel="0" collapsed="false">
      <c r="A326" s="20" t="s">
        <v>1271</v>
      </c>
      <c r="B326" s="20" t="n">
        <v>4408050</v>
      </c>
      <c r="C326" s="20" t="s">
        <v>660</v>
      </c>
      <c r="D326" s="20" t="str">
        <f aca="false">TRIM(SUBSTITUTE($A326,CHAR(160)," "))</f>
        <v>20 XXL</v>
      </c>
    </row>
    <row r="327" customFormat="false" ht="15" hidden="false" customHeight="false" outlineLevel="0" collapsed="false">
      <c r="A327" s="20" t="s">
        <v>1272</v>
      </c>
      <c r="B327" s="20" t="n">
        <v>4408275</v>
      </c>
      <c r="C327" s="20" t="s">
        <v>661</v>
      </c>
      <c r="D327" s="20" t="str">
        <f aca="false">TRIM(SUBSTITUTE($A327,CHAR(160)," "))</f>
        <v>202 0</v>
      </c>
    </row>
    <row r="328" customFormat="false" ht="15" hidden="false" customHeight="false" outlineLevel="0" collapsed="false">
      <c r="A328" s="20" t="s">
        <v>1273</v>
      </c>
      <c r="B328" s="20" t="n">
        <v>4408052</v>
      </c>
      <c r="C328" s="20" t="s">
        <v>662</v>
      </c>
      <c r="D328" s="20" t="str">
        <f aca="false">TRIM(SUBSTITUTE($A328,CHAR(160)," "))</f>
        <v>21 L</v>
      </c>
    </row>
    <row r="329" customFormat="false" ht="15" hidden="false" customHeight="false" outlineLevel="0" collapsed="false">
      <c r="A329" s="20" t="s">
        <v>1274</v>
      </c>
      <c r="B329" s="20" t="n">
        <v>4408053</v>
      </c>
      <c r="C329" s="20" t="s">
        <v>663</v>
      </c>
      <c r="D329" s="20" t="str">
        <f aca="false">TRIM(SUBSTITUTE($A329,CHAR(160)," "))</f>
        <v>21 M</v>
      </c>
    </row>
    <row r="330" customFormat="false" ht="15" hidden="false" customHeight="false" outlineLevel="0" collapsed="false">
      <c r="A330" s="20" t="s">
        <v>1275</v>
      </c>
      <c r="B330" s="20" t="n">
        <v>4408051</v>
      </c>
      <c r="C330" s="20" t="s">
        <v>664</v>
      </c>
      <c r="D330" s="20" t="str">
        <f aca="false">TRIM(SUBSTITUTE($A330,CHAR(160)," "))</f>
        <v>21 S</v>
      </c>
    </row>
    <row r="331" customFormat="false" ht="15" hidden="false" customHeight="false" outlineLevel="0" collapsed="false">
      <c r="A331" s="20" t="s">
        <v>1276</v>
      </c>
      <c r="B331" s="20" t="n">
        <v>4408054</v>
      </c>
      <c r="C331" s="20" t="s">
        <v>665</v>
      </c>
      <c r="D331" s="20" t="str">
        <f aca="false">TRIM(SUBSTITUTE($A331,CHAR(160)," "))</f>
        <v>21 XL</v>
      </c>
    </row>
    <row r="332" customFormat="false" ht="15" hidden="false" customHeight="false" outlineLevel="0" collapsed="false">
      <c r="A332" s="20" t="s">
        <v>1277</v>
      </c>
      <c r="B332" s="20" t="n">
        <v>4413399</v>
      </c>
      <c r="C332" s="20" t="s">
        <v>666</v>
      </c>
      <c r="D332" s="20" t="str">
        <f aca="false">TRIM(SUBSTITUTE($A332,CHAR(160)," "))</f>
        <v>21 XS</v>
      </c>
    </row>
    <row r="333" customFormat="false" ht="15" hidden="false" customHeight="false" outlineLevel="0" collapsed="false">
      <c r="A333" s="20" t="s">
        <v>1278</v>
      </c>
      <c r="B333" s="20" t="n">
        <v>4411017</v>
      </c>
      <c r="C333" s="20" t="s">
        <v>668</v>
      </c>
      <c r="D333" s="20" t="str">
        <f aca="false">TRIM(SUBSTITUTE($A333,CHAR(160)," "))</f>
        <v>211 L</v>
      </c>
    </row>
    <row r="334" customFormat="false" ht="15" hidden="false" customHeight="false" outlineLevel="0" collapsed="false">
      <c r="A334" s="20" t="s">
        <v>1279</v>
      </c>
      <c r="B334" s="20" t="n">
        <v>4411018</v>
      </c>
      <c r="C334" s="20" t="s">
        <v>669</v>
      </c>
      <c r="D334" s="20" t="str">
        <f aca="false">TRIM(SUBSTITUTE($A334,CHAR(160)," "))</f>
        <v>211 M</v>
      </c>
    </row>
    <row r="335" customFormat="false" ht="15" hidden="false" customHeight="false" outlineLevel="0" collapsed="false">
      <c r="A335" s="20" t="s">
        <v>1280</v>
      </c>
      <c r="B335" s="20" t="n">
        <v>4411019</v>
      </c>
      <c r="C335" s="20" t="s">
        <v>670</v>
      </c>
      <c r="D335" s="20" t="str">
        <f aca="false">TRIM(SUBSTITUTE($A335,CHAR(160)," "))</f>
        <v>211 S</v>
      </c>
    </row>
    <row r="336" customFormat="false" ht="15" hidden="false" customHeight="false" outlineLevel="0" collapsed="false">
      <c r="A336" s="20" t="s">
        <v>1281</v>
      </c>
      <c r="B336" s="20" t="n">
        <v>4411020</v>
      </c>
      <c r="C336" s="20" t="s">
        <v>671</v>
      </c>
      <c r="D336" s="20" t="str">
        <f aca="false">TRIM(SUBSTITUTE($A336,CHAR(160)," "))</f>
        <v>211 XL</v>
      </c>
    </row>
    <row r="337" customFormat="false" ht="15" hidden="false" customHeight="false" outlineLevel="0" collapsed="false">
      <c r="A337" s="20" t="s">
        <v>1282</v>
      </c>
      <c r="B337" s="20" t="n">
        <v>4411021</v>
      </c>
      <c r="C337" s="20" t="s">
        <v>672</v>
      </c>
      <c r="D337" s="20" t="str">
        <f aca="false">TRIM(SUBSTITUTE($A337,CHAR(160)," "))</f>
        <v>212 L</v>
      </c>
    </row>
    <row r="338" customFormat="false" ht="15" hidden="false" customHeight="false" outlineLevel="0" collapsed="false">
      <c r="A338" s="20" t="s">
        <v>1283</v>
      </c>
      <c r="B338" s="20" t="n">
        <v>4411022</v>
      </c>
      <c r="C338" s="20" t="s">
        <v>673</v>
      </c>
      <c r="D338" s="20" t="str">
        <f aca="false">TRIM(SUBSTITUTE($A338,CHAR(160)," "))</f>
        <v>212 M</v>
      </c>
    </row>
    <row r="339" customFormat="false" ht="15" hidden="false" customHeight="false" outlineLevel="0" collapsed="false">
      <c r="A339" s="20" t="s">
        <v>1284</v>
      </c>
      <c r="B339" s="20" t="n">
        <v>4411023</v>
      </c>
      <c r="C339" s="20" t="s">
        <v>674</v>
      </c>
      <c r="D339" s="20" t="str">
        <f aca="false">TRIM(SUBSTITUTE($A339,CHAR(160)," "))</f>
        <v>212 S</v>
      </c>
    </row>
    <row r="340" customFormat="false" ht="15" hidden="false" customHeight="false" outlineLevel="0" collapsed="false">
      <c r="A340" s="20" t="s">
        <v>1285</v>
      </c>
      <c r="B340" s="20" t="n">
        <v>4411024</v>
      </c>
      <c r="C340" s="20" t="s">
        <v>675</v>
      </c>
      <c r="D340" s="20" t="str">
        <f aca="false">TRIM(SUBSTITUTE($A340,CHAR(160)," "))</f>
        <v>212 XL</v>
      </c>
    </row>
    <row r="341" customFormat="false" ht="15" hidden="false" customHeight="false" outlineLevel="0" collapsed="false">
      <c r="A341" s="20" t="s">
        <v>1286</v>
      </c>
      <c r="B341" s="20" t="n">
        <v>4411031</v>
      </c>
      <c r="C341" s="20" t="s">
        <v>676</v>
      </c>
      <c r="D341" s="20" t="str">
        <f aca="false">TRIM(SUBSTITUTE($A341,CHAR(160)," "))</f>
        <v>213CTSR S</v>
      </c>
    </row>
    <row r="342" customFormat="false" ht="15" hidden="false" customHeight="false" outlineLevel="0" collapsed="false">
      <c r="A342" s="20" t="s">
        <v>1287</v>
      </c>
      <c r="B342" s="20" t="n">
        <v>4411026</v>
      </c>
      <c r="C342" s="20" t="s">
        <v>677</v>
      </c>
      <c r="D342" s="20" t="str">
        <f aca="false">TRIM(SUBSTITUTE($A342,CHAR(160)," "))</f>
        <v>213CTSL L</v>
      </c>
    </row>
    <row r="343" customFormat="false" ht="15" hidden="false" customHeight="false" outlineLevel="0" collapsed="false">
      <c r="A343" s="20" t="s">
        <v>1288</v>
      </c>
      <c r="B343" s="20" t="n">
        <v>4411027</v>
      </c>
      <c r="C343" s="20" t="s">
        <v>678</v>
      </c>
      <c r="D343" s="20" t="str">
        <f aca="false">TRIM(SUBSTITUTE($A343,CHAR(160)," "))</f>
        <v>213CTSL M</v>
      </c>
    </row>
    <row r="344" customFormat="false" ht="15" hidden="false" customHeight="false" outlineLevel="0" collapsed="false">
      <c r="A344" s="20" t="s">
        <v>1289</v>
      </c>
      <c r="B344" s="20" t="n">
        <v>4411028</v>
      </c>
      <c r="C344" s="20" t="s">
        <v>679</v>
      </c>
      <c r="D344" s="20" t="str">
        <f aca="false">TRIM(SUBSTITUTE($A344,CHAR(160)," "))</f>
        <v>213CTSL S</v>
      </c>
    </row>
    <row r="345" customFormat="false" ht="15" hidden="false" customHeight="false" outlineLevel="0" collapsed="false">
      <c r="A345" s="20" t="s">
        <v>1290</v>
      </c>
      <c r="B345" s="20" t="n">
        <v>4411030</v>
      </c>
      <c r="C345" s="20" t="s">
        <v>680</v>
      </c>
      <c r="D345" s="20" t="str">
        <f aca="false">TRIM(SUBSTITUTE($A345,CHAR(160)," "))</f>
        <v>213CTSR M</v>
      </c>
    </row>
    <row r="346" customFormat="false" ht="15" hidden="false" customHeight="false" outlineLevel="0" collapsed="false">
      <c r="A346" s="20" t="s">
        <v>1291</v>
      </c>
      <c r="B346" s="20" t="n">
        <v>4415162</v>
      </c>
      <c r="C346" s="20" t="s">
        <v>681</v>
      </c>
      <c r="D346" s="20" t="str">
        <f aca="false">TRIM(SUBSTITUTE($A346,CHAR(160)," "))</f>
        <v>238 L</v>
      </c>
    </row>
    <row r="347" customFormat="false" ht="15" hidden="false" customHeight="false" outlineLevel="0" collapsed="false">
      <c r="A347" s="20" t="s">
        <v>1292</v>
      </c>
      <c r="B347" s="20" t="n">
        <v>4415161</v>
      </c>
      <c r="C347" s="20" t="s">
        <v>682</v>
      </c>
      <c r="D347" s="20" t="str">
        <f aca="false">TRIM(SUBSTITUTE($A347,CHAR(160)," "))</f>
        <v>238 M</v>
      </c>
    </row>
    <row r="348" customFormat="false" ht="15" hidden="false" customHeight="false" outlineLevel="0" collapsed="false">
      <c r="A348" s="20" t="s">
        <v>1293</v>
      </c>
      <c r="B348" s="20" t="n">
        <v>4415160</v>
      </c>
      <c r="C348" s="20" t="s">
        <v>683</v>
      </c>
      <c r="D348" s="20" t="str">
        <f aca="false">TRIM(SUBSTITUTE($A348,CHAR(160)," "))</f>
        <v>238 S</v>
      </c>
    </row>
    <row r="349" customFormat="false" ht="15" hidden="false" customHeight="false" outlineLevel="0" collapsed="false">
      <c r="A349" s="20" t="s">
        <v>1294</v>
      </c>
      <c r="B349" s="20" t="n">
        <v>4415163</v>
      </c>
      <c r="C349" s="20" t="s">
        <v>684</v>
      </c>
      <c r="D349" s="20" t="str">
        <f aca="false">TRIM(SUBSTITUTE($A349,CHAR(160)," "))</f>
        <v>238 XL</v>
      </c>
    </row>
    <row r="350" customFormat="false" ht="15" hidden="false" customHeight="false" outlineLevel="0" collapsed="false">
      <c r="A350" s="20" t="s">
        <v>1295</v>
      </c>
      <c r="B350" s="20" t="n">
        <v>4415000</v>
      </c>
      <c r="C350" s="20" t="s">
        <v>690</v>
      </c>
      <c r="D350" s="20" t="str">
        <f aca="false">TRIM(SUBSTITUTE($A350,CHAR(160)," "))</f>
        <v>26 L</v>
      </c>
    </row>
    <row r="351" customFormat="false" ht="15" hidden="false" customHeight="false" outlineLevel="0" collapsed="false">
      <c r="A351" s="20" t="s">
        <v>1296</v>
      </c>
      <c r="B351" s="20" t="n">
        <v>4415001</v>
      </c>
      <c r="C351" s="20" t="s">
        <v>691</v>
      </c>
      <c r="D351" s="20" t="str">
        <f aca="false">TRIM(SUBSTITUTE($A351,CHAR(160)," "))</f>
        <v>26 M</v>
      </c>
    </row>
    <row r="352" customFormat="false" ht="15" hidden="false" customHeight="false" outlineLevel="0" collapsed="false">
      <c r="A352" s="20" t="s">
        <v>1297</v>
      </c>
      <c r="B352" s="20" t="n">
        <v>4415002</v>
      </c>
      <c r="C352" s="20" t="s">
        <v>692</v>
      </c>
      <c r="D352" s="20" t="str">
        <f aca="false">TRIM(SUBSTITUTE($A352,CHAR(160)," "))</f>
        <v>26 S</v>
      </c>
    </row>
    <row r="353" customFormat="false" ht="15" hidden="false" customHeight="false" outlineLevel="0" collapsed="false">
      <c r="A353" s="20" t="s">
        <v>1298</v>
      </c>
      <c r="B353" s="20" t="n">
        <v>4415003</v>
      </c>
      <c r="C353" s="20" t="s">
        <v>693</v>
      </c>
      <c r="D353" s="20" t="str">
        <f aca="false">TRIM(SUBSTITUTE($A353,CHAR(160)," "))</f>
        <v>26 XL</v>
      </c>
    </row>
    <row r="354" customFormat="false" ht="15" hidden="false" customHeight="false" outlineLevel="0" collapsed="false">
      <c r="A354" s="20" t="s">
        <v>1299</v>
      </c>
      <c r="B354" s="20" t="n">
        <v>4415004</v>
      </c>
      <c r="C354" s="20" t="s">
        <v>695</v>
      </c>
      <c r="D354" s="20" t="str">
        <f aca="false">TRIM(SUBSTITUTE($A354,CHAR(160)," "))</f>
        <v>26 XXL</v>
      </c>
    </row>
    <row r="355" customFormat="false" ht="15" hidden="false" customHeight="false" outlineLevel="0" collapsed="false">
      <c r="A355" s="20" t="s">
        <v>1300</v>
      </c>
      <c r="B355" s="20" t="n">
        <v>4415158</v>
      </c>
      <c r="C355" s="20" t="s">
        <v>696</v>
      </c>
      <c r="D355" s="20" t="str">
        <f aca="false">TRIM(SUBSTITUTE($A355,CHAR(160)," "))</f>
        <v>266 0</v>
      </c>
    </row>
    <row r="356" customFormat="false" ht="15" hidden="false" customHeight="false" outlineLevel="0" collapsed="false">
      <c r="A356" s="20" t="s">
        <v>1301</v>
      </c>
      <c r="B356" s="20" t="n">
        <v>4415159</v>
      </c>
      <c r="C356" s="20" t="s">
        <v>707</v>
      </c>
      <c r="D356" s="20" t="str">
        <f aca="false">TRIM(SUBSTITUTE($A356,CHAR(160)," "))</f>
        <v>268 0</v>
      </c>
    </row>
    <row r="357" customFormat="false" ht="15" hidden="false" customHeight="false" outlineLevel="0" collapsed="false">
      <c r="A357" s="20" t="s">
        <v>1302</v>
      </c>
      <c r="B357" s="20" t="n">
        <v>4415025</v>
      </c>
      <c r="C357" s="20" t="s">
        <v>717</v>
      </c>
      <c r="D357" s="20" t="str">
        <f aca="false">TRIM(SUBSTITUTE($A357,CHAR(160)," "))</f>
        <v>28 XS</v>
      </c>
    </row>
    <row r="358" customFormat="false" ht="15" hidden="false" customHeight="false" outlineLevel="0" collapsed="false">
      <c r="A358" s="20" t="s">
        <v>1303</v>
      </c>
      <c r="B358" s="20" t="n">
        <v>4415005</v>
      </c>
      <c r="C358" s="20" t="s">
        <v>718</v>
      </c>
      <c r="D358" s="20" t="str">
        <f aca="false">TRIM(SUBSTITUTE($A358,CHAR(160)," "))</f>
        <v>28 L</v>
      </c>
    </row>
    <row r="359" customFormat="false" ht="15" hidden="false" customHeight="false" outlineLevel="0" collapsed="false">
      <c r="A359" s="20" t="s">
        <v>1304</v>
      </c>
      <c r="B359" s="20" t="n">
        <v>4415006</v>
      </c>
      <c r="C359" s="20" t="s">
        <v>719</v>
      </c>
      <c r="D359" s="20" t="str">
        <f aca="false">TRIM(SUBSTITUTE($A359,CHAR(160)," "))</f>
        <v>28 M</v>
      </c>
    </row>
    <row r="360" customFormat="false" ht="15" hidden="false" customHeight="false" outlineLevel="0" collapsed="false">
      <c r="A360" s="20" t="s">
        <v>1305</v>
      </c>
      <c r="B360" s="20" t="n">
        <v>4415007</v>
      </c>
      <c r="C360" s="20" t="s">
        <v>720</v>
      </c>
      <c r="D360" s="20" t="str">
        <f aca="false">TRIM(SUBSTITUTE($A360,CHAR(160)," "))</f>
        <v>28 S</v>
      </c>
    </row>
    <row r="361" customFormat="false" ht="15" hidden="false" customHeight="false" outlineLevel="0" collapsed="false">
      <c r="A361" s="20" t="s">
        <v>1306</v>
      </c>
      <c r="B361" s="20" t="n">
        <v>4415008</v>
      </c>
      <c r="C361" s="20" t="s">
        <v>721</v>
      </c>
      <c r="D361" s="20" t="str">
        <f aca="false">TRIM(SUBSTITUTE($A361,CHAR(160)," "))</f>
        <v>28 XL</v>
      </c>
    </row>
    <row r="362" customFormat="false" ht="15" hidden="false" customHeight="false" outlineLevel="0" collapsed="false">
      <c r="A362" s="20" t="s">
        <v>1307</v>
      </c>
      <c r="B362" s="20" t="n">
        <v>4415028</v>
      </c>
      <c r="C362" s="20" t="s">
        <v>724</v>
      </c>
      <c r="D362" s="20" t="str">
        <f aca="false">TRIM(SUBSTITUTE($A362,CHAR(160)," "))</f>
        <v>AC28 0</v>
      </c>
    </row>
    <row r="363" customFormat="false" ht="15" hidden="false" customHeight="false" outlineLevel="0" collapsed="false">
      <c r="A363" s="20" t="s">
        <v>1308</v>
      </c>
      <c r="B363" s="20" t="n">
        <v>4408268</v>
      </c>
      <c r="C363" s="20" t="s">
        <v>725</v>
      </c>
      <c r="D363" s="20" t="str">
        <f aca="false">TRIM(SUBSTITUTE($A363,CHAR(160)," "))</f>
        <v>ST20 0</v>
      </c>
    </row>
    <row r="364" customFormat="false" ht="15" hidden="false" customHeight="false" outlineLevel="0" collapsed="false">
      <c r="A364" s="20" t="s">
        <v>1309</v>
      </c>
      <c r="B364" s="20" t="n">
        <v>4408267</v>
      </c>
      <c r="C364" s="20" t="s">
        <v>726</v>
      </c>
      <c r="D364" s="20" t="str">
        <f aca="false">TRIM(SUBSTITUTE($A364,CHAR(160)," "))</f>
        <v>ST25 0</v>
      </c>
    </row>
    <row r="365" customFormat="false" ht="15" hidden="false" customHeight="false" outlineLevel="0" collapsed="false">
      <c r="A365" s="20" t="s">
        <v>1310</v>
      </c>
      <c r="B365" s="20" t="n">
        <v>4415177</v>
      </c>
      <c r="C365" s="20" t="s">
        <v>727</v>
      </c>
      <c r="D365" s="20" t="str">
        <f aca="false">TRIM(SUBSTITUTE($A365,CHAR(160)," "))</f>
        <v>ST28 0</v>
      </c>
    </row>
    <row r="366" customFormat="false" ht="15" hidden="false" customHeight="false" outlineLevel="0" collapsed="false">
      <c r="A366" s="20" t="s">
        <v>1311</v>
      </c>
      <c r="B366" s="20" t="n">
        <v>4408095</v>
      </c>
      <c r="C366" s="20" t="s">
        <v>728</v>
      </c>
      <c r="D366" s="20" t="str">
        <f aca="false">TRIM(SUBSTITUTE($A366,CHAR(160)," "))</f>
        <v>T20-L-XL</v>
      </c>
    </row>
    <row r="367" customFormat="false" ht="15" hidden="false" customHeight="false" outlineLevel="0" collapsed="false">
      <c r="A367" s="20" t="s">
        <v>1312</v>
      </c>
      <c r="B367" s="20" t="n">
        <v>4408094</v>
      </c>
      <c r="C367" s="20" t="s">
        <v>729</v>
      </c>
      <c r="D367" s="20" t="str">
        <f aca="false">TRIM(SUBSTITUTE($A367,CHAR(160)," "))</f>
        <v>T20-S-M</v>
      </c>
    </row>
    <row r="368" customFormat="false" ht="15" hidden="false" customHeight="false" outlineLevel="0" collapsed="false">
      <c r="A368" s="20" t="s">
        <v>1313</v>
      </c>
      <c r="B368" s="20" t="n">
        <v>4408097</v>
      </c>
      <c r="C368" s="20" t="s">
        <v>730</v>
      </c>
      <c r="D368" s="20" t="str">
        <f aca="false">TRIM(SUBSTITUTE($A368,CHAR(160)," "))</f>
        <v>T20C-L-XL</v>
      </c>
    </row>
    <row r="369" customFormat="false" ht="15" hidden="false" customHeight="false" outlineLevel="0" collapsed="false">
      <c r="A369" s="20" t="s">
        <v>1314</v>
      </c>
      <c r="B369" s="20" t="n">
        <v>4408096</v>
      </c>
      <c r="C369" s="20" t="s">
        <v>731</v>
      </c>
      <c r="D369" s="20" t="str">
        <f aca="false">TRIM(SUBSTITUTE($A369,CHAR(160)," "))</f>
        <v>T20C-S-M</v>
      </c>
    </row>
    <row r="370" customFormat="false" ht="15" hidden="false" customHeight="false" outlineLevel="0" collapsed="false">
      <c r="A370" s="20" t="s">
        <v>1315</v>
      </c>
      <c r="B370" s="20" t="n">
        <v>4408098</v>
      </c>
      <c r="C370" s="20" t="s">
        <v>732</v>
      </c>
      <c r="D370" s="20" t="str">
        <f aca="false">TRIM(SUBSTITUTE($A370,CHAR(160)," "))</f>
        <v>T25 0</v>
      </c>
    </row>
    <row r="371" customFormat="false" ht="15" hidden="false" customHeight="false" outlineLevel="0" collapsed="false">
      <c r="A371" s="20" t="s">
        <v>1316</v>
      </c>
      <c r="B371" s="20" t="n">
        <v>4408264</v>
      </c>
      <c r="C371" s="20" t="s">
        <v>733</v>
      </c>
      <c r="D371" s="20" t="str">
        <f aca="false">TRIM(SUBSTITUTE($A371,CHAR(160)," "))</f>
        <v>T25B 0</v>
      </c>
    </row>
    <row r="372" customFormat="false" ht="15" hidden="false" customHeight="false" outlineLevel="0" collapsed="false">
      <c r="A372" s="20" t="s">
        <v>1317</v>
      </c>
      <c r="B372" s="20" t="n">
        <v>4408099</v>
      </c>
      <c r="C372" s="20" t="s">
        <v>734</v>
      </c>
      <c r="D372" s="20" t="str">
        <f aca="false">TRIM(SUBSTITUTE($A372,CHAR(160)," "))</f>
        <v>T25C 0</v>
      </c>
    </row>
    <row r="373" customFormat="false" ht="15" hidden="false" customHeight="false" outlineLevel="0" collapsed="false">
      <c r="A373" s="20" t="s">
        <v>1318</v>
      </c>
      <c r="B373" s="20" t="n">
        <v>4415067</v>
      </c>
      <c r="C373" s="20" t="s">
        <v>749</v>
      </c>
      <c r="D373" s="20" t="str">
        <f aca="false">TRIM(SUBSTITUTE($A373,CHAR(160)," "))</f>
        <v>T28 XL</v>
      </c>
    </row>
    <row r="374" customFormat="false" ht="15" hidden="false" customHeight="false" outlineLevel="0" collapsed="false">
      <c r="A374" s="20" t="s">
        <v>1319</v>
      </c>
      <c r="B374" s="20" t="n">
        <v>4415073</v>
      </c>
      <c r="C374" s="20" t="s">
        <v>751</v>
      </c>
      <c r="D374" s="20" t="str">
        <f aca="false">TRIM(SUBSTITUTE($A374,CHAR(160)," "))</f>
        <v>T28A-L-XL</v>
      </c>
    </row>
    <row r="375" customFormat="false" ht="15" hidden="false" customHeight="false" outlineLevel="0" collapsed="false">
      <c r="A375" s="20" t="s">
        <v>1320</v>
      </c>
      <c r="B375" s="20" t="n">
        <v>4415072</v>
      </c>
      <c r="C375" s="20" t="s">
        <v>752</v>
      </c>
      <c r="D375" s="20" t="str">
        <f aca="false">TRIM(SUBSTITUTE($A375,CHAR(160)," "))</f>
        <v>T28A-S-M</v>
      </c>
    </row>
    <row r="376" customFormat="false" ht="15" hidden="false" customHeight="false" outlineLevel="0" collapsed="false">
      <c r="A376" s="20" t="s">
        <v>1321</v>
      </c>
      <c r="B376" s="20" t="n">
        <v>4415075</v>
      </c>
      <c r="C376" s="20" t="s">
        <v>754</v>
      </c>
      <c r="D376" s="20" t="str">
        <f aca="false">TRIM(SUBSTITUTE($A376,CHAR(160)," "))</f>
        <v>T28AC-L-XL</v>
      </c>
    </row>
    <row r="377" customFormat="false" ht="15" hidden="false" customHeight="false" outlineLevel="0" collapsed="false">
      <c r="A377" s="20" t="s">
        <v>1322</v>
      </c>
      <c r="B377" s="20" t="n">
        <v>4415074</v>
      </c>
      <c r="C377" s="20" t="s">
        <v>755</v>
      </c>
      <c r="D377" s="20" t="str">
        <f aca="false">TRIM(SUBSTITUTE($A377,CHAR(160)," "))</f>
        <v>T28AC-S-M</v>
      </c>
    </row>
    <row r="378" customFormat="false" ht="15" hidden="false" customHeight="false" outlineLevel="0" collapsed="false">
      <c r="A378" s="20" t="s">
        <v>1323</v>
      </c>
      <c r="B378" s="20" t="n">
        <v>4415071</v>
      </c>
      <c r="C378" s="20" t="s">
        <v>756</v>
      </c>
      <c r="D378" s="20" t="str">
        <f aca="false">TRIM(SUBSTITUTE($A378,CHAR(160)," "))</f>
        <v>T28C XL</v>
      </c>
    </row>
    <row r="379" customFormat="false" ht="15" hidden="false" customHeight="false" outlineLevel="0" collapsed="false">
      <c r="A379" s="20" t="s">
        <v>1324</v>
      </c>
      <c r="B379" s="20" t="n">
        <v>4415069</v>
      </c>
      <c r="C379" s="20" t="s">
        <v>757</v>
      </c>
      <c r="D379" s="20" t="str">
        <f aca="false">TRIM(SUBSTITUTE($A379,CHAR(160)," "))</f>
        <v>T28C L</v>
      </c>
    </row>
    <row r="380" customFormat="false" ht="15" hidden="false" customHeight="false" outlineLevel="0" collapsed="false">
      <c r="A380" s="20" t="s">
        <v>1325</v>
      </c>
      <c r="B380" s="20" t="n">
        <v>4415029</v>
      </c>
      <c r="C380" s="20" t="s">
        <v>760</v>
      </c>
      <c r="D380" s="20" t="str">
        <f aca="false">TRIM(SUBSTITUTE($A380,CHAR(160)," "))</f>
        <v>237 0</v>
      </c>
    </row>
    <row r="381" customFormat="false" ht="15" hidden="false" customHeight="false" outlineLevel="0" collapsed="false">
      <c r="A381" s="20" t="s">
        <v>1326</v>
      </c>
      <c r="B381" s="20" t="n">
        <v>4418000</v>
      </c>
      <c r="C381" s="20" t="s">
        <v>762</v>
      </c>
      <c r="D381" s="20" t="str">
        <f aca="false">TRIM(SUBSTITUTE($A381,CHAR(160)," "))</f>
        <v>60 L</v>
      </c>
    </row>
    <row r="382" customFormat="false" ht="15" hidden="false" customHeight="false" outlineLevel="0" collapsed="false">
      <c r="A382" s="20" t="s">
        <v>1327</v>
      </c>
      <c r="B382" s="20" t="n">
        <v>4418001</v>
      </c>
      <c r="C382" s="20" t="s">
        <v>763</v>
      </c>
      <c r="D382" s="20" t="str">
        <f aca="false">TRIM(SUBSTITUTE($A382,CHAR(160)," "))</f>
        <v>60 M</v>
      </c>
    </row>
    <row r="383" customFormat="false" ht="15" hidden="false" customHeight="false" outlineLevel="0" collapsed="false">
      <c r="A383" s="20" t="s">
        <v>1328</v>
      </c>
      <c r="B383" s="20" t="n">
        <v>4418002</v>
      </c>
      <c r="C383" s="20" t="s">
        <v>764</v>
      </c>
      <c r="D383" s="20" t="str">
        <f aca="false">TRIM(SUBSTITUTE($A383,CHAR(160)," "))</f>
        <v>60 S</v>
      </c>
    </row>
    <row r="384" customFormat="false" ht="15" hidden="false" customHeight="false" outlineLevel="0" collapsed="false">
      <c r="A384" s="20" t="s">
        <v>1329</v>
      </c>
      <c r="B384" s="20" t="n">
        <v>4418003</v>
      </c>
      <c r="C384" s="20" t="s">
        <v>765</v>
      </c>
      <c r="D384" s="20" t="str">
        <f aca="false">TRIM(SUBSTITUTE($A384,CHAR(160)," "))</f>
        <v>60 XL</v>
      </c>
    </row>
    <row r="385" customFormat="false" ht="15" hidden="false" customHeight="false" outlineLevel="0" collapsed="false">
      <c r="A385" s="20" t="s">
        <v>1330</v>
      </c>
      <c r="B385" s="20" t="n">
        <v>4415013</v>
      </c>
      <c r="C385" s="20" t="s">
        <v>791</v>
      </c>
      <c r="D385" s="20" t="str">
        <f aca="false">TRIM(SUBSTITUTE($A385,CHAR(160)," "))</f>
        <v>32 XL</v>
      </c>
    </row>
    <row r="386" customFormat="false" ht="15" hidden="false" customHeight="false" outlineLevel="0" collapsed="false">
      <c r="A386" s="20" t="s">
        <v>1331</v>
      </c>
      <c r="B386" s="20" t="n">
        <v>4413347</v>
      </c>
      <c r="C386" s="20" t="s">
        <v>792</v>
      </c>
      <c r="D386" s="20" t="str">
        <f aca="false">TRIM(SUBSTITUTE($A386,CHAR(160)," "))</f>
        <v>322 L</v>
      </c>
    </row>
    <row r="387" customFormat="false" ht="15" hidden="false" customHeight="false" outlineLevel="0" collapsed="false">
      <c r="A387" s="20" t="s">
        <v>1332</v>
      </c>
      <c r="B387" s="20" t="n">
        <v>4413337</v>
      </c>
      <c r="C387" s="20" t="s">
        <v>795</v>
      </c>
      <c r="D387" s="20" t="str">
        <f aca="false">TRIM(SUBSTITUTE($A387,CHAR(160)," "))</f>
        <v>322 XL</v>
      </c>
    </row>
    <row r="388" customFormat="false" ht="15" hidden="false" customHeight="false" outlineLevel="0" collapsed="false">
      <c r="A388" s="20" t="s">
        <v>1333</v>
      </c>
      <c r="B388" s="20" t="n">
        <v>4415019</v>
      </c>
      <c r="C388" s="20" t="s">
        <v>806</v>
      </c>
      <c r="D388" s="20" t="str">
        <f aca="false">TRIM(SUBSTITUTE($A388,CHAR(160)," "))</f>
        <v>333 0</v>
      </c>
    </row>
    <row r="389" customFormat="false" ht="15" hidden="false" customHeight="false" outlineLevel="0" collapsed="false">
      <c r="A389" s="20" t="s">
        <v>1334</v>
      </c>
      <c r="B389" s="20" t="n">
        <v>4413043</v>
      </c>
      <c r="C389" s="20" t="s">
        <v>807</v>
      </c>
      <c r="D389" s="20" t="str">
        <f aca="false">TRIM(SUBSTITUTE($A389,CHAR(160)," "))</f>
        <v>34 L</v>
      </c>
    </row>
    <row r="390" customFormat="false" ht="15" hidden="false" customHeight="false" outlineLevel="0" collapsed="false">
      <c r="A390" s="20" t="s">
        <v>1335</v>
      </c>
      <c r="B390" s="20" t="n">
        <v>4413041</v>
      </c>
      <c r="C390" s="20" t="s">
        <v>808</v>
      </c>
      <c r="D390" s="20" t="str">
        <f aca="false">TRIM(SUBSTITUTE($A390,CHAR(160)," "))</f>
        <v>34 M</v>
      </c>
    </row>
    <row r="391" customFormat="false" ht="15" hidden="false" customHeight="false" outlineLevel="0" collapsed="false">
      <c r="A391" s="20" t="s">
        <v>1336</v>
      </c>
      <c r="B391" s="20" t="n">
        <v>4413042</v>
      </c>
      <c r="C391" s="20" t="s">
        <v>809</v>
      </c>
      <c r="D391" s="20" t="str">
        <f aca="false">TRIM(SUBSTITUTE($A391,CHAR(160)," "))</f>
        <v>34 S</v>
      </c>
    </row>
    <row r="392" customFormat="false" ht="15" hidden="false" customHeight="false" outlineLevel="0" collapsed="false">
      <c r="A392" s="20" t="s">
        <v>1337</v>
      </c>
      <c r="B392" s="20" t="n">
        <v>4413044</v>
      </c>
      <c r="C392" s="20" t="s">
        <v>810</v>
      </c>
      <c r="D392" s="20" t="str">
        <f aca="false">TRIM(SUBSTITUTE($A392,CHAR(160)," "))</f>
        <v>34 XL</v>
      </c>
    </row>
    <row r="393" customFormat="false" ht="15" hidden="false" customHeight="false" outlineLevel="0" collapsed="false">
      <c r="A393" s="20" t="s">
        <v>1338</v>
      </c>
      <c r="B393" s="20" t="n">
        <v>4413046</v>
      </c>
      <c r="C393" s="20" t="s">
        <v>812</v>
      </c>
      <c r="D393" s="20" t="str">
        <f aca="false">TRIM(SUBSTITUTE($A393,CHAR(160)," "))</f>
        <v>34 XXL</v>
      </c>
    </row>
    <row r="394" customFormat="false" ht="15" hidden="false" customHeight="false" outlineLevel="0" collapsed="false">
      <c r="A394" s="20" t="s">
        <v>1339</v>
      </c>
      <c r="B394" s="20" t="n">
        <v>4413161</v>
      </c>
      <c r="C394" s="20" t="s">
        <v>813</v>
      </c>
      <c r="D394" s="20" t="str">
        <f aca="false">TRIM(SUBSTITUTE($A394,CHAR(160)," "))</f>
        <v>34+ L</v>
      </c>
    </row>
    <row r="395" customFormat="false" ht="15" hidden="false" customHeight="false" outlineLevel="0" collapsed="false">
      <c r="A395" s="20" t="s">
        <v>1340</v>
      </c>
      <c r="B395" s="20" t="n">
        <v>4413160</v>
      </c>
      <c r="C395" s="20" t="s">
        <v>814</v>
      </c>
      <c r="D395" s="20" t="str">
        <f aca="false">TRIM(SUBSTITUTE($A395,CHAR(160)," "))</f>
        <v>34+ M</v>
      </c>
    </row>
    <row r="396" customFormat="false" ht="15" hidden="false" customHeight="false" outlineLevel="0" collapsed="false">
      <c r="A396" s="20" t="s">
        <v>1341</v>
      </c>
      <c r="B396" s="20" t="n">
        <v>4413159</v>
      </c>
      <c r="C396" s="20" t="s">
        <v>815</v>
      </c>
      <c r="D396" s="20" t="str">
        <f aca="false">TRIM(SUBSTITUTE($A396,CHAR(160)," "))</f>
        <v>34+ S</v>
      </c>
    </row>
    <row r="397" customFormat="false" ht="15" hidden="false" customHeight="false" outlineLevel="0" collapsed="false">
      <c r="A397" s="20" t="s">
        <v>1342</v>
      </c>
      <c r="B397" s="20" t="n">
        <v>4413162</v>
      </c>
      <c r="C397" s="20" t="s">
        <v>816</v>
      </c>
      <c r="D397" s="20" t="str">
        <f aca="false">TRIM(SUBSTITUTE($A397,CHAR(160)," "))</f>
        <v>34+ XL</v>
      </c>
    </row>
    <row r="398" customFormat="false" ht="15" hidden="false" customHeight="false" outlineLevel="0" collapsed="false">
      <c r="A398" s="20" t="s">
        <v>1343</v>
      </c>
      <c r="B398" s="20" t="n">
        <v>4413303</v>
      </c>
      <c r="C398" s="20" t="s">
        <v>817</v>
      </c>
      <c r="D398" s="20" t="str">
        <f aca="false">TRIM(SUBSTITUTE($A398,CHAR(160)," "))</f>
        <v>34+ XXL</v>
      </c>
    </row>
    <row r="399" customFormat="false" ht="15" hidden="false" customHeight="false" outlineLevel="0" collapsed="false">
      <c r="A399" s="20" t="s">
        <v>1344</v>
      </c>
      <c r="B399" s="20" t="n">
        <v>4413048</v>
      </c>
      <c r="C399" s="20" t="s">
        <v>818</v>
      </c>
      <c r="D399" s="20" t="str">
        <f aca="false">TRIM(SUBSTITUTE($A399,CHAR(160)," "))</f>
        <v>35 L</v>
      </c>
    </row>
    <row r="400" customFormat="false" ht="15" hidden="false" customHeight="false" outlineLevel="0" collapsed="false">
      <c r="A400" s="20" t="s">
        <v>1345</v>
      </c>
      <c r="B400" s="20" t="n">
        <v>4413049</v>
      </c>
      <c r="C400" s="20" t="s">
        <v>819</v>
      </c>
      <c r="D400" s="20" t="str">
        <f aca="false">TRIM(SUBSTITUTE($A400,CHAR(160)," "))</f>
        <v>35 M</v>
      </c>
    </row>
    <row r="401" customFormat="false" ht="15" hidden="false" customHeight="false" outlineLevel="0" collapsed="false">
      <c r="A401" s="20" t="s">
        <v>1346</v>
      </c>
      <c r="B401" s="20" t="n">
        <v>4413047</v>
      </c>
      <c r="C401" s="20" t="s">
        <v>820</v>
      </c>
      <c r="D401" s="20" t="str">
        <f aca="false">TRIM(SUBSTITUTE($A401,CHAR(160)," "))</f>
        <v>35 S</v>
      </c>
    </row>
    <row r="402" customFormat="false" ht="15" hidden="false" customHeight="false" outlineLevel="0" collapsed="false">
      <c r="A402" s="20" t="s">
        <v>1347</v>
      </c>
      <c r="B402" s="20" t="n">
        <v>4413050</v>
      </c>
      <c r="C402" s="20" t="s">
        <v>821</v>
      </c>
      <c r="D402" s="20" t="str">
        <f aca="false">TRIM(SUBSTITUTE($A402,CHAR(160)," "))</f>
        <v>35 XL</v>
      </c>
    </row>
    <row r="403" customFormat="false" ht="15" hidden="false" customHeight="false" outlineLevel="0" collapsed="false">
      <c r="A403" s="20" t="s">
        <v>1348</v>
      </c>
      <c r="B403" s="20" t="n">
        <v>4413051</v>
      </c>
      <c r="C403" s="20" t="s">
        <v>823</v>
      </c>
      <c r="D403" s="20" t="str">
        <f aca="false">TRIM(SUBSTITUTE($A403,CHAR(160)," "))</f>
        <v>35 XXL</v>
      </c>
    </row>
    <row r="404" customFormat="false" ht="15" hidden="false" customHeight="false" outlineLevel="0" collapsed="false">
      <c r="A404" s="20" t="s">
        <v>1349</v>
      </c>
      <c r="B404" s="20" t="n">
        <v>4413490</v>
      </c>
      <c r="C404" s="20" t="s">
        <v>824</v>
      </c>
      <c r="D404" s="20" t="str">
        <f aca="false">TRIM(SUBSTITUTE($A404,CHAR(160)," "))</f>
        <v>35B L</v>
      </c>
    </row>
    <row r="405" customFormat="false" ht="15" hidden="false" customHeight="false" outlineLevel="0" collapsed="false">
      <c r="A405" s="20" t="s">
        <v>1350</v>
      </c>
      <c r="B405" s="20" t="n">
        <v>4413492</v>
      </c>
      <c r="C405" s="20" t="s">
        <v>825</v>
      </c>
      <c r="D405" s="20" t="str">
        <f aca="false">TRIM(SUBSTITUTE($A405,CHAR(160)," "))</f>
        <v>35B M</v>
      </c>
    </row>
    <row r="406" customFormat="false" ht="15" hidden="false" customHeight="false" outlineLevel="0" collapsed="false">
      <c r="A406" s="20" t="s">
        <v>1351</v>
      </c>
      <c r="B406" s="20" t="n">
        <v>4413493</v>
      </c>
      <c r="C406" s="20" t="s">
        <v>826</v>
      </c>
      <c r="D406" s="20" t="str">
        <f aca="false">TRIM(SUBSTITUTE($A406,CHAR(160)," "))</f>
        <v>35B S</v>
      </c>
    </row>
    <row r="407" customFormat="false" ht="15" hidden="false" customHeight="false" outlineLevel="0" collapsed="false">
      <c r="A407" s="20" t="s">
        <v>1352</v>
      </c>
      <c r="B407" s="20" t="n">
        <v>4413491</v>
      </c>
      <c r="C407" s="20" t="s">
        <v>827</v>
      </c>
      <c r="D407" s="20" t="str">
        <f aca="false">TRIM(SUBSTITUTE($A407,CHAR(160)," "))</f>
        <v>35B XL</v>
      </c>
    </row>
    <row r="408" customFormat="false" ht="15" hidden="false" customHeight="false" outlineLevel="0" collapsed="false">
      <c r="A408" s="20" t="s">
        <v>1353</v>
      </c>
      <c r="B408" s="20" t="n">
        <v>4413494</v>
      </c>
      <c r="C408" s="20" t="s">
        <v>828</v>
      </c>
      <c r="D408" s="20" t="str">
        <f aca="false">TRIM(SUBSTITUTE($A408,CHAR(160)," "))</f>
        <v>35B XXL</v>
      </c>
    </row>
    <row r="409" customFormat="false" ht="15" hidden="false" customHeight="false" outlineLevel="0" collapsed="false">
      <c r="A409" s="20" t="s">
        <v>1354</v>
      </c>
      <c r="B409" s="20" t="n">
        <v>4413053</v>
      </c>
      <c r="C409" s="20" t="s">
        <v>829</v>
      </c>
      <c r="D409" s="20" t="str">
        <f aca="false">TRIM(SUBSTITUTE($A409,CHAR(160)," "))</f>
        <v>35C L</v>
      </c>
    </row>
    <row r="410" customFormat="false" ht="15" hidden="false" customHeight="false" outlineLevel="0" collapsed="false">
      <c r="A410" s="20" t="s">
        <v>1355</v>
      </c>
      <c r="B410" s="20" t="n">
        <v>4413054</v>
      </c>
      <c r="C410" s="20" t="s">
        <v>830</v>
      </c>
      <c r="D410" s="20" t="str">
        <f aca="false">TRIM(SUBSTITUTE($A410,CHAR(160)," "))</f>
        <v>35C M</v>
      </c>
    </row>
    <row r="411" customFormat="false" ht="15" hidden="false" customHeight="false" outlineLevel="0" collapsed="false">
      <c r="A411" s="20" t="s">
        <v>1356</v>
      </c>
      <c r="B411" s="20" t="n">
        <v>4413052</v>
      </c>
      <c r="C411" s="20" t="s">
        <v>831</v>
      </c>
      <c r="D411" s="20" t="str">
        <f aca="false">TRIM(SUBSTITUTE($A411,CHAR(160)," "))</f>
        <v>35C S</v>
      </c>
    </row>
    <row r="412" customFormat="false" ht="15" hidden="false" customHeight="false" outlineLevel="0" collapsed="false">
      <c r="A412" s="20" t="s">
        <v>1357</v>
      </c>
      <c r="B412" s="20" t="n">
        <v>4413055</v>
      </c>
      <c r="C412" s="20" t="s">
        <v>832</v>
      </c>
      <c r="D412" s="20" t="str">
        <f aca="false">TRIM(SUBSTITUTE($A412,CHAR(160)," "))</f>
        <v>35C XL</v>
      </c>
    </row>
    <row r="413" customFormat="false" ht="15" hidden="false" customHeight="false" outlineLevel="0" collapsed="false">
      <c r="A413" s="20" t="s">
        <v>1358</v>
      </c>
      <c r="B413" s="20" t="n">
        <v>4413326</v>
      </c>
      <c r="C413" s="20" t="s">
        <v>834</v>
      </c>
      <c r="D413" s="20" t="str">
        <f aca="false">TRIM(SUBSTITUTE($A413,CHAR(160)," "))</f>
        <v>AC37 0</v>
      </c>
    </row>
    <row r="414" customFormat="false" ht="15" hidden="false" customHeight="false" outlineLevel="0" collapsed="false">
      <c r="A414" s="20" t="s">
        <v>1359</v>
      </c>
      <c r="B414" s="20" t="n">
        <v>4413534</v>
      </c>
      <c r="C414" s="20" t="s">
        <v>835</v>
      </c>
      <c r="D414" s="20" t="str">
        <f aca="false">TRIM(SUBSTITUTE($A414,CHAR(160)," "))</f>
        <v>SH333 0</v>
      </c>
    </row>
    <row r="415" customFormat="false" ht="15" hidden="false" customHeight="false" outlineLevel="0" collapsed="false">
      <c r="A415" s="20" t="s">
        <v>1360</v>
      </c>
      <c r="B415" s="20" t="n">
        <v>4408269</v>
      </c>
      <c r="C415" s="20" t="s">
        <v>836</v>
      </c>
      <c r="D415" s="20" t="str">
        <f aca="false">TRIM(SUBSTITUTE($A415,CHAR(160)," "))</f>
        <v>ST37 0</v>
      </c>
    </row>
    <row r="416" customFormat="false" ht="15" hidden="false" customHeight="false" outlineLevel="0" collapsed="false">
      <c r="A416" s="20" t="s">
        <v>1361</v>
      </c>
      <c r="B416" s="20" t="n">
        <v>4420036</v>
      </c>
      <c r="C416" s="20" t="s">
        <v>845</v>
      </c>
      <c r="D416" s="20" t="str">
        <f aca="false">TRIM(SUBSTITUTE($A416,CHAR(160)," "))</f>
        <v>301CM-41-45</v>
      </c>
    </row>
    <row r="417" customFormat="false" ht="15" hidden="false" customHeight="false" outlineLevel="0" collapsed="false">
      <c r="A417" s="20" t="s">
        <v>1362</v>
      </c>
      <c r="B417" s="20" t="n">
        <v>4420035</v>
      </c>
      <c r="C417" s="20" t="s">
        <v>846</v>
      </c>
      <c r="D417" s="20" t="str">
        <f aca="false">TRIM(SUBSTITUTE($A417,CHAR(160)," "))</f>
        <v>301CW-36-40</v>
      </c>
    </row>
    <row r="418" customFormat="false" ht="15" hidden="false" customHeight="false" outlineLevel="0" collapsed="false">
      <c r="A418" s="20" t="s">
        <v>1363</v>
      </c>
      <c r="B418" s="20" t="n">
        <v>4420037</v>
      </c>
      <c r="C418" s="20" t="s">
        <v>848</v>
      </c>
      <c r="D418" s="20" t="str">
        <f aca="false">TRIM(SUBSTITUTE($A418,CHAR(160)," "))</f>
        <v>301JW-36-40</v>
      </c>
    </row>
    <row r="419" customFormat="false" ht="15" hidden="false" customHeight="false" outlineLevel="0" collapsed="false">
      <c r="A419" s="20" t="s">
        <v>1364</v>
      </c>
      <c r="B419" s="20" t="n">
        <v>4420000</v>
      </c>
      <c r="C419" s="20" t="s">
        <v>850</v>
      </c>
      <c r="D419" s="20" t="str">
        <f aca="false">TRIM(SUBSTITUTE($A419,CHAR(160)," "))</f>
        <v>370 0</v>
      </c>
    </row>
    <row r="420" customFormat="false" ht="15" hidden="false" customHeight="false" outlineLevel="0" collapsed="false">
      <c r="A420" s="20" t="s">
        <v>1365</v>
      </c>
      <c r="B420" s="20" t="n">
        <v>4420027</v>
      </c>
      <c r="C420" s="20" t="s">
        <v>851</v>
      </c>
      <c r="D420" s="20" t="str">
        <f aca="false">TRIM(SUBSTITUTE($A420,CHAR(160)," "))</f>
        <v>370K 0</v>
      </c>
    </row>
    <row r="421" customFormat="false" ht="15" hidden="false" customHeight="false" outlineLevel="0" collapsed="false">
      <c r="A421" s="20" t="s">
        <v>1366</v>
      </c>
      <c r="B421" s="20" t="n">
        <v>4420001</v>
      </c>
      <c r="C421" s="20" t="s">
        <v>852</v>
      </c>
      <c r="D421" s="20" t="str">
        <f aca="false">TRIM(SUBSTITUTE($A421,CHAR(160)," "))</f>
        <v>371 0</v>
      </c>
    </row>
    <row r="422" customFormat="false" ht="15" hidden="false" customHeight="false" outlineLevel="0" collapsed="false">
      <c r="A422" s="20" t="s">
        <v>1367</v>
      </c>
      <c r="B422" s="20" t="n">
        <v>4420002</v>
      </c>
      <c r="C422" s="20" t="s">
        <v>853</v>
      </c>
      <c r="D422" s="20" t="str">
        <f aca="false">TRIM(SUBSTITUTE($A422,CHAR(160)," "))</f>
        <v>372 0</v>
      </c>
    </row>
    <row r="423" customFormat="false" ht="15" hidden="false" customHeight="false" outlineLevel="0" collapsed="false">
      <c r="A423" s="20" t="s">
        <v>1368</v>
      </c>
      <c r="B423" s="20" t="n">
        <v>4420003</v>
      </c>
      <c r="C423" s="20" t="s">
        <v>854</v>
      </c>
      <c r="D423" s="20" t="str">
        <f aca="false">TRIM(SUBSTITUTE($A423,CHAR(160)," "))</f>
        <v>374 0</v>
      </c>
    </row>
    <row r="424" customFormat="false" ht="15" hidden="false" customHeight="false" outlineLevel="0" collapsed="false">
      <c r="A424" s="20" t="s">
        <v>1369</v>
      </c>
      <c r="B424" s="20" t="n">
        <v>4420004</v>
      </c>
      <c r="C424" s="20" t="s">
        <v>857</v>
      </c>
      <c r="D424" s="20" t="str">
        <f aca="false">TRIM(SUBSTITUTE($A424,CHAR(160)," "))</f>
        <v>377-35</v>
      </c>
    </row>
    <row r="425" customFormat="false" ht="15" hidden="false" customHeight="false" outlineLevel="0" collapsed="false">
      <c r="A425" s="20" t="s">
        <v>1370</v>
      </c>
      <c r="B425" s="20" t="n">
        <v>4420032</v>
      </c>
      <c r="C425" s="20" t="s">
        <v>870</v>
      </c>
      <c r="D425" s="20" t="str">
        <f aca="false">TRIM(SUBSTITUTE($A425,CHAR(160)," "))</f>
        <v>376-46-47</v>
      </c>
    </row>
    <row r="426" customFormat="false" ht="15" hidden="false" customHeight="false" outlineLevel="0" collapsed="false">
      <c r="A426" s="20" t="s">
        <v>1371</v>
      </c>
      <c r="B426" s="20" t="n">
        <v>4413112</v>
      </c>
      <c r="C426" s="20" t="s">
        <v>872</v>
      </c>
      <c r="D426" s="20" t="str">
        <f aca="false">TRIM(SUBSTITUTE($A426,CHAR(160)," "))</f>
        <v>49 L</v>
      </c>
    </row>
    <row r="427" customFormat="false" ht="15" hidden="false" customHeight="false" outlineLevel="0" collapsed="false">
      <c r="A427" s="20" t="s">
        <v>1372</v>
      </c>
      <c r="B427" s="20" t="n">
        <v>4413113</v>
      </c>
      <c r="C427" s="20" t="s">
        <v>873</v>
      </c>
      <c r="D427" s="20" t="str">
        <f aca="false">TRIM(SUBSTITUTE($A427,CHAR(160)," "))</f>
        <v>49 M</v>
      </c>
    </row>
    <row r="428" customFormat="false" ht="15" hidden="false" customHeight="false" outlineLevel="0" collapsed="false">
      <c r="A428" s="20" t="s">
        <v>1373</v>
      </c>
      <c r="B428" s="20" t="n">
        <v>4413111</v>
      </c>
      <c r="C428" s="20" t="s">
        <v>874</v>
      </c>
      <c r="D428" s="20" t="str">
        <f aca="false">TRIM(SUBSTITUTE($A428,CHAR(160)," "))</f>
        <v>49 S</v>
      </c>
    </row>
    <row r="429" customFormat="false" ht="15" hidden="false" customHeight="false" outlineLevel="0" collapsed="false">
      <c r="A429" s="20" t="s">
        <v>1374</v>
      </c>
      <c r="B429" s="20" t="n">
        <v>4413114</v>
      </c>
      <c r="C429" s="20" t="s">
        <v>875</v>
      </c>
      <c r="D429" s="20" t="str">
        <f aca="false">TRIM(SUBSTITUTE($A429,CHAR(160)," "))</f>
        <v>49 XL</v>
      </c>
    </row>
    <row r="430" customFormat="false" ht="15" hidden="false" customHeight="false" outlineLevel="0" collapsed="false">
      <c r="A430" s="20" t="s">
        <v>1375</v>
      </c>
      <c r="B430" s="20" t="n">
        <v>4413115</v>
      </c>
      <c r="C430" s="20" t="s">
        <v>876</v>
      </c>
      <c r="D430" s="20" t="str">
        <f aca="false">TRIM(SUBSTITUTE($A430,CHAR(160)," "))</f>
        <v>49 XXL</v>
      </c>
    </row>
    <row r="431" customFormat="false" ht="15" hidden="false" customHeight="false" outlineLevel="0" collapsed="false">
      <c r="A431" s="20" t="s">
        <v>1376</v>
      </c>
      <c r="B431" s="20" t="n">
        <v>4413330</v>
      </c>
      <c r="C431" s="20" t="s">
        <v>877</v>
      </c>
      <c r="D431" s="20" t="str">
        <f aca="false">TRIM(SUBSTITUTE($A431,CHAR(160)," "))</f>
        <v>AC49 0</v>
      </c>
    </row>
    <row r="432" customFormat="false" ht="15" hidden="false" customHeight="false" outlineLevel="0" collapsed="false">
      <c r="A432" s="20" t="s">
        <v>1377</v>
      </c>
      <c r="B432" s="20" t="n">
        <v>4413533</v>
      </c>
      <c r="C432" s="20" t="s">
        <v>878</v>
      </c>
      <c r="D432" s="20" t="str">
        <f aca="false">TRIM(SUBSTITUTE($A432,CHAR(160)," "))</f>
        <v>ST49 0</v>
      </c>
    </row>
    <row r="433" customFormat="false" ht="15" hidden="false" customHeight="false" outlineLevel="0" collapsed="false">
      <c r="A433" s="20" t="s">
        <v>1378</v>
      </c>
      <c r="B433" s="20" t="n">
        <v>4413180</v>
      </c>
      <c r="C433" s="20" t="s">
        <v>880</v>
      </c>
      <c r="D433" s="20" t="str">
        <f aca="false">TRIM(SUBSTITUTE($A433,CHAR(160)," "))</f>
        <v>T39 S</v>
      </c>
    </row>
    <row r="434" customFormat="false" ht="15" hidden="false" customHeight="false" outlineLevel="0" collapsed="false">
      <c r="A434" s="20" t="s">
        <v>1379</v>
      </c>
      <c r="B434" s="20" t="n">
        <v>4408207</v>
      </c>
      <c r="C434" s="20" t="s">
        <v>884</v>
      </c>
      <c r="D434" s="20" t="str">
        <f aca="false">TRIM(SUBSTITUTE($A434,CHAR(160)," "))</f>
        <v>AC25 0</v>
      </c>
    </row>
    <row r="435" customFormat="false" ht="15" hidden="false" customHeight="false" outlineLevel="0" collapsed="false">
      <c r="A435" s="20" t="s">
        <v>1380</v>
      </c>
      <c r="B435" s="20" t="n">
        <v>4415026</v>
      </c>
      <c r="C435" s="20" t="s">
        <v>885</v>
      </c>
      <c r="D435" s="20" t="str">
        <f aca="false">TRIM(SUBSTITUTE($A435,CHAR(160)," "))</f>
        <v>AC27L 0</v>
      </c>
    </row>
    <row r="436" customFormat="false" ht="15" hidden="false" customHeight="false" outlineLevel="0" collapsed="false">
      <c r="A436" s="20" t="s">
        <v>1381</v>
      </c>
      <c r="B436" s="20" t="n">
        <v>4415027</v>
      </c>
      <c r="C436" s="20" t="s">
        <v>886</v>
      </c>
      <c r="D436" s="20" t="str">
        <f aca="false">TRIM(SUBSTITUTE($A436,CHAR(160)," "))</f>
        <v>AC27R 0</v>
      </c>
    </row>
    <row r="437" customFormat="false" ht="15" hidden="false" customHeight="false" outlineLevel="0" collapsed="false">
      <c r="A437" s="20" t="s">
        <v>1382</v>
      </c>
      <c r="B437" s="20" t="n">
        <v>4408249</v>
      </c>
      <c r="C437" s="20" t="s">
        <v>887</v>
      </c>
      <c r="D437" s="20" t="str">
        <f aca="false">TRIM(SUBSTITUTE($A437,CHAR(160)," "))</f>
        <v>SC25 L</v>
      </c>
    </row>
    <row r="438" customFormat="false" ht="15" hidden="false" customHeight="false" outlineLevel="0" collapsed="false">
      <c r="A438" s="20" t="s">
        <v>1383</v>
      </c>
      <c r="B438" s="20" t="n">
        <v>4408248</v>
      </c>
      <c r="C438" s="20" t="s">
        <v>888</v>
      </c>
      <c r="D438" s="20" t="str">
        <f aca="false">TRIM(SUBSTITUTE($A438,CHAR(160)," "))</f>
        <v>SC25 M</v>
      </c>
    </row>
    <row r="439" customFormat="false" ht="15" hidden="false" customHeight="false" outlineLevel="0" collapsed="false">
      <c r="A439" s="20" t="s">
        <v>1384</v>
      </c>
      <c r="B439" s="20" t="n">
        <v>4408247</v>
      </c>
      <c r="C439" s="20" t="s">
        <v>889</v>
      </c>
      <c r="D439" s="20" t="str">
        <f aca="false">TRIM(SUBSTITUTE($A439,CHAR(160)," "))</f>
        <v>SC25 S</v>
      </c>
    </row>
    <row r="440" customFormat="false" ht="15" hidden="false" customHeight="false" outlineLevel="0" collapsed="false">
      <c r="A440" s="20" t="s">
        <v>1385</v>
      </c>
      <c r="B440" s="20" t="n">
        <v>4408250</v>
      </c>
      <c r="C440" s="20" t="s">
        <v>890</v>
      </c>
      <c r="D440" s="20" t="str">
        <f aca="false">TRIM(SUBSTITUTE($A440,CHAR(160)," "))</f>
        <v>SC25 XL</v>
      </c>
    </row>
    <row r="441" customFormat="false" ht="15" hidden="false" customHeight="false" outlineLevel="0" collapsed="false">
      <c r="A441" s="20" t="s">
        <v>1386</v>
      </c>
      <c r="B441" s="20" t="n">
        <v>4413422</v>
      </c>
      <c r="C441" s="20" t="s">
        <v>891</v>
      </c>
      <c r="D441" s="20" t="str">
        <f aca="false">TRIM(SUBSTITUTE($A441,CHAR(160)," "))</f>
        <v>SC35L L</v>
      </c>
    </row>
    <row r="442" customFormat="false" ht="15" hidden="false" customHeight="false" outlineLevel="0" collapsed="false">
      <c r="A442" s="20" t="s">
        <v>1387</v>
      </c>
      <c r="B442" s="20" t="n">
        <v>4413421</v>
      </c>
      <c r="C442" s="20" t="s">
        <v>892</v>
      </c>
      <c r="D442" s="20" t="str">
        <f aca="false">TRIM(SUBSTITUTE($A442,CHAR(160)," "))</f>
        <v>SC35L M</v>
      </c>
    </row>
    <row r="443" customFormat="false" ht="15" hidden="false" customHeight="false" outlineLevel="0" collapsed="false">
      <c r="A443" s="20" t="s">
        <v>1388</v>
      </c>
      <c r="B443" s="20" t="n">
        <v>4413420</v>
      </c>
      <c r="C443" s="20" t="s">
        <v>893</v>
      </c>
      <c r="D443" s="20" t="str">
        <f aca="false">TRIM(SUBSTITUTE($A443,CHAR(160)," "))</f>
        <v>SC35L S</v>
      </c>
    </row>
    <row r="444" customFormat="false" ht="15" hidden="false" customHeight="false" outlineLevel="0" collapsed="false">
      <c r="A444" s="20" t="s">
        <v>1389</v>
      </c>
      <c r="B444" s="20" t="n">
        <v>4413423</v>
      </c>
      <c r="C444" s="20" t="s">
        <v>894</v>
      </c>
      <c r="D444" s="20" t="str">
        <f aca="false">TRIM(SUBSTITUTE($A444,CHAR(160)," "))</f>
        <v>SC35L XL</v>
      </c>
    </row>
    <row r="445" customFormat="false" ht="15" hidden="false" customHeight="false" outlineLevel="0" collapsed="false">
      <c r="A445" s="20" t="s">
        <v>1390</v>
      </c>
      <c r="B445" s="20" t="n">
        <v>4413426</v>
      </c>
      <c r="C445" s="20" t="s">
        <v>895</v>
      </c>
      <c r="D445" s="20" t="str">
        <f aca="false">TRIM(SUBSTITUTE($A445,CHAR(160)," "))</f>
        <v>SC35R L</v>
      </c>
    </row>
    <row r="446" customFormat="false" ht="15" hidden="false" customHeight="false" outlineLevel="0" collapsed="false">
      <c r="A446" s="20" t="s">
        <v>1391</v>
      </c>
      <c r="B446" s="20" t="n">
        <v>4413425</v>
      </c>
      <c r="C446" s="20" t="s">
        <v>896</v>
      </c>
      <c r="D446" s="20" t="str">
        <f aca="false">TRIM(SUBSTITUTE($A446,CHAR(160)," "))</f>
        <v>SC35R M</v>
      </c>
    </row>
    <row r="447" customFormat="false" ht="15" hidden="false" customHeight="false" outlineLevel="0" collapsed="false">
      <c r="A447" s="20" t="s">
        <v>1392</v>
      </c>
      <c r="B447" s="20" t="n">
        <v>4413424</v>
      </c>
      <c r="C447" s="20" t="s">
        <v>897</v>
      </c>
      <c r="D447" s="20" t="str">
        <f aca="false">TRIM(SUBSTITUTE($A447,CHAR(160)," "))</f>
        <v>SC35R S</v>
      </c>
    </row>
    <row r="448" customFormat="false" ht="15" hidden="false" customHeight="false" outlineLevel="0" collapsed="false">
      <c r="A448" s="20" t="s">
        <v>1393</v>
      </c>
      <c r="B448" s="20" t="n">
        <v>4413427</v>
      </c>
      <c r="C448" s="20" t="s">
        <v>898</v>
      </c>
      <c r="D448" s="20" t="str">
        <f aca="false">TRIM(SUBSTITUTE($A448,CHAR(160)," "))</f>
        <v>SC35R XL</v>
      </c>
    </row>
    <row r="449" customFormat="false" ht="15" hidden="false" customHeight="false" outlineLevel="0" collapsed="false">
      <c r="A449" s="20" t="s">
        <v>1394</v>
      </c>
      <c r="B449" s="20" t="n">
        <v>4413417</v>
      </c>
      <c r="C449" s="20" t="s">
        <v>899</v>
      </c>
      <c r="D449" s="20" t="str">
        <f aca="false">TRIM(SUBSTITUTE($A449,CHAR(160)," "))</f>
        <v>SC39 L</v>
      </c>
    </row>
    <row r="450" customFormat="false" ht="15" hidden="false" customHeight="false" outlineLevel="0" collapsed="false">
      <c r="A450" s="20" t="s">
        <v>1395</v>
      </c>
      <c r="B450" s="20" t="n">
        <v>4413416</v>
      </c>
      <c r="C450" s="20" t="s">
        <v>900</v>
      </c>
      <c r="D450" s="20" t="str">
        <f aca="false">TRIM(SUBSTITUTE($A450,CHAR(160)," "))</f>
        <v>SC39 M</v>
      </c>
    </row>
    <row r="451" customFormat="false" ht="15" hidden="false" customHeight="false" outlineLevel="0" collapsed="false">
      <c r="A451" s="20" t="s">
        <v>1396</v>
      </c>
      <c r="B451" s="20" t="n">
        <v>4413415</v>
      </c>
      <c r="C451" s="20" t="s">
        <v>901</v>
      </c>
      <c r="D451" s="20" t="str">
        <f aca="false">TRIM(SUBSTITUTE($A451,CHAR(160)," "))</f>
        <v>SC39 S</v>
      </c>
    </row>
    <row r="452" customFormat="false" ht="15" hidden="false" customHeight="false" outlineLevel="0" collapsed="false">
      <c r="A452" s="20" t="s">
        <v>1397</v>
      </c>
      <c r="B452" s="20" t="n">
        <v>4413418</v>
      </c>
      <c r="C452" s="20" t="s">
        <v>902</v>
      </c>
      <c r="D452" s="20" t="str">
        <f aca="false">TRIM(SUBSTITUTE($A452,CHAR(160)," "))</f>
        <v>SC39 XL</v>
      </c>
    </row>
    <row r="453" customFormat="false" ht="15" hidden="false" customHeight="false" outlineLevel="0" collapsed="false">
      <c r="A453" s="20" t="s">
        <v>1398</v>
      </c>
      <c r="B453" s="20" t="n">
        <v>4413419</v>
      </c>
      <c r="C453" s="20" t="s">
        <v>903</v>
      </c>
      <c r="D453" s="20" t="str">
        <f aca="false">TRIM(SUBSTITUTE($A453,CHAR(160)," "))</f>
        <v>SC39 XXL</v>
      </c>
    </row>
    <row r="454" customFormat="false" ht="15" hidden="false" customHeight="false" outlineLevel="0" collapsed="false">
      <c r="A454" s="20" t="s">
        <v>1399</v>
      </c>
      <c r="B454" s="20" t="n">
        <v>4413440</v>
      </c>
      <c r="C454" s="20" t="s">
        <v>904</v>
      </c>
      <c r="D454" s="20" t="str">
        <f aca="false">TRIM(SUBSTITUTE($A454,CHAR(160)," "))</f>
        <v>SC422 L</v>
      </c>
    </row>
    <row r="455" customFormat="false" ht="15" hidden="false" customHeight="false" outlineLevel="0" collapsed="false">
      <c r="A455" s="20" t="s">
        <v>1400</v>
      </c>
      <c r="B455" s="20" t="n">
        <v>4413439</v>
      </c>
      <c r="C455" s="20" t="s">
        <v>905</v>
      </c>
      <c r="D455" s="20" t="str">
        <f aca="false">TRIM(SUBSTITUTE($A455,CHAR(160)," "))</f>
        <v>SC422 M</v>
      </c>
    </row>
    <row r="456" customFormat="false" ht="15" hidden="false" customHeight="false" outlineLevel="0" collapsed="false">
      <c r="A456" s="20" t="s">
        <v>1401</v>
      </c>
      <c r="B456" s="20" t="n">
        <v>4413441</v>
      </c>
      <c r="C456" s="20" t="s">
        <v>906</v>
      </c>
      <c r="D456" s="20" t="str">
        <f aca="false">TRIM(SUBSTITUTE($A456,CHAR(160)," "))</f>
        <v>SC422 XL</v>
      </c>
    </row>
    <row r="457" customFormat="false" ht="15" hidden="false" customHeight="false" outlineLevel="0" collapsed="false">
      <c r="A457" s="20" t="s">
        <v>1402</v>
      </c>
      <c r="B457" s="20" t="n">
        <v>4413407</v>
      </c>
      <c r="C457" s="20" t="s">
        <v>907</v>
      </c>
      <c r="D457" s="20" t="str">
        <f aca="false">TRIM(SUBSTITUTE($A457,CHAR(160)," "))</f>
        <v>SC95 L</v>
      </c>
    </row>
    <row r="458" customFormat="false" ht="15" hidden="false" customHeight="false" outlineLevel="0" collapsed="false">
      <c r="A458" s="20" t="s">
        <v>1403</v>
      </c>
      <c r="B458" s="20" t="n">
        <v>4413406</v>
      </c>
      <c r="C458" s="20" t="s">
        <v>908</v>
      </c>
      <c r="D458" s="20" t="str">
        <f aca="false">TRIM(SUBSTITUTE($A458,CHAR(160)," "))</f>
        <v>SC95 M</v>
      </c>
    </row>
    <row r="459" customFormat="false" ht="15" hidden="false" customHeight="false" outlineLevel="0" collapsed="false">
      <c r="A459" s="20" t="s">
        <v>1404</v>
      </c>
      <c r="B459" s="20" t="n">
        <v>4413408</v>
      </c>
      <c r="C459" s="20" t="s">
        <v>909</v>
      </c>
      <c r="D459" s="20" t="str">
        <f aca="false">TRIM(SUBSTITUTE($A459,CHAR(160)," "))</f>
        <v>SC95 XL</v>
      </c>
    </row>
    <row r="460" customFormat="false" ht="15" hidden="false" customHeight="false" outlineLevel="0" collapsed="false">
      <c r="A460" s="20" t="s">
        <v>1405</v>
      </c>
      <c r="B460" s="20" t="n">
        <v>4420034</v>
      </c>
      <c r="C460" s="20" t="s">
        <v>911</v>
      </c>
      <c r="D460" s="20" t="str">
        <f aca="false">TRIM(SUBSTITUTE($A460,CHAR(160)," "))</f>
        <v>381 0</v>
      </c>
    </row>
    <row r="461" customFormat="false" ht="15" hidden="false" customHeight="false" outlineLevel="0" collapsed="false">
      <c r="A461" s="20" t="s">
        <v>1406</v>
      </c>
      <c r="B461" s="20" t="n">
        <v>4415299</v>
      </c>
      <c r="C461" s="20" t="s">
        <v>912</v>
      </c>
      <c r="D461" s="20" t="str">
        <f aca="false">TRIM(SUBSTITUTE($A461,CHAR(160)," "))</f>
        <v>388BR 0</v>
      </c>
    </row>
    <row r="462" customFormat="false" ht="15" hidden="false" customHeight="false" outlineLevel="0" collapsed="false">
      <c r="A462" s="20" t="s">
        <v>1407</v>
      </c>
      <c r="B462" s="20" t="n">
        <v>4415298</v>
      </c>
      <c r="C462" s="20" t="s">
        <v>913</v>
      </c>
      <c r="D462" s="20" t="str">
        <f aca="false">TRIM(SUBSTITUTE($A462,CHAR(160)," "))</f>
        <v>388BL 0</v>
      </c>
    </row>
    <row r="463" customFormat="false" ht="15" hidden="false" customHeight="false" outlineLevel="0" collapsed="false">
      <c r="A463" s="20" t="s">
        <v>1408</v>
      </c>
      <c r="B463" s="20" t="n">
        <v>4422000</v>
      </c>
      <c r="C463" s="20" t="s">
        <v>914</v>
      </c>
      <c r="D463" s="20" t="str">
        <f aca="false">TRIM(SUBSTITUTE($A463,CHAR(160)," "))</f>
        <v>801 0</v>
      </c>
    </row>
    <row r="464" customFormat="false" ht="15" hidden="false" customHeight="false" outlineLevel="0" collapsed="false">
      <c r="A464" s="20" t="s">
        <v>1409</v>
      </c>
      <c r="B464" s="20" t="n">
        <v>4422023</v>
      </c>
      <c r="C464" s="20" t="s">
        <v>915</v>
      </c>
      <c r="D464" s="20" t="str">
        <f aca="false">TRIM(SUBSTITUTE($A464,CHAR(160)," "))</f>
        <v>806CB-C</v>
      </c>
    </row>
    <row r="465" customFormat="false" ht="15" hidden="false" customHeight="false" outlineLevel="0" collapsed="false">
      <c r="A465" s="20" t="s">
        <v>1410</v>
      </c>
      <c r="B465" s="20" t="n">
        <v>4422024</v>
      </c>
      <c r="C465" s="20" t="s">
        <v>916</v>
      </c>
      <c r="D465" s="20" t="str">
        <f aca="false">TRIM(SUBSTITUTE($A465,CHAR(160)," "))</f>
        <v>806CB-B</v>
      </c>
    </row>
    <row r="466" customFormat="false" ht="15" hidden="false" customHeight="false" outlineLevel="0" collapsed="false">
      <c r="A466" s="20" t="s">
        <v>1411</v>
      </c>
      <c r="B466" s="20" t="n">
        <v>4422025</v>
      </c>
      <c r="C466" s="20" t="s">
        <v>917</v>
      </c>
      <c r="D466" s="20" t="str">
        <f aca="false">TRIM(SUBSTITUTE($A466,CHAR(160)," "))</f>
        <v>806CB-GR</v>
      </c>
    </row>
    <row r="467" customFormat="false" ht="15" hidden="false" customHeight="false" outlineLevel="0" collapsed="false">
      <c r="A467" s="20" t="s">
        <v>1412</v>
      </c>
      <c r="B467" s="20" t="n">
        <v>4422026</v>
      </c>
      <c r="C467" s="20" t="s">
        <v>918</v>
      </c>
      <c r="D467" s="20" t="str">
        <f aca="false">TRIM(SUBSTITUTE($A467,CHAR(160)," "))</f>
        <v>806CB-P</v>
      </c>
    </row>
    <row r="468" customFormat="false" ht="15" hidden="false" customHeight="false" outlineLevel="0" collapsed="false">
      <c r="A468" s="20" t="s">
        <v>1413</v>
      </c>
      <c r="B468" s="20" t="n">
        <v>4422032</v>
      </c>
      <c r="C468" s="20" t="s">
        <v>1414</v>
      </c>
      <c r="D468" s="20" t="str">
        <f aca="false">TRIM(SUBSTITUTE($A468,CHAR(160)," "))</f>
        <v>807CB-B</v>
      </c>
    </row>
    <row r="469" customFormat="false" ht="15" hidden="false" customHeight="false" outlineLevel="0" collapsed="false">
      <c r="A469" s="20" t="s">
        <v>1415</v>
      </c>
      <c r="B469" s="20" t="n">
        <v>4422033</v>
      </c>
      <c r="C469" s="20" t="s">
        <v>1416</v>
      </c>
      <c r="D469" s="20" t="str">
        <f aca="false">TRIM(SUBSTITUTE($A469,CHAR(160)," "))</f>
        <v>807CB-BL</v>
      </c>
    </row>
    <row r="470" customFormat="false" ht="15" hidden="false" customHeight="false" outlineLevel="0" collapsed="false">
      <c r="A470" s="20" t="s">
        <v>1417</v>
      </c>
      <c r="B470" s="20" t="n">
        <v>4422031</v>
      </c>
      <c r="C470" s="20" t="s">
        <v>1418</v>
      </c>
      <c r="D470" s="20" t="str">
        <f aca="false">TRIM(SUBSTITUTE($A470,CHAR(160)," "))</f>
        <v>807CB-C</v>
      </c>
    </row>
    <row r="471" customFormat="false" ht="15" hidden="false" customHeight="false" outlineLevel="0" collapsed="false">
      <c r="A471" s="20" t="s">
        <v>1419</v>
      </c>
      <c r="B471" s="20" t="n">
        <v>4422034</v>
      </c>
      <c r="C471" s="20" t="s">
        <v>922</v>
      </c>
      <c r="D471" s="20" t="str">
        <f aca="false">TRIM(SUBSTITUTE($A471,CHAR(160)," "))</f>
        <v>807CB-P</v>
      </c>
    </row>
  </sheetData>
  <mergeCells count="1">
    <mergeCell ref="A3:O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8"/>
    <col collapsed="false" customWidth="true" hidden="false" outlineLevel="0" max="3" min="3" style="1" width="12"/>
    <col collapsed="false" customWidth="true" hidden="false" outlineLevel="0" max="5" min="4" style="1" width="14"/>
    <col collapsed="false" customWidth="true" hidden="false" outlineLevel="0" max="6" min="6" style="1" width="13"/>
  </cols>
  <sheetData>
    <row r="1" customFormat="false" ht="17.15" hidden="false" customHeight="false" outlineLevel="0" collapsed="false">
      <c r="A1" s="2" t="s">
        <v>1420</v>
      </c>
    </row>
    <row r="2" customFormat="false" ht="15" hidden="false" customHeight="false" outlineLevel="0" collapsed="false">
      <c r="A2" s="3" t="s">
        <v>1</v>
      </c>
      <c r="B2" s="4" t="n">
        <v>46290</v>
      </c>
    </row>
    <row r="3" customFormat="false" ht="22.35" hidden="false" customHeight="true" outlineLevel="0" collapsed="false">
      <c r="A3" s="5" t="s">
        <v>1421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5" customFormat="false" ht="39.55" hidden="false" customHeight="false" outlineLevel="0" collapsed="false">
      <c r="A5" s="19" t="s">
        <v>1422</v>
      </c>
      <c r="B5" s="19" t="s">
        <v>1423</v>
      </c>
      <c r="C5" s="19" t="s">
        <v>25</v>
      </c>
      <c r="D5" s="19" t="s">
        <v>26</v>
      </c>
      <c r="E5" s="19" t="s">
        <v>1424</v>
      </c>
      <c r="F5" s="19" t="s">
        <v>1425</v>
      </c>
    </row>
    <row r="6" customFormat="false" ht="15" hidden="false" customHeight="false" outlineLevel="0" collapsed="false">
      <c r="A6" s="20" t="s">
        <v>640</v>
      </c>
      <c r="B6" s="20" t="n">
        <v>2025</v>
      </c>
      <c r="C6" s="21" t="n">
        <v>328</v>
      </c>
      <c r="D6" s="22" t="n">
        <v>7458.3</v>
      </c>
      <c r="E6" s="20" t="n">
        <f aca="false">IFERROR(INDEX('Catalog'!$A:$A,MATCH($A6,'Catalog'!$B:$B,0)),IFERROR(INDEX('Catalog'!$A:$A,MATCH(TRIM(SUBSTITUTE($A6,CHAR(160)," ")),'Catalog'!$C:$C,0)),""))</f>
        <v>4401000</v>
      </c>
      <c r="F6" s="20" t="str">
        <f aca="false">IF($E6="","Unmatched","Matched")</f>
        <v>Matched</v>
      </c>
    </row>
    <row r="7" customFormat="false" ht="15" hidden="false" customHeight="false" outlineLevel="0" collapsed="false">
      <c r="A7" s="20" t="s">
        <v>639</v>
      </c>
      <c r="B7" s="20" t="n">
        <v>2025</v>
      </c>
      <c r="C7" s="21" t="n">
        <v>415</v>
      </c>
      <c r="D7" s="22" t="n">
        <v>10264.8</v>
      </c>
      <c r="E7" s="20" t="n">
        <f aca="false">IFERROR(INDEX('Catalog'!$A:$A,MATCH($A7,'Catalog'!$B:$B,0)),IFERROR(INDEX('Catalog'!$A:$A,MATCH(TRIM(SUBSTITUTE($A7,CHAR(160)," ")),'Catalog'!$C:$C,0)),""))</f>
        <v>4401001</v>
      </c>
      <c r="F7" s="20" t="str">
        <f aca="false">IF($E7="","Unmatched","Matched")</f>
        <v>Matched</v>
      </c>
    </row>
    <row r="8" customFormat="false" ht="15" hidden="false" customHeight="false" outlineLevel="0" collapsed="false">
      <c r="A8" s="20" t="s">
        <v>648</v>
      </c>
      <c r="B8" s="20" t="n">
        <v>2025</v>
      </c>
      <c r="C8" s="21" t="n">
        <v>261</v>
      </c>
      <c r="D8" s="22" t="n">
        <v>2230.9</v>
      </c>
      <c r="E8" s="20" t="n">
        <f aca="false">IFERROR(INDEX('Catalog'!$A:$A,MATCH($A8,'Catalog'!$B:$B,0)),IFERROR(INDEX('Catalog'!$A:$A,MATCH(TRIM(SUBSTITUTE($A8,CHAR(160)," ")),'Catalog'!$C:$C,0)),""))</f>
        <v>4401002</v>
      </c>
      <c r="F8" s="20" t="str">
        <f aca="false">IF($E8="","Unmatched","Matched")</f>
        <v>Matched</v>
      </c>
    </row>
    <row r="9" customFormat="false" ht="15" hidden="false" customHeight="false" outlineLevel="0" collapsed="false">
      <c r="A9" s="20" t="s">
        <v>425</v>
      </c>
      <c r="B9" s="20" t="n">
        <v>2025</v>
      </c>
      <c r="C9" s="21" t="n">
        <v>70</v>
      </c>
      <c r="D9" s="22" t="n">
        <v>1089.5</v>
      </c>
      <c r="E9" s="20" t="n">
        <f aca="false">IFERROR(INDEX('Catalog'!$A:$A,MATCH($A9,'Catalog'!$B:$B,0)),IFERROR(INDEX('Catalog'!$A:$A,MATCH(TRIM(SUBSTITUTE($A9,CHAR(160)," ")),'Catalog'!$C:$C,0)),""))</f>
        <v>4401011</v>
      </c>
      <c r="F9" s="20" t="str">
        <f aca="false">IF($E9="","Unmatched","Matched")</f>
        <v>Matched</v>
      </c>
    </row>
    <row r="10" customFormat="false" ht="15" hidden="false" customHeight="false" outlineLevel="0" collapsed="false">
      <c r="A10" s="20" t="s">
        <v>423</v>
      </c>
      <c r="B10" s="20" t="n">
        <v>2025</v>
      </c>
      <c r="C10" s="21" t="n">
        <v>20</v>
      </c>
      <c r="D10" s="22" t="n">
        <v>318.7</v>
      </c>
      <c r="E10" s="20" t="n">
        <f aca="false">IFERROR(INDEX('Catalog'!$A:$A,MATCH($A10,'Catalog'!$B:$B,0)),IFERROR(INDEX('Catalog'!$A:$A,MATCH(TRIM(SUBSTITUTE($A10,CHAR(160)," ")),'Catalog'!$C:$C,0)),""))</f>
        <v>4401012</v>
      </c>
      <c r="F10" s="20" t="str">
        <f aca="false">IF($E10="","Unmatched","Matched")</f>
        <v>Matched</v>
      </c>
    </row>
    <row r="11" customFormat="false" ht="15" hidden="false" customHeight="false" outlineLevel="0" collapsed="false">
      <c r="A11" s="20" t="s">
        <v>424</v>
      </c>
      <c r="B11" s="20" t="n">
        <v>2025</v>
      </c>
      <c r="C11" s="21" t="n">
        <v>19</v>
      </c>
      <c r="D11" s="22" t="n">
        <v>301.4</v>
      </c>
      <c r="E11" s="20" t="n">
        <f aca="false">IFERROR(INDEX('Catalog'!$A:$A,MATCH($A11,'Catalog'!$B:$B,0)),IFERROR(INDEX('Catalog'!$A:$A,MATCH(TRIM(SUBSTITUTE($A11,CHAR(160)," ")),'Catalog'!$C:$C,0)),""))</f>
        <v>4401013</v>
      </c>
      <c r="F11" s="20" t="str">
        <f aca="false">IF($E11="","Unmatched","Matched")</f>
        <v>Matched</v>
      </c>
    </row>
    <row r="12" customFormat="false" ht="15" hidden="false" customHeight="false" outlineLevel="0" collapsed="false">
      <c r="A12" s="20" t="s">
        <v>426</v>
      </c>
      <c r="B12" s="20" t="n">
        <v>2025</v>
      </c>
      <c r="C12" s="21" t="n">
        <v>47</v>
      </c>
      <c r="D12" s="22" t="n">
        <v>719.1</v>
      </c>
      <c r="E12" s="20" t="n">
        <f aca="false">IFERROR(INDEX('Catalog'!$A:$A,MATCH($A12,'Catalog'!$B:$B,0)),IFERROR(INDEX('Catalog'!$A:$A,MATCH(TRIM(SUBSTITUTE($A12,CHAR(160)," ")),'Catalog'!$C:$C,0)),""))</f>
        <v>4401014</v>
      </c>
      <c r="F12" s="20" t="str">
        <f aca="false">IF($E12="","Unmatched","Matched")</f>
        <v>Matched</v>
      </c>
    </row>
    <row r="13" customFormat="false" ht="15" hidden="false" customHeight="false" outlineLevel="0" collapsed="false">
      <c r="A13" s="20" t="s">
        <v>626</v>
      </c>
      <c r="B13" s="20" t="n">
        <v>2025</v>
      </c>
      <c r="C13" s="21" t="n">
        <v>124</v>
      </c>
      <c r="D13" s="22" t="n">
        <v>3220.9</v>
      </c>
      <c r="E13" s="20" t="n">
        <f aca="false">IFERROR(INDEX('Catalog'!$A:$A,MATCH($A13,'Catalog'!$B:$B,0)),IFERROR(INDEX('Catalog'!$A:$A,MATCH(TRIM(SUBSTITUTE($A13,CHAR(160)," ")),'Catalog'!$C:$C,0)),""))</f>
        <v>4402000</v>
      </c>
      <c r="F13" s="20" t="str">
        <f aca="false">IF($E13="","Unmatched","Matched")</f>
        <v>Matched</v>
      </c>
    </row>
    <row r="14" customFormat="false" ht="15" hidden="false" customHeight="false" outlineLevel="0" collapsed="false">
      <c r="A14" s="20" t="s">
        <v>622</v>
      </c>
      <c r="B14" s="20" t="n">
        <v>2025</v>
      </c>
      <c r="C14" s="21" t="n">
        <v>343</v>
      </c>
      <c r="D14" s="22" t="n">
        <v>6288.6</v>
      </c>
      <c r="E14" s="20" t="n">
        <f aca="false">IFERROR(INDEX('Catalog'!$A:$A,MATCH($A14,'Catalog'!$B:$B,0)),IFERROR(INDEX('Catalog'!$A:$A,MATCH(TRIM(SUBSTITUTE($A14,CHAR(160)," ")),'Catalog'!$C:$C,0)),""))</f>
        <v>4402007</v>
      </c>
      <c r="F14" s="20" t="str">
        <f aca="false">IF($E14="","Unmatched","Matched")</f>
        <v>Matched</v>
      </c>
    </row>
    <row r="15" customFormat="false" ht="15" hidden="false" customHeight="false" outlineLevel="0" collapsed="false">
      <c r="A15" s="20" t="s">
        <v>264</v>
      </c>
      <c r="B15" s="20" t="n">
        <v>2025</v>
      </c>
      <c r="C15" s="21" t="n">
        <v>21</v>
      </c>
      <c r="D15" s="22" t="n">
        <v>614.1</v>
      </c>
      <c r="E15" s="20" t="n">
        <f aca="false">IFERROR(INDEX('Catalog'!$A:$A,MATCH($A15,'Catalog'!$B:$B,0)),IFERROR(INDEX('Catalog'!$A:$A,MATCH(TRIM(SUBSTITUTE($A15,CHAR(160)," ")),'Catalog'!$C:$C,0)),""))</f>
        <v>4403000</v>
      </c>
      <c r="F15" s="20" t="str">
        <f aca="false">IF($E15="","Unmatched","Matched")</f>
        <v>Matched</v>
      </c>
    </row>
    <row r="16" customFormat="false" ht="15" hidden="false" customHeight="false" outlineLevel="0" collapsed="false">
      <c r="A16" s="20" t="s">
        <v>262</v>
      </c>
      <c r="B16" s="20" t="n">
        <v>2025</v>
      </c>
      <c r="C16" s="21" t="n">
        <v>42</v>
      </c>
      <c r="D16" s="22" t="n">
        <v>1277.4</v>
      </c>
      <c r="E16" s="20" t="n">
        <f aca="false">IFERROR(INDEX('Catalog'!$A:$A,MATCH($A16,'Catalog'!$B:$B,0)),IFERROR(INDEX('Catalog'!$A:$A,MATCH(TRIM(SUBSTITUTE($A16,CHAR(160)," ")),'Catalog'!$C:$C,0)),""))</f>
        <v>4403001</v>
      </c>
      <c r="F16" s="20" t="str">
        <f aca="false">IF($E16="","Unmatched","Matched")</f>
        <v>Matched</v>
      </c>
    </row>
    <row r="17" customFormat="false" ht="15" hidden="false" customHeight="false" outlineLevel="0" collapsed="false">
      <c r="A17" s="20" t="s">
        <v>263</v>
      </c>
      <c r="B17" s="20" t="n">
        <v>2025</v>
      </c>
      <c r="C17" s="21" t="n">
        <v>73</v>
      </c>
      <c r="D17" s="22" t="n">
        <v>2296</v>
      </c>
      <c r="E17" s="20" t="n">
        <f aca="false">IFERROR(INDEX('Catalog'!$A:$A,MATCH($A17,'Catalog'!$B:$B,0)),IFERROR(INDEX('Catalog'!$A:$A,MATCH(TRIM(SUBSTITUTE($A17,CHAR(160)," ")),'Catalog'!$C:$C,0)),""))</f>
        <v>4403002</v>
      </c>
      <c r="F17" s="20" t="str">
        <f aca="false">IF($E17="","Unmatched","Matched")</f>
        <v>Matched</v>
      </c>
    </row>
    <row r="18" customFormat="false" ht="15" hidden="false" customHeight="false" outlineLevel="0" collapsed="false">
      <c r="A18" s="20" t="s">
        <v>266</v>
      </c>
      <c r="B18" s="20" t="n">
        <v>2025</v>
      </c>
      <c r="C18" s="21" t="n">
        <v>2</v>
      </c>
      <c r="D18" s="22" t="n">
        <v>51</v>
      </c>
      <c r="E18" s="20" t="n">
        <f aca="false">IFERROR(INDEX('Catalog'!$A:$A,MATCH($A18,'Catalog'!$B:$B,0)),IFERROR(INDEX('Catalog'!$A:$A,MATCH(TRIM(SUBSTITUTE($A18,CHAR(160)," ")),'Catalog'!$C:$C,0)),""))</f>
        <v>4403003</v>
      </c>
      <c r="F18" s="20" t="str">
        <f aca="false">IF($E18="","Unmatched","Matched")</f>
        <v>Matched</v>
      </c>
    </row>
    <row r="19" customFormat="false" ht="15" hidden="false" customHeight="false" outlineLevel="0" collapsed="false">
      <c r="A19" s="20" t="s">
        <v>265</v>
      </c>
      <c r="B19" s="20" t="n">
        <v>2025</v>
      </c>
      <c r="C19" s="21" t="n">
        <v>16</v>
      </c>
      <c r="D19" s="22" t="n">
        <v>549.5</v>
      </c>
      <c r="E19" s="20" t="n">
        <f aca="false">IFERROR(INDEX('Catalog'!$A:$A,MATCH($A19,'Catalog'!$B:$B,0)),IFERROR(INDEX('Catalog'!$A:$A,MATCH(TRIM(SUBSTITUTE($A19,CHAR(160)," ")),'Catalog'!$C:$C,0)),""))</f>
        <v>4403004</v>
      </c>
      <c r="F19" s="20" t="str">
        <f aca="false">IF($E19="","Unmatched","Matched")</f>
        <v>Matched</v>
      </c>
    </row>
    <row r="20" customFormat="false" ht="15" hidden="false" customHeight="false" outlineLevel="0" collapsed="false">
      <c r="A20" s="20" t="s">
        <v>289</v>
      </c>
      <c r="B20" s="20" t="n">
        <v>2025</v>
      </c>
      <c r="C20" s="21" t="n">
        <v>12</v>
      </c>
      <c r="D20" s="22" t="n">
        <v>384.1</v>
      </c>
      <c r="E20" s="20" t="n">
        <f aca="false">IFERROR(INDEX('Catalog'!$A:$A,MATCH($A20,'Catalog'!$B:$B,0)),IFERROR(INDEX('Catalog'!$A:$A,MATCH(TRIM(SUBSTITUTE($A20,CHAR(160)," ")),'Catalog'!$C:$C,0)),""))</f>
        <v>4403005</v>
      </c>
      <c r="F20" s="20" t="str">
        <f aca="false">IF($E20="","Unmatched","Matched")</f>
        <v>Matched</v>
      </c>
    </row>
    <row r="21" customFormat="false" ht="15" hidden="false" customHeight="false" outlineLevel="0" collapsed="false">
      <c r="A21" s="20" t="s">
        <v>267</v>
      </c>
      <c r="B21" s="20" t="n">
        <v>2025</v>
      </c>
      <c r="C21" s="21" t="n">
        <v>12</v>
      </c>
      <c r="D21" s="22" t="n">
        <v>345</v>
      </c>
      <c r="E21" s="20" t="n">
        <f aca="false">IFERROR(INDEX('Catalog'!$A:$A,MATCH($A21,'Catalog'!$B:$B,0)),IFERROR(INDEX('Catalog'!$A:$A,MATCH(TRIM(SUBSTITUTE($A21,CHAR(160)," ")),'Catalog'!$C:$C,0)),""))</f>
        <v>4403006</v>
      </c>
      <c r="F21" s="20" t="str">
        <f aca="false">IF($E21="","Unmatched","Matched")</f>
        <v>Matched</v>
      </c>
    </row>
    <row r="22" customFormat="false" ht="15" hidden="false" customHeight="false" outlineLevel="0" collapsed="false">
      <c r="A22" s="20" t="s">
        <v>268</v>
      </c>
      <c r="B22" s="20" t="n">
        <v>2025</v>
      </c>
      <c r="C22" s="21" t="n">
        <v>18</v>
      </c>
      <c r="D22" s="22" t="n">
        <v>559.9</v>
      </c>
      <c r="E22" s="20" t="n">
        <f aca="false">IFERROR(INDEX('Catalog'!$A:$A,MATCH($A22,'Catalog'!$B:$B,0)),IFERROR(INDEX('Catalog'!$A:$A,MATCH(TRIM(SUBSTITUTE($A22,CHAR(160)," ")),'Catalog'!$C:$C,0)),""))</f>
        <v>4403007</v>
      </c>
      <c r="F22" s="20" t="str">
        <f aca="false">IF($E22="","Unmatched","Matched")</f>
        <v>Matched</v>
      </c>
    </row>
    <row r="23" customFormat="false" ht="15" hidden="false" customHeight="false" outlineLevel="0" collapsed="false">
      <c r="A23" s="20" t="s">
        <v>269</v>
      </c>
      <c r="B23" s="20" t="n">
        <v>2025</v>
      </c>
      <c r="C23" s="21" t="n">
        <v>20</v>
      </c>
      <c r="D23" s="22" t="n">
        <v>601.1</v>
      </c>
      <c r="E23" s="20" t="n">
        <f aca="false">IFERROR(INDEX('Catalog'!$A:$A,MATCH($A23,'Catalog'!$B:$B,0)),IFERROR(INDEX('Catalog'!$A:$A,MATCH(TRIM(SUBSTITUTE($A23,CHAR(160)," ")),'Catalog'!$C:$C,0)),""))</f>
        <v>4403008</v>
      </c>
      <c r="F23" s="20" t="str">
        <f aca="false">IF($E23="","Unmatched","Matched")</f>
        <v>Matched</v>
      </c>
    </row>
    <row r="24" customFormat="false" ht="15" hidden="false" customHeight="false" outlineLevel="0" collapsed="false">
      <c r="A24" s="20" t="s">
        <v>270</v>
      </c>
      <c r="B24" s="20" t="n">
        <v>2025</v>
      </c>
      <c r="C24" s="21" t="n">
        <v>62</v>
      </c>
      <c r="D24" s="22" t="n">
        <v>1588.5</v>
      </c>
      <c r="E24" s="20" t="n">
        <f aca="false">IFERROR(INDEX('Catalog'!$A:$A,MATCH($A24,'Catalog'!$B:$B,0)),IFERROR(INDEX('Catalog'!$A:$A,MATCH(TRIM(SUBSTITUTE($A24,CHAR(160)," ")),'Catalog'!$C:$C,0)),""))</f>
        <v>4403017</v>
      </c>
      <c r="F24" s="20" t="str">
        <f aca="false">IF($E24="","Unmatched","Matched")</f>
        <v>Matched</v>
      </c>
    </row>
    <row r="25" customFormat="false" ht="15" hidden="false" customHeight="false" outlineLevel="0" collapsed="false">
      <c r="A25" s="20" t="s">
        <v>271</v>
      </c>
      <c r="B25" s="20" t="n">
        <v>2025</v>
      </c>
      <c r="C25" s="21" t="n">
        <v>123</v>
      </c>
      <c r="D25" s="22" t="n">
        <v>3121.1</v>
      </c>
      <c r="E25" s="20" t="n">
        <f aca="false">IFERROR(INDEX('Catalog'!$A:$A,MATCH($A25,'Catalog'!$B:$B,0)),IFERROR(INDEX('Catalog'!$A:$A,MATCH(TRIM(SUBSTITUTE($A25,CHAR(160)," ")),'Catalog'!$C:$C,0)),""))</f>
        <v>4403018</v>
      </c>
      <c r="F25" s="20" t="str">
        <f aca="false">IF($E25="","Unmatched","Matched")</f>
        <v>Matched</v>
      </c>
    </row>
    <row r="26" customFormat="false" ht="15" hidden="false" customHeight="false" outlineLevel="0" collapsed="false">
      <c r="A26" s="20" t="s">
        <v>272</v>
      </c>
      <c r="B26" s="20" t="n">
        <v>2025</v>
      </c>
      <c r="C26" s="21" t="n">
        <v>180</v>
      </c>
      <c r="D26" s="22" t="n">
        <v>4578</v>
      </c>
      <c r="E26" s="20" t="n">
        <f aca="false">IFERROR(INDEX('Catalog'!$A:$A,MATCH($A26,'Catalog'!$B:$B,0)),IFERROR(INDEX('Catalog'!$A:$A,MATCH(TRIM(SUBSTITUTE($A26,CHAR(160)," ")),'Catalog'!$C:$C,0)),""))</f>
        <v>4403019</v>
      </c>
      <c r="F26" s="20" t="str">
        <f aca="false">IF($E26="","Unmatched","Matched")</f>
        <v>Matched</v>
      </c>
    </row>
    <row r="27" customFormat="false" ht="15" hidden="false" customHeight="false" outlineLevel="0" collapsed="false">
      <c r="A27" s="20" t="s">
        <v>273</v>
      </c>
      <c r="B27" s="20" t="n">
        <v>2025</v>
      </c>
      <c r="C27" s="21" t="n">
        <v>17</v>
      </c>
      <c r="D27" s="22" t="n">
        <v>426.2</v>
      </c>
      <c r="E27" s="20" t="n">
        <f aca="false">IFERROR(INDEX('Catalog'!$A:$A,MATCH($A27,'Catalog'!$B:$B,0)),IFERROR(INDEX('Catalog'!$A:$A,MATCH(TRIM(SUBSTITUTE($A27,CHAR(160)," ")),'Catalog'!$C:$C,0)),""))</f>
        <v>4403020</v>
      </c>
      <c r="F27" s="20" t="str">
        <f aca="false">IF($E27="","Unmatched","Matched")</f>
        <v>Matched</v>
      </c>
    </row>
    <row r="28" customFormat="false" ht="15" hidden="false" customHeight="false" outlineLevel="0" collapsed="false">
      <c r="A28" s="20" t="s">
        <v>274</v>
      </c>
      <c r="B28" s="20" t="n">
        <v>2025</v>
      </c>
      <c r="C28" s="21" t="n">
        <v>30</v>
      </c>
      <c r="D28" s="22" t="n">
        <v>780.5</v>
      </c>
      <c r="E28" s="20" t="n">
        <f aca="false">IFERROR(INDEX('Catalog'!$A:$A,MATCH($A28,'Catalog'!$B:$B,0)),IFERROR(INDEX('Catalog'!$A:$A,MATCH(TRIM(SUBSTITUTE($A28,CHAR(160)," ")),'Catalog'!$C:$C,0)),""))</f>
        <v>4403021</v>
      </c>
      <c r="F28" s="20" t="str">
        <f aca="false">IF($E28="","Unmatched","Matched")</f>
        <v>Matched</v>
      </c>
    </row>
    <row r="29" customFormat="false" ht="15" hidden="false" customHeight="false" outlineLevel="0" collapsed="false">
      <c r="A29" s="20" t="s">
        <v>275</v>
      </c>
      <c r="B29" s="20" t="n">
        <v>2025</v>
      </c>
      <c r="C29" s="21" t="n">
        <v>37</v>
      </c>
      <c r="D29" s="22" t="n">
        <v>940.8</v>
      </c>
      <c r="E29" s="20" t="n">
        <f aca="false">IFERROR(INDEX('Catalog'!$A:$A,MATCH($A29,'Catalog'!$B:$B,0)),IFERROR(INDEX('Catalog'!$A:$A,MATCH(TRIM(SUBSTITUTE($A29,CHAR(160)," ")),'Catalog'!$C:$C,0)),""))</f>
        <v>4403022</v>
      </c>
      <c r="F29" s="20" t="str">
        <f aca="false">IF($E29="","Unmatched","Matched")</f>
        <v>Matched</v>
      </c>
    </row>
    <row r="30" customFormat="false" ht="15" hidden="false" customHeight="false" outlineLevel="0" collapsed="false">
      <c r="A30" s="20" t="s">
        <v>276</v>
      </c>
      <c r="B30" s="20" t="n">
        <v>2025</v>
      </c>
      <c r="C30" s="21" t="n">
        <v>34</v>
      </c>
      <c r="D30" s="22" t="n">
        <v>843.2</v>
      </c>
      <c r="E30" s="20" t="n">
        <f aca="false">IFERROR(INDEX('Catalog'!$A:$A,MATCH($A30,'Catalog'!$B:$B,0)),IFERROR(INDEX('Catalog'!$A:$A,MATCH(TRIM(SUBSTITUTE($A30,CHAR(160)," ")),'Catalog'!$C:$C,0)),""))</f>
        <v>4403023</v>
      </c>
      <c r="F30" s="20" t="str">
        <f aca="false">IF($E30="","Unmatched","Matched")</f>
        <v>Matched</v>
      </c>
    </row>
    <row r="31" customFormat="false" ht="15" hidden="false" customHeight="false" outlineLevel="0" collapsed="false">
      <c r="A31" s="20" t="s">
        <v>277</v>
      </c>
      <c r="B31" s="20" t="n">
        <v>2025</v>
      </c>
      <c r="C31" s="21" t="n">
        <v>66</v>
      </c>
      <c r="D31" s="22" t="n">
        <v>1656.7</v>
      </c>
      <c r="E31" s="20" t="n">
        <f aca="false">IFERROR(INDEX('Catalog'!$A:$A,MATCH($A31,'Catalog'!$B:$B,0)),IFERROR(INDEX('Catalog'!$A:$A,MATCH(TRIM(SUBSTITUTE($A31,CHAR(160)," ")),'Catalog'!$C:$C,0)),""))</f>
        <v>4403024</v>
      </c>
      <c r="F31" s="20" t="str">
        <f aca="false">IF($E31="","Unmatched","Matched")</f>
        <v>Matched</v>
      </c>
    </row>
    <row r="32" customFormat="false" ht="15" hidden="false" customHeight="false" outlineLevel="0" collapsed="false">
      <c r="A32" s="20" t="s">
        <v>278</v>
      </c>
      <c r="B32" s="20" t="n">
        <v>2025</v>
      </c>
      <c r="C32" s="21" t="n">
        <v>78</v>
      </c>
      <c r="D32" s="22" t="n">
        <v>1916.4</v>
      </c>
      <c r="E32" s="20" t="n">
        <f aca="false">IFERROR(INDEX('Catalog'!$A:$A,MATCH($A32,'Catalog'!$B:$B,0)),IFERROR(INDEX('Catalog'!$A:$A,MATCH(TRIM(SUBSTITUTE($A32,CHAR(160)," ")),'Catalog'!$C:$C,0)),""))</f>
        <v>4403025</v>
      </c>
      <c r="F32" s="20" t="str">
        <f aca="false">IF($E32="","Unmatched","Matched")</f>
        <v>Matched</v>
      </c>
    </row>
    <row r="33" customFormat="false" ht="15" hidden="false" customHeight="false" outlineLevel="0" collapsed="false">
      <c r="A33" s="20" t="s">
        <v>781</v>
      </c>
      <c r="B33" s="20" t="n">
        <v>2025</v>
      </c>
      <c r="C33" s="21" t="n">
        <v>-6</v>
      </c>
      <c r="D33" s="22" t="n">
        <v>-173.3</v>
      </c>
      <c r="E33" s="20" t="n">
        <f aca="false">IFERROR(INDEX('Catalog'!$A:$A,MATCH($A33,'Catalog'!$B:$B,0)),IFERROR(INDEX('Catalog'!$A:$A,MATCH(TRIM(SUBSTITUTE($A33,CHAR(160)," ")),'Catalog'!$C:$C,0)),""))</f>
        <v>4404000</v>
      </c>
      <c r="F33" s="20" t="str">
        <f aca="false">IF($E33="","Unmatched","Matched")</f>
        <v>Matched</v>
      </c>
    </row>
    <row r="34" customFormat="false" ht="15" hidden="false" customHeight="false" outlineLevel="0" collapsed="false">
      <c r="A34" s="20" t="s">
        <v>293</v>
      </c>
      <c r="B34" s="20" t="n">
        <v>2025</v>
      </c>
      <c r="C34" s="21" t="n">
        <v>-1</v>
      </c>
      <c r="D34" s="22" t="n">
        <v>-170.1</v>
      </c>
      <c r="E34" s="20" t="n">
        <f aca="false">IFERROR(INDEX('Catalog'!$A:$A,MATCH($A34,'Catalog'!$B:$B,0)),IFERROR(INDEX('Catalog'!$A:$A,MATCH(TRIM(SUBSTITUTE($A34,CHAR(160)," ")),'Catalog'!$C:$C,0)),""))</f>
        <v>4408003</v>
      </c>
      <c r="F34" s="20" t="str">
        <f aca="false">IF($E34="","Unmatched","Matched")</f>
        <v>Matched</v>
      </c>
    </row>
    <row r="35" customFormat="false" ht="15" hidden="false" customHeight="false" outlineLevel="0" collapsed="false">
      <c r="A35" s="20" t="s">
        <v>295</v>
      </c>
      <c r="B35" s="20" t="n">
        <v>2025</v>
      </c>
      <c r="C35" s="21" t="n">
        <v>1</v>
      </c>
      <c r="D35" s="22" t="n">
        <v>170.1</v>
      </c>
      <c r="E35" s="20" t="n">
        <f aca="false">IFERROR(INDEX('Catalog'!$A:$A,MATCH($A35,'Catalog'!$B:$B,0)),IFERROR(INDEX('Catalog'!$A:$A,MATCH(TRIM(SUBSTITUTE($A35,CHAR(160)," ")),'Catalog'!$C:$C,0)),""))</f>
        <v>4408004</v>
      </c>
      <c r="F35" s="20" t="str">
        <f aca="false">IF($E35="","Unmatched","Matched")</f>
        <v>Matched</v>
      </c>
    </row>
    <row r="36" customFormat="false" ht="15" hidden="false" customHeight="false" outlineLevel="0" collapsed="false">
      <c r="A36" s="20" t="s">
        <v>320</v>
      </c>
      <c r="B36" s="20" t="n">
        <v>2025</v>
      </c>
      <c r="C36" s="21" t="n">
        <v>3</v>
      </c>
      <c r="D36" s="22" t="n">
        <v>260.9</v>
      </c>
      <c r="E36" s="20" t="n">
        <f aca="false">IFERROR(INDEX('Catalog'!$A:$A,MATCH($A36,'Catalog'!$B:$B,0)),IFERROR(INDEX('Catalog'!$A:$A,MATCH(TRIM(SUBSTITUTE($A36,CHAR(160)," ")),'Catalog'!$C:$C,0)),""))</f>
        <v>4408009</v>
      </c>
      <c r="F36" s="20" t="str">
        <f aca="false">IF($E36="","Unmatched","Matched")</f>
        <v>Matched</v>
      </c>
    </row>
    <row r="37" customFormat="false" ht="15" hidden="false" customHeight="false" outlineLevel="0" collapsed="false">
      <c r="A37" s="20" t="s">
        <v>319</v>
      </c>
      <c r="B37" s="20" t="n">
        <v>2025</v>
      </c>
      <c r="C37" s="21" t="n">
        <v>2</v>
      </c>
      <c r="D37" s="22" t="n">
        <v>195.7</v>
      </c>
      <c r="E37" s="20" t="n">
        <f aca="false">IFERROR(INDEX('Catalog'!$A:$A,MATCH($A37,'Catalog'!$B:$B,0)),IFERROR(INDEX('Catalog'!$A:$A,MATCH(TRIM(SUBSTITUTE($A37,CHAR(160)," ")),'Catalog'!$C:$C,0)),""))</f>
        <v>4408010</v>
      </c>
      <c r="F37" s="20" t="str">
        <f aca="false">IF($E37="","Unmatched","Matched")</f>
        <v>Matched</v>
      </c>
    </row>
    <row r="38" customFormat="false" ht="15" hidden="false" customHeight="false" outlineLevel="0" collapsed="false">
      <c r="A38" s="20" t="s">
        <v>318</v>
      </c>
      <c r="B38" s="20" t="n">
        <v>2025</v>
      </c>
      <c r="C38" s="21" t="n">
        <v>3</v>
      </c>
      <c r="D38" s="22" t="n">
        <v>268.1</v>
      </c>
      <c r="E38" s="20" t="n">
        <f aca="false">IFERROR(INDEX('Catalog'!$A:$A,MATCH($A38,'Catalog'!$B:$B,0)),IFERROR(INDEX('Catalog'!$A:$A,MATCH(TRIM(SUBSTITUTE($A38,CHAR(160)," ")),'Catalog'!$C:$C,0)),""))</f>
        <v>4408011</v>
      </c>
      <c r="F38" s="20" t="str">
        <f aca="false">IF($E38="","Unmatched","Matched")</f>
        <v>Matched</v>
      </c>
    </row>
    <row r="39" customFormat="false" ht="15" hidden="false" customHeight="false" outlineLevel="0" collapsed="false">
      <c r="A39" s="20" t="s">
        <v>321</v>
      </c>
      <c r="B39" s="20" t="n">
        <v>2025</v>
      </c>
      <c r="C39" s="21" t="n">
        <v>7</v>
      </c>
      <c r="D39" s="22" t="n">
        <v>720.2</v>
      </c>
      <c r="E39" s="20" t="n">
        <f aca="false">IFERROR(INDEX('Catalog'!$A:$A,MATCH($A39,'Catalog'!$B:$B,0)),IFERROR(INDEX('Catalog'!$A:$A,MATCH(TRIM(SUBSTITUTE($A39,CHAR(160)," ")),'Catalog'!$C:$C,0)),""))</f>
        <v>4408012</v>
      </c>
      <c r="F39" s="20" t="str">
        <f aca="false">IF($E39="","Unmatched","Matched")</f>
        <v>Matched</v>
      </c>
    </row>
    <row r="40" customFormat="false" ht="15" hidden="false" customHeight="false" outlineLevel="0" collapsed="false">
      <c r="A40" s="20" t="s">
        <v>322</v>
      </c>
      <c r="B40" s="20" t="n">
        <v>2025</v>
      </c>
      <c r="C40" s="21" t="n">
        <v>5</v>
      </c>
      <c r="D40" s="22" t="n">
        <v>471</v>
      </c>
      <c r="E40" s="20" t="n">
        <f aca="false">IFERROR(INDEX('Catalog'!$A:$A,MATCH($A40,'Catalog'!$B:$B,0)),IFERROR(INDEX('Catalog'!$A:$A,MATCH(TRIM(SUBSTITUTE($A40,CHAR(160)," ")),'Catalog'!$C:$C,0)),""))</f>
        <v>4408013</v>
      </c>
      <c r="F40" s="20" t="str">
        <f aca="false">IF($E40="","Unmatched","Matched")</f>
        <v>Matched</v>
      </c>
    </row>
    <row r="41" customFormat="false" ht="15" hidden="false" customHeight="false" outlineLevel="0" collapsed="false">
      <c r="A41" s="20" t="s">
        <v>325</v>
      </c>
      <c r="B41" s="20" t="n">
        <v>2025</v>
      </c>
      <c r="C41" s="21" t="n">
        <v>1</v>
      </c>
      <c r="D41" s="22" t="n">
        <v>262.4</v>
      </c>
      <c r="E41" s="20" t="n">
        <f aca="false">IFERROR(INDEX('Catalog'!$A:$A,MATCH($A41,'Catalog'!$B:$B,0)),IFERROR(INDEX('Catalog'!$A:$A,MATCH(TRIM(SUBSTITUTE($A41,CHAR(160)," ")),'Catalog'!$C:$C,0)),""))</f>
        <v>4408014</v>
      </c>
      <c r="F41" s="20" t="str">
        <f aca="false">IF($E41="","Unmatched","Matched")</f>
        <v>Matched</v>
      </c>
    </row>
    <row r="42" customFormat="false" ht="15" hidden="false" customHeight="false" outlineLevel="0" collapsed="false">
      <c r="A42" s="20" t="s">
        <v>323</v>
      </c>
      <c r="B42" s="20" t="n">
        <v>2025</v>
      </c>
      <c r="C42" s="21" t="n">
        <v>4</v>
      </c>
      <c r="D42" s="22" t="n">
        <v>975.1</v>
      </c>
      <c r="E42" s="20" t="n">
        <f aca="false">IFERROR(INDEX('Catalog'!$A:$A,MATCH($A42,'Catalog'!$B:$B,0)),IFERROR(INDEX('Catalog'!$A:$A,MATCH(TRIM(SUBSTITUTE($A42,CHAR(160)," ")),'Catalog'!$C:$C,0)),""))</f>
        <v>4408015</v>
      </c>
      <c r="F42" s="20" t="str">
        <f aca="false">IF($E42="","Unmatched","Matched")</f>
        <v>Matched</v>
      </c>
    </row>
    <row r="43" customFormat="false" ht="15" hidden="false" customHeight="false" outlineLevel="0" collapsed="false">
      <c r="A43" s="20" t="s">
        <v>324</v>
      </c>
      <c r="B43" s="20" t="n">
        <v>2025</v>
      </c>
      <c r="C43" s="21" t="n">
        <v>0</v>
      </c>
      <c r="D43" s="22" t="n">
        <v>2.5</v>
      </c>
      <c r="E43" s="20" t="n">
        <f aca="false">IFERROR(INDEX('Catalog'!$A:$A,MATCH($A43,'Catalog'!$B:$B,0)),IFERROR(INDEX('Catalog'!$A:$A,MATCH(TRIM(SUBSTITUTE($A43,CHAR(160)," ")),'Catalog'!$C:$C,0)),""))</f>
        <v>4408016</v>
      </c>
      <c r="F43" s="20" t="str">
        <f aca="false">IF($E43="","Unmatched","Matched")</f>
        <v>Matched</v>
      </c>
    </row>
    <row r="44" customFormat="false" ht="15" hidden="false" customHeight="false" outlineLevel="0" collapsed="false">
      <c r="A44" s="20" t="s">
        <v>326</v>
      </c>
      <c r="B44" s="20" t="n">
        <v>2025</v>
      </c>
      <c r="C44" s="21" t="n">
        <v>4</v>
      </c>
      <c r="D44" s="22" t="n">
        <v>975.1</v>
      </c>
      <c r="E44" s="20" t="n">
        <f aca="false">IFERROR(INDEX('Catalog'!$A:$A,MATCH($A44,'Catalog'!$B:$B,0)),IFERROR(INDEX('Catalog'!$A:$A,MATCH(TRIM(SUBSTITUTE($A44,CHAR(160)," ")),'Catalog'!$C:$C,0)),""))</f>
        <v>4408017</v>
      </c>
      <c r="F44" s="20" t="str">
        <f aca="false">IF($E44="","Unmatched","Matched")</f>
        <v>Matched</v>
      </c>
    </row>
    <row r="45" customFormat="false" ht="15" hidden="false" customHeight="false" outlineLevel="0" collapsed="false">
      <c r="A45" s="20" t="s">
        <v>327</v>
      </c>
      <c r="B45" s="20" t="n">
        <v>2025</v>
      </c>
      <c r="C45" s="21" t="n">
        <v>0</v>
      </c>
      <c r="D45" s="22" t="n">
        <v>19.8</v>
      </c>
      <c r="E45" s="20" t="n">
        <f aca="false">IFERROR(INDEX('Catalog'!$A:$A,MATCH($A45,'Catalog'!$B:$B,0)),IFERROR(INDEX('Catalog'!$A:$A,MATCH(TRIM(SUBSTITUTE($A45,CHAR(160)," ")),'Catalog'!$C:$C,0)),""))</f>
        <v>4408018</v>
      </c>
      <c r="F45" s="20" t="str">
        <f aca="false">IF($E45="","Unmatched","Matched")</f>
        <v>Matched</v>
      </c>
    </row>
    <row r="46" customFormat="false" ht="15" hidden="false" customHeight="false" outlineLevel="0" collapsed="false">
      <c r="A46" s="20" t="s">
        <v>328</v>
      </c>
      <c r="B46" s="20" t="n">
        <v>2025</v>
      </c>
      <c r="C46" s="21" t="n">
        <v>1</v>
      </c>
      <c r="D46" s="22" t="n">
        <v>231.6</v>
      </c>
      <c r="E46" s="20" t="n">
        <f aca="false">IFERROR(INDEX('Catalog'!$A:$A,MATCH($A46,'Catalog'!$B:$B,0)),IFERROR(INDEX('Catalog'!$A:$A,MATCH(TRIM(SUBSTITUTE($A46,CHAR(160)," ")),'Catalog'!$C:$C,0)),""))</f>
        <v>4408024</v>
      </c>
      <c r="F46" s="20" t="str">
        <f aca="false">IF($E46="","Unmatched","Matched")</f>
        <v>Matched</v>
      </c>
    </row>
    <row r="47" customFormat="false" ht="15" hidden="false" customHeight="false" outlineLevel="0" collapsed="false">
      <c r="A47" s="20" t="s">
        <v>329</v>
      </c>
      <c r="B47" s="20" t="n">
        <v>2025</v>
      </c>
      <c r="C47" s="21" t="n">
        <v>12</v>
      </c>
      <c r="D47" s="22" t="n">
        <v>1742.7</v>
      </c>
      <c r="E47" s="20" t="n">
        <f aca="false">IFERROR(INDEX('Catalog'!$A:$A,MATCH($A47,'Catalog'!$B:$B,0)),IFERROR(INDEX('Catalog'!$A:$A,MATCH(TRIM(SUBSTITUTE($A47,CHAR(160)," ")),'Catalog'!$C:$C,0)),""))</f>
        <v>4408027</v>
      </c>
      <c r="F47" s="20" t="str">
        <f aca="false">IF($E47="","Unmatched","Matched")</f>
        <v>Matched</v>
      </c>
    </row>
    <row r="48" customFormat="false" ht="15" hidden="false" customHeight="false" outlineLevel="0" collapsed="false">
      <c r="A48" s="20" t="s">
        <v>330</v>
      </c>
      <c r="B48" s="20" t="n">
        <v>2025</v>
      </c>
      <c r="C48" s="21" t="n">
        <v>15</v>
      </c>
      <c r="D48" s="22" t="n">
        <v>2114.2</v>
      </c>
      <c r="E48" s="20" t="n">
        <f aca="false">IFERROR(INDEX('Catalog'!$A:$A,MATCH($A48,'Catalog'!$B:$B,0)),IFERROR(INDEX('Catalog'!$A:$A,MATCH(TRIM(SUBSTITUTE($A48,CHAR(160)," ")),'Catalog'!$C:$C,0)),""))</f>
        <v>4408028</v>
      </c>
      <c r="F48" s="20" t="str">
        <f aca="false">IF($E48="","Unmatched","Matched")</f>
        <v>Matched</v>
      </c>
    </row>
    <row r="49" customFormat="false" ht="15" hidden="false" customHeight="false" outlineLevel="0" collapsed="false">
      <c r="A49" s="20" t="s">
        <v>332</v>
      </c>
      <c r="B49" s="20" t="n">
        <v>2025</v>
      </c>
      <c r="C49" s="21" t="n">
        <v>16</v>
      </c>
      <c r="D49" s="22" t="n">
        <v>2378.6</v>
      </c>
      <c r="E49" s="20" t="n">
        <f aca="false">IFERROR(INDEX('Catalog'!$A:$A,MATCH($A49,'Catalog'!$B:$B,0)),IFERROR(INDEX('Catalog'!$A:$A,MATCH(TRIM(SUBSTITUTE($A49,CHAR(160)," ")),'Catalog'!$C:$C,0)),""))</f>
        <v>4408029</v>
      </c>
      <c r="F49" s="20" t="str">
        <f aca="false">IF($E49="","Unmatched","Matched")</f>
        <v>Matched</v>
      </c>
    </row>
    <row r="50" customFormat="false" ht="15" hidden="false" customHeight="false" outlineLevel="0" collapsed="false">
      <c r="A50" s="20" t="s">
        <v>333</v>
      </c>
      <c r="B50" s="20" t="n">
        <v>2025</v>
      </c>
      <c r="C50" s="21" t="n">
        <v>1</v>
      </c>
      <c r="D50" s="22" t="n">
        <v>145.2</v>
      </c>
      <c r="E50" s="20" t="n">
        <f aca="false">IFERROR(INDEX('Catalog'!$A:$A,MATCH($A50,'Catalog'!$B:$B,0)),IFERROR(INDEX('Catalog'!$A:$A,MATCH(TRIM(SUBSTITUTE($A50,CHAR(160)," ")),'Catalog'!$C:$C,0)),""))</f>
        <v>4408030</v>
      </c>
      <c r="F50" s="20" t="str">
        <f aca="false">IF($E50="","Unmatched","Matched")</f>
        <v>Matched</v>
      </c>
    </row>
    <row r="51" customFormat="false" ht="15" hidden="false" customHeight="false" outlineLevel="0" collapsed="false">
      <c r="A51" s="20" t="s">
        <v>336</v>
      </c>
      <c r="B51" s="20" t="n">
        <v>2025</v>
      </c>
      <c r="C51" s="21" t="n">
        <v>5</v>
      </c>
      <c r="D51" s="22" t="n">
        <v>495.9</v>
      </c>
      <c r="E51" s="20" t="n">
        <f aca="false">IFERROR(INDEX('Catalog'!$A:$A,MATCH($A51,'Catalog'!$B:$B,0)),IFERROR(INDEX('Catalog'!$A:$A,MATCH(TRIM(SUBSTITUTE($A51,CHAR(160)," ")),'Catalog'!$C:$C,0)),""))</f>
        <v>4408031</v>
      </c>
      <c r="F51" s="20" t="str">
        <f aca="false">IF($E51="","Unmatched","Matched")</f>
        <v>Matched</v>
      </c>
    </row>
    <row r="52" customFormat="false" ht="15" hidden="false" customHeight="false" outlineLevel="0" collapsed="false">
      <c r="A52" s="20" t="s">
        <v>334</v>
      </c>
      <c r="B52" s="20" t="n">
        <v>2025</v>
      </c>
      <c r="C52" s="21" t="n">
        <v>45</v>
      </c>
      <c r="D52" s="22" t="n">
        <v>4620.2</v>
      </c>
      <c r="E52" s="20" t="n">
        <f aca="false">IFERROR(INDEX('Catalog'!$A:$A,MATCH($A52,'Catalog'!$B:$B,0)),IFERROR(INDEX('Catalog'!$A:$A,MATCH(TRIM(SUBSTITUTE($A52,CHAR(160)," ")),'Catalog'!$C:$C,0)),""))</f>
        <v>4408032</v>
      </c>
      <c r="F52" s="20" t="str">
        <f aca="false">IF($E52="","Unmatched","Matched")</f>
        <v>Matched</v>
      </c>
    </row>
    <row r="53" customFormat="false" ht="15" hidden="false" customHeight="false" outlineLevel="0" collapsed="false">
      <c r="A53" s="20" t="s">
        <v>335</v>
      </c>
      <c r="B53" s="20" t="n">
        <v>2025</v>
      </c>
      <c r="C53" s="21" t="n">
        <v>43</v>
      </c>
      <c r="D53" s="22" t="n">
        <v>4517.5</v>
      </c>
      <c r="E53" s="20" t="n">
        <f aca="false">IFERROR(INDEX('Catalog'!$A:$A,MATCH($A53,'Catalog'!$B:$B,0)),IFERROR(INDEX('Catalog'!$A:$A,MATCH(TRIM(SUBSTITUTE($A53,CHAR(160)," ")),'Catalog'!$C:$C,0)),""))</f>
        <v>4408033</v>
      </c>
      <c r="F53" s="20" t="str">
        <f aca="false">IF($E53="","Unmatched","Matched")</f>
        <v>Matched</v>
      </c>
    </row>
    <row r="54" customFormat="false" ht="15" hidden="false" customHeight="false" outlineLevel="0" collapsed="false">
      <c r="A54" s="20" t="s">
        <v>337</v>
      </c>
      <c r="B54" s="20" t="n">
        <v>2025</v>
      </c>
      <c r="C54" s="21" t="n">
        <v>45</v>
      </c>
      <c r="D54" s="22" t="n">
        <v>4656.5</v>
      </c>
      <c r="E54" s="20" t="n">
        <f aca="false">IFERROR(INDEX('Catalog'!$A:$A,MATCH($A54,'Catalog'!$B:$B,0)),IFERROR(INDEX('Catalog'!$A:$A,MATCH(TRIM(SUBSTITUTE($A54,CHAR(160)," ")),'Catalog'!$C:$C,0)),""))</f>
        <v>4408034</v>
      </c>
      <c r="F54" s="20" t="str">
        <f aca="false">IF($E54="","Unmatched","Matched")</f>
        <v>Matched</v>
      </c>
    </row>
    <row r="55" customFormat="false" ht="15" hidden="false" customHeight="false" outlineLevel="0" collapsed="false">
      <c r="A55" s="20" t="s">
        <v>339</v>
      </c>
      <c r="B55" s="20" t="n">
        <v>2025</v>
      </c>
      <c r="C55" s="21" t="n">
        <v>29</v>
      </c>
      <c r="D55" s="22" t="n">
        <v>3013.9</v>
      </c>
      <c r="E55" s="20" t="n">
        <f aca="false">IFERROR(INDEX('Catalog'!$A:$A,MATCH($A55,'Catalog'!$B:$B,0)),IFERROR(INDEX('Catalog'!$A:$A,MATCH(TRIM(SUBSTITUTE($A55,CHAR(160)," ")),'Catalog'!$C:$C,0)),""))</f>
        <v>4408035</v>
      </c>
      <c r="F55" s="20" t="str">
        <f aca="false">IF($E55="","Unmatched","Matched")</f>
        <v>Matched</v>
      </c>
    </row>
    <row r="56" customFormat="false" ht="15" hidden="false" customHeight="false" outlineLevel="0" collapsed="false">
      <c r="A56" s="20" t="s">
        <v>387</v>
      </c>
      <c r="B56" s="20" t="n">
        <v>2025</v>
      </c>
      <c r="C56" s="21" t="n">
        <v>-1</v>
      </c>
      <c r="D56" s="22" t="n">
        <v>-307.2</v>
      </c>
      <c r="E56" s="20" t="n">
        <f aca="false">IFERROR(INDEX('Catalog'!$A:$A,MATCH($A56,'Catalog'!$B:$B,0)),IFERROR(INDEX('Catalog'!$A:$A,MATCH(TRIM(SUBSTITUTE($A56,CHAR(160)," ")),'Catalog'!$C:$C,0)),""))</f>
        <v>4408042</v>
      </c>
      <c r="F56" s="20" t="str">
        <f aca="false">IF($E56="","Unmatched","Matched")</f>
        <v>Matched</v>
      </c>
    </row>
    <row r="57" customFormat="false" ht="15" hidden="false" customHeight="false" outlineLevel="0" collapsed="false">
      <c r="A57" s="20" t="s">
        <v>656</v>
      </c>
      <c r="B57" s="20" t="n">
        <v>2025</v>
      </c>
      <c r="C57" s="21" t="n">
        <v>169</v>
      </c>
      <c r="D57" s="22" t="n">
        <v>5535</v>
      </c>
      <c r="E57" s="20" t="n">
        <f aca="false">IFERROR(INDEX('Catalog'!$A:$A,MATCH($A57,'Catalog'!$B:$B,0)),IFERROR(INDEX('Catalog'!$A:$A,MATCH(TRIM(SUBSTITUTE($A57,CHAR(160)," ")),'Catalog'!$C:$C,0)),""))</f>
        <v>4408046</v>
      </c>
      <c r="F57" s="20" t="str">
        <f aca="false">IF($E57="","Unmatched","Matched")</f>
        <v>Matched</v>
      </c>
    </row>
    <row r="58" customFormat="false" ht="15" hidden="false" customHeight="false" outlineLevel="0" collapsed="false">
      <c r="A58" s="20" t="s">
        <v>657</v>
      </c>
      <c r="B58" s="20" t="n">
        <v>2025</v>
      </c>
      <c r="C58" s="21" t="n">
        <v>194</v>
      </c>
      <c r="D58" s="22" t="n">
        <v>6304</v>
      </c>
      <c r="E58" s="20" t="n">
        <f aca="false">IFERROR(INDEX('Catalog'!$A:$A,MATCH($A58,'Catalog'!$B:$B,0)),IFERROR(INDEX('Catalog'!$A:$A,MATCH(TRIM(SUBSTITUTE($A58,CHAR(160)," ")),'Catalog'!$C:$C,0)),""))</f>
        <v>4408047</v>
      </c>
      <c r="F58" s="20" t="str">
        <f aca="false">IF($E58="","Unmatched","Matched")</f>
        <v>Matched</v>
      </c>
    </row>
    <row r="59" customFormat="false" ht="15" hidden="false" customHeight="false" outlineLevel="0" collapsed="false">
      <c r="A59" s="20" t="s">
        <v>658</v>
      </c>
      <c r="B59" s="20" t="n">
        <v>2025</v>
      </c>
      <c r="C59" s="21" t="n">
        <v>129</v>
      </c>
      <c r="D59" s="22" t="n">
        <v>4216.3</v>
      </c>
      <c r="E59" s="20" t="n">
        <f aca="false">IFERROR(INDEX('Catalog'!$A:$A,MATCH($A59,'Catalog'!$B:$B,0)),IFERROR(INDEX('Catalog'!$A:$A,MATCH(TRIM(SUBSTITUTE($A59,CHAR(160)," ")),'Catalog'!$C:$C,0)),""))</f>
        <v>4408048</v>
      </c>
      <c r="F59" s="20" t="str">
        <f aca="false">IF($E59="","Unmatched","Matched")</f>
        <v>Matched</v>
      </c>
    </row>
    <row r="60" customFormat="false" ht="15" hidden="false" customHeight="false" outlineLevel="0" collapsed="false">
      <c r="A60" s="20" t="s">
        <v>659</v>
      </c>
      <c r="B60" s="20" t="n">
        <v>2025</v>
      </c>
      <c r="C60" s="21" t="n">
        <v>80</v>
      </c>
      <c r="D60" s="22" t="n">
        <v>2603.8</v>
      </c>
      <c r="E60" s="20" t="n">
        <f aca="false">IFERROR(INDEX('Catalog'!$A:$A,MATCH($A60,'Catalog'!$B:$B,0)),IFERROR(INDEX('Catalog'!$A:$A,MATCH(TRIM(SUBSTITUTE($A60,CHAR(160)," ")),'Catalog'!$C:$C,0)),""))</f>
        <v>4408049</v>
      </c>
      <c r="F60" s="20" t="str">
        <f aca="false">IF($E60="","Unmatched","Matched")</f>
        <v>Matched</v>
      </c>
    </row>
    <row r="61" customFormat="false" ht="15" hidden="false" customHeight="false" outlineLevel="0" collapsed="false">
      <c r="A61" s="20" t="s">
        <v>660</v>
      </c>
      <c r="B61" s="20" t="n">
        <v>2025</v>
      </c>
      <c r="C61" s="21" t="n">
        <v>4</v>
      </c>
      <c r="D61" s="22" t="n">
        <v>130.7</v>
      </c>
      <c r="E61" s="20" t="n">
        <f aca="false">IFERROR(INDEX('Catalog'!$A:$A,MATCH($A61,'Catalog'!$B:$B,0)),IFERROR(INDEX('Catalog'!$A:$A,MATCH(TRIM(SUBSTITUTE($A61,CHAR(160)," ")),'Catalog'!$C:$C,0)),""))</f>
        <v>4408050</v>
      </c>
      <c r="F61" s="20" t="str">
        <f aca="false">IF($E61="","Unmatched","Matched")</f>
        <v>Matched</v>
      </c>
    </row>
    <row r="62" customFormat="false" ht="15" hidden="false" customHeight="false" outlineLevel="0" collapsed="false">
      <c r="A62" s="20" t="s">
        <v>664</v>
      </c>
      <c r="B62" s="20" t="n">
        <v>2025</v>
      </c>
      <c r="C62" s="21" t="n">
        <v>346</v>
      </c>
      <c r="D62" s="22" t="n">
        <v>13452.1</v>
      </c>
      <c r="E62" s="20" t="n">
        <f aca="false">IFERROR(INDEX('Catalog'!$A:$A,MATCH($A62,'Catalog'!$B:$B,0)),IFERROR(INDEX('Catalog'!$A:$A,MATCH(TRIM(SUBSTITUTE($A62,CHAR(160)," ")),'Catalog'!$C:$C,0)),""))</f>
        <v>4408051</v>
      </c>
      <c r="F62" s="20" t="str">
        <f aca="false">IF($E62="","Unmatched","Matched")</f>
        <v>Matched</v>
      </c>
    </row>
    <row r="63" customFormat="false" ht="15" hidden="false" customHeight="false" outlineLevel="0" collapsed="false">
      <c r="A63" s="20" t="s">
        <v>662</v>
      </c>
      <c r="B63" s="20" t="n">
        <v>2025</v>
      </c>
      <c r="C63" s="21" t="n">
        <v>613</v>
      </c>
      <c r="D63" s="22" t="n">
        <v>23671.9</v>
      </c>
      <c r="E63" s="20" t="n">
        <f aca="false">IFERROR(INDEX('Catalog'!$A:$A,MATCH($A63,'Catalog'!$B:$B,0)),IFERROR(INDEX('Catalog'!$A:$A,MATCH(TRIM(SUBSTITUTE($A63,CHAR(160)," ")),'Catalog'!$C:$C,0)),""))</f>
        <v>4408052</v>
      </c>
      <c r="F63" s="20" t="str">
        <f aca="false">IF($E63="","Unmatched","Matched")</f>
        <v>Matched</v>
      </c>
    </row>
    <row r="64" customFormat="false" ht="15" hidden="false" customHeight="false" outlineLevel="0" collapsed="false">
      <c r="A64" s="20" t="s">
        <v>663</v>
      </c>
      <c r="B64" s="20" t="n">
        <v>2025</v>
      </c>
      <c r="C64" s="21" t="n">
        <v>665</v>
      </c>
      <c r="D64" s="22" t="n">
        <v>25850.9</v>
      </c>
      <c r="E64" s="20" t="n">
        <f aca="false">IFERROR(INDEX('Catalog'!$A:$A,MATCH($A64,'Catalog'!$B:$B,0)),IFERROR(INDEX('Catalog'!$A:$A,MATCH(TRIM(SUBSTITUTE($A64,CHAR(160)," ")),'Catalog'!$C:$C,0)),""))</f>
        <v>4408053</v>
      </c>
      <c r="F64" s="20" t="str">
        <f aca="false">IF($E64="","Unmatched","Matched")</f>
        <v>Matched</v>
      </c>
    </row>
    <row r="65" customFormat="false" ht="15" hidden="false" customHeight="false" outlineLevel="0" collapsed="false">
      <c r="A65" s="20" t="s">
        <v>665</v>
      </c>
      <c r="B65" s="20" t="n">
        <v>2025</v>
      </c>
      <c r="C65" s="21" t="n">
        <v>245</v>
      </c>
      <c r="D65" s="22" t="n">
        <v>9483.1</v>
      </c>
      <c r="E65" s="20" t="n">
        <f aca="false">IFERROR(INDEX('Catalog'!$A:$A,MATCH($A65,'Catalog'!$B:$B,0)),IFERROR(INDEX('Catalog'!$A:$A,MATCH(TRIM(SUBSTITUTE($A65,CHAR(160)," ")),'Catalog'!$C:$C,0)),""))</f>
        <v>4408054</v>
      </c>
      <c r="F65" s="20" t="str">
        <f aca="false">IF($E65="","Unmatched","Matched")</f>
        <v>Matched</v>
      </c>
    </row>
    <row r="66" customFormat="false" ht="15" hidden="false" customHeight="false" outlineLevel="0" collapsed="false">
      <c r="A66" s="20" t="s">
        <v>686</v>
      </c>
      <c r="B66" s="20" t="n">
        <v>2025</v>
      </c>
      <c r="C66" s="21" t="n">
        <v>2</v>
      </c>
      <c r="D66" s="22" t="n">
        <v>132.6</v>
      </c>
      <c r="E66" s="20" t="n">
        <f aca="false">IFERROR(INDEX('Catalog'!$A:$A,MATCH($A66,'Catalog'!$B:$B,0)),IFERROR(INDEX('Catalog'!$A:$A,MATCH(TRIM(SUBSTITUTE($A66,CHAR(160)," ")),'Catalog'!$C:$C,0)),""))</f>
        <v>4408059</v>
      </c>
      <c r="F66" s="20" t="str">
        <f aca="false">IF($E66="","Unmatched","Matched")</f>
        <v>Matched</v>
      </c>
    </row>
    <row r="67" customFormat="false" ht="15" hidden="false" customHeight="false" outlineLevel="0" collapsed="false">
      <c r="A67" s="20" t="s">
        <v>687</v>
      </c>
      <c r="B67" s="20" t="n">
        <v>2025</v>
      </c>
      <c r="C67" s="21" t="n">
        <v>-1</v>
      </c>
      <c r="D67" s="22" t="n">
        <v>-50.9</v>
      </c>
      <c r="E67" s="20" t="n">
        <f aca="false">IFERROR(INDEX('Catalog'!$A:$A,MATCH($A67,'Catalog'!$B:$B,0)),IFERROR(INDEX('Catalog'!$A:$A,MATCH(TRIM(SUBSTITUTE($A67,CHAR(160)," ")),'Catalog'!$C:$C,0)),""))</f>
        <v>4408060</v>
      </c>
      <c r="F67" s="20" t="str">
        <f aca="false">IF($E67="","Unmatched","Matched")</f>
        <v>Matched</v>
      </c>
    </row>
    <row r="68" customFormat="false" ht="15" hidden="false" customHeight="false" outlineLevel="0" collapsed="false">
      <c r="A68" s="20" t="s">
        <v>688</v>
      </c>
      <c r="B68" s="20" t="n">
        <v>2025</v>
      </c>
      <c r="C68" s="21" t="n">
        <v>0</v>
      </c>
      <c r="D68" s="22" t="n">
        <v>7.8</v>
      </c>
      <c r="E68" s="20" t="n">
        <f aca="false">IFERROR(INDEX('Catalog'!$A:$A,MATCH($A68,'Catalog'!$B:$B,0)),IFERROR(INDEX('Catalog'!$A:$A,MATCH(TRIM(SUBSTITUTE($A68,CHAR(160)," ")),'Catalog'!$C:$C,0)),""))</f>
        <v>4408061</v>
      </c>
      <c r="F68" s="20" t="str">
        <f aca="false">IF($E68="","Unmatched","Matched")</f>
        <v>Matched</v>
      </c>
    </row>
    <row r="69" customFormat="false" ht="15" hidden="false" customHeight="false" outlineLevel="0" collapsed="false">
      <c r="A69" s="20" t="s">
        <v>689</v>
      </c>
      <c r="B69" s="20" t="n">
        <v>2025</v>
      </c>
      <c r="C69" s="21" t="n">
        <v>2</v>
      </c>
      <c r="D69" s="22" t="n">
        <v>132.3</v>
      </c>
      <c r="E69" s="20" t="n">
        <f aca="false">IFERROR(INDEX('Catalog'!$A:$A,MATCH($A69,'Catalog'!$B:$B,0)),IFERROR(INDEX('Catalog'!$A:$A,MATCH(TRIM(SUBSTITUTE($A69,CHAR(160)," ")),'Catalog'!$C:$C,0)),""))</f>
        <v>4408062</v>
      </c>
      <c r="F69" s="20" t="str">
        <f aca="false">IF($E69="","Unmatched","Matched")</f>
        <v>Matched</v>
      </c>
    </row>
    <row r="70" customFormat="false" ht="15" hidden="false" customHeight="false" outlineLevel="0" collapsed="false">
      <c r="A70" s="20" t="s">
        <v>530</v>
      </c>
      <c r="B70" s="20" t="n">
        <v>2025</v>
      </c>
      <c r="C70" s="21" t="n">
        <v>2</v>
      </c>
      <c r="D70" s="22" t="n">
        <v>628</v>
      </c>
      <c r="E70" s="20" t="n">
        <f aca="false">IFERROR(INDEX('Catalog'!$A:$A,MATCH($A70,'Catalog'!$B:$B,0)),IFERROR(INDEX('Catalog'!$A:$A,MATCH(TRIM(SUBSTITUTE($A70,CHAR(160)," ")),'Catalog'!$C:$C,0)),""))</f>
        <v>4408071</v>
      </c>
      <c r="F70" s="20" t="str">
        <f aca="false">IF($E70="","Unmatched","Matched")</f>
        <v>Matched</v>
      </c>
    </row>
    <row r="71" customFormat="false" ht="15" hidden="false" customHeight="false" outlineLevel="0" collapsed="false">
      <c r="A71" s="20" t="s">
        <v>531</v>
      </c>
      <c r="B71" s="20" t="n">
        <v>2025</v>
      </c>
      <c r="C71" s="21" t="n">
        <v>2</v>
      </c>
      <c r="D71" s="22" t="n">
        <v>628</v>
      </c>
      <c r="E71" s="20" t="n">
        <f aca="false">IFERROR(INDEX('Catalog'!$A:$A,MATCH($A71,'Catalog'!$B:$B,0)),IFERROR(INDEX('Catalog'!$A:$A,MATCH(TRIM(SUBSTITUTE($A71,CHAR(160)," ")),'Catalog'!$C:$C,0)),""))</f>
        <v>4408072</v>
      </c>
      <c r="F71" s="20" t="str">
        <f aca="false">IF($E71="","Unmatched","Matched")</f>
        <v>Matched</v>
      </c>
    </row>
    <row r="72" customFormat="false" ht="15" hidden="false" customHeight="false" outlineLevel="0" collapsed="false">
      <c r="A72" s="20" t="s">
        <v>533</v>
      </c>
      <c r="B72" s="20" t="n">
        <v>2025</v>
      </c>
      <c r="C72" s="21" t="n">
        <v>2</v>
      </c>
      <c r="D72" s="22" t="n">
        <v>628</v>
      </c>
      <c r="E72" s="20" t="n">
        <f aca="false">IFERROR(INDEX('Catalog'!$A:$A,MATCH($A72,'Catalog'!$B:$B,0)),IFERROR(INDEX('Catalog'!$A:$A,MATCH(TRIM(SUBSTITUTE($A72,CHAR(160)," ")),'Catalog'!$C:$C,0)),""))</f>
        <v>4408073</v>
      </c>
      <c r="F72" s="20" t="str">
        <f aca="false">IF($E72="","Unmatched","Matched")</f>
        <v>Matched</v>
      </c>
    </row>
    <row r="73" customFormat="false" ht="15" hidden="false" customHeight="false" outlineLevel="0" collapsed="false">
      <c r="A73" s="20" t="s">
        <v>535</v>
      </c>
      <c r="B73" s="20" t="n">
        <v>2025</v>
      </c>
      <c r="C73" s="21" t="n">
        <v>4</v>
      </c>
      <c r="D73" s="22" t="n">
        <v>743.5</v>
      </c>
      <c r="E73" s="20" t="n">
        <f aca="false">IFERROR(INDEX('Catalog'!$A:$A,MATCH($A73,'Catalog'!$B:$B,0)),IFERROR(INDEX('Catalog'!$A:$A,MATCH(TRIM(SUBSTITUTE($A73,CHAR(160)," ")),'Catalog'!$C:$C,0)),""))</f>
        <v>4408076</v>
      </c>
      <c r="F73" s="20" t="str">
        <f aca="false">IF($E73="","Unmatched","Matched")</f>
        <v>Matched</v>
      </c>
    </row>
    <row r="74" customFormat="false" ht="15" hidden="false" customHeight="false" outlineLevel="0" collapsed="false">
      <c r="A74" s="20" t="s">
        <v>536</v>
      </c>
      <c r="B74" s="20" t="n">
        <v>2025</v>
      </c>
      <c r="C74" s="21" t="n">
        <v>2</v>
      </c>
      <c r="D74" s="22" t="n">
        <v>346.8</v>
      </c>
      <c r="E74" s="20" t="n">
        <f aca="false">IFERROR(INDEX('Catalog'!$A:$A,MATCH($A74,'Catalog'!$B:$B,0)),IFERROR(INDEX('Catalog'!$A:$A,MATCH(TRIM(SUBSTITUTE($A74,CHAR(160)," ")),'Catalog'!$C:$C,0)),""))</f>
        <v>4408077</v>
      </c>
      <c r="F74" s="20" t="str">
        <f aca="false">IF($E74="","Unmatched","Matched")</f>
        <v>Matched</v>
      </c>
    </row>
    <row r="75" customFormat="false" ht="15" hidden="false" customHeight="false" outlineLevel="0" collapsed="false">
      <c r="A75" s="20" t="s">
        <v>541</v>
      </c>
      <c r="B75" s="20" t="n">
        <v>2025</v>
      </c>
      <c r="C75" s="21" t="n">
        <v>3</v>
      </c>
      <c r="D75" s="22" t="n">
        <v>549.8</v>
      </c>
      <c r="E75" s="20" t="n">
        <f aca="false">IFERROR(INDEX('Catalog'!$A:$A,MATCH($A75,'Catalog'!$B:$B,0)),IFERROR(INDEX('Catalog'!$A:$A,MATCH(TRIM(SUBSTITUTE($A75,CHAR(160)," ")),'Catalog'!$C:$C,0)),""))</f>
        <v>4408079</v>
      </c>
      <c r="F75" s="20" t="str">
        <f aca="false">IF($E75="","Unmatched","Matched")</f>
        <v>Matched</v>
      </c>
    </row>
    <row r="76" customFormat="false" ht="15" hidden="false" customHeight="false" outlineLevel="0" collapsed="false">
      <c r="A76" s="20" t="s">
        <v>539</v>
      </c>
      <c r="B76" s="20" t="n">
        <v>2025</v>
      </c>
      <c r="C76" s="21" t="n">
        <v>6</v>
      </c>
      <c r="D76" s="22" t="n">
        <v>1087.2</v>
      </c>
      <c r="E76" s="20" t="n">
        <f aca="false">IFERROR(INDEX('Catalog'!$A:$A,MATCH($A76,'Catalog'!$B:$B,0)),IFERROR(INDEX('Catalog'!$A:$A,MATCH(TRIM(SUBSTITUTE($A76,CHAR(160)," ")),'Catalog'!$C:$C,0)),""))</f>
        <v>4408080</v>
      </c>
      <c r="F76" s="20" t="str">
        <f aca="false">IF($E76="","Unmatched","Matched")</f>
        <v>Matched</v>
      </c>
    </row>
    <row r="77" customFormat="false" ht="15" hidden="false" customHeight="false" outlineLevel="0" collapsed="false">
      <c r="A77" s="20" t="s">
        <v>540</v>
      </c>
      <c r="B77" s="20" t="n">
        <v>2025</v>
      </c>
      <c r="C77" s="21" t="n">
        <v>7</v>
      </c>
      <c r="D77" s="22" t="n">
        <v>1274.6</v>
      </c>
      <c r="E77" s="20" t="n">
        <f aca="false">IFERROR(INDEX('Catalog'!$A:$A,MATCH($A77,'Catalog'!$B:$B,0)),IFERROR(INDEX('Catalog'!$A:$A,MATCH(TRIM(SUBSTITUTE($A77,CHAR(160)," ")),'Catalog'!$C:$C,0)),""))</f>
        <v>4408081</v>
      </c>
      <c r="F77" s="20" t="str">
        <f aca="false">IF($E77="","Unmatched","Matched")</f>
        <v>Matched</v>
      </c>
    </row>
    <row r="78" customFormat="false" ht="15" hidden="false" customHeight="false" outlineLevel="0" collapsed="false">
      <c r="A78" s="20" t="s">
        <v>542</v>
      </c>
      <c r="B78" s="20" t="n">
        <v>2025</v>
      </c>
      <c r="C78" s="21" t="n">
        <v>4</v>
      </c>
      <c r="D78" s="22" t="n">
        <v>718.9</v>
      </c>
      <c r="E78" s="20" t="n">
        <f aca="false">IFERROR(INDEX('Catalog'!$A:$A,MATCH($A78,'Catalog'!$B:$B,0)),IFERROR(INDEX('Catalog'!$A:$A,MATCH(TRIM(SUBSTITUTE($A78,CHAR(160)," ")),'Catalog'!$C:$C,0)),""))</f>
        <v>4408082</v>
      </c>
      <c r="F78" s="20" t="str">
        <f aca="false">IF($E78="","Unmatched","Matched")</f>
        <v>Matched</v>
      </c>
    </row>
    <row r="79" customFormat="false" ht="15" hidden="false" customHeight="false" outlineLevel="0" collapsed="false">
      <c r="A79" s="20" t="s">
        <v>550</v>
      </c>
      <c r="B79" s="20" t="n">
        <v>2025</v>
      </c>
      <c r="C79" s="21" t="n">
        <v>1</v>
      </c>
      <c r="D79" s="22" t="n">
        <v>141.8</v>
      </c>
      <c r="E79" s="20" t="n">
        <f aca="false">IFERROR(INDEX('Catalog'!$A:$A,MATCH($A79,'Catalog'!$B:$B,0)),IFERROR(INDEX('Catalog'!$A:$A,MATCH(TRIM(SUBSTITUTE($A79,CHAR(160)," ")),'Catalog'!$C:$C,0)),""))</f>
        <v>4408084</v>
      </c>
      <c r="F79" s="20" t="str">
        <f aca="false">IF($E79="","Unmatched","Matched")</f>
        <v>Matched</v>
      </c>
    </row>
    <row r="80" customFormat="false" ht="15" hidden="false" customHeight="false" outlineLevel="0" collapsed="false">
      <c r="A80" s="20" t="s">
        <v>551</v>
      </c>
      <c r="B80" s="20" t="n">
        <v>2025</v>
      </c>
      <c r="C80" s="21" t="n">
        <v>1</v>
      </c>
      <c r="D80" s="22" t="n">
        <v>142</v>
      </c>
      <c r="E80" s="20" t="n">
        <f aca="false">IFERROR(INDEX('Catalog'!$A:$A,MATCH($A80,'Catalog'!$B:$B,0)),IFERROR(INDEX('Catalog'!$A:$A,MATCH(TRIM(SUBSTITUTE($A80,CHAR(160)," ")),'Catalog'!$C:$C,0)),""))</f>
        <v>4408085</v>
      </c>
      <c r="F80" s="20" t="str">
        <f aca="false">IF($E80="","Unmatched","Matched")</f>
        <v>Matched</v>
      </c>
    </row>
    <row r="81" customFormat="false" ht="15" hidden="false" customHeight="false" outlineLevel="0" collapsed="false">
      <c r="A81" s="20" t="s">
        <v>547</v>
      </c>
      <c r="B81" s="20" t="n">
        <v>2025</v>
      </c>
      <c r="C81" s="21" t="n">
        <v>25</v>
      </c>
      <c r="D81" s="22" t="n">
        <v>1952.8</v>
      </c>
      <c r="E81" s="20" t="n">
        <f aca="false">IFERROR(INDEX('Catalog'!$A:$A,MATCH($A81,'Catalog'!$B:$B,0)),IFERROR(INDEX('Catalog'!$A:$A,MATCH(TRIM(SUBSTITUTE($A81,CHAR(160)," ")),'Catalog'!$C:$C,0)),""))</f>
        <v>4408088</v>
      </c>
      <c r="F81" s="20" t="str">
        <f aca="false">IF($E81="","Unmatched","Matched")</f>
        <v>Matched</v>
      </c>
    </row>
    <row r="82" customFormat="false" ht="15" hidden="false" customHeight="false" outlineLevel="0" collapsed="false">
      <c r="A82" s="20" t="s">
        <v>412</v>
      </c>
      <c r="B82" s="20" t="n">
        <v>2025</v>
      </c>
      <c r="C82" s="21" t="n">
        <v>8</v>
      </c>
      <c r="D82" s="22" t="n">
        <v>740.1</v>
      </c>
      <c r="E82" s="20" t="n">
        <f aca="false">IFERROR(INDEX('Catalog'!$A:$A,MATCH($A82,'Catalog'!$B:$B,0)),IFERROR(INDEX('Catalog'!$A:$A,MATCH(TRIM(SUBSTITUTE($A82,CHAR(160)," ")),'Catalog'!$C:$C,0)),""))</f>
        <v>4408090</v>
      </c>
      <c r="F82" s="20" t="str">
        <f aca="false">IF($E82="","Unmatched","Matched")</f>
        <v>Matched</v>
      </c>
    </row>
    <row r="83" customFormat="false" ht="15" hidden="false" customHeight="false" outlineLevel="0" collapsed="false">
      <c r="A83" s="20" t="s">
        <v>413</v>
      </c>
      <c r="B83" s="20" t="n">
        <v>2025</v>
      </c>
      <c r="C83" s="21" t="n">
        <v>0</v>
      </c>
      <c r="D83" s="22" t="n">
        <v>0.1</v>
      </c>
      <c r="E83" s="20" t="n">
        <f aca="false">IFERROR(INDEX('Catalog'!$A:$A,MATCH($A83,'Catalog'!$B:$B,0)),IFERROR(INDEX('Catalog'!$A:$A,MATCH(TRIM(SUBSTITUTE($A83,CHAR(160)," ")),'Catalog'!$C:$C,0)),""))</f>
        <v>4408091</v>
      </c>
      <c r="F83" s="20" t="str">
        <f aca="false">IF($E83="","Unmatched","Matched")</f>
        <v>Matched</v>
      </c>
    </row>
    <row r="84" customFormat="false" ht="15" hidden="false" customHeight="false" outlineLevel="0" collapsed="false">
      <c r="A84" s="20" t="s">
        <v>415</v>
      </c>
      <c r="B84" s="20" t="n">
        <v>2025</v>
      </c>
      <c r="C84" s="21" t="n">
        <v>10</v>
      </c>
      <c r="D84" s="22" t="n">
        <v>925.7</v>
      </c>
      <c r="E84" s="20" t="n">
        <f aca="false">IFERROR(INDEX('Catalog'!$A:$A,MATCH($A84,'Catalog'!$B:$B,0)),IFERROR(INDEX('Catalog'!$A:$A,MATCH(TRIM(SUBSTITUTE($A84,CHAR(160)," ")),'Catalog'!$C:$C,0)),""))</f>
        <v>4408092</v>
      </c>
      <c r="F84" s="20" t="str">
        <f aca="false">IF($E84="","Unmatched","Matched")</f>
        <v>Matched</v>
      </c>
    </row>
    <row r="85" customFormat="false" ht="15" hidden="false" customHeight="false" outlineLevel="0" collapsed="false">
      <c r="A85" s="20" t="s">
        <v>416</v>
      </c>
      <c r="B85" s="20" t="n">
        <v>2025</v>
      </c>
      <c r="C85" s="21" t="n">
        <v>8</v>
      </c>
      <c r="D85" s="22" t="n">
        <v>752.9</v>
      </c>
      <c r="E85" s="20" t="n">
        <f aca="false">IFERROR(INDEX('Catalog'!$A:$A,MATCH($A85,'Catalog'!$B:$B,0)),IFERROR(INDEX('Catalog'!$A:$A,MATCH(TRIM(SUBSTITUTE($A85,CHAR(160)," ")),'Catalog'!$C:$C,0)),""))</f>
        <v>4408093</v>
      </c>
      <c r="F85" s="20" t="str">
        <f aca="false">IF($E85="","Unmatched","Matched")</f>
        <v>Matched</v>
      </c>
    </row>
    <row r="86" customFormat="false" ht="15" hidden="false" customHeight="false" outlineLevel="0" collapsed="false">
      <c r="A86" s="20" t="s">
        <v>729</v>
      </c>
      <c r="B86" s="20" t="n">
        <v>2025</v>
      </c>
      <c r="C86" s="21" t="n">
        <v>104</v>
      </c>
      <c r="D86" s="22" t="n">
        <v>3639.3</v>
      </c>
      <c r="E86" s="20" t="n">
        <f aca="false">IFERROR(INDEX('Catalog'!$A:$A,MATCH($A86,'Catalog'!$B:$B,0)),IFERROR(INDEX('Catalog'!$A:$A,MATCH(TRIM(SUBSTITUTE($A86,CHAR(160)," ")),'Catalog'!$C:$C,0)),""))</f>
        <v>4408094</v>
      </c>
      <c r="F86" s="20" t="str">
        <f aca="false">IF($E86="","Unmatched","Matched")</f>
        <v>Matched</v>
      </c>
    </row>
    <row r="87" customFormat="false" ht="15" hidden="false" customHeight="false" outlineLevel="0" collapsed="false">
      <c r="A87" s="20" t="s">
        <v>728</v>
      </c>
      <c r="B87" s="20" t="n">
        <v>2025</v>
      </c>
      <c r="C87" s="21" t="n">
        <v>47</v>
      </c>
      <c r="D87" s="22" t="n">
        <v>1639.6</v>
      </c>
      <c r="E87" s="20" t="n">
        <f aca="false">IFERROR(INDEX('Catalog'!$A:$A,MATCH($A87,'Catalog'!$B:$B,0)),IFERROR(INDEX('Catalog'!$A:$A,MATCH(TRIM(SUBSTITUTE($A87,CHAR(160)," ")),'Catalog'!$C:$C,0)),""))</f>
        <v>4408095</v>
      </c>
      <c r="F87" s="20" t="str">
        <f aca="false">IF($E87="","Unmatched","Matched")</f>
        <v>Matched</v>
      </c>
    </row>
    <row r="88" customFormat="false" ht="15" hidden="false" customHeight="false" outlineLevel="0" collapsed="false">
      <c r="A88" s="20" t="s">
        <v>731</v>
      </c>
      <c r="B88" s="20" t="n">
        <v>2025</v>
      </c>
      <c r="C88" s="21" t="n">
        <v>108</v>
      </c>
      <c r="D88" s="22" t="n">
        <v>3773.9</v>
      </c>
      <c r="E88" s="20" t="n">
        <f aca="false">IFERROR(INDEX('Catalog'!$A:$A,MATCH($A88,'Catalog'!$B:$B,0)),IFERROR(INDEX('Catalog'!$A:$A,MATCH(TRIM(SUBSTITUTE($A88,CHAR(160)," ")),'Catalog'!$C:$C,0)),""))</f>
        <v>4408096</v>
      </c>
      <c r="F88" s="20" t="str">
        <f aca="false">IF($E88="","Unmatched","Matched")</f>
        <v>Matched</v>
      </c>
    </row>
    <row r="89" customFormat="false" ht="15" hidden="false" customHeight="false" outlineLevel="0" collapsed="false">
      <c r="A89" s="20" t="s">
        <v>730</v>
      </c>
      <c r="B89" s="20" t="n">
        <v>2025</v>
      </c>
      <c r="C89" s="21" t="n">
        <v>77</v>
      </c>
      <c r="D89" s="22" t="n">
        <v>2689.7</v>
      </c>
      <c r="E89" s="20" t="n">
        <f aca="false">IFERROR(INDEX('Catalog'!$A:$A,MATCH($A89,'Catalog'!$B:$B,0)),IFERROR(INDEX('Catalog'!$A:$A,MATCH(TRIM(SUBSTITUTE($A89,CHAR(160)," ")),'Catalog'!$C:$C,0)),""))</f>
        <v>4408097</v>
      </c>
      <c r="F89" s="20" t="str">
        <f aca="false">IF($E89="","Unmatched","Matched")</f>
        <v>Matched</v>
      </c>
    </row>
    <row r="90" customFormat="false" ht="15" hidden="false" customHeight="false" outlineLevel="0" collapsed="false">
      <c r="A90" s="20" t="s">
        <v>732</v>
      </c>
      <c r="B90" s="20" t="n">
        <v>2025</v>
      </c>
      <c r="C90" s="21" t="n">
        <v>554</v>
      </c>
      <c r="D90" s="22" t="n">
        <v>24683.5</v>
      </c>
      <c r="E90" s="20" t="n">
        <f aca="false">IFERROR(INDEX('Catalog'!$A:$A,MATCH($A90,'Catalog'!$B:$B,0)),IFERROR(INDEX('Catalog'!$A:$A,MATCH(TRIM(SUBSTITUTE($A90,CHAR(160)," ")),'Catalog'!$C:$C,0)),""))</f>
        <v>4408098</v>
      </c>
      <c r="F90" s="20" t="str">
        <f aca="false">IF($E90="","Unmatched","Matched")</f>
        <v>Matched</v>
      </c>
    </row>
    <row r="91" customFormat="false" ht="15" hidden="false" customHeight="false" outlineLevel="0" collapsed="false">
      <c r="A91" s="20" t="s">
        <v>734</v>
      </c>
      <c r="B91" s="20" t="n">
        <v>2025</v>
      </c>
      <c r="C91" s="21" t="n">
        <v>478</v>
      </c>
      <c r="D91" s="22" t="n">
        <v>21311.1</v>
      </c>
      <c r="E91" s="20" t="n">
        <f aca="false">IFERROR(INDEX('Catalog'!$A:$A,MATCH($A91,'Catalog'!$B:$B,0)),IFERROR(INDEX('Catalog'!$A:$A,MATCH(TRIM(SUBSTITUTE($A91,CHAR(160)," ")),'Catalog'!$C:$C,0)),""))</f>
        <v>4408099</v>
      </c>
      <c r="F91" s="20" t="str">
        <f aca="false">IF($E91="","Unmatched","Matched")</f>
        <v>Matched</v>
      </c>
    </row>
    <row r="92" customFormat="false" ht="15" hidden="false" customHeight="false" outlineLevel="0" collapsed="false">
      <c r="A92" s="20" t="s">
        <v>360</v>
      </c>
      <c r="B92" s="20" t="n">
        <v>2025</v>
      </c>
      <c r="C92" s="21" t="n">
        <v>1</v>
      </c>
      <c r="D92" s="22" t="n">
        <v>94.5</v>
      </c>
      <c r="E92" s="20" t="n">
        <f aca="false">IFERROR(INDEX('Catalog'!$A:$A,MATCH($A92,'Catalog'!$B:$B,0)),IFERROR(INDEX('Catalog'!$A:$A,MATCH(TRIM(SUBSTITUTE($A92,CHAR(160)," ")),'Catalog'!$C:$C,0)),""))</f>
        <v>4408100</v>
      </c>
      <c r="F92" s="20" t="str">
        <f aca="false">IF($E92="","Unmatched","Matched")</f>
        <v>Matched</v>
      </c>
    </row>
    <row r="93" customFormat="false" ht="15" hidden="false" customHeight="false" outlineLevel="0" collapsed="false">
      <c r="A93" s="20" t="s">
        <v>391</v>
      </c>
      <c r="B93" s="20" t="n">
        <v>2025</v>
      </c>
      <c r="C93" s="21" t="n">
        <v>1</v>
      </c>
      <c r="D93" s="22" t="n">
        <v>213</v>
      </c>
      <c r="E93" s="20" t="n">
        <f aca="false">IFERROR(INDEX('Catalog'!$A:$A,MATCH($A93,'Catalog'!$B:$B,0)),IFERROR(INDEX('Catalog'!$A:$A,MATCH(TRIM(SUBSTITUTE($A93,CHAR(160)," ")),'Catalog'!$C:$C,0)),""))</f>
        <v>4408105</v>
      </c>
      <c r="F93" s="20" t="str">
        <f aca="false">IF($E93="","Unmatched","Matched")</f>
        <v>Matched</v>
      </c>
    </row>
    <row r="94" customFormat="false" ht="15" hidden="false" customHeight="false" outlineLevel="0" collapsed="false">
      <c r="A94" s="20" t="s">
        <v>342</v>
      </c>
      <c r="B94" s="20" t="n">
        <v>2025</v>
      </c>
      <c r="C94" s="21" t="n">
        <v>3</v>
      </c>
      <c r="D94" s="22" t="n">
        <v>324.2</v>
      </c>
      <c r="E94" s="20" t="n">
        <f aca="false">IFERROR(INDEX('Catalog'!$A:$A,MATCH($A94,'Catalog'!$B:$B,0)),IFERROR(INDEX('Catalog'!$A:$A,MATCH(TRIM(SUBSTITUTE($A94,CHAR(160)," ")),'Catalog'!$C:$C,0)),""))</f>
        <v>4408113</v>
      </c>
      <c r="F94" s="20" t="str">
        <f aca="false">IF($E94="","Unmatched","Matched")</f>
        <v>Matched</v>
      </c>
    </row>
    <row r="95" customFormat="false" ht="15" hidden="false" customHeight="false" outlineLevel="0" collapsed="false">
      <c r="A95" s="20" t="s">
        <v>341</v>
      </c>
      <c r="B95" s="20" t="n">
        <v>2025</v>
      </c>
      <c r="C95" s="21" t="n">
        <v>10</v>
      </c>
      <c r="D95" s="22" t="n">
        <v>1052.8</v>
      </c>
      <c r="E95" s="20" t="n">
        <f aca="false">IFERROR(INDEX('Catalog'!$A:$A,MATCH($A95,'Catalog'!$B:$B,0)),IFERROR(INDEX('Catalog'!$A:$A,MATCH(TRIM(SUBSTITUTE($A95,CHAR(160)," ")),'Catalog'!$C:$C,0)),""))</f>
        <v>4408114</v>
      </c>
      <c r="F95" s="20" t="str">
        <f aca="false">IF($E95="","Unmatched","Matched")</f>
        <v>Matched</v>
      </c>
    </row>
    <row r="96" customFormat="false" ht="15" hidden="false" customHeight="false" outlineLevel="0" collapsed="false">
      <c r="A96" s="20" t="s">
        <v>340</v>
      </c>
      <c r="B96" s="20" t="n">
        <v>2025</v>
      </c>
      <c r="C96" s="21" t="n">
        <v>19</v>
      </c>
      <c r="D96" s="22" t="n">
        <v>1981.6</v>
      </c>
      <c r="E96" s="20" t="n">
        <f aca="false">IFERROR(INDEX('Catalog'!$A:$A,MATCH($A96,'Catalog'!$B:$B,0)),IFERROR(INDEX('Catalog'!$A:$A,MATCH(TRIM(SUBSTITUTE($A96,CHAR(160)," ")),'Catalog'!$C:$C,0)),""))</f>
        <v>4408115</v>
      </c>
      <c r="F96" s="20" t="str">
        <f aca="false">IF($E96="","Unmatched","Matched")</f>
        <v>Matched</v>
      </c>
    </row>
    <row r="97" customFormat="false" ht="15" hidden="false" customHeight="false" outlineLevel="0" collapsed="false">
      <c r="A97" s="20" t="s">
        <v>343</v>
      </c>
      <c r="B97" s="20" t="n">
        <v>2025</v>
      </c>
      <c r="C97" s="21" t="n">
        <v>34</v>
      </c>
      <c r="D97" s="22" t="n">
        <v>3540</v>
      </c>
      <c r="E97" s="20" t="n">
        <f aca="false">IFERROR(INDEX('Catalog'!$A:$A,MATCH($A97,'Catalog'!$B:$B,0)),IFERROR(INDEX('Catalog'!$A:$A,MATCH(TRIM(SUBSTITUTE($A97,CHAR(160)," ")),'Catalog'!$C:$C,0)),""))</f>
        <v>4408116</v>
      </c>
      <c r="F97" s="20" t="str">
        <f aca="false">IF($E97="","Unmatched","Matched")</f>
        <v>Matched</v>
      </c>
    </row>
    <row r="98" customFormat="false" ht="15" hidden="false" customHeight="false" outlineLevel="0" collapsed="false">
      <c r="A98" s="20" t="s">
        <v>298</v>
      </c>
      <c r="B98" s="20" t="n">
        <v>2025</v>
      </c>
      <c r="C98" s="21" t="n">
        <v>2</v>
      </c>
      <c r="D98" s="22" t="n">
        <v>281.1</v>
      </c>
      <c r="E98" s="20" t="n">
        <f aca="false">IFERROR(INDEX('Catalog'!$A:$A,MATCH($A98,'Catalog'!$B:$B,0)),IFERROR(INDEX('Catalog'!$A:$A,MATCH(TRIM(SUBSTITUTE($A98,CHAR(160)," ")),'Catalog'!$C:$C,0)),""))</f>
        <v>4408119</v>
      </c>
      <c r="F98" s="20" t="str">
        <f aca="false">IF($E98="","Unmatched","Matched")</f>
        <v>Matched</v>
      </c>
    </row>
    <row r="99" customFormat="false" ht="15" hidden="false" customHeight="false" outlineLevel="0" collapsed="false">
      <c r="A99" s="20" t="s">
        <v>300</v>
      </c>
      <c r="B99" s="20" t="n">
        <v>2025</v>
      </c>
      <c r="C99" s="21" t="n">
        <v>2</v>
      </c>
      <c r="D99" s="22" t="n">
        <v>281.1</v>
      </c>
      <c r="E99" s="20" t="n">
        <f aca="false">IFERROR(INDEX('Catalog'!$A:$A,MATCH($A99,'Catalog'!$B:$B,0)),IFERROR(INDEX('Catalog'!$A:$A,MATCH(TRIM(SUBSTITUTE($A99,CHAR(160)," ")),'Catalog'!$C:$C,0)),""))</f>
        <v>4408120</v>
      </c>
      <c r="F99" s="20" t="str">
        <f aca="false">IF($E99="","Unmatched","Matched")</f>
        <v>Matched</v>
      </c>
    </row>
    <row r="100" customFormat="false" ht="15" hidden="false" customHeight="false" outlineLevel="0" collapsed="false">
      <c r="A100" s="20" t="s">
        <v>376</v>
      </c>
      <c r="B100" s="20" t="n">
        <v>2025</v>
      </c>
      <c r="C100" s="21" t="n">
        <v>2</v>
      </c>
      <c r="D100" s="22" t="n">
        <v>272.9</v>
      </c>
      <c r="E100" s="20" t="n">
        <f aca="false">IFERROR(INDEX('Catalog'!$A:$A,MATCH($A100,'Catalog'!$B:$B,0)),IFERROR(INDEX('Catalog'!$A:$A,MATCH(TRIM(SUBSTITUTE($A100,CHAR(160)," ")),'Catalog'!$C:$C,0)),""))</f>
        <v>4408122</v>
      </c>
      <c r="F100" s="20" t="str">
        <f aca="false">IF($E100="","Unmatched","Matched")</f>
        <v>Matched</v>
      </c>
    </row>
    <row r="101" customFormat="false" ht="15" hidden="false" customHeight="false" outlineLevel="0" collapsed="false">
      <c r="A101" s="20" t="s">
        <v>381</v>
      </c>
      <c r="B101" s="20" t="n">
        <v>2025</v>
      </c>
      <c r="C101" s="21" t="n">
        <v>1</v>
      </c>
      <c r="D101" s="22" t="n">
        <v>140.6</v>
      </c>
      <c r="E101" s="20" t="n">
        <f aca="false">IFERROR(INDEX('Catalog'!$A:$A,MATCH($A101,'Catalog'!$B:$B,0)),IFERROR(INDEX('Catalog'!$A:$A,MATCH(TRIM(SUBSTITUTE($A101,CHAR(160)," ")),'Catalog'!$C:$C,0)),""))</f>
        <v>4408126</v>
      </c>
      <c r="F101" s="20" t="str">
        <f aca="false">IF($E101="","Unmatched","Matched")</f>
        <v>Matched</v>
      </c>
    </row>
    <row r="102" customFormat="false" ht="15" hidden="false" customHeight="false" outlineLevel="0" collapsed="false">
      <c r="A102" s="20" t="s">
        <v>377</v>
      </c>
      <c r="B102" s="20" t="n">
        <v>2025</v>
      </c>
      <c r="C102" s="21" t="n">
        <v>1</v>
      </c>
      <c r="D102" s="22" t="n">
        <v>140.6</v>
      </c>
      <c r="E102" s="20" t="n">
        <f aca="false">IFERROR(INDEX('Catalog'!$A:$A,MATCH($A102,'Catalog'!$B:$B,0)),IFERROR(INDEX('Catalog'!$A:$A,MATCH(TRIM(SUBSTITUTE($A102,CHAR(160)," ")),'Catalog'!$C:$C,0)),""))</f>
        <v>4408129</v>
      </c>
      <c r="F102" s="20" t="str">
        <f aca="false">IF($E102="","Unmatched","Matched")</f>
        <v>Matched</v>
      </c>
    </row>
    <row r="103" customFormat="false" ht="15" hidden="false" customHeight="false" outlineLevel="0" collapsed="false">
      <c r="A103" s="20" t="s">
        <v>344</v>
      </c>
      <c r="B103" s="20" t="n">
        <v>2025</v>
      </c>
      <c r="C103" s="21" t="n">
        <v>22</v>
      </c>
      <c r="D103" s="22" t="n">
        <v>2284.5</v>
      </c>
      <c r="E103" s="20" t="n">
        <f aca="false">IFERROR(INDEX('Catalog'!$A:$A,MATCH($A103,'Catalog'!$B:$B,0)),IFERROR(INDEX('Catalog'!$A:$A,MATCH(TRIM(SUBSTITUTE($A103,CHAR(160)," ")),'Catalog'!$C:$C,0)),""))</f>
        <v>4408132</v>
      </c>
      <c r="F103" s="20" t="str">
        <f aca="false">IF($E103="","Unmatched","Matched")</f>
        <v>Matched</v>
      </c>
    </row>
    <row r="104" customFormat="false" ht="15" hidden="false" customHeight="false" outlineLevel="0" collapsed="false">
      <c r="A104" s="20" t="s">
        <v>304</v>
      </c>
      <c r="B104" s="20" t="n">
        <v>2025</v>
      </c>
      <c r="C104" s="21" t="n">
        <v>7</v>
      </c>
      <c r="D104" s="22" t="n">
        <v>1044.4</v>
      </c>
      <c r="E104" s="20" t="n">
        <f aca="false">IFERROR(INDEX('Catalog'!$A:$A,MATCH($A104,'Catalog'!$B:$B,0)),IFERROR(INDEX('Catalog'!$A:$A,MATCH(TRIM(SUBSTITUTE($A104,CHAR(160)," ")),'Catalog'!$C:$C,0)),""))</f>
        <v>4408134</v>
      </c>
      <c r="F104" s="20" t="str">
        <f aca="false">IF($E104="","Unmatched","Matched")</f>
        <v>Matched</v>
      </c>
    </row>
    <row r="105" customFormat="false" ht="15" hidden="false" customHeight="false" outlineLevel="0" collapsed="false">
      <c r="A105" s="20" t="s">
        <v>303</v>
      </c>
      <c r="B105" s="20" t="n">
        <v>2025</v>
      </c>
      <c r="C105" s="21" t="n">
        <v>20</v>
      </c>
      <c r="D105" s="22" t="n">
        <v>2803.8</v>
      </c>
      <c r="E105" s="20" t="n">
        <f aca="false">IFERROR(INDEX('Catalog'!$A:$A,MATCH($A105,'Catalog'!$B:$B,0)),IFERROR(INDEX('Catalog'!$A:$A,MATCH(TRIM(SUBSTITUTE($A105,CHAR(160)," ")),'Catalog'!$C:$C,0)),""))</f>
        <v>4408135</v>
      </c>
      <c r="F105" s="20" t="str">
        <f aca="false">IF($E105="","Unmatched","Matched")</f>
        <v>Matched</v>
      </c>
    </row>
    <row r="106" customFormat="false" ht="15" hidden="false" customHeight="false" outlineLevel="0" collapsed="false">
      <c r="A106" s="20" t="s">
        <v>301</v>
      </c>
      <c r="B106" s="20" t="n">
        <v>2025</v>
      </c>
      <c r="C106" s="21" t="n">
        <v>1</v>
      </c>
      <c r="D106" s="22" t="n">
        <v>154.4</v>
      </c>
      <c r="E106" s="20" t="n">
        <f aca="false">IFERROR(INDEX('Catalog'!$A:$A,MATCH($A106,'Catalog'!$B:$B,0)),IFERROR(INDEX('Catalog'!$A:$A,MATCH(TRIM(SUBSTITUTE($A106,CHAR(160)," ")),'Catalog'!$C:$C,0)),""))</f>
        <v>4408140</v>
      </c>
      <c r="F106" s="20" t="str">
        <f aca="false">IF($E106="","Unmatched","Matched")</f>
        <v>Matched</v>
      </c>
    </row>
    <row r="107" customFormat="false" ht="15" hidden="false" customHeight="false" outlineLevel="0" collapsed="false">
      <c r="A107" s="20" t="s">
        <v>459</v>
      </c>
      <c r="B107" s="20" t="n">
        <v>2025</v>
      </c>
      <c r="C107" s="21" t="n">
        <v>1</v>
      </c>
      <c r="D107" s="22" t="n">
        <v>472.7</v>
      </c>
      <c r="E107" s="20" t="n">
        <f aca="false">IFERROR(INDEX('Catalog'!$A:$A,MATCH($A107,'Catalog'!$B:$B,0)),IFERROR(INDEX('Catalog'!$A:$A,MATCH(TRIM(SUBSTITUTE($A107,CHAR(160)," ")),'Catalog'!$C:$C,0)),""))</f>
        <v>4408141</v>
      </c>
      <c r="F107" s="20" t="str">
        <f aca="false">IF($E107="","Unmatched","Matched")</f>
        <v>Matched</v>
      </c>
    </row>
    <row r="108" customFormat="false" ht="15" hidden="false" customHeight="false" outlineLevel="0" collapsed="false">
      <c r="A108" s="20" t="s">
        <v>400</v>
      </c>
      <c r="B108" s="20" t="n">
        <v>2025</v>
      </c>
      <c r="C108" s="21" t="n">
        <v>1</v>
      </c>
      <c r="D108" s="22" t="n">
        <v>472.7</v>
      </c>
      <c r="E108" s="20" t="n">
        <f aca="false">IFERROR(INDEX('Catalog'!$A:$A,MATCH($A108,'Catalog'!$B:$B,0)),IFERROR(INDEX('Catalog'!$A:$A,MATCH(TRIM(SUBSTITUTE($A108,CHAR(160)," ")),'Catalog'!$C:$C,0)),""))</f>
        <v>4408142</v>
      </c>
      <c r="F108" s="20" t="str">
        <f aca="false">IF($E108="","Unmatched","Matched")</f>
        <v>Matched</v>
      </c>
    </row>
    <row r="109" customFormat="false" ht="15" hidden="false" customHeight="false" outlineLevel="0" collapsed="false">
      <c r="A109" s="20" t="s">
        <v>345</v>
      </c>
      <c r="B109" s="20" t="n">
        <v>2025</v>
      </c>
      <c r="C109" s="21" t="n">
        <v>1</v>
      </c>
      <c r="D109" s="22" t="n">
        <v>110.6</v>
      </c>
      <c r="E109" s="20" t="n">
        <f aca="false">IFERROR(INDEX('Catalog'!$A:$A,MATCH($A109,'Catalog'!$B:$B,0)),IFERROR(INDEX('Catalog'!$A:$A,MATCH(TRIM(SUBSTITUTE($A109,CHAR(160)," ")),'Catalog'!$C:$C,0)),""))</f>
        <v>4408147</v>
      </c>
      <c r="F109" s="20" t="str">
        <f aca="false">IF($E109="","Unmatched","Matched")</f>
        <v>Matched</v>
      </c>
    </row>
    <row r="110" customFormat="false" ht="15" hidden="false" customHeight="false" outlineLevel="0" collapsed="false">
      <c r="A110" s="20" t="s">
        <v>348</v>
      </c>
      <c r="B110" s="20" t="n">
        <v>2025</v>
      </c>
      <c r="C110" s="21" t="n">
        <v>2</v>
      </c>
      <c r="D110" s="22" t="n">
        <v>263.3</v>
      </c>
      <c r="E110" s="20" t="n">
        <f aca="false">IFERROR(INDEX('Catalog'!$A:$A,MATCH($A110,'Catalog'!$B:$B,0)),IFERROR(INDEX('Catalog'!$A:$A,MATCH(TRIM(SUBSTITUTE($A110,CHAR(160)," ")),'Catalog'!$C:$C,0)),""))</f>
        <v>4408148</v>
      </c>
      <c r="F110" s="20" t="str">
        <f aca="false">IF($E110="","Unmatched","Matched")</f>
        <v>Matched</v>
      </c>
    </row>
    <row r="111" customFormat="false" ht="15" hidden="false" customHeight="false" outlineLevel="0" collapsed="false">
      <c r="A111" s="20" t="s">
        <v>349</v>
      </c>
      <c r="B111" s="20" t="n">
        <v>2025</v>
      </c>
      <c r="C111" s="21" t="n">
        <v>2</v>
      </c>
      <c r="D111" s="22" t="n">
        <v>271.8</v>
      </c>
      <c r="E111" s="20" t="n">
        <f aca="false">IFERROR(INDEX('Catalog'!$A:$A,MATCH($A111,'Catalog'!$B:$B,0)),IFERROR(INDEX('Catalog'!$A:$A,MATCH(TRIM(SUBSTITUTE($A111,CHAR(160)," ")),'Catalog'!$C:$C,0)),""))</f>
        <v>4408149</v>
      </c>
      <c r="F111" s="20" t="str">
        <f aca="false">IF($E111="","Unmatched","Matched")</f>
        <v>Matched</v>
      </c>
    </row>
    <row r="112" customFormat="false" ht="15" hidden="false" customHeight="false" outlineLevel="0" collapsed="false">
      <c r="A112" s="20" t="s">
        <v>357</v>
      </c>
      <c r="B112" s="20" t="n">
        <v>2025</v>
      </c>
      <c r="C112" s="21" t="n">
        <v>-1</v>
      </c>
      <c r="D112" s="22" t="n">
        <v>-209.3</v>
      </c>
      <c r="E112" s="20" t="n">
        <f aca="false">IFERROR(INDEX('Catalog'!$A:$A,MATCH($A112,'Catalog'!$B:$B,0)),IFERROR(INDEX('Catalog'!$A:$A,MATCH(TRIM(SUBSTITUTE($A112,CHAR(160)," ")),'Catalog'!$C:$C,0)),""))</f>
        <v>4408150</v>
      </c>
      <c r="F112" s="20" t="str">
        <f aca="false">IF($E112="","Unmatched","Matched")</f>
        <v>Matched</v>
      </c>
    </row>
    <row r="113" customFormat="false" ht="15" hidden="false" customHeight="false" outlineLevel="0" collapsed="false">
      <c r="A113" s="20" t="s">
        <v>356</v>
      </c>
      <c r="B113" s="20" t="n">
        <v>2025</v>
      </c>
      <c r="C113" s="21" t="n">
        <v>2</v>
      </c>
      <c r="D113" s="22" t="n">
        <v>282.6</v>
      </c>
      <c r="E113" s="20" t="n">
        <f aca="false">IFERROR(INDEX('Catalog'!$A:$A,MATCH($A113,'Catalog'!$B:$B,0)),IFERROR(INDEX('Catalog'!$A:$A,MATCH(TRIM(SUBSTITUTE($A113,CHAR(160)," ")),'Catalog'!$C:$C,0)),""))</f>
        <v>4408151</v>
      </c>
      <c r="F113" s="20" t="str">
        <f aca="false">IF($E113="","Unmatched","Matched")</f>
        <v>Matched</v>
      </c>
    </row>
    <row r="114" customFormat="false" ht="15" hidden="false" customHeight="false" outlineLevel="0" collapsed="false">
      <c r="A114" s="20" t="s">
        <v>355</v>
      </c>
      <c r="B114" s="20" t="n">
        <v>2025</v>
      </c>
      <c r="C114" s="21" t="n">
        <v>8</v>
      </c>
      <c r="D114" s="22" t="n">
        <v>1118.9</v>
      </c>
      <c r="E114" s="20" t="n">
        <f aca="false">IFERROR(INDEX('Catalog'!$A:$A,MATCH($A114,'Catalog'!$B:$B,0)),IFERROR(INDEX('Catalog'!$A:$A,MATCH(TRIM(SUBSTITUTE($A114,CHAR(160)," ")),'Catalog'!$C:$C,0)),""))</f>
        <v>4408152</v>
      </c>
      <c r="F114" s="20" t="str">
        <f aca="false">IF($E114="","Unmatched","Matched")</f>
        <v>Matched</v>
      </c>
    </row>
    <row r="115" customFormat="false" ht="15" hidden="false" customHeight="false" outlineLevel="0" collapsed="false">
      <c r="A115" s="20" t="s">
        <v>358</v>
      </c>
      <c r="B115" s="20" t="n">
        <v>2025</v>
      </c>
      <c r="C115" s="21" t="n">
        <v>14</v>
      </c>
      <c r="D115" s="22" t="n">
        <v>2112</v>
      </c>
      <c r="E115" s="20" t="n">
        <f aca="false">IFERROR(INDEX('Catalog'!$A:$A,MATCH($A115,'Catalog'!$B:$B,0)),IFERROR(INDEX('Catalog'!$A:$A,MATCH(TRIM(SUBSTITUTE($A115,CHAR(160)," ")),'Catalog'!$C:$C,0)),""))</f>
        <v>4408153</v>
      </c>
      <c r="F115" s="20" t="str">
        <f aca="false">IF($E115="","Unmatched","Matched")</f>
        <v>Matched</v>
      </c>
    </row>
    <row r="116" customFormat="false" ht="15" hidden="false" customHeight="false" outlineLevel="0" collapsed="false">
      <c r="A116" s="20" t="s">
        <v>359</v>
      </c>
      <c r="B116" s="20" t="n">
        <v>2025</v>
      </c>
      <c r="C116" s="21" t="n">
        <v>6</v>
      </c>
      <c r="D116" s="22" t="n">
        <v>867.7</v>
      </c>
      <c r="E116" s="20" t="n">
        <f aca="false">IFERROR(INDEX('Catalog'!$A:$A,MATCH($A116,'Catalog'!$B:$B,0)),IFERROR(INDEX('Catalog'!$A:$A,MATCH(TRIM(SUBSTITUTE($A116,CHAR(160)," ")),'Catalog'!$C:$C,0)),""))</f>
        <v>4408154</v>
      </c>
      <c r="F116" s="20" t="str">
        <f aca="false">IF($E116="","Unmatched","Matched")</f>
        <v>Matched</v>
      </c>
    </row>
    <row r="117" customFormat="false" ht="15" hidden="false" customHeight="false" outlineLevel="0" collapsed="false">
      <c r="A117" s="20" t="s">
        <v>338</v>
      </c>
      <c r="B117" s="20" t="n">
        <v>2025</v>
      </c>
      <c r="C117" s="21" t="n">
        <v>2</v>
      </c>
      <c r="D117" s="22" t="n">
        <v>211.7</v>
      </c>
      <c r="E117" s="20" t="n">
        <f aca="false">IFERROR(INDEX('Catalog'!$A:$A,MATCH($A117,'Catalog'!$B:$B,0)),IFERROR(INDEX('Catalog'!$A:$A,MATCH(TRIM(SUBSTITUTE($A117,CHAR(160)," ")),'Catalog'!$C:$C,0)),""))</f>
        <v>4408175</v>
      </c>
      <c r="F117" s="20" t="str">
        <f aca="false">IF($E117="","Unmatched","Matched")</f>
        <v>Matched</v>
      </c>
    </row>
    <row r="118" customFormat="false" ht="15" hidden="false" customHeight="false" outlineLevel="0" collapsed="false">
      <c r="A118" s="20" t="s">
        <v>371</v>
      </c>
      <c r="B118" s="20" t="n">
        <v>2025</v>
      </c>
      <c r="C118" s="21" t="n">
        <v>1</v>
      </c>
      <c r="D118" s="22" t="n">
        <v>157</v>
      </c>
      <c r="E118" s="20" t="n">
        <f aca="false">IFERROR(INDEX('Catalog'!$A:$A,MATCH($A118,'Catalog'!$B:$B,0)),IFERROR(INDEX('Catalog'!$A:$A,MATCH(TRIM(SUBSTITUTE($A118,CHAR(160)," ")),'Catalog'!$C:$C,0)),""))</f>
        <v>4408177</v>
      </c>
      <c r="F118" s="20" t="str">
        <f aca="false">IF($E118="","Unmatched","Matched")</f>
        <v>Matched</v>
      </c>
    </row>
    <row r="119" customFormat="false" ht="15" hidden="false" customHeight="false" outlineLevel="0" collapsed="false">
      <c r="A119" s="20" t="s">
        <v>370</v>
      </c>
      <c r="B119" s="20" t="n">
        <v>2025</v>
      </c>
      <c r="C119" s="21" t="n">
        <v>1</v>
      </c>
      <c r="D119" s="22" t="n">
        <v>177.9</v>
      </c>
      <c r="E119" s="20" t="n">
        <f aca="false">IFERROR(INDEX('Catalog'!$A:$A,MATCH($A119,'Catalog'!$B:$B,0)),IFERROR(INDEX('Catalog'!$A:$A,MATCH(TRIM(SUBSTITUTE($A119,CHAR(160)," ")),'Catalog'!$C:$C,0)),""))</f>
        <v>4408178</v>
      </c>
      <c r="F119" s="20" t="str">
        <f aca="false">IF($E119="","Unmatched","Matched")</f>
        <v>Matched</v>
      </c>
    </row>
    <row r="120" customFormat="false" ht="15" hidden="false" customHeight="false" outlineLevel="0" collapsed="false">
      <c r="A120" s="20" t="s">
        <v>373</v>
      </c>
      <c r="B120" s="20" t="n">
        <v>2025</v>
      </c>
      <c r="C120" s="21" t="n">
        <v>3</v>
      </c>
      <c r="D120" s="22" t="n">
        <v>468.9</v>
      </c>
      <c r="E120" s="20" t="n">
        <f aca="false">IFERROR(INDEX('Catalog'!$A:$A,MATCH($A120,'Catalog'!$B:$B,0)),IFERROR(INDEX('Catalog'!$A:$A,MATCH(TRIM(SUBSTITUTE($A120,CHAR(160)," ")),'Catalog'!$C:$C,0)),""))</f>
        <v>4408179</v>
      </c>
      <c r="F120" s="20" t="str">
        <f aca="false">IF($E120="","Unmatched","Matched")</f>
        <v>Matched</v>
      </c>
    </row>
    <row r="121" customFormat="false" ht="15" hidden="false" customHeight="false" outlineLevel="0" collapsed="false">
      <c r="A121" s="20" t="s">
        <v>374</v>
      </c>
      <c r="B121" s="20" t="n">
        <v>2025</v>
      </c>
      <c r="C121" s="21" t="n">
        <v>3</v>
      </c>
      <c r="D121" s="22" t="n">
        <v>429.1</v>
      </c>
      <c r="E121" s="20" t="n">
        <f aca="false">IFERROR(INDEX('Catalog'!$A:$A,MATCH($A121,'Catalog'!$B:$B,0)),IFERROR(INDEX('Catalog'!$A:$A,MATCH(TRIM(SUBSTITUTE($A121,CHAR(160)," ")),'Catalog'!$C:$C,0)),""))</f>
        <v>4408180</v>
      </c>
      <c r="F121" s="20" t="str">
        <f aca="false">IF($E121="","Unmatched","Matched")</f>
        <v>Matched</v>
      </c>
    </row>
    <row r="122" customFormat="false" ht="15" hidden="false" customHeight="false" outlineLevel="0" collapsed="false">
      <c r="A122" s="20" t="s">
        <v>407</v>
      </c>
      <c r="B122" s="20" t="n">
        <v>2025</v>
      </c>
      <c r="C122" s="21" t="n">
        <v>86</v>
      </c>
      <c r="D122" s="22" t="n">
        <v>9536.7</v>
      </c>
      <c r="E122" s="20" t="n">
        <f aca="false">IFERROR(INDEX('Catalog'!$A:$A,MATCH($A122,'Catalog'!$B:$B,0)),IFERROR(INDEX('Catalog'!$A:$A,MATCH(TRIM(SUBSTITUTE($A122,CHAR(160)," ")),'Catalog'!$C:$C,0)),""))</f>
        <v>4408190</v>
      </c>
      <c r="F122" s="20" t="str">
        <f aca="false">IF($E122="","Unmatched","Matched")</f>
        <v>Matched</v>
      </c>
    </row>
    <row r="123" customFormat="false" ht="15" hidden="false" customHeight="false" outlineLevel="0" collapsed="false">
      <c r="A123" s="20" t="s">
        <v>305</v>
      </c>
      <c r="B123" s="20" t="n">
        <v>2025</v>
      </c>
      <c r="C123" s="21" t="n">
        <v>139</v>
      </c>
      <c r="D123" s="22" t="n">
        <v>15439</v>
      </c>
      <c r="E123" s="20" t="n">
        <f aca="false">IFERROR(INDEX('Catalog'!$A:$A,MATCH($A123,'Catalog'!$B:$B,0)),IFERROR(INDEX('Catalog'!$A:$A,MATCH(TRIM(SUBSTITUTE($A123,CHAR(160)," ")),'Catalog'!$C:$C,0)),""))</f>
        <v>4408192</v>
      </c>
      <c r="F123" s="20" t="str">
        <f aca="false">IF($E123="","Unmatched","Matched")</f>
        <v>Matched</v>
      </c>
    </row>
    <row r="124" customFormat="false" ht="15" hidden="false" customHeight="false" outlineLevel="0" collapsed="false">
      <c r="A124" s="20" t="s">
        <v>375</v>
      </c>
      <c r="B124" s="20" t="n">
        <v>2025</v>
      </c>
      <c r="C124" s="21" t="n">
        <v>6</v>
      </c>
      <c r="D124" s="22" t="n">
        <v>1467.5</v>
      </c>
      <c r="E124" s="20" t="n">
        <f aca="false">IFERROR(INDEX('Catalog'!$A:$A,MATCH($A124,'Catalog'!$B:$B,0)),IFERROR(INDEX('Catalog'!$A:$A,MATCH(TRIM(SUBSTITUTE($A124,CHAR(160)," ")),'Catalog'!$C:$C,0)),""))</f>
        <v>4408203</v>
      </c>
      <c r="F124" s="20" t="str">
        <f aca="false">IF($E124="","Unmatched","Matched")</f>
        <v>Matched</v>
      </c>
    </row>
    <row r="125" customFormat="false" ht="15" hidden="false" customHeight="false" outlineLevel="0" collapsed="false">
      <c r="A125" s="20" t="s">
        <v>402</v>
      </c>
      <c r="B125" s="20" t="n">
        <v>2025</v>
      </c>
      <c r="C125" s="21" t="n">
        <v>1110</v>
      </c>
      <c r="D125" s="22" t="n">
        <v>94616.3</v>
      </c>
      <c r="E125" s="20" t="n">
        <f aca="false">IFERROR(INDEX('Catalog'!$A:$A,MATCH($A125,'Catalog'!$B:$B,0)),IFERROR(INDEX('Catalog'!$A:$A,MATCH(TRIM(SUBSTITUTE($A125,CHAR(160)," ")),'Catalog'!$C:$C,0)),""))</f>
        <v>4408205</v>
      </c>
      <c r="F125" s="20" t="str">
        <f aca="false">IF($E125="","Unmatched","Matched")</f>
        <v>Matched</v>
      </c>
    </row>
    <row r="126" customFormat="false" ht="15" hidden="false" customHeight="false" outlineLevel="0" collapsed="false">
      <c r="A126" s="20" t="s">
        <v>403</v>
      </c>
      <c r="B126" s="20" t="n">
        <v>2025</v>
      </c>
      <c r="C126" s="21" t="n">
        <v>224</v>
      </c>
      <c r="D126" s="22" t="n">
        <v>14959.2</v>
      </c>
      <c r="E126" s="20" t="n">
        <f aca="false">IFERROR(INDEX('Catalog'!$A:$A,MATCH($A126,'Catalog'!$B:$B,0)),IFERROR(INDEX('Catalog'!$A:$A,MATCH(TRIM(SUBSTITUTE($A126,CHAR(160)," ")),'Catalog'!$C:$C,0)),""))</f>
        <v>4408206</v>
      </c>
      <c r="F126" s="20" t="str">
        <f aca="false">IF($E126="","Unmatched","Matched")</f>
        <v>Matched</v>
      </c>
    </row>
    <row r="127" customFormat="false" ht="15" hidden="false" customHeight="false" outlineLevel="0" collapsed="false">
      <c r="A127" s="20" t="s">
        <v>884</v>
      </c>
      <c r="B127" s="20" t="n">
        <v>2025</v>
      </c>
      <c r="C127" s="21" t="n">
        <v>1143</v>
      </c>
      <c r="D127" s="22" t="n">
        <v>36486.6</v>
      </c>
      <c r="E127" s="20" t="n">
        <f aca="false">IFERROR(INDEX('Catalog'!$A:$A,MATCH($A127,'Catalog'!$B:$B,0)),IFERROR(INDEX('Catalog'!$A:$A,MATCH(TRIM(SUBSTITUTE($A127,CHAR(160)," ")),'Catalog'!$C:$C,0)),""))</f>
        <v>4408207</v>
      </c>
      <c r="F127" s="20" t="str">
        <f aca="false">IF($E127="","Unmatched","Matched")</f>
        <v>Matched</v>
      </c>
    </row>
    <row r="128" customFormat="false" ht="15" hidden="false" customHeight="false" outlineLevel="0" collapsed="false">
      <c r="A128" s="20" t="s">
        <v>576</v>
      </c>
      <c r="B128" s="20" t="n">
        <v>2025</v>
      </c>
      <c r="C128" s="21" t="n">
        <v>394</v>
      </c>
      <c r="D128" s="22" t="n">
        <v>14192.7</v>
      </c>
      <c r="E128" s="20" t="n">
        <f aca="false">IFERROR(INDEX('Catalog'!$A:$A,MATCH($A128,'Catalog'!$B:$B,0)),IFERROR(INDEX('Catalog'!$A:$A,MATCH(TRIM(SUBSTITUTE($A128,CHAR(160)," ")),'Catalog'!$C:$C,0)),""))</f>
        <v>4408208</v>
      </c>
      <c r="F128" s="20" t="str">
        <f aca="false">IF($E128="","Unmatched","Matched")</f>
        <v>Matched</v>
      </c>
    </row>
    <row r="129" customFormat="false" ht="15" hidden="false" customHeight="false" outlineLevel="0" collapsed="false">
      <c r="A129" s="20" t="s">
        <v>410</v>
      </c>
      <c r="B129" s="20" t="n">
        <v>2025</v>
      </c>
      <c r="C129" s="21" t="n">
        <v>21</v>
      </c>
      <c r="D129" s="22" t="n">
        <v>2324.2</v>
      </c>
      <c r="E129" s="20" t="n">
        <f aca="false">IFERROR(INDEX('Catalog'!$A:$A,MATCH($A129,'Catalog'!$B:$B,0)),IFERROR(INDEX('Catalog'!$A:$A,MATCH(TRIM(SUBSTITUTE($A129,CHAR(160)," ")),'Catalog'!$C:$C,0)),""))</f>
        <v>4408217</v>
      </c>
      <c r="F129" s="20" t="str">
        <f aca="false">IF($E129="","Unmatched","Matched")</f>
        <v>Matched</v>
      </c>
    </row>
    <row r="130" customFormat="false" ht="15" hidden="false" customHeight="false" outlineLevel="0" collapsed="false">
      <c r="A130" s="20" t="s">
        <v>316</v>
      </c>
      <c r="B130" s="20" t="n">
        <v>2025</v>
      </c>
      <c r="C130" s="21" t="n">
        <v>121</v>
      </c>
      <c r="D130" s="22" t="n">
        <v>13380.2</v>
      </c>
      <c r="E130" s="20" t="n">
        <f aca="false">IFERROR(INDEX('Catalog'!$A:$A,MATCH($A130,'Catalog'!$B:$B,0)),IFERROR(INDEX('Catalog'!$A:$A,MATCH(TRIM(SUBSTITUTE($A130,CHAR(160)," ")),'Catalog'!$C:$C,0)),""))</f>
        <v>4408218</v>
      </c>
      <c r="F130" s="20" t="str">
        <f aca="false">IF($E130="","Unmatched","Matched")</f>
        <v>Matched</v>
      </c>
    </row>
    <row r="131" customFormat="false" ht="15" hidden="false" customHeight="false" outlineLevel="0" collapsed="false">
      <c r="A131" s="20" t="s">
        <v>631</v>
      </c>
      <c r="B131" s="20" t="n">
        <v>2025</v>
      </c>
      <c r="C131" s="21" t="n">
        <v>407</v>
      </c>
      <c r="D131" s="22" t="n">
        <v>5513.6</v>
      </c>
      <c r="E131" s="20" t="n">
        <f aca="false">IFERROR(INDEX('Catalog'!$A:$A,MATCH($A131,'Catalog'!$B:$B,0)),IFERROR(INDEX('Catalog'!$A:$A,MATCH(TRIM(SUBSTITUTE($A131,CHAR(160)," ")),'Catalog'!$C:$C,0)),""))</f>
        <v>4409000</v>
      </c>
      <c r="F131" s="20" t="str">
        <f aca="false">IF($E131="","Unmatched","Matched")</f>
        <v>Matched</v>
      </c>
    </row>
    <row r="132" customFormat="false" ht="15" hidden="false" customHeight="false" outlineLevel="0" collapsed="false">
      <c r="A132" s="20" t="s">
        <v>630</v>
      </c>
      <c r="B132" s="20" t="n">
        <v>2025</v>
      </c>
      <c r="C132" s="21" t="n">
        <v>259</v>
      </c>
      <c r="D132" s="22" t="n">
        <v>3377.2</v>
      </c>
      <c r="E132" s="20" t="n">
        <f aca="false">IFERROR(INDEX('Catalog'!$A:$A,MATCH($A132,'Catalog'!$B:$B,0)),IFERROR(INDEX('Catalog'!$A:$A,MATCH(TRIM(SUBSTITUTE($A132,CHAR(160)," ")),'Catalog'!$C:$C,0)),""))</f>
        <v>4409001</v>
      </c>
      <c r="F132" s="20" t="str">
        <f aca="false">IF($E132="","Unmatched","Matched")</f>
        <v>Matched</v>
      </c>
    </row>
    <row r="133" customFormat="false" ht="15" hidden="false" customHeight="false" outlineLevel="0" collapsed="false">
      <c r="A133" s="20" t="s">
        <v>783</v>
      </c>
      <c r="B133" s="20" t="n">
        <v>2025</v>
      </c>
      <c r="C133" s="21" t="n">
        <v>-21</v>
      </c>
      <c r="D133" s="22" t="n">
        <v>-810.8</v>
      </c>
      <c r="E133" s="20" t="n">
        <f aca="false">IFERROR(INDEX('Catalog'!$A:$A,MATCH($A133,'Catalog'!$B:$B,0)),IFERROR(INDEX('Catalog'!$A:$A,MATCH(TRIM(SUBSTITUTE($A133,CHAR(160)," ")),'Catalog'!$C:$C,0)),""))</f>
        <v>4409002</v>
      </c>
      <c r="F133" s="20" t="str">
        <f aca="false">IF($E133="","Unmatched","Matched")</f>
        <v>Matched</v>
      </c>
    </row>
    <row r="134" customFormat="false" ht="15" hidden="false" customHeight="false" outlineLevel="0" collapsed="false">
      <c r="A134" s="20" t="s">
        <v>443</v>
      </c>
      <c r="B134" s="20" t="n">
        <v>2025</v>
      </c>
      <c r="C134" s="21" t="n">
        <v>686</v>
      </c>
      <c r="D134" s="22" t="n">
        <v>15450.1</v>
      </c>
      <c r="E134" s="20" t="n">
        <f aca="false">IFERROR(INDEX('Catalog'!$A:$A,MATCH($A134,'Catalog'!$B:$B,0)),IFERROR(INDEX('Catalog'!$A:$A,MATCH(TRIM(SUBSTITUTE($A134,CHAR(160)," ")),'Catalog'!$C:$C,0)),""))</f>
        <v>4409004</v>
      </c>
      <c r="F134" s="20" t="str">
        <f aca="false">IF($E134="","Unmatched","Matched")</f>
        <v>Matched</v>
      </c>
    </row>
    <row r="135" customFormat="false" ht="15" hidden="false" customHeight="false" outlineLevel="0" collapsed="false">
      <c r="A135" s="20" t="s">
        <v>647</v>
      </c>
      <c r="B135" s="20" t="n">
        <v>2025</v>
      </c>
      <c r="C135" s="21" t="n">
        <v>309</v>
      </c>
      <c r="D135" s="22" t="n">
        <v>8696.6</v>
      </c>
      <c r="E135" s="20" t="n">
        <f aca="false">IFERROR(INDEX('Catalog'!$A:$A,MATCH($A135,'Catalog'!$B:$B,0)),IFERROR(INDEX('Catalog'!$A:$A,MATCH(TRIM(SUBSTITUTE($A135,CHAR(160)," ")),'Catalog'!$C:$C,0)),""))</f>
        <v>4411000</v>
      </c>
      <c r="F135" s="20" t="str">
        <f aca="false">IF($E135="","Unmatched","Matched")</f>
        <v>Matched</v>
      </c>
    </row>
    <row r="136" customFormat="false" ht="15" hidden="false" customHeight="false" outlineLevel="0" collapsed="false">
      <c r="A136" s="20" t="s">
        <v>625</v>
      </c>
      <c r="B136" s="20" t="n">
        <v>2025</v>
      </c>
      <c r="C136" s="21" t="n">
        <v>222</v>
      </c>
      <c r="D136" s="22" t="n">
        <v>5823</v>
      </c>
      <c r="E136" s="20" t="n">
        <f aca="false">IFERROR(INDEX('Catalog'!$A:$A,MATCH($A136,'Catalog'!$B:$B,0)),IFERROR(INDEX('Catalog'!$A:$A,MATCH(TRIM(SUBSTITUTE($A136,CHAR(160)," ")),'Catalog'!$C:$C,0)),""))</f>
        <v>4411001</v>
      </c>
      <c r="F136" s="20" t="str">
        <f aca="false">IF($E136="","Unmatched","Matched")</f>
        <v>Matched</v>
      </c>
    </row>
    <row r="137" customFormat="false" ht="15" hidden="false" customHeight="false" outlineLevel="0" collapsed="false">
      <c r="A137" s="20" t="s">
        <v>645</v>
      </c>
      <c r="B137" s="20" t="n">
        <v>2025</v>
      </c>
      <c r="C137" s="21" t="n">
        <v>49</v>
      </c>
      <c r="D137" s="22" t="n">
        <v>2276.2</v>
      </c>
      <c r="E137" s="20" t="n">
        <f aca="false">IFERROR(INDEX('Catalog'!$A:$A,MATCH($A137,'Catalog'!$B:$B,0)),IFERROR(INDEX('Catalog'!$A:$A,MATCH(TRIM(SUBSTITUTE($A137,CHAR(160)," ")),'Catalog'!$C:$C,0)),""))</f>
        <v>4411015</v>
      </c>
      <c r="F137" s="20" t="str">
        <f aca="false">IF($E137="","Unmatched","Matched")</f>
        <v>Matched</v>
      </c>
    </row>
    <row r="138" customFormat="false" ht="15" hidden="false" customHeight="false" outlineLevel="0" collapsed="false">
      <c r="A138" s="20" t="s">
        <v>786</v>
      </c>
      <c r="B138" s="20" t="n">
        <v>2025</v>
      </c>
      <c r="C138" s="21" t="n">
        <v>6</v>
      </c>
      <c r="D138" s="22" t="n">
        <v>388.7</v>
      </c>
      <c r="E138" s="20" t="n">
        <f aca="false">IFERROR(INDEX('Catalog'!$A:$A,MATCH($A138,'Catalog'!$B:$B,0)),IFERROR(INDEX('Catalog'!$A:$A,MATCH(TRIM(SUBSTITUTE($A138,CHAR(160)," ")),'Catalog'!$C:$C,0)),""))</f>
        <v>4413000</v>
      </c>
      <c r="F138" s="20" t="str">
        <f aca="false">IF($E138="","Unmatched","Matched")</f>
        <v>Matched</v>
      </c>
    </row>
    <row r="139" customFormat="false" ht="15" hidden="false" customHeight="false" outlineLevel="0" collapsed="false">
      <c r="A139" s="20" t="s">
        <v>784</v>
      </c>
      <c r="B139" s="20" t="n">
        <v>2025</v>
      </c>
      <c r="C139" s="21" t="n">
        <v>14</v>
      </c>
      <c r="D139" s="22" t="n">
        <v>917</v>
      </c>
      <c r="E139" s="20" t="n">
        <f aca="false">IFERROR(INDEX('Catalog'!$A:$A,MATCH($A139,'Catalog'!$B:$B,0)),IFERROR(INDEX('Catalog'!$A:$A,MATCH(TRIM(SUBSTITUTE($A139,CHAR(160)," ")),'Catalog'!$C:$C,0)),""))</f>
        <v>4413002</v>
      </c>
      <c r="F139" s="20" t="str">
        <f aca="false">IF($E139="","Unmatched","Matched")</f>
        <v>Matched</v>
      </c>
    </row>
    <row r="140" customFormat="false" ht="15" hidden="false" customHeight="false" outlineLevel="0" collapsed="false">
      <c r="A140" s="20" t="s">
        <v>785</v>
      </c>
      <c r="B140" s="20" t="n">
        <v>2025</v>
      </c>
      <c r="C140" s="21" t="n">
        <v>6</v>
      </c>
      <c r="D140" s="22" t="n">
        <v>373.1</v>
      </c>
      <c r="E140" s="20" t="n">
        <f aca="false">IFERROR(INDEX('Catalog'!$A:$A,MATCH($A140,'Catalog'!$B:$B,0)),IFERROR(INDEX('Catalog'!$A:$A,MATCH(TRIM(SUBSTITUTE($A140,CHAR(160)," ")),'Catalog'!$C:$C,0)),""))</f>
        <v>4413003</v>
      </c>
      <c r="F140" s="20" t="str">
        <f aca="false">IF($E140="","Unmatched","Matched")</f>
        <v>Matched</v>
      </c>
    </row>
    <row r="141" customFormat="false" ht="15" hidden="false" customHeight="false" outlineLevel="0" collapsed="false">
      <c r="A141" s="20" t="s">
        <v>787</v>
      </c>
      <c r="B141" s="20" t="n">
        <v>2025</v>
      </c>
      <c r="C141" s="21" t="n">
        <v>11</v>
      </c>
      <c r="D141" s="22" t="n">
        <v>711.5</v>
      </c>
      <c r="E141" s="20" t="n">
        <f aca="false">IFERROR(INDEX('Catalog'!$A:$A,MATCH($A141,'Catalog'!$B:$B,0)),IFERROR(INDEX('Catalog'!$A:$A,MATCH(TRIM(SUBSTITUTE($A141,CHAR(160)," ")),'Catalog'!$C:$C,0)),""))</f>
        <v>4413004</v>
      </c>
      <c r="F141" s="20" t="str">
        <f aca="false">IF($E141="","Unmatched","Matched")</f>
        <v>Matched</v>
      </c>
    </row>
    <row r="142" customFormat="false" ht="15" hidden="false" customHeight="false" outlineLevel="0" collapsed="false">
      <c r="A142" s="20" t="s">
        <v>788</v>
      </c>
      <c r="B142" s="20" t="n">
        <v>2025</v>
      </c>
      <c r="C142" s="21" t="n">
        <v>2</v>
      </c>
      <c r="D142" s="22" t="n">
        <v>130.4</v>
      </c>
      <c r="E142" s="20" t="n">
        <f aca="false">IFERROR(INDEX('Catalog'!$A:$A,MATCH($A142,'Catalog'!$B:$B,0)),IFERROR(INDEX('Catalog'!$A:$A,MATCH(TRIM(SUBSTITUTE($A142,CHAR(160)," ")),'Catalog'!$C:$C,0)),""))</f>
        <v>4413005</v>
      </c>
      <c r="F142" s="20" t="str">
        <f aca="false">IF($E142="","Unmatched","Matched")</f>
        <v>Matched</v>
      </c>
    </row>
    <row r="143" customFormat="false" ht="15" hidden="false" customHeight="false" outlineLevel="0" collapsed="false">
      <c r="A143" s="20" t="s">
        <v>494</v>
      </c>
      <c r="B143" s="20" t="n">
        <v>2025</v>
      </c>
      <c r="C143" s="21" t="n">
        <v>1</v>
      </c>
      <c r="D143" s="22" t="n">
        <v>118.5</v>
      </c>
      <c r="E143" s="20" t="n">
        <f aca="false">IFERROR(INDEX('Catalog'!$A:$A,MATCH($A143,'Catalog'!$B:$B,0)),IFERROR(INDEX('Catalog'!$A:$A,MATCH(TRIM(SUBSTITUTE($A143,CHAR(160)," ")),'Catalog'!$C:$C,0)),""))</f>
        <v>4413018</v>
      </c>
      <c r="F143" s="20" t="str">
        <f aca="false">IF($E143="","Unmatched","Matched")</f>
        <v>Matched</v>
      </c>
    </row>
    <row r="144" customFormat="false" ht="15" hidden="false" customHeight="false" outlineLevel="0" collapsed="false">
      <c r="A144" s="20" t="s">
        <v>496</v>
      </c>
      <c r="B144" s="20" t="n">
        <v>2025</v>
      </c>
      <c r="C144" s="21" t="n">
        <v>6</v>
      </c>
      <c r="D144" s="22" t="n">
        <v>706.5</v>
      </c>
      <c r="E144" s="20" t="n">
        <f aca="false">IFERROR(INDEX('Catalog'!$A:$A,MATCH($A144,'Catalog'!$B:$B,0)),IFERROR(INDEX('Catalog'!$A:$A,MATCH(TRIM(SUBSTITUTE($A144,CHAR(160)," ")),'Catalog'!$C:$C,0)),""))</f>
        <v>4413020</v>
      </c>
      <c r="F144" s="20" t="str">
        <f aca="false">IF($E144="","Unmatched","Matched")</f>
        <v>Matched</v>
      </c>
    </row>
    <row r="145" customFormat="false" ht="15" hidden="false" customHeight="false" outlineLevel="0" collapsed="false">
      <c r="A145" s="20" t="s">
        <v>497</v>
      </c>
      <c r="B145" s="20" t="n">
        <v>2025</v>
      </c>
      <c r="C145" s="21" t="n">
        <v>10</v>
      </c>
      <c r="D145" s="22" t="n">
        <v>1109</v>
      </c>
      <c r="E145" s="20" t="n">
        <f aca="false">IFERROR(INDEX('Catalog'!$A:$A,MATCH($A145,'Catalog'!$B:$B,0)),IFERROR(INDEX('Catalog'!$A:$A,MATCH(TRIM(SUBSTITUTE($A145,CHAR(160)," ")),'Catalog'!$C:$C,0)),""))</f>
        <v>4413021</v>
      </c>
      <c r="F145" s="20" t="str">
        <f aca="false">IF($E145="","Unmatched","Matched")</f>
        <v>Matched</v>
      </c>
    </row>
    <row r="146" customFormat="false" ht="15" hidden="false" customHeight="false" outlineLevel="0" collapsed="false">
      <c r="A146" s="20" t="s">
        <v>498</v>
      </c>
      <c r="B146" s="20" t="n">
        <v>2025</v>
      </c>
      <c r="C146" s="21" t="n">
        <v>3</v>
      </c>
      <c r="D146" s="22" t="n">
        <v>327</v>
      </c>
      <c r="E146" s="20" t="n">
        <f aca="false">IFERROR(INDEX('Catalog'!$A:$A,MATCH($A146,'Catalog'!$B:$B,0)),IFERROR(INDEX('Catalog'!$A:$A,MATCH(TRIM(SUBSTITUTE($A146,CHAR(160)," ")),'Catalog'!$C:$C,0)),""))</f>
        <v>4413022</v>
      </c>
      <c r="F146" s="20" t="str">
        <f aca="false">IF($E146="","Unmatched","Matched")</f>
        <v>Matched</v>
      </c>
    </row>
    <row r="147" customFormat="false" ht="15" hidden="false" customHeight="false" outlineLevel="0" collapsed="false">
      <c r="A147" s="20" t="s">
        <v>619</v>
      </c>
      <c r="B147" s="20" t="n">
        <v>2025</v>
      </c>
      <c r="C147" s="21" t="n">
        <v>747</v>
      </c>
      <c r="D147" s="22" t="n">
        <v>12637.2</v>
      </c>
      <c r="E147" s="20" t="n">
        <f aca="false">IFERROR(INDEX('Catalog'!$A:$A,MATCH($A147,'Catalog'!$B:$B,0)),IFERROR(INDEX('Catalog'!$A:$A,MATCH(TRIM(SUBSTITUTE($A147,CHAR(160)," ")),'Catalog'!$C:$C,0)),""))</f>
        <v>4413033</v>
      </c>
      <c r="F147" s="20" t="str">
        <f aca="false">IF($E147="","Unmatched","Matched")</f>
        <v>Matched</v>
      </c>
    </row>
    <row r="148" customFormat="false" ht="15" hidden="false" customHeight="false" outlineLevel="0" collapsed="false">
      <c r="A148" s="20" t="s">
        <v>620</v>
      </c>
      <c r="B148" s="20" t="n">
        <v>2025</v>
      </c>
      <c r="C148" s="21" t="n">
        <v>116</v>
      </c>
      <c r="D148" s="22" t="n">
        <v>2425</v>
      </c>
      <c r="E148" s="20" t="n">
        <f aca="false">IFERROR(INDEX('Catalog'!$A:$A,MATCH($A148,'Catalog'!$B:$B,0)),IFERROR(INDEX('Catalog'!$A:$A,MATCH(TRIM(SUBSTITUTE($A148,CHAR(160)," ")),'Catalog'!$C:$C,0)),""))</f>
        <v>4413034</v>
      </c>
      <c r="F148" s="20" t="str">
        <f aca="false">IF($E148="","Unmatched","Matched")</f>
        <v>Matched</v>
      </c>
    </row>
    <row r="149" customFormat="false" ht="15" hidden="false" customHeight="false" outlineLevel="0" collapsed="false">
      <c r="A149" s="20" t="s">
        <v>808</v>
      </c>
      <c r="B149" s="20" t="n">
        <v>2025</v>
      </c>
      <c r="C149" s="21" t="n">
        <v>202</v>
      </c>
      <c r="D149" s="22" t="n">
        <v>8926.9</v>
      </c>
      <c r="E149" s="20" t="n">
        <f aca="false">IFERROR(INDEX('Catalog'!$A:$A,MATCH($A149,'Catalog'!$B:$B,0)),IFERROR(INDEX('Catalog'!$A:$A,MATCH(TRIM(SUBSTITUTE($A149,CHAR(160)," ")),'Catalog'!$C:$C,0)),""))</f>
        <v>4413041</v>
      </c>
      <c r="F149" s="20" t="str">
        <f aca="false">IF($E149="","Unmatched","Matched")</f>
        <v>Matched</v>
      </c>
    </row>
    <row r="150" customFormat="false" ht="15" hidden="false" customHeight="false" outlineLevel="0" collapsed="false">
      <c r="A150" s="20" t="s">
        <v>809</v>
      </c>
      <c r="B150" s="20" t="n">
        <v>2025</v>
      </c>
      <c r="C150" s="21" t="n">
        <v>79</v>
      </c>
      <c r="D150" s="22" t="n">
        <v>3456.2</v>
      </c>
      <c r="E150" s="20" t="n">
        <f aca="false">IFERROR(INDEX('Catalog'!$A:$A,MATCH($A150,'Catalog'!$B:$B,0)),IFERROR(INDEX('Catalog'!$A:$A,MATCH(TRIM(SUBSTITUTE($A150,CHAR(160)," ")),'Catalog'!$C:$C,0)),""))</f>
        <v>4413042</v>
      </c>
      <c r="F150" s="20" t="str">
        <f aca="false">IF($E150="","Unmatched","Matched")</f>
        <v>Matched</v>
      </c>
    </row>
    <row r="151" customFormat="false" ht="15" hidden="false" customHeight="false" outlineLevel="0" collapsed="false">
      <c r="A151" s="20" t="s">
        <v>807</v>
      </c>
      <c r="B151" s="20" t="n">
        <v>2025</v>
      </c>
      <c r="C151" s="21" t="n">
        <v>180</v>
      </c>
      <c r="D151" s="22" t="n">
        <v>8085.9</v>
      </c>
      <c r="E151" s="20" t="n">
        <f aca="false">IFERROR(INDEX('Catalog'!$A:$A,MATCH($A151,'Catalog'!$B:$B,0)),IFERROR(INDEX('Catalog'!$A:$A,MATCH(TRIM(SUBSTITUTE($A151,CHAR(160)," ")),'Catalog'!$C:$C,0)),""))</f>
        <v>4413043</v>
      </c>
      <c r="F151" s="20" t="str">
        <f aca="false">IF($E151="","Unmatched","Matched")</f>
        <v>Matched</v>
      </c>
    </row>
    <row r="152" customFormat="false" ht="15" hidden="false" customHeight="false" outlineLevel="0" collapsed="false">
      <c r="A152" s="20" t="s">
        <v>810</v>
      </c>
      <c r="B152" s="20" t="n">
        <v>2025</v>
      </c>
      <c r="C152" s="21" t="n">
        <v>113</v>
      </c>
      <c r="D152" s="22" t="n">
        <v>5045</v>
      </c>
      <c r="E152" s="20" t="n">
        <f aca="false">IFERROR(INDEX('Catalog'!$A:$A,MATCH($A152,'Catalog'!$B:$B,0)),IFERROR(INDEX('Catalog'!$A:$A,MATCH(TRIM(SUBSTITUTE($A152,CHAR(160)," ")),'Catalog'!$C:$C,0)),""))</f>
        <v>4413044</v>
      </c>
      <c r="F152" s="20" t="str">
        <f aca="false">IF($E152="","Unmatched","Matched")</f>
        <v>Matched</v>
      </c>
    </row>
    <row r="153" customFormat="false" ht="15" hidden="false" customHeight="false" outlineLevel="0" collapsed="false">
      <c r="A153" s="20" t="s">
        <v>811</v>
      </c>
      <c r="B153" s="20" t="n">
        <v>2025</v>
      </c>
      <c r="C153" s="21" t="n">
        <v>10</v>
      </c>
      <c r="D153" s="22" t="n">
        <v>439.2</v>
      </c>
      <c r="E153" s="20" t="n">
        <f aca="false">IFERROR(INDEX('Catalog'!$A:$A,MATCH($A153,'Catalog'!$B:$B,0)),IFERROR(INDEX('Catalog'!$A:$A,MATCH(TRIM(SUBSTITUTE($A153,CHAR(160)," ")),'Catalog'!$C:$C,0)),""))</f>
        <v>4413045</v>
      </c>
      <c r="F153" s="20" t="str">
        <f aca="false">IF($E153="","Unmatched","Matched")</f>
        <v>Matched</v>
      </c>
    </row>
    <row r="154" customFormat="false" ht="15" hidden="false" customHeight="false" outlineLevel="0" collapsed="false">
      <c r="A154" s="20" t="s">
        <v>812</v>
      </c>
      <c r="B154" s="20" t="n">
        <v>2025</v>
      </c>
      <c r="C154" s="21" t="n">
        <v>24</v>
      </c>
      <c r="D154" s="22" t="n">
        <v>1092</v>
      </c>
      <c r="E154" s="20" t="n">
        <f aca="false">IFERROR(INDEX('Catalog'!$A:$A,MATCH($A154,'Catalog'!$B:$B,0)),IFERROR(INDEX('Catalog'!$A:$A,MATCH(TRIM(SUBSTITUTE($A154,CHAR(160)," ")),'Catalog'!$C:$C,0)),""))</f>
        <v>4413046</v>
      </c>
      <c r="F154" s="20" t="str">
        <f aca="false">IF($E154="","Unmatched","Matched")</f>
        <v>Matched</v>
      </c>
    </row>
    <row r="155" customFormat="false" ht="15" hidden="false" customHeight="false" outlineLevel="0" collapsed="false">
      <c r="A155" s="20" t="s">
        <v>820</v>
      </c>
      <c r="B155" s="20" t="n">
        <v>2025</v>
      </c>
      <c r="C155" s="21" t="n">
        <v>112</v>
      </c>
      <c r="D155" s="22" t="n">
        <v>3338.7</v>
      </c>
      <c r="E155" s="20" t="n">
        <f aca="false">IFERROR(INDEX('Catalog'!$A:$A,MATCH($A155,'Catalog'!$B:$B,0)),IFERROR(INDEX('Catalog'!$A:$A,MATCH(TRIM(SUBSTITUTE($A155,CHAR(160)," ")),'Catalog'!$C:$C,0)),""))</f>
        <v>4413047</v>
      </c>
      <c r="F155" s="20" t="str">
        <f aca="false">IF($E155="","Unmatched","Matched")</f>
        <v>Matched</v>
      </c>
    </row>
    <row r="156" customFormat="false" ht="15" hidden="false" customHeight="false" outlineLevel="0" collapsed="false">
      <c r="A156" s="20" t="s">
        <v>818</v>
      </c>
      <c r="B156" s="20" t="n">
        <v>2025</v>
      </c>
      <c r="C156" s="21" t="n">
        <v>207</v>
      </c>
      <c r="D156" s="22" t="n">
        <v>6098.2</v>
      </c>
      <c r="E156" s="20" t="n">
        <f aca="false">IFERROR(INDEX('Catalog'!$A:$A,MATCH($A156,'Catalog'!$B:$B,0)),IFERROR(INDEX('Catalog'!$A:$A,MATCH(TRIM(SUBSTITUTE($A156,CHAR(160)," ")),'Catalog'!$C:$C,0)),""))</f>
        <v>4413048</v>
      </c>
      <c r="F156" s="20" t="str">
        <f aca="false">IF($E156="","Unmatched","Matched")</f>
        <v>Matched</v>
      </c>
    </row>
    <row r="157" customFormat="false" ht="15" hidden="false" customHeight="false" outlineLevel="0" collapsed="false">
      <c r="A157" s="20" t="s">
        <v>819</v>
      </c>
      <c r="B157" s="20" t="n">
        <v>2025</v>
      </c>
      <c r="C157" s="21" t="n">
        <v>222</v>
      </c>
      <c r="D157" s="22" t="n">
        <v>6497.8</v>
      </c>
      <c r="E157" s="20" t="n">
        <f aca="false">IFERROR(INDEX('Catalog'!$A:$A,MATCH($A157,'Catalog'!$B:$B,0)),IFERROR(INDEX('Catalog'!$A:$A,MATCH(TRIM(SUBSTITUTE($A157,CHAR(160)," ")),'Catalog'!$C:$C,0)),""))</f>
        <v>4413049</v>
      </c>
      <c r="F157" s="20" t="str">
        <f aca="false">IF($E157="","Unmatched","Matched")</f>
        <v>Matched</v>
      </c>
    </row>
    <row r="158" customFormat="false" ht="15" hidden="false" customHeight="false" outlineLevel="0" collapsed="false">
      <c r="A158" s="20" t="s">
        <v>821</v>
      </c>
      <c r="B158" s="20" t="n">
        <v>2025</v>
      </c>
      <c r="C158" s="21" t="n">
        <v>154</v>
      </c>
      <c r="D158" s="22" t="n">
        <v>4593.1</v>
      </c>
      <c r="E158" s="20" t="n">
        <f aca="false">IFERROR(INDEX('Catalog'!$A:$A,MATCH($A158,'Catalog'!$B:$B,0)),IFERROR(INDEX('Catalog'!$A:$A,MATCH(TRIM(SUBSTITUTE($A158,CHAR(160)," ")),'Catalog'!$C:$C,0)),""))</f>
        <v>4413050</v>
      </c>
      <c r="F158" s="20" t="str">
        <f aca="false">IF($E158="","Unmatched","Matched")</f>
        <v>Matched</v>
      </c>
    </row>
    <row r="159" customFormat="false" ht="15" hidden="false" customHeight="false" outlineLevel="0" collapsed="false">
      <c r="A159" s="20" t="s">
        <v>823</v>
      </c>
      <c r="B159" s="20" t="n">
        <v>2025</v>
      </c>
      <c r="C159" s="21" t="n">
        <v>83</v>
      </c>
      <c r="D159" s="22" t="n">
        <v>2446.1</v>
      </c>
      <c r="E159" s="20" t="n">
        <f aca="false">IFERROR(INDEX('Catalog'!$A:$A,MATCH($A159,'Catalog'!$B:$B,0)),IFERROR(INDEX('Catalog'!$A:$A,MATCH(TRIM(SUBSTITUTE($A159,CHAR(160)," ")),'Catalog'!$C:$C,0)),""))</f>
        <v>4413051</v>
      </c>
      <c r="F159" s="20" t="str">
        <f aca="false">IF($E159="","Unmatched","Matched")</f>
        <v>Matched</v>
      </c>
    </row>
    <row r="160" customFormat="false" ht="15" hidden="false" customHeight="false" outlineLevel="0" collapsed="false">
      <c r="A160" s="20" t="s">
        <v>831</v>
      </c>
      <c r="B160" s="20" t="n">
        <v>2025</v>
      </c>
      <c r="C160" s="21" t="n">
        <v>229</v>
      </c>
      <c r="D160" s="22" t="n">
        <v>6805.6</v>
      </c>
      <c r="E160" s="20" t="n">
        <f aca="false">IFERROR(INDEX('Catalog'!$A:$A,MATCH($A160,'Catalog'!$B:$B,0)),IFERROR(INDEX('Catalog'!$A:$A,MATCH(TRIM(SUBSTITUTE($A160,CHAR(160)," ")),'Catalog'!$C:$C,0)),""))</f>
        <v>4413052</v>
      </c>
      <c r="F160" s="20" t="str">
        <f aca="false">IF($E160="","Unmatched","Matched")</f>
        <v>Matched</v>
      </c>
    </row>
    <row r="161" customFormat="false" ht="15" hidden="false" customHeight="false" outlineLevel="0" collapsed="false">
      <c r="A161" s="20" t="s">
        <v>829</v>
      </c>
      <c r="B161" s="20" t="n">
        <v>2025</v>
      </c>
      <c r="C161" s="21" t="n">
        <v>404</v>
      </c>
      <c r="D161" s="22" t="n">
        <v>12092.6</v>
      </c>
      <c r="E161" s="20" t="n">
        <f aca="false">IFERROR(INDEX('Catalog'!$A:$A,MATCH($A161,'Catalog'!$B:$B,0)),IFERROR(INDEX('Catalog'!$A:$A,MATCH(TRIM(SUBSTITUTE($A161,CHAR(160)," ")),'Catalog'!$C:$C,0)),""))</f>
        <v>4413053</v>
      </c>
      <c r="F161" s="20" t="str">
        <f aca="false">IF($E161="","Unmatched","Matched")</f>
        <v>Matched</v>
      </c>
    </row>
    <row r="162" customFormat="false" ht="15" hidden="false" customHeight="false" outlineLevel="0" collapsed="false">
      <c r="A162" s="20" t="s">
        <v>830</v>
      </c>
      <c r="B162" s="20" t="n">
        <v>2025</v>
      </c>
      <c r="C162" s="21" t="n">
        <v>376</v>
      </c>
      <c r="D162" s="22" t="n">
        <v>11213</v>
      </c>
      <c r="E162" s="20" t="n">
        <f aca="false">IFERROR(INDEX('Catalog'!$A:$A,MATCH($A162,'Catalog'!$B:$B,0)),IFERROR(INDEX('Catalog'!$A:$A,MATCH(TRIM(SUBSTITUTE($A162,CHAR(160)," ")),'Catalog'!$C:$C,0)),""))</f>
        <v>4413054</v>
      </c>
      <c r="F162" s="20" t="str">
        <f aca="false">IF($E162="","Unmatched","Matched")</f>
        <v>Matched</v>
      </c>
    </row>
    <row r="163" customFormat="false" ht="15" hidden="false" customHeight="false" outlineLevel="0" collapsed="false">
      <c r="A163" s="20" t="s">
        <v>832</v>
      </c>
      <c r="B163" s="20" t="n">
        <v>2025</v>
      </c>
      <c r="C163" s="21" t="n">
        <v>242</v>
      </c>
      <c r="D163" s="22" t="n">
        <v>7230.6</v>
      </c>
      <c r="E163" s="20" t="n">
        <f aca="false">IFERROR(INDEX('Catalog'!$A:$A,MATCH($A163,'Catalog'!$B:$B,0)),IFERROR(INDEX('Catalog'!$A:$A,MATCH(TRIM(SUBSTITUTE($A163,CHAR(160)," ")),'Catalog'!$C:$C,0)),""))</f>
        <v>4413055</v>
      </c>
      <c r="F163" s="20" t="str">
        <f aca="false">IF($E163="","Unmatched","Matched")</f>
        <v>Matched</v>
      </c>
    </row>
    <row r="164" customFormat="false" ht="15" hidden="false" customHeight="false" outlineLevel="0" collapsed="false">
      <c r="A164" s="20" t="s">
        <v>479</v>
      </c>
      <c r="B164" s="20" t="n">
        <v>2025</v>
      </c>
      <c r="C164" s="21" t="n">
        <v>78</v>
      </c>
      <c r="D164" s="22" t="n">
        <v>1748.1</v>
      </c>
      <c r="E164" s="20" t="n">
        <f aca="false">IFERROR(INDEX('Catalog'!$A:$A,MATCH($A164,'Catalog'!$B:$B,0)),IFERROR(INDEX('Catalog'!$A:$A,MATCH(TRIM(SUBSTITUTE($A164,CHAR(160)," ")),'Catalog'!$C:$C,0)),""))</f>
        <v>4413056</v>
      </c>
      <c r="F164" s="20" t="str">
        <f aca="false">IF($E164="","Unmatched","Matched")</f>
        <v>Matched</v>
      </c>
    </row>
    <row r="165" customFormat="false" ht="15" hidden="false" customHeight="false" outlineLevel="0" collapsed="false">
      <c r="A165" s="20" t="s">
        <v>624</v>
      </c>
      <c r="B165" s="20" t="n">
        <v>2025</v>
      </c>
      <c r="C165" s="21" t="n">
        <v>113</v>
      </c>
      <c r="D165" s="22" t="n">
        <v>3446.7</v>
      </c>
      <c r="E165" s="20" t="n">
        <f aca="false">IFERROR(INDEX('Catalog'!$A:$A,MATCH($A165,'Catalog'!$B:$B,0)),IFERROR(INDEX('Catalog'!$A:$A,MATCH(TRIM(SUBSTITUTE($A165,CHAR(160)," ")),'Catalog'!$C:$C,0)),""))</f>
        <v>4413058</v>
      </c>
      <c r="F165" s="20" t="str">
        <f aca="false">IF($E165="","Unmatched","Matched")</f>
        <v>Matched</v>
      </c>
    </row>
    <row r="166" customFormat="false" ht="15" hidden="false" customHeight="false" outlineLevel="0" collapsed="false">
      <c r="A166" s="20" t="s">
        <v>629</v>
      </c>
      <c r="B166" s="20" t="n">
        <v>2025</v>
      </c>
      <c r="C166" s="21" t="n">
        <v>1030</v>
      </c>
      <c r="D166" s="22" t="n">
        <v>14055.4</v>
      </c>
      <c r="E166" s="20" t="n">
        <f aca="false">IFERROR(INDEX('Catalog'!$A:$A,MATCH($A166,'Catalog'!$B:$B,0)),IFERROR(INDEX('Catalog'!$A:$A,MATCH(TRIM(SUBSTITUTE($A166,CHAR(160)," ")),'Catalog'!$C:$C,0)),""))</f>
        <v>4413059</v>
      </c>
      <c r="F166" s="20" t="str">
        <f aca="false">IF($E166="","Unmatched","Matched")</f>
        <v>Matched</v>
      </c>
    </row>
    <row r="167" customFormat="false" ht="15" hidden="false" customHeight="false" outlineLevel="0" collapsed="false">
      <c r="A167" s="20" t="s">
        <v>627</v>
      </c>
      <c r="B167" s="20" t="n">
        <v>2025</v>
      </c>
      <c r="C167" s="21" t="n">
        <v>521</v>
      </c>
      <c r="D167" s="22" t="n">
        <v>7118.4</v>
      </c>
      <c r="E167" s="20" t="n">
        <f aca="false">IFERROR(INDEX('Catalog'!$A:$A,MATCH($A167,'Catalog'!$B:$B,0)),IFERROR(INDEX('Catalog'!$A:$A,MATCH(TRIM(SUBSTITUTE($A167,CHAR(160)," ")),'Catalog'!$C:$C,0)),""))</f>
        <v>4413060</v>
      </c>
      <c r="F167" s="20" t="str">
        <f aca="false">IF($E167="","Unmatched","Matched")</f>
        <v>Matched</v>
      </c>
    </row>
    <row r="168" customFormat="false" ht="15" hidden="false" customHeight="false" outlineLevel="0" collapsed="false">
      <c r="A168" s="20" t="s">
        <v>628</v>
      </c>
      <c r="B168" s="20" t="n">
        <v>2025</v>
      </c>
      <c r="C168" s="21" t="n">
        <v>167</v>
      </c>
      <c r="D168" s="22" t="n">
        <v>3307.6</v>
      </c>
      <c r="E168" s="20" t="n">
        <f aca="false">IFERROR(INDEX('Catalog'!$A:$A,MATCH($A168,'Catalog'!$B:$B,0)),IFERROR(INDEX('Catalog'!$A:$A,MATCH(TRIM(SUBSTITUTE($A168,CHAR(160)," ")),'Catalog'!$C:$C,0)),""))</f>
        <v>4413061</v>
      </c>
      <c r="F168" s="20" t="str">
        <f aca="false">IF($E168="","Unmatched","Matched")</f>
        <v>Matched</v>
      </c>
    </row>
    <row r="169" customFormat="false" ht="15" hidden="false" customHeight="false" outlineLevel="0" collapsed="false">
      <c r="A169" s="20" t="s">
        <v>634</v>
      </c>
      <c r="B169" s="20" t="n">
        <v>2025</v>
      </c>
      <c r="C169" s="21" t="n">
        <v>260</v>
      </c>
      <c r="D169" s="22" t="n">
        <v>4077.9</v>
      </c>
      <c r="E169" s="20" t="n">
        <f aca="false">IFERROR(INDEX('Catalog'!$A:$A,MATCH($A169,'Catalog'!$B:$B,0)),IFERROR(INDEX('Catalog'!$A:$A,MATCH(TRIM(SUBSTITUTE($A169,CHAR(160)," ")),'Catalog'!$C:$C,0)),""))</f>
        <v>4413063</v>
      </c>
      <c r="F169" s="20" t="str">
        <f aca="false">IF($E169="","Unmatched","Matched")</f>
        <v>Matched</v>
      </c>
    </row>
    <row r="170" customFormat="false" ht="15" hidden="false" customHeight="false" outlineLevel="0" collapsed="false">
      <c r="A170" s="20" t="s">
        <v>638</v>
      </c>
      <c r="B170" s="20" t="n">
        <v>2025</v>
      </c>
      <c r="C170" s="21" t="n">
        <v>149</v>
      </c>
      <c r="D170" s="22" t="n">
        <v>2810.7</v>
      </c>
      <c r="E170" s="20" t="n">
        <f aca="false">IFERROR(INDEX('Catalog'!$A:$A,MATCH($A170,'Catalog'!$B:$B,0)),IFERROR(INDEX('Catalog'!$A:$A,MATCH(TRIM(SUBSTITUTE($A170,CHAR(160)," ")),'Catalog'!$C:$C,0)),""))</f>
        <v>4413066</v>
      </c>
      <c r="F170" s="20" t="str">
        <f aca="false">IF($E170="","Unmatched","Matched")</f>
        <v>Matched</v>
      </c>
    </row>
    <row r="171" customFormat="false" ht="15" hidden="false" customHeight="false" outlineLevel="0" collapsed="false">
      <c r="A171" s="20" t="s">
        <v>643</v>
      </c>
      <c r="B171" s="20" t="n">
        <v>2025</v>
      </c>
      <c r="C171" s="21" t="n">
        <v>-2</v>
      </c>
      <c r="D171" s="22" t="n">
        <v>-152.1</v>
      </c>
      <c r="E171" s="20" t="n">
        <f aca="false">IFERROR(INDEX('Catalog'!$A:$A,MATCH($A171,'Catalog'!$B:$B,0)),IFERROR(INDEX('Catalog'!$A:$A,MATCH(TRIM(SUBSTITUTE($A171,CHAR(160)," ")),'Catalog'!$C:$C,0)),""))</f>
        <v>4413069</v>
      </c>
      <c r="F171" s="20" t="str">
        <f aca="false">IF($E171="","Unmatched","Matched")</f>
        <v>Matched</v>
      </c>
    </row>
    <row r="172" customFormat="false" ht="15" hidden="false" customHeight="false" outlineLevel="0" collapsed="false">
      <c r="A172" s="20" t="s">
        <v>644</v>
      </c>
      <c r="B172" s="20" t="n">
        <v>2025</v>
      </c>
      <c r="C172" s="21" t="n">
        <v>-1</v>
      </c>
      <c r="D172" s="22" t="n">
        <v>-74</v>
      </c>
      <c r="E172" s="20" t="n">
        <f aca="false">IFERROR(INDEX('Catalog'!$A:$A,MATCH($A172,'Catalog'!$B:$B,0)),IFERROR(INDEX('Catalog'!$A:$A,MATCH(TRIM(SUBSTITUTE($A172,CHAR(160)," ")),'Catalog'!$C:$C,0)),""))</f>
        <v>4413070</v>
      </c>
      <c r="F172" s="20" t="str">
        <f aca="false">IF($E172="","Unmatched","Matched")</f>
        <v>Matched</v>
      </c>
    </row>
    <row r="173" customFormat="false" ht="15" hidden="false" customHeight="false" outlineLevel="0" collapsed="false">
      <c r="A173" s="20" t="s">
        <v>165</v>
      </c>
      <c r="B173" s="20" t="n">
        <v>2025</v>
      </c>
      <c r="C173" s="21" t="n">
        <v>1</v>
      </c>
      <c r="D173" s="22" t="n">
        <v>118.1</v>
      </c>
      <c r="E173" s="20" t="n">
        <f aca="false">IFERROR(INDEX('Catalog'!$A:$A,MATCH($A173,'Catalog'!$B:$B,0)),IFERROR(INDEX('Catalog'!$A:$A,MATCH(TRIM(SUBSTITUTE($A173,CHAR(160)," ")),'Catalog'!$C:$C,0)),""))</f>
        <v>4413071</v>
      </c>
      <c r="F173" s="20" t="str">
        <f aca="false">IF($E173="","Unmatched","Matched")</f>
        <v>Matched</v>
      </c>
    </row>
    <row r="174" customFormat="false" ht="15" hidden="false" customHeight="false" outlineLevel="0" collapsed="false">
      <c r="A174" s="20" t="s">
        <v>163</v>
      </c>
      <c r="B174" s="20" t="n">
        <v>2025</v>
      </c>
      <c r="C174" s="21" t="n">
        <v>13</v>
      </c>
      <c r="D174" s="22" t="n">
        <v>1545.1</v>
      </c>
      <c r="E174" s="20" t="n">
        <f aca="false">IFERROR(INDEX('Catalog'!$A:$A,MATCH($A174,'Catalog'!$B:$B,0)),IFERROR(INDEX('Catalog'!$A:$A,MATCH(TRIM(SUBSTITUTE($A174,CHAR(160)," ")),'Catalog'!$C:$C,0)),""))</f>
        <v>4413072</v>
      </c>
      <c r="F174" s="20" t="str">
        <f aca="false">IF($E174="","Unmatched","Matched")</f>
        <v>Matched</v>
      </c>
    </row>
    <row r="175" customFormat="false" ht="15" hidden="false" customHeight="false" outlineLevel="0" collapsed="false">
      <c r="A175" s="20" t="s">
        <v>164</v>
      </c>
      <c r="B175" s="20" t="n">
        <v>2025</v>
      </c>
      <c r="C175" s="21" t="n">
        <v>4</v>
      </c>
      <c r="D175" s="22" t="n">
        <v>412.1</v>
      </c>
      <c r="E175" s="20" t="n">
        <f aca="false">IFERROR(INDEX('Catalog'!$A:$A,MATCH($A175,'Catalog'!$B:$B,0)),IFERROR(INDEX('Catalog'!$A:$A,MATCH(TRIM(SUBSTITUTE($A175,CHAR(160)," ")),'Catalog'!$C:$C,0)),""))</f>
        <v>4413073</v>
      </c>
      <c r="F175" s="20" t="str">
        <f aca="false">IF($E175="","Unmatched","Matched")</f>
        <v>Matched</v>
      </c>
    </row>
    <row r="176" customFormat="false" ht="15" hidden="false" customHeight="false" outlineLevel="0" collapsed="false">
      <c r="A176" s="20" t="s">
        <v>162</v>
      </c>
      <c r="B176" s="20" t="n">
        <v>2025</v>
      </c>
      <c r="C176" s="21" t="n">
        <v>11</v>
      </c>
      <c r="D176" s="22" t="n">
        <v>1301.8</v>
      </c>
      <c r="E176" s="20" t="n">
        <f aca="false">IFERROR(INDEX('Catalog'!$A:$A,MATCH($A176,'Catalog'!$B:$B,0)),IFERROR(INDEX('Catalog'!$A:$A,MATCH(TRIM(SUBSTITUTE($A176,CHAR(160)," ")),'Catalog'!$C:$C,0)),""))</f>
        <v>4413074</v>
      </c>
      <c r="F176" s="20" t="str">
        <f aca="false">IF($E176="","Unmatched","Matched")</f>
        <v>Matched</v>
      </c>
    </row>
    <row r="177" customFormat="false" ht="15" hidden="false" customHeight="false" outlineLevel="0" collapsed="false">
      <c r="A177" s="20" t="s">
        <v>168</v>
      </c>
      <c r="B177" s="20" t="n">
        <v>2025</v>
      </c>
      <c r="C177" s="21" t="n">
        <v>7</v>
      </c>
      <c r="D177" s="22" t="n">
        <v>942.1</v>
      </c>
      <c r="E177" s="20" t="n">
        <f aca="false">IFERROR(INDEX('Catalog'!$A:$A,MATCH($A177,'Catalog'!$B:$B,0)),IFERROR(INDEX('Catalog'!$A:$A,MATCH(TRIM(SUBSTITUTE($A177,CHAR(160)," ")),'Catalog'!$C:$C,0)),""))</f>
        <v>4413076</v>
      </c>
      <c r="F177" s="20" t="str">
        <f aca="false">IF($E177="","Unmatched","Matched")</f>
        <v>Matched</v>
      </c>
    </row>
    <row r="178" customFormat="false" ht="15" hidden="false" customHeight="false" outlineLevel="0" collapsed="false">
      <c r="A178" s="20" t="s">
        <v>171</v>
      </c>
      <c r="B178" s="20" t="n">
        <v>2025</v>
      </c>
      <c r="C178" s="21" t="n">
        <v>1</v>
      </c>
      <c r="D178" s="22" t="n">
        <v>135.9</v>
      </c>
      <c r="E178" s="20" t="n">
        <f aca="false">IFERROR(INDEX('Catalog'!$A:$A,MATCH($A178,'Catalog'!$B:$B,0)),IFERROR(INDEX('Catalog'!$A:$A,MATCH(TRIM(SUBSTITUTE($A178,CHAR(160)," ")),'Catalog'!$C:$C,0)),""))</f>
        <v>4413079</v>
      </c>
      <c r="F178" s="20" t="str">
        <f aca="false">IF($E178="","Unmatched","Matched")</f>
        <v>Matched</v>
      </c>
    </row>
    <row r="179" customFormat="false" ht="15" hidden="false" customHeight="false" outlineLevel="0" collapsed="false">
      <c r="A179" s="20" t="s">
        <v>174</v>
      </c>
      <c r="B179" s="20" t="n">
        <v>2025</v>
      </c>
      <c r="C179" s="21" t="n">
        <v>5</v>
      </c>
      <c r="D179" s="22" t="n">
        <v>899.5</v>
      </c>
      <c r="E179" s="20" t="n">
        <f aca="false">IFERROR(INDEX('Catalog'!$A:$A,MATCH($A179,'Catalog'!$B:$B,0)),IFERROR(INDEX('Catalog'!$A:$A,MATCH(TRIM(SUBSTITUTE($A179,CHAR(160)," ")),'Catalog'!$C:$C,0)),""))</f>
        <v>4413087</v>
      </c>
      <c r="F179" s="20" t="str">
        <f aca="false">IF($E179="","Unmatched","Matched")</f>
        <v>Matched</v>
      </c>
    </row>
    <row r="180" customFormat="false" ht="15" hidden="false" customHeight="false" outlineLevel="0" collapsed="false">
      <c r="A180" s="20" t="s">
        <v>175</v>
      </c>
      <c r="B180" s="20" t="n">
        <v>2025</v>
      </c>
      <c r="C180" s="21" t="n">
        <v>2</v>
      </c>
      <c r="D180" s="22" t="n">
        <v>349.7</v>
      </c>
      <c r="E180" s="20" t="n">
        <f aca="false">IFERROR(INDEX('Catalog'!$A:$A,MATCH($A180,'Catalog'!$B:$B,0)),IFERROR(INDEX('Catalog'!$A:$A,MATCH(TRIM(SUBSTITUTE($A180,CHAR(160)," ")),'Catalog'!$C:$C,0)),""))</f>
        <v>4413088</v>
      </c>
      <c r="F180" s="20" t="str">
        <f aca="false">IF($E180="","Unmatched","Matched")</f>
        <v>Matched</v>
      </c>
    </row>
    <row r="181" customFormat="false" ht="15" hidden="false" customHeight="false" outlineLevel="0" collapsed="false">
      <c r="A181" s="20" t="s">
        <v>177</v>
      </c>
      <c r="B181" s="20" t="n">
        <v>2025</v>
      </c>
      <c r="C181" s="21" t="n">
        <v>8</v>
      </c>
      <c r="D181" s="22" t="n">
        <v>1449.2</v>
      </c>
      <c r="E181" s="20" t="n">
        <f aca="false">IFERROR(INDEX('Catalog'!$A:$A,MATCH($A181,'Catalog'!$B:$B,0)),IFERROR(INDEX('Catalog'!$A:$A,MATCH(TRIM(SUBSTITUTE($A181,CHAR(160)," ")),'Catalog'!$C:$C,0)),""))</f>
        <v>4413090</v>
      </c>
      <c r="F181" s="20" t="str">
        <f aca="false">IF($E181="","Unmatched","Matched")</f>
        <v>Matched</v>
      </c>
    </row>
    <row r="182" customFormat="false" ht="15" hidden="false" customHeight="false" outlineLevel="0" collapsed="false">
      <c r="A182" s="20" t="s">
        <v>178</v>
      </c>
      <c r="B182" s="20" t="n">
        <v>2025</v>
      </c>
      <c r="C182" s="21" t="n">
        <v>2</v>
      </c>
      <c r="D182" s="22" t="n">
        <v>374.9</v>
      </c>
      <c r="E182" s="20" t="n">
        <f aca="false">IFERROR(INDEX('Catalog'!$A:$A,MATCH($A182,'Catalog'!$B:$B,0)),IFERROR(INDEX('Catalog'!$A:$A,MATCH(TRIM(SUBSTITUTE($A182,CHAR(160)," ")),'Catalog'!$C:$C,0)),""))</f>
        <v>4413091</v>
      </c>
      <c r="F182" s="20" t="str">
        <f aca="false">IF($E182="","Unmatched","Matched")</f>
        <v>Matched</v>
      </c>
    </row>
    <row r="183" customFormat="false" ht="15" hidden="false" customHeight="false" outlineLevel="0" collapsed="false">
      <c r="A183" s="20" t="s">
        <v>195</v>
      </c>
      <c r="B183" s="20" t="n">
        <v>2025</v>
      </c>
      <c r="C183" s="21" t="n">
        <v>319</v>
      </c>
      <c r="D183" s="22" t="n">
        <v>9500.5</v>
      </c>
      <c r="E183" s="20" t="n">
        <f aca="false">IFERROR(INDEX('Catalog'!$A:$A,MATCH($A183,'Catalog'!$B:$B,0)),IFERROR(INDEX('Catalog'!$A:$A,MATCH(TRIM(SUBSTITUTE($A183,CHAR(160)," ")),'Catalog'!$C:$C,0)),""))</f>
        <v>4413092</v>
      </c>
      <c r="F183" s="20" t="str">
        <f aca="false">IF($E183="","Unmatched","Matched")</f>
        <v>Matched</v>
      </c>
    </row>
    <row r="184" customFormat="false" ht="15" hidden="false" customHeight="false" outlineLevel="0" collapsed="false">
      <c r="A184" s="20" t="s">
        <v>196</v>
      </c>
      <c r="B184" s="20" t="n">
        <v>2025</v>
      </c>
      <c r="C184" s="21" t="n">
        <v>285</v>
      </c>
      <c r="D184" s="22" t="n">
        <v>8439</v>
      </c>
      <c r="E184" s="20" t="n">
        <f aca="false">IFERROR(INDEX('Catalog'!$A:$A,MATCH($A184,'Catalog'!$B:$B,0)),IFERROR(INDEX('Catalog'!$A:$A,MATCH(TRIM(SUBSTITUTE($A184,CHAR(160)," ")),'Catalog'!$C:$C,0)),""))</f>
        <v>4413093</v>
      </c>
      <c r="F184" s="20" t="str">
        <f aca="false">IF($E184="","Unmatched","Matched")</f>
        <v>Matched</v>
      </c>
    </row>
    <row r="185" customFormat="false" ht="15" hidden="false" customHeight="false" outlineLevel="0" collapsed="false">
      <c r="A185" s="20" t="s">
        <v>197</v>
      </c>
      <c r="B185" s="20" t="n">
        <v>2025</v>
      </c>
      <c r="C185" s="21" t="n">
        <v>120</v>
      </c>
      <c r="D185" s="22" t="n">
        <v>3533.1</v>
      </c>
      <c r="E185" s="20" t="n">
        <f aca="false">IFERROR(INDEX('Catalog'!$A:$A,MATCH($A185,'Catalog'!$B:$B,0)),IFERROR(INDEX('Catalog'!$A:$A,MATCH(TRIM(SUBSTITUTE($A185,CHAR(160)," ")),'Catalog'!$C:$C,0)),""))</f>
        <v>4413094</v>
      </c>
      <c r="F185" s="20" t="str">
        <f aca="false">IF($E185="","Unmatched","Matched")</f>
        <v>Matched</v>
      </c>
    </row>
    <row r="186" customFormat="false" ht="15" hidden="false" customHeight="false" outlineLevel="0" collapsed="false">
      <c r="A186" s="20" t="s">
        <v>198</v>
      </c>
      <c r="B186" s="20" t="n">
        <v>2025</v>
      </c>
      <c r="C186" s="21" t="n">
        <v>241</v>
      </c>
      <c r="D186" s="22" t="n">
        <v>7175.7</v>
      </c>
      <c r="E186" s="20" t="n">
        <f aca="false">IFERROR(INDEX('Catalog'!$A:$A,MATCH($A186,'Catalog'!$B:$B,0)),IFERROR(INDEX('Catalog'!$A:$A,MATCH(TRIM(SUBSTITUTE($A186,CHAR(160)," ")),'Catalog'!$C:$C,0)),""))</f>
        <v>4413095</v>
      </c>
      <c r="F186" s="20" t="str">
        <f aca="false">IF($E186="","Unmatched","Matched")</f>
        <v>Matched</v>
      </c>
    </row>
    <row r="187" customFormat="false" ht="15" hidden="false" customHeight="false" outlineLevel="0" collapsed="false">
      <c r="A187" s="20" t="s">
        <v>199</v>
      </c>
      <c r="B187" s="20" t="n">
        <v>2025</v>
      </c>
      <c r="C187" s="21" t="n">
        <v>121</v>
      </c>
      <c r="D187" s="22" t="n">
        <v>3635.4</v>
      </c>
      <c r="E187" s="20" t="n">
        <f aca="false">IFERROR(INDEX('Catalog'!$A:$A,MATCH($A187,'Catalog'!$B:$B,0)),IFERROR(INDEX('Catalog'!$A:$A,MATCH(TRIM(SUBSTITUTE($A187,CHAR(160)," ")),'Catalog'!$C:$C,0)),""))</f>
        <v>4413096</v>
      </c>
      <c r="F187" s="20" t="str">
        <f aca="false">IF($E187="","Unmatched","Matched")</f>
        <v>Matched</v>
      </c>
    </row>
    <row r="188" customFormat="false" ht="15" hidden="false" customHeight="false" outlineLevel="0" collapsed="false">
      <c r="A188" s="20" t="s">
        <v>207</v>
      </c>
      <c r="B188" s="20" t="n">
        <v>2025</v>
      </c>
      <c r="C188" s="21" t="n">
        <v>158</v>
      </c>
      <c r="D188" s="22" t="n">
        <v>4737.2</v>
      </c>
      <c r="E188" s="20" t="n">
        <f aca="false">IFERROR(INDEX('Catalog'!$A:$A,MATCH($A188,'Catalog'!$B:$B,0)),IFERROR(INDEX('Catalog'!$A:$A,MATCH(TRIM(SUBSTITUTE($A188,CHAR(160)," ")),'Catalog'!$C:$C,0)),""))</f>
        <v>4413097</v>
      </c>
      <c r="F188" s="20" t="str">
        <f aca="false">IF($E188="","Unmatched","Matched")</f>
        <v>Matched</v>
      </c>
    </row>
    <row r="189" customFormat="false" ht="15" hidden="false" customHeight="false" outlineLevel="0" collapsed="false">
      <c r="A189" s="20" t="s">
        <v>205</v>
      </c>
      <c r="B189" s="20" t="n">
        <v>2025</v>
      </c>
      <c r="C189" s="21" t="n">
        <v>465</v>
      </c>
      <c r="D189" s="22" t="n">
        <v>13964.7</v>
      </c>
      <c r="E189" s="20" t="n">
        <f aca="false">IFERROR(INDEX('Catalog'!$A:$A,MATCH($A189,'Catalog'!$B:$B,0)),IFERROR(INDEX('Catalog'!$A:$A,MATCH(TRIM(SUBSTITUTE($A189,CHAR(160)," ")),'Catalog'!$C:$C,0)),""))</f>
        <v>4413098</v>
      </c>
      <c r="F189" s="20" t="str">
        <f aca="false">IF($E189="","Unmatched","Matched")</f>
        <v>Matched</v>
      </c>
    </row>
    <row r="190" customFormat="false" ht="15" hidden="false" customHeight="false" outlineLevel="0" collapsed="false">
      <c r="A190" s="20" t="s">
        <v>206</v>
      </c>
      <c r="B190" s="20" t="n">
        <v>2025</v>
      </c>
      <c r="C190" s="21" t="n">
        <v>371</v>
      </c>
      <c r="D190" s="22" t="n">
        <v>11145.9</v>
      </c>
      <c r="E190" s="20" t="n">
        <f aca="false">IFERROR(INDEX('Catalog'!$A:$A,MATCH($A190,'Catalog'!$B:$B,0)),IFERROR(INDEX('Catalog'!$A:$A,MATCH(TRIM(SUBSTITUTE($A190,CHAR(160)," ")),'Catalog'!$C:$C,0)),""))</f>
        <v>4413099</v>
      </c>
      <c r="F190" s="20" t="str">
        <f aca="false">IF($E190="","Unmatched","Matched")</f>
        <v>Matched</v>
      </c>
    </row>
    <row r="191" customFormat="false" ht="15" hidden="false" customHeight="false" outlineLevel="0" collapsed="false">
      <c r="A191" s="20" t="s">
        <v>208</v>
      </c>
      <c r="B191" s="20" t="n">
        <v>2025</v>
      </c>
      <c r="C191" s="21" t="n">
        <v>331</v>
      </c>
      <c r="D191" s="22" t="n">
        <v>9904.8</v>
      </c>
      <c r="E191" s="20" t="n">
        <f aca="false">IFERROR(INDEX('Catalog'!$A:$A,MATCH($A191,'Catalog'!$B:$B,0)),IFERROR(INDEX('Catalog'!$A:$A,MATCH(TRIM(SUBSTITUTE($A191,CHAR(160)," ")),'Catalog'!$C:$C,0)),""))</f>
        <v>4413100</v>
      </c>
      <c r="F191" s="20" t="str">
        <f aca="false">IF($E191="","Unmatched","Matched")</f>
        <v>Matched</v>
      </c>
    </row>
    <row r="192" customFormat="false" ht="15" hidden="false" customHeight="false" outlineLevel="0" collapsed="false">
      <c r="A192" s="20" t="s">
        <v>211</v>
      </c>
      <c r="B192" s="20" t="n">
        <v>2025</v>
      </c>
      <c r="C192" s="21" t="n">
        <v>36</v>
      </c>
      <c r="D192" s="22" t="n">
        <v>1319.1</v>
      </c>
      <c r="E192" s="20" t="n">
        <f aca="false">IFERROR(INDEX('Catalog'!$A:$A,MATCH($A192,'Catalog'!$B:$B,0)),IFERROR(INDEX('Catalog'!$A:$A,MATCH(TRIM(SUBSTITUTE($A192,CHAR(160)," ")),'Catalog'!$C:$C,0)),""))</f>
        <v>4413101</v>
      </c>
      <c r="F192" s="20" t="str">
        <f aca="false">IF($E192="","Unmatched","Matched")</f>
        <v>Matched</v>
      </c>
    </row>
    <row r="193" customFormat="false" ht="15" hidden="false" customHeight="false" outlineLevel="0" collapsed="false">
      <c r="A193" s="20" t="s">
        <v>209</v>
      </c>
      <c r="B193" s="20" t="n">
        <v>2025</v>
      </c>
      <c r="C193" s="21" t="n">
        <v>142</v>
      </c>
      <c r="D193" s="22" t="n">
        <v>5108.9</v>
      </c>
      <c r="E193" s="20" t="n">
        <f aca="false">IFERROR(INDEX('Catalog'!$A:$A,MATCH($A193,'Catalog'!$B:$B,0)),IFERROR(INDEX('Catalog'!$A:$A,MATCH(TRIM(SUBSTITUTE($A193,CHAR(160)," ")),'Catalog'!$C:$C,0)),""))</f>
        <v>4413102</v>
      </c>
      <c r="F193" s="20" t="str">
        <f aca="false">IF($E193="","Unmatched","Matched")</f>
        <v>Matched</v>
      </c>
    </row>
    <row r="194" customFormat="false" ht="15" hidden="false" customHeight="false" outlineLevel="0" collapsed="false">
      <c r="A194" s="20" t="s">
        <v>210</v>
      </c>
      <c r="B194" s="20" t="n">
        <v>2025</v>
      </c>
      <c r="C194" s="21" t="n">
        <v>139</v>
      </c>
      <c r="D194" s="22" t="n">
        <v>4952.2</v>
      </c>
      <c r="E194" s="20" t="n">
        <f aca="false">IFERROR(INDEX('Catalog'!$A:$A,MATCH($A194,'Catalog'!$B:$B,0)),IFERROR(INDEX('Catalog'!$A:$A,MATCH(TRIM(SUBSTITUTE($A194,CHAR(160)," ")),'Catalog'!$C:$C,0)),""))</f>
        <v>4413103</v>
      </c>
      <c r="F194" s="20" t="str">
        <f aca="false">IF($E194="","Unmatched","Matched")</f>
        <v>Matched</v>
      </c>
    </row>
    <row r="195" customFormat="false" ht="15" hidden="false" customHeight="false" outlineLevel="0" collapsed="false">
      <c r="A195" s="20" t="s">
        <v>212</v>
      </c>
      <c r="B195" s="20" t="n">
        <v>2025</v>
      </c>
      <c r="C195" s="21" t="n">
        <v>124</v>
      </c>
      <c r="D195" s="22" t="n">
        <v>4474.2</v>
      </c>
      <c r="E195" s="20" t="n">
        <f aca="false">IFERROR(INDEX('Catalog'!$A:$A,MATCH($A195,'Catalog'!$B:$B,0)),IFERROR(INDEX('Catalog'!$A:$A,MATCH(TRIM(SUBSTITUTE($A195,CHAR(160)," ")),'Catalog'!$C:$C,0)),""))</f>
        <v>4413104</v>
      </c>
      <c r="F195" s="20" t="str">
        <f aca="false">IF($E195="","Unmatched","Matched")</f>
        <v>Matched</v>
      </c>
    </row>
    <row r="196" customFormat="false" ht="15" hidden="false" customHeight="false" outlineLevel="0" collapsed="false">
      <c r="A196" s="20" t="s">
        <v>213</v>
      </c>
      <c r="B196" s="20" t="n">
        <v>2025</v>
      </c>
      <c r="C196" s="21" t="n">
        <v>41</v>
      </c>
      <c r="D196" s="22" t="n">
        <v>1476.1</v>
      </c>
      <c r="E196" s="20" t="n">
        <f aca="false">IFERROR(INDEX('Catalog'!$A:$A,MATCH($A196,'Catalog'!$B:$B,0)),IFERROR(INDEX('Catalog'!$A:$A,MATCH(TRIM(SUBSTITUTE($A196,CHAR(160)," ")),'Catalog'!$C:$C,0)),""))</f>
        <v>4413105</v>
      </c>
      <c r="F196" s="20" t="str">
        <f aca="false">IF($E196="","Unmatched","Matched")</f>
        <v>Matched</v>
      </c>
    </row>
    <row r="197" customFormat="false" ht="15" hidden="false" customHeight="false" outlineLevel="0" collapsed="false">
      <c r="A197" s="20" t="s">
        <v>221</v>
      </c>
      <c r="B197" s="20" t="n">
        <v>2025</v>
      </c>
      <c r="C197" s="21" t="n">
        <v>3</v>
      </c>
      <c r="D197" s="22" t="n">
        <v>170</v>
      </c>
      <c r="E197" s="20" t="n">
        <f aca="false">IFERROR(INDEX('Catalog'!$A:$A,MATCH($A197,'Catalog'!$B:$B,0)),IFERROR(INDEX('Catalog'!$A:$A,MATCH(TRIM(SUBSTITUTE($A197,CHAR(160)," ")),'Catalog'!$C:$C,0)),""))</f>
        <v>4413106</v>
      </c>
      <c r="F197" s="20" t="str">
        <f aca="false">IF($E197="","Unmatched","Matched")</f>
        <v>Matched</v>
      </c>
    </row>
    <row r="198" customFormat="false" ht="15" hidden="false" customHeight="false" outlineLevel="0" collapsed="false">
      <c r="A198" s="20" t="s">
        <v>219</v>
      </c>
      <c r="B198" s="20" t="n">
        <v>2025</v>
      </c>
      <c r="C198" s="21" t="n">
        <v>15</v>
      </c>
      <c r="D198" s="22" t="n">
        <v>827.4</v>
      </c>
      <c r="E198" s="20" t="n">
        <f aca="false">IFERROR(INDEX('Catalog'!$A:$A,MATCH($A198,'Catalog'!$B:$B,0)),IFERROR(INDEX('Catalog'!$A:$A,MATCH(TRIM(SUBSTITUTE($A198,CHAR(160)," ")),'Catalog'!$C:$C,0)),""))</f>
        <v>4413107</v>
      </c>
      <c r="F198" s="20" t="str">
        <f aca="false">IF($E198="","Unmatched","Matched")</f>
        <v>Matched</v>
      </c>
    </row>
    <row r="199" customFormat="false" ht="15" hidden="false" customHeight="false" outlineLevel="0" collapsed="false">
      <c r="A199" s="20" t="s">
        <v>220</v>
      </c>
      <c r="B199" s="20" t="n">
        <v>2025</v>
      </c>
      <c r="C199" s="21" t="n">
        <v>13</v>
      </c>
      <c r="D199" s="22" t="n">
        <v>721.6</v>
      </c>
      <c r="E199" s="20" t="n">
        <f aca="false">IFERROR(INDEX('Catalog'!$A:$A,MATCH($A199,'Catalog'!$B:$B,0)),IFERROR(INDEX('Catalog'!$A:$A,MATCH(TRIM(SUBSTITUTE($A199,CHAR(160)," ")),'Catalog'!$C:$C,0)),""))</f>
        <v>4413108</v>
      </c>
      <c r="F199" s="20" t="str">
        <f aca="false">IF($E199="","Unmatched","Matched")</f>
        <v>Matched</v>
      </c>
    </row>
    <row r="200" customFormat="false" ht="15" hidden="false" customHeight="false" outlineLevel="0" collapsed="false">
      <c r="A200" s="20" t="s">
        <v>222</v>
      </c>
      <c r="B200" s="20" t="n">
        <v>2025</v>
      </c>
      <c r="C200" s="21" t="n">
        <v>3</v>
      </c>
      <c r="D200" s="22" t="n">
        <v>162.5</v>
      </c>
      <c r="E200" s="20" t="n">
        <f aca="false">IFERROR(INDEX('Catalog'!$A:$A,MATCH($A200,'Catalog'!$B:$B,0)),IFERROR(INDEX('Catalog'!$A:$A,MATCH(TRIM(SUBSTITUTE($A200,CHAR(160)," ")),'Catalog'!$C:$C,0)),""))</f>
        <v>4413109</v>
      </c>
      <c r="F200" s="20" t="str">
        <f aca="false">IF($E200="","Unmatched","Matched")</f>
        <v>Matched</v>
      </c>
    </row>
    <row r="201" customFormat="false" ht="15" hidden="false" customHeight="false" outlineLevel="0" collapsed="false">
      <c r="A201" s="20" t="s">
        <v>223</v>
      </c>
      <c r="B201" s="20" t="n">
        <v>2025</v>
      </c>
      <c r="C201" s="21" t="n">
        <v>2</v>
      </c>
      <c r="D201" s="22" t="n">
        <v>105.8</v>
      </c>
      <c r="E201" s="20" t="n">
        <f aca="false">IFERROR(INDEX('Catalog'!$A:$A,MATCH($A201,'Catalog'!$B:$B,0)),IFERROR(INDEX('Catalog'!$A:$A,MATCH(TRIM(SUBSTITUTE($A201,CHAR(160)," ")),'Catalog'!$C:$C,0)),""))</f>
        <v>4413110</v>
      </c>
      <c r="F201" s="20" t="str">
        <f aca="false">IF($E201="","Unmatched","Matched")</f>
        <v>Matched</v>
      </c>
    </row>
    <row r="202" customFormat="false" ht="15" hidden="false" customHeight="false" outlineLevel="0" collapsed="false">
      <c r="A202" s="20" t="s">
        <v>874</v>
      </c>
      <c r="B202" s="20" t="n">
        <v>2025</v>
      </c>
      <c r="C202" s="21" t="n">
        <v>22</v>
      </c>
      <c r="D202" s="22" t="n">
        <v>749.4</v>
      </c>
      <c r="E202" s="20" t="n">
        <f aca="false">IFERROR(INDEX('Catalog'!$A:$A,MATCH($A202,'Catalog'!$B:$B,0)),IFERROR(INDEX('Catalog'!$A:$A,MATCH(TRIM(SUBSTITUTE($A202,CHAR(160)," ")),'Catalog'!$C:$C,0)),""))</f>
        <v>4413111</v>
      </c>
      <c r="F202" s="20" t="str">
        <f aca="false">IF($E202="","Unmatched","Matched")</f>
        <v>Matched</v>
      </c>
    </row>
    <row r="203" customFormat="false" ht="15" hidden="false" customHeight="false" outlineLevel="0" collapsed="false">
      <c r="A203" s="20" t="s">
        <v>872</v>
      </c>
      <c r="B203" s="20" t="n">
        <v>2025</v>
      </c>
      <c r="C203" s="21" t="n">
        <v>35</v>
      </c>
      <c r="D203" s="22" t="n">
        <v>1129.3</v>
      </c>
      <c r="E203" s="20" t="n">
        <f aca="false">IFERROR(INDEX('Catalog'!$A:$A,MATCH($A203,'Catalog'!$B:$B,0)),IFERROR(INDEX('Catalog'!$A:$A,MATCH(TRIM(SUBSTITUTE($A203,CHAR(160)," ")),'Catalog'!$C:$C,0)),""))</f>
        <v>4413112</v>
      </c>
      <c r="F203" s="20" t="str">
        <f aca="false">IF($E203="","Unmatched","Matched")</f>
        <v>Matched</v>
      </c>
    </row>
    <row r="204" customFormat="false" ht="15" hidden="false" customHeight="false" outlineLevel="0" collapsed="false">
      <c r="A204" s="20" t="s">
        <v>873</v>
      </c>
      <c r="B204" s="20" t="n">
        <v>2025</v>
      </c>
      <c r="C204" s="21" t="n">
        <v>25</v>
      </c>
      <c r="D204" s="22" t="n">
        <v>826.3</v>
      </c>
      <c r="E204" s="20" t="n">
        <f aca="false">IFERROR(INDEX('Catalog'!$A:$A,MATCH($A204,'Catalog'!$B:$B,0)),IFERROR(INDEX('Catalog'!$A:$A,MATCH(TRIM(SUBSTITUTE($A204,CHAR(160)," ")),'Catalog'!$C:$C,0)),""))</f>
        <v>4413113</v>
      </c>
      <c r="F204" s="20" t="str">
        <f aca="false">IF($E204="","Unmatched","Matched")</f>
        <v>Matched</v>
      </c>
    </row>
    <row r="205" customFormat="false" ht="15" hidden="false" customHeight="false" outlineLevel="0" collapsed="false">
      <c r="A205" s="20" t="s">
        <v>875</v>
      </c>
      <c r="B205" s="20" t="n">
        <v>2025</v>
      </c>
      <c r="C205" s="21" t="n">
        <v>36</v>
      </c>
      <c r="D205" s="22" t="n">
        <v>1195.3</v>
      </c>
      <c r="E205" s="20" t="n">
        <f aca="false">IFERROR(INDEX('Catalog'!$A:$A,MATCH($A205,'Catalog'!$B:$B,0)),IFERROR(INDEX('Catalog'!$A:$A,MATCH(TRIM(SUBSTITUTE($A205,CHAR(160)," ")),'Catalog'!$C:$C,0)),""))</f>
        <v>4413114</v>
      </c>
      <c r="F205" s="20" t="str">
        <f aca="false">IF($E205="","Unmatched","Matched")</f>
        <v>Matched</v>
      </c>
    </row>
    <row r="206" customFormat="false" ht="15" hidden="false" customHeight="false" outlineLevel="0" collapsed="false">
      <c r="A206" s="20" t="s">
        <v>876</v>
      </c>
      <c r="B206" s="20" t="n">
        <v>2025</v>
      </c>
      <c r="C206" s="21" t="n">
        <v>4</v>
      </c>
      <c r="D206" s="22" t="n">
        <v>138.3</v>
      </c>
      <c r="E206" s="20" t="n">
        <f aca="false">IFERROR(INDEX('Catalog'!$A:$A,MATCH($A206,'Catalog'!$B:$B,0)),IFERROR(INDEX('Catalog'!$A:$A,MATCH(TRIM(SUBSTITUTE($A206,CHAR(160)," ")),'Catalog'!$C:$C,0)),""))</f>
        <v>4413115</v>
      </c>
      <c r="F206" s="20" t="str">
        <f aca="false">IF($E206="","Unmatched","Matched")</f>
        <v>Matched</v>
      </c>
    </row>
    <row r="207" customFormat="false" ht="15" hidden="false" customHeight="false" outlineLevel="0" collapsed="false">
      <c r="A207" s="20" t="s">
        <v>520</v>
      </c>
      <c r="B207" s="20" t="n">
        <v>2025</v>
      </c>
      <c r="C207" s="21" t="n">
        <v>4</v>
      </c>
      <c r="D207" s="22" t="n">
        <v>414.5</v>
      </c>
      <c r="E207" s="20" t="n">
        <f aca="false">IFERROR(INDEX('Catalog'!$A:$A,MATCH($A207,'Catalog'!$B:$B,0)),IFERROR(INDEX('Catalog'!$A:$A,MATCH(TRIM(SUBSTITUTE($A207,CHAR(160)," ")),'Catalog'!$C:$C,0)),""))</f>
        <v>4413117</v>
      </c>
      <c r="F207" s="20" t="str">
        <f aca="false">IF($E207="","Unmatched","Matched")</f>
        <v>Matched</v>
      </c>
    </row>
    <row r="208" customFormat="false" ht="15" hidden="false" customHeight="false" outlineLevel="0" collapsed="false">
      <c r="A208" s="20" t="s">
        <v>521</v>
      </c>
      <c r="B208" s="20" t="n">
        <v>2025</v>
      </c>
      <c r="C208" s="21" t="n">
        <v>2</v>
      </c>
      <c r="D208" s="22" t="n">
        <v>207.2</v>
      </c>
      <c r="E208" s="20" t="n">
        <f aca="false">IFERROR(INDEX('Catalog'!$A:$A,MATCH($A208,'Catalog'!$B:$B,0)),IFERROR(INDEX('Catalog'!$A:$A,MATCH(TRIM(SUBSTITUTE($A208,CHAR(160)," ")),'Catalog'!$C:$C,0)),""))</f>
        <v>4413118</v>
      </c>
      <c r="F208" s="20" t="str">
        <f aca="false">IF($E208="","Unmatched","Matched")</f>
        <v>Matched</v>
      </c>
    </row>
    <row r="209" customFormat="false" ht="15" hidden="false" customHeight="false" outlineLevel="0" collapsed="false">
      <c r="A209" s="20" t="s">
        <v>523</v>
      </c>
      <c r="B209" s="20" t="n">
        <v>2025</v>
      </c>
      <c r="C209" s="21" t="n">
        <v>6</v>
      </c>
      <c r="D209" s="22" t="n">
        <v>651.4</v>
      </c>
      <c r="E209" s="20" t="n">
        <f aca="false">IFERROR(INDEX('Catalog'!$A:$A,MATCH($A209,'Catalog'!$B:$B,0)),IFERROR(INDEX('Catalog'!$A:$A,MATCH(TRIM(SUBSTITUTE($A209,CHAR(160)," ")),'Catalog'!$C:$C,0)),""))</f>
        <v>4413119</v>
      </c>
      <c r="F209" s="20" t="str">
        <f aca="false">IF($E209="","Unmatched","Matched")</f>
        <v>Matched</v>
      </c>
    </row>
    <row r="210" customFormat="false" ht="15" hidden="false" customHeight="false" outlineLevel="0" collapsed="false">
      <c r="A210" s="20" t="s">
        <v>524</v>
      </c>
      <c r="B210" s="20" t="n">
        <v>2025</v>
      </c>
      <c r="C210" s="21" t="n">
        <v>5</v>
      </c>
      <c r="D210" s="22" t="n">
        <v>488.6</v>
      </c>
      <c r="E210" s="20" t="n">
        <f aca="false">IFERROR(INDEX('Catalog'!$A:$A,MATCH($A210,'Catalog'!$B:$B,0)),IFERROR(INDEX('Catalog'!$A:$A,MATCH(TRIM(SUBSTITUTE($A210,CHAR(160)," ")),'Catalog'!$C:$C,0)),""))</f>
        <v>4413120</v>
      </c>
      <c r="F210" s="20" t="str">
        <f aca="false">IF($E210="","Unmatched","Matched")</f>
        <v>Matched</v>
      </c>
    </row>
    <row r="211" customFormat="false" ht="15" hidden="false" customHeight="false" outlineLevel="0" collapsed="false">
      <c r="A211" s="20" t="s">
        <v>525</v>
      </c>
      <c r="B211" s="20" t="n">
        <v>2025</v>
      </c>
      <c r="C211" s="21" t="n">
        <v>3</v>
      </c>
      <c r="D211" s="22" t="n">
        <v>241.7</v>
      </c>
      <c r="E211" s="20" t="n">
        <f aca="false">IFERROR(INDEX('Catalog'!$A:$A,MATCH($A211,'Catalog'!$B:$B,0)),IFERROR(INDEX('Catalog'!$A:$A,MATCH(TRIM(SUBSTITUTE($A211,CHAR(160)," ")),'Catalog'!$C:$C,0)),""))</f>
        <v>4413122</v>
      </c>
      <c r="F211" s="20" t="str">
        <f aca="false">IF($E211="","Unmatched","Matched")</f>
        <v>Matched</v>
      </c>
    </row>
    <row r="212" customFormat="false" ht="15" hidden="false" customHeight="false" outlineLevel="0" collapsed="false">
      <c r="A212" s="20" t="s">
        <v>526</v>
      </c>
      <c r="B212" s="20" t="n">
        <v>2025</v>
      </c>
      <c r="C212" s="21" t="n">
        <v>2</v>
      </c>
      <c r="D212" s="22" t="n">
        <v>160.6</v>
      </c>
      <c r="E212" s="20" t="n">
        <f aca="false">IFERROR(INDEX('Catalog'!$A:$A,MATCH($A212,'Catalog'!$B:$B,0)),IFERROR(INDEX('Catalog'!$A:$A,MATCH(TRIM(SUBSTITUTE($A212,CHAR(160)," ")),'Catalog'!$C:$C,0)),""))</f>
        <v>4413123</v>
      </c>
      <c r="F212" s="20" t="str">
        <f aca="false">IF($E212="","Unmatched","Matched")</f>
        <v>Matched</v>
      </c>
    </row>
    <row r="213" customFormat="false" ht="15" hidden="false" customHeight="false" outlineLevel="0" collapsed="false">
      <c r="A213" s="20" t="s">
        <v>452</v>
      </c>
      <c r="B213" s="20" t="n">
        <v>2025</v>
      </c>
      <c r="C213" s="21" t="n">
        <v>4</v>
      </c>
      <c r="D213" s="22" t="n">
        <v>701.8</v>
      </c>
      <c r="E213" s="20" t="n">
        <f aca="false">IFERROR(INDEX('Catalog'!$A:$A,MATCH($A213,'Catalog'!$B:$B,0)),IFERROR(INDEX('Catalog'!$A:$A,MATCH(TRIM(SUBSTITUTE($A213,CHAR(160)," ")),'Catalog'!$C:$C,0)),""))</f>
        <v>4413126</v>
      </c>
      <c r="F213" s="20" t="str">
        <f aca="false">IF($E213="","Unmatched","Matched")</f>
        <v>Matched</v>
      </c>
    </row>
    <row r="214" customFormat="false" ht="15" hidden="false" customHeight="false" outlineLevel="0" collapsed="false">
      <c r="A214" s="20" t="s">
        <v>450</v>
      </c>
      <c r="B214" s="20" t="n">
        <v>2025</v>
      </c>
      <c r="C214" s="21" t="n">
        <v>19</v>
      </c>
      <c r="D214" s="22" t="n">
        <v>3000.5</v>
      </c>
      <c r="E214" s="20" t="n">
        <f aca="false">IFERROR(INDEX('Catalog'!$A:$A,MATCH($A214,'Catalog'!$B:$B,0)),IFERROR(INDEX('Catalog'!$A:$A,MATCH(TRIM(SUBSTITUTE($A214,CHAR(160)," ")),'Catalog'!$C:$C,0)),""))</f>
        <v>4413127</v>
      </c>
      <c r="F214" s="20" t="str">
        <f aca="false">IF($E214="","Unmatched","Matched")</f>
        <v>Matched</v>
      </c>
    </row>
    <row r="215" customFormat="false" ht="15" hidden="false" customHeight="false" outlineLevel="0" collapsed="false">
      <c r="A215" s="20" t="s">
        <v>451</v>
      </c>
      <c r="B215" s="20" t="n">
        <v>2025</v>
      </c>
      <c r="C215" s="21" t="n">
        <v>21</v>
      </c>
      <c r="D215" s="22" t="n">
        <v>3344.9</v>
      </c>
      <c r="E215" s="20" t="n">
        <f aca="false">IFERROR(INDEX('Catalog'!$A:$A,MATCH($A215,'Catalog'!$B:$B,0)),IFERROR(INDEX('Catalog'!$A:$A,MATCH(TRIM(SUBSTITUTE($A215,CHAR(160)," ")),'Catalog'!$C:$C,0)),""))</f>
        <v>4413128</v>
      </c>
      <c r="F215" s="20" t="str">
        <f aca="false">IF($E215="","Unmatched","Matched")</f>
        <v>Matched</v>
      </c>
    </row>
    <row r="216" customFormat="false" ht="15" hidden="false" customHeight="false" outlineLevel="0" collapsed="false">
      <c r="A216" s="20" t="s">
        <v>453</v>
      </c>
      <c r="B216" s="20" t="n">
        <v>2025</v>
      </c>
      <c r="C216" s="21" t="n">
        <v>15</v>
      </c>
      <c r="D216" s="22" t="n">
        <v>2465.8</v>
      </c>
      <c r="E216" s="20" t="n">
        <f aca="false">IFERROR(INDEX('Catalog'!$A:$A,MATCH($A216,'Catalog'!$B:$B,0)),IFERROR(INDEX('Catalog'!$A:$A,MATCH(TRIM(SUBSTITUTE($A216,CHAR(160)," ")),'Catalog'!$C:$C,0)),""))</f>
        <v>4413129</v>
      </c>
      <c r="F216" s="20" t="str">
        <f aca="false">IF($E216="","Unmatched","Matched")</f>
        <v>Matched</v>
      </c>
    </row>
    <row r="217" customFormat="false" ht="15" hidden="false" customHeight="false" outlineLevel="0" collapsed="false">
      <c r="A217" s="20" t="s">
        <v>449</v>
      </c>
      <c r="B217" s="20" t="n">
        <v>2025</v>
      </c>
      <c r="C217" s="21" t="n">
        <v>9</v>
      </c>
      <c r="D217" s="22" t="n">
        <v>1366.5</v>
      </c>
      <c r="E217" s="20" t="n">
        <f aca="false">IFERROR(INDEX('Catalog'!$A:$A,MATCH($A217,'Catalog'!$B:$B,0)),IFERROR(INDEX('Catalog'!$A:$A,MATCH(TRIM(SUBSTITUTE($A217,CHAR(160)," ")),'Catalog'!$C:$C,0)),""))</f>
        <v>4413130</v>
      </c>
      <c r="F217" s="20" t="str">
        <f aca="false">IF($E217="","Unmatched","Matched")</f>
        <v>Matched</v>
      </c>
    </row>
    <row r="218" customFormat="false" ht="15" hidden="false" customHeight="false" outlineLevel="0" collapsed="false">
      <c r="A218" s="20" t="s">
        <v>456</v>
      </c>
      <c r="B218" s="20" t="n">
        <v>2025</v>
      </c>
      <c r="C218" s="21" t="n">
        <v>9</v>
      </c>
      <c r="D218" s="22" t="n">
        <v>1841.6</v>
      </c>
      <c r="E218" s="20" t="n">
        <f aca="false">IFERROR(INDEX('Catalog'!$A:$A,MATCH($A218,'Catalog'!$B:$B,0)),IFERROR(INDEX('Catalog'!$A:$A,MATCH(TRIM(SUBSTITUTE($A218,CHAR(160)," ")),'Catalog'!$C:$C,0)),""))</f>
        <v>4413131</v>
      </c>
      <c r="F218" s="20" t="str">
        <f aca="false">IF($E218="","Unmatched","Matched")</f>
        <v>Matched</v>
      </c>
    </row>
    <row r="219" customFormat="false" ht="15" hidden="false" customHeight="false" outlineLevel="0" collapsed="false">
      <c r="A219" s="20" t="s">
        <v>454</v>
      </c>
      <c r="B219" s="20" t="n">
        <v>2025</v>
      </c>
      <c r="C219" s="21" t="n">
        <v>27</v>
      </c>
      <c r="D219" s="22" t="n">
        <v>5426.3</v>
      </c>
      <c r="E219" s="20" t="n">
        <f aca="false">IFERROR(INDEX('Catalog'!$A:$A,MATCH($A219,'Catalog'!$B:$B,0)),IFERROR(INDEX('Catalog'!$A:$A,MATCH(TRIM(SUBSTITUTE($A219,CHAR(160)," ")),'Catalog'!$C:$C,0)),""))</f>
        <v>4413132</v>
      </c>
      <c r="F219" s="20" t="str">
        <f aca="false">IF($E219="","Unmatched","Matched")</f>
        <v>Matched</v>
      </c>
    </row>
    <row r="220" customFormat="false" ht="15" hidden="false" customHeight="false" outlineLevel="0" collapsed="false">
      <c r="A220" s="20" t="s">
        <v>455</v>
      </c>
      <c r="B220" s="20" t="n">
        <v>2025</v>
      </c>
      <c r="C220" s="21" t="n">
        <v>30</v>
      </c>
      <c r="D220" s="22" t="n">
        <v>6039.6</v>
      </c>
      <c r="E220" s="20" t="n">
        <f aca="false">IFERROR(INDEX('Catalog'!$A:$A,MATCH($A220,'Catalog'!$B:$B,0)),IFERROR(INDEX('Catalog'!$A:$A,MATCH(TRIM(SUBSTITUTE($A220,CHAR(160)," ")),'Catalog'!$C:$C,0)),""))</f>
        <v>4413133</v>
      </c>
      <c r="F220" s="20" t="str">
        <f aca="false">IF($E220="","Unmatched","Matched")</f>
        <v>Matched</v>
      </c>
    </row>
    <row r="221" customFormat="false" ht="15" hidden="false" customHeight="false" outlineLevel="0" collapsed="false">
      <c r="A221" s="20" t="s">
        <v>457</v>
      </c>
      <c r="B221" s="20" t="n">
        <v>2025</v>
      </c>
      <c r="C221" s="21" t="n">
        <v>22</v>
      </c>
      <c r="D221" s="22" t="n">
        <v>4426</v>
      </c>
      <c r="E221" s="20" t="n">
        <f aca="false">IFERROR(INDEX('Catalog'!$A:$A,MATCH($A221,'Catalog'!$B:$B,0)),IFERROR(INDEX('Catalog'!$A:$A,MATCH(TRIM(SUBSTITUTE($A221,CHAR(160)," ")),'Catalog'!$C:$C,0)),""))</f>
        <v>4413134</v>
      </c>
      <c r="F221" s="20" t="str">
        <f aca="false">IF($E221="","Unmatched","Matched")</f>
        <v>Matched</v>
      </c>
    </row>
    <row r="222" customFormat="false" ht="15" hidden="false" customHeight="false" outlineLevel="0" collapsed="false">
      <c r="A222" s="20" t="s">
        <v>595</v>
      </c>
      <c r="B222" s="20" t="n">
        <v>2025</v>
      </c>
      <c r="C222" s="21" t="n">
        <v>200</v>
      </c>
      <c r="D222" s="22" t="n">
        <v>10830.8</v>
      </c>
      <c r="E222" s="20" t="n">
        <f aca="false">IFERROR(INDEX('Catalog'!$A:$A,MATCH($A222,'Catalog'!$B:$B,0)),IFERROR(INDEX('Catalog'!$A:$A,MATCH(TRIM(SUBSTITUTE($A222,CHAR(160)," ")),'Catalog'!$C:$C,0)),""))</f>
        <v>4413135</v>
      </c>
      <c r="F222" s="20" t="str">
        <f aca="false">IF($E222="","Unmatched","Matched")</f>
        <v>Matched</v>
      </c>
    </row>
    <row r="223" customFormat="false" ht="15" hidden="false" customHeight="false" outlineLevel="0" collapsed="false">
      <c r="A223" s="20" t="s">
        <v>596</v>
      </c>
      <c r="B223" s="20" t="n">
        <v>2025</v>
      </c>
      <c r="C223" s="21" t="n">
        <v>192</v>
      </c>
      <c r="D223" s="22" t="n">
        <v>10424.5</v>
      </c>
      <c r="E223" s="20" t="n">
        <f aca="false">IFERROR(INDEX('Catalog'!$A:$A,MATCH($A223,'Catalog'!$B:$B,0)),IFERROR(INDEX('Catalog'!$A:$A,MATCH(TRIM(SUBSTITUTE($A223,CHAR(160)," ")),'Catalog'!$C:$C,0)),""))</f>
        <v>4413136</v>
      </c>
      <c r="F223" s="20" t="str">
        <f aca="false">IF($E223="","Unmatched","Matched")</f>
        <v>Matched</v>
      </c>
    </row>
    <row r="224" customFormat="false" ht="15" hidden="false" customHeight="false" outlineLevel="0" collapsed="false">
      <c r="A224" s="20" t="s">
        <v>597</v>
      </c>
      <c r="B224" s="20" t="n">
        <v>2025</v>
      </c>
      <c r="C224" s="21" t="n">
        <v>78</v>
      </c>
      <c r="D224" s="22" t="n">
        <v>4312.8</v>
      </c>
      <c r="E224" s="20" t="n">
        <f aca="false">IFERROR(INDEX('Catalog'!$A:$A,MATCH($A224,'Catalog'!$B:$B,0)),IFERROR(INDEX('Catalog'!$A:$A,MATCH(TRIM(SUBSTITUTE($A224,CHAR(160)," ")),'Catalog'!$C:$C,0)),""))</f>
        <v>4413137</v>
      </c>
      <c r="F224" s="20" t="str">
        <f aca="false">IF($E224="","Unmatched","Matched")</f>
        <v>Matched</v>
      </c>
    </row>
    <row r="225" customFormat="false" ht="15" hidden="false" customHeight="false" outlineLevel="0" collapsed="false">
      <c r="A225" s="20" t="s">
        <v>598</v>
      </c>
      <c r="B225" s="20" t="n">
        <v>2025</v>
      </c>
      <c r="C225" s="21" t="n">
        <v>93</v>
      </c>
      <c r="D225" s="22" t="n">
        <v>5067.2</v>
      </c>
      <c r="E225" s="20" t="n">
        <f aca="false">IFERROR(INDEX('Catalog'!$A:$A,MATCH($A225,'Catalog'!$B:$B,0)),IFERROR(INDEX('Catalog'!$A:$A,MATCH(TRIM(SUBSTITUTE($A225,CHAR(160)," ")),'Catalog'!$C:$C,0)),""))</f>
        <v>4413138</v>
      </c>
      <c r="F225" s="20" t="str">
        <f aca="false">IF($E225="","Unmatched","Matched")</f>
        <v>Matched</v>
      </c>
    </row>
    <row r="226" customFormat="false" ht="15" hidden="false" customHeight="false" outlineLevel="0" collapsed="false">
      <c r="A226" s="20" t="s">
        <v>555</v>
      </c>
      <c r="B226" s="20" t="n">
        <v>2025</v>
      </c>
      <c r="C226" s="21" t="n">
        <v>105</v>
      </c>
      <c r="D226" s="22" t="n">
        <v>3135.3</v>
      </c>
      <c r="E226" s="20" t="n">
        <f aca="false">IFERROR(INDEX('Catalog'!$A:$A,MATCH($A226,'Catalog'!$B:$B,0)),IFERROR(INDEX('Catalog'!$A:$A,MATCH(TRIM(SUBSTITUTE($A226,CHAR(160)," ")),'Catalog'!$C:$C,0)),""))</f>
        <v>4413139</v>
      </c>
      <c r="F226" s="20" t="str">
        <f aca="false">IF($E226="","Unmatched","Matched")</f>
        <v>Matched</v>
      </c>
    </row>
    <row r="227" customFormat="false" ht="15" hidden="false" customHeight="false" outlineLevel="0" collapsed="false">
      <c r="A227" s="20" t="s">
        <v>556</v>
      </c>
      <c r="B227" s="20" t="n">
        <v>2025</v>
      </c>
      <c r="C227" s="21" t="n">
        <v>157</v>
      </c>
      <c r="D227" s="22" t="n">
        <v>4651.3</v>
      </c>
      <c r="E227" s="20" t="n">
        <f aca="false">IFERROR(INDEX('Catalog'!$A:$A,MATCH($A227,'Catalog'!$B:$B,0)),IFERROR(INDEX('Catalog'!$A:$A,MATCH(TRIM(SUBSTITUTE($A227,CHAR(160)," ")),'Catalog'!$C:$C,0)),""))</f>
        <v>4413140</v>
      </c>
      <c r="F227" s="20" t="str">
        <f aca="false">IF($E227="","Unmatched","Matched")</f>
        <v>Matched</v>
      </c>
    </row>
    <row r="228" customFormat="false" ht="15" hidden="false" customHeight="false" outlineLevel="0" collapsed="false">
      <c r="A228" s="20" t="s">
        <v>557</v>
      </c>
      <c r="B228" s="20" t="n">
        <v>2025</v>
      </c>
      <c r="C228" s="21" t="n">
        <v>134</v>
      </c>
      <c r="D228" s="22" t="n">
        <v>3972.6</v>
      </c>
      <c r="E228" s="20" t="n">
        <f aca="false">IFERROR(INDEX('Catalog'!$A:$A,MATCH($A228,'Catalog'!$B:$B,0)),IFERROR(INDEX('Catalog'!$A:$A,MATCH(TRIM(SUBSTITUTE($A228,CHAR(160)," ")),'Catalog'!$C:$C,0)),""))</f>
        <v>4413141</v>
      </c>
      <c r="F228" s="20" t="str">
        <f aca="false">IF($E228="","Unmatched","Matched")</f>
        <v>Matched</v>
      </c>
    </row>
    <row r="229" customFormat="false" ht="15" hidden="false" customHeight="false" outlineLevel="0" collapsed="false">
      <c r="A229" s="20" t="s">
        <v>558</v>
      </c>
      <c r="B229" s="20" t="n">
        <v>2025</v>
      </c>
      <c r="C229" s="21" t="n">
        <v>49</v>
      </c>
      <c r="D229" s="22" t="n">
        <v>1440.1</v>
      </c>
      <c r="E229" s="20" t="n">
        <f aca="false">IFERROR(INDEX('Catalog'!$A:$A,MATCH($A229,'Catalog'!$B:$B,0)),IFERROR(INDEX('Catalog'!$A:$A,MATCH(TRIM(SUBSTITUTE($A229,CHAR(160)," ")),'Catalog'!$C:$C,0)),""))</f>
        <v>4413142</v>
      </c>
      <c r="F229" s="20" t="str">
        <f aca="false">IF($E229="","Unmatched","Matched")</f>
        <v>Matched</v>
      </c>
    </row>
    <row r="230" customFormat="false" ht="15" hidden="false" customHeight="false" outlineLevel="0" collapsed="false">
      <c r="A230" s="20" t="s">
        <v>559</v>
      </c>
      <c r="B230" s="20" t="n">
        <v>2025</v>
      </c>
      <c r="C230" s="21" t="n">
        <v>25</v>
      </c>
      <c r="D230" s="22" t="n">
        <v>753.5</v>
      </c>
      <c r="E230" s="20" t="n">
        <f aca="false">IFERROR(INDEX('Catalog'!$A:$A,MATCH($A230,'Catalog'!$B:$B,0)),IFERROR(INDEX('Catalog'!$A:$A,MATCH(TRIM(SUBSTITUTE($A230,CHAR(160)," ")),'Catalog'!$C:$C,0)),""))</f>
        <v>4413143</v>
      </c>
      <c r="F230" s="20" t="str">
        <f aca="false">IF($E230="","Unmatched","Matched")</f>
        <v>Matched</v>
      </c>
    </row>
    <row r="231" customFormat="false" ht="15" hidden="false" customHeight="false" outlineLevel="0" collapsed="false">
      <c r="A231" s="20" t="s">
        <v>560</v>
      </c>
      <c r="B231" s="20" t="n">
        <v>2025</v>
      </c>
      <c r="C231" s="21" t="n">
        <v>2</v>
      </c>
      <c r="D231" s="22" t="n">
        <v>61.8</v>
      </c>
      <c r="E231" s="20" t="n">
        <f aca="false">IFERROR(INDEX('Catalog'!$A:$A,MATCH($A231,'Catalog'!$B:$B,0)),IFERROR(INDEX('Catalog'!$A:$A,MATCH(TRIM(SUBSTITUTE($A231,CHAR(160)," ")),'Catalog'!$C:$C,0)),""))</f>
        <v>4413144</v>
      </c>
      <c r="F231" s="20" t="str">
        <f aca="false">IF($E231="","Unmatched","Matched")</f>
        <v>Matched</v>
      </c>
    </row>
    <row r="232" customFormat="false" ht="15" hidden="false" customHeight="false" outlineLevel="0" collapsed="false">
      <c r="A232" s="20" t="s">
        <v>441</v>
      </c>
      <c r="B232" s="20" t="n">
        <v>2025</v>
      </c>
      <c r="C232" s="21" t="n">
        <v>390</v>
      </c>
      <c r="D232" s="22" t="n">
        <v>5137.1</v>
      </c>
      <c r="E232" s="20" t="n">
        <f aca="false">IFERROR(INDEX('Catalog'!$A:$A,MATCH($A232,'Catalog'!$B:$B,0)),IFERROR(INDEX('Catalog'!$A:$A,MATCH(TRIM(SUBSTITUTE($A232,CHAR(160)," ")),'Catalog'!$C:$C,0)),""))</f>
        <v>4413149</v>
      </c>
      <c r="F232" s="20" t="str">
        <f aca="false">IF($E232="","Unmatched","Matched")</f>
        <v>Matched</v>
      </c>
    </row>
    <row r="233" customFormat="false" ht="15" hidden="false" customHeight="false" outlineLevel="0" collapsed="false">
      <c r="A233" s="20" t="s">
        <v>650</v>
      </c>
      <c r="B233" s="20" t="n">
        <v>2025</v>
      </c>
      <c r="C233" s="21" t="n">
        <v>49</v>
      </c>
      <c r="D233" s="22" t="n">
        <v>1383.8</v>
      </c>
      <c r="E233" s="20" t="n">
        <f aca="false">IFERROR(INDEX('Catalog'!$A:$A,MATCH($A233,'Catalog'!$B:$B,0)),IFERROR(INDEX('Catalog'!$A:$A,MATCH(TRIM(SUBSTITUTE($A233,CHAR(160)," ")),'Catalog'!$C:$C,0)),""))</f>
        <v>4413150</v>
      </c>
      <c r="F233" s="20" t="str">
        <f aca="false">IF($E233="","Unmatched","Matched")</f>
        <v>Matched</v>
      </c>
    </row>
    <row r="234" customFormat="false" ht="15" hidden="false" customHeight="false" outlineLevel="0" collapsed="false">
      <c r="A234" s="20" t="s">
        <v>499</v>
      </c>
      <c r="B234" s="20" t="n">
        <v>2025</v>
      </c>
      <c r="C234" s="21" t="n">
        <v>6</v>
      </c>
      <c r="D234" s="22" t="n">
        <v>418.7</v>
      </c>
      <c r="E234" s="20" t="n">
        <f aca="false">IFERROR(INDEX('Catalog'!$A:$A,MATCH($A234,'Catalog'!$B:$B,0)),IFERROR(INDEX('Catalog'!$A:$A,MATCH(TRIM(SUBSTITUTE($A234,CHAR(160)," ")),'Catalog'!$C:$C,0)),""))</f>
        <v>4413153</v>
      </c>
      <c r="F234" s="20" t="str">
        <f aca="false">IF($E234="","Unmatched","Matched")</f>
        <v>Matched</v>
      </c>
    </row>
    <row r="235" customFormat="false" ht="15" hidden="false" customHeight="false" outlineLevel="0" collapsed="false">
      <c r="A235" s="20" t="s">
        <v>500</v>
      </c>
      <c r="B235" s="20" t="n">
        <v>2025</v>
      </c>
      <c r="C235" s="21" t="n">
        <v>6</v>
      </c>
      <c r="D235" s="22" t="n">
        <v>542.6</v>
      </c>
      <c r="E235" s="20" t="n">
        <f aca="false">IFERROR(INDEX('Catalog'!$A:$A,MATCH($A235,'Catalog'!$B:$B,0)),IFERROR(INDEX('Catalog'!$A:$A,MATCH(TRIM(SUBSTITUTE($A235,CHAR(160)," ")),'Catalog'!$C:$C,0)),""))</f>
        <v>4413154</v>
      </c>
      <c r="F235" s="20" t="str">
        <f aca="false">IF($E235="","Unmatched","Matched")</f>
        <v>Matched</v>
      </c>
    </row>
    <row r="236" customFormat="false" ht="15" hidden="false" customHeight="false" outlineLevel="0" collapsed="false">
      <c r="A236" s="20" t="s">
        <v>501</v>
      </c>
      <c r="B236" s="20" t="n">
        <v>2025</v>
      </c>
      <c r="C236" s="21" t="n">
        <v>19</v>
      </c>
      <c r="D236" s="22" t="n">
        <v>1616.2</v>
      </c>
      <c r="E236" s="20" t="n">
        <f aca="false">IFERROR(INDEX('Catalog'!$A:$A,MATCH($A236,'Catalog'!$B:$B,0)),IFERROR(INDEX('Catalog'!$A:$A,MATCH(TRIM(SUBSTITUTE($A236,CHAR(160)," ")),'Catalog'!$C:$C,0)),""))</f>
        <v>4413155</v>
      </c>
      <c r="F236" s="20" t="str">
        <f aca="false">IF($E236="","Unmatched","Matched")</f>
        <v>Matched</v>
      </c>
    </row>
    <row r="237" customFormat="false" ht="15" hidden="false" customHeight="false" outlineLevel="0" collapsed="false">
      <c r="A237" s="20" t="s">
        <v>502</v>
      </c>
      <c r="B237" s="20" t="n">
        <v>2025</v>
      </c>
      <c r="C237" s="21" t="n">
        <v>36</v>
      </c>
      <c r="D237" s="22" t="n">
        <v>3080.1</v>
      </c>
      <c r="E237" s="20" t="n">
        <f aca="false">IFERROR(INDEX('Catalog'!$A:$A,MATCH($A237,'Catalog'!$B:$B,0)),IFERROR(INDEX('Catalog'!$A:$A,MATCH(TRIM(SUBSTITUTE($A237,CHAR(160)," ")),'Catalog'!$C:$C,0)),""))</f>
        <v>4413156</v>
      </c>
      <c r="F237" s="20" t="str">
        <f aca="false">IF($E237="","Unmatched","Matched")</f>
        <v>Matched</v>
      </c>
    </row>
    <row r="238" customFormat="false" ht="15" hidden="false" customHeight="false" outlineLevel="0" collapsed="false">
      <c r="A238" s="20" t="s">
        <v>503</v>
      </c>
      <c r="B238" s="20" t="n">
        <v>2025</v>
      </c>
      <c r="C238" s="21" t="n">
        <v>54</v>
      </c>
      <c r="D238" s="22" t="n">
        <v>4652.8</v>
      </c>
      <c r="E238" s="20" t="n">
        <f aca="false">IFERROR(INDEX('Catalog'!$A:$A,MATCH($A238,'Catalog'!$B:$B,0)),IFERROR(INDEX('Catalog'!$A:$A,MATCH(TRIM(SUBSTITUTE($A238,CHAR(160)," ")),'Catalog'!$C:$C,0)),""))</f>
        <v>4413157</v>
      </c>
      <c r="F238" s="20" t="str">
        <f aca="false">IF($E238="","Unmatched","Matched")</f>
        <v>Matched</v>
      </c>
    </row>
    <row r="239" customFormat="false" ht="15" hidden="false" customHeight="false" outlineLevel="0" collapsed="false">
      <c r="A239" s="20" t="s">
        <v>504</v>
      </c>
      <c r="B239" s="20" t="n">
        <v>2025</v>
      </c>
      <c r="C239" s="21" t="n">
        <v>33</v>
      </c>
      <c r="D239" s="22" t="n">
        <v>2838.9</v>
      </c>
      <c r="E239" s="20" t="n">
        <f aca="false">IFERROR(INDEX('Catalog'!$A:$A,MATCH($A239,'Catalog'!$B:$B,0)),IFERROR(INDEX('Catalog'!$A:$A,MATCH(TRIM(SUBSTITUTE($A239,CHAR(160)," ")),'Catalog'!$C:$C,0)),""))</f>
        <v>4413158</v>
      </c>
      <c r="F239" s="20" t="str">
        <f aca="false">IF($E239="","Unmatched","Matched")</f>
        <v>Matched</v>
      </c>
    </row>
    <row r="240" customFormat="false" ht="15" hidden="false" customHeight="false" outlineLevel="0" collapsed="false">
      <c r="A240" s="20" t="s">
        <v>815</v>
      </c>
      <c r="B240" s="20" t="n">
        <v>2025</v>
      </c>
      <c r="C240" s="21" t="n">
        <v>29</v>
      </c>
      <c r="D240" s="22" t="n">
        <v>1987.6</v>
      </c>
      <c r="E240" s="20" t="n">
        <f aca="false">IFERROR(INDEX('Catalog'!$A:$A,MATCH($A240,'Catalog'!$B:$B,0)),IFERROR(INDEX('Catalog'!$A:$A,MATCH(TRIM(SUBSTITUTE($A240,CHAR(160)," ")),'Catalog'!$C:$C,0)),""))</f>
        <v>4413159</v>
      </c>
      <c r="F240" s="20" t="str">
        <f aca="false">IF($E240="","Unmatched","Matched")</f>
        <v>Matched</v>
      </c>
    </row>
    <row r="241" customFormat="false" ht="15" hidden="false" customHeight="false" outlineLevel="0" collapsed="false">
      <c r="A241" s="20" t="s">
        <v>814</v>
      </c>
      <c r="B241" s="20" t="n">
        <v>2025</v>
      </c>
      <c r="C241" s="21" t="n">
        <v>62</v>
      </c>
      <c r="D241" s="22" t="n">
        <v>4069.3</v>
      </c>
      <c r="E241" s="20" t="n">
        <f aca="false">IFERROR(INDEX('Catalog'!$A:$A,MATCH($A241,'Catalog'!$B:$B,0)),IFERROR(INDEX('Catalog'!$A:$A,MATCH(TRIM(SUBSTITUTE($A241,CHAR(160)," ")),'Catalog'!$C:$C,0)),""))</f>
        <v>4413160</v>
      </c>
      <c r="F241" s="20" t="str">
        <f aca="false">IF($E241="","Unmatched","Matched")</f>
        <v>Matched</v>
      </c>
    </row>
    <row r="242" customFormat="false" ht="15" hidden="false" customHeight="false" outlineLevel="0" collapsed="false">
      <c r="A242" s="20" t="s">
        <v>813</v>
      </c>
      <c r="B242" s="20" t="n">
        <v>2025</v>
      </c>
      <c r="C242" s="21" t="n">
        <v>73</v>
      </c>
      <c r="D242" s="22" t="n">
        <v>4770.5</v>
      </c>
      <c r="E242" s="20" t="n">
        <f aca="false">IFERROR(INDEX('Catalog'!$A:$A,MATCH($A242,'Catalog'!$B:$B,0)),IFERROR(INDEX('Catalog'!$A:$A,MATCH(TRIM(SUBSTITUTE($A242,CHAR(160)," ")),'Catalog'!$C:$C,0)),""))</f>
        <v>4413161</v>
      </c>
      <c r="F242" s="20" t="str">
        <f aca="false">IF($E242="","Unmatched","Matched")</f>
        <v>Matched</v>
      </c>
    </row>
    <row r="243" customFormat="false" ht="15" hidden="false" customHeight="false" outlineLevel="0" collapsed="false">
      <c r="A243" s="20" t="s">
        <v>816</v>
      </c>
      <c r="B243" s="20" t="n">
        <v>2025</v>
      </c>
      <c r="C243" s="21" t="n">
        <v>46</v>
      </c>
      <c r="D243" s="22" t="n">
        <v>3106.1</v>
      </c>
      <c r="E243" s="20" t="n">
        <f aca="false">IFERROR(INDEX('Catalog'!$A:$A,MATCH($A243,'Catalog'!$B:$B,0)),IFERROR(INDEX('Catalog'!$A:$A,MATCH(TRIM(SUBSTITUTE($A243,CHAR(160)," ")),'Catalog'!$C:$C,0)),""))</f>
        <v>4413162</v>
      </c>
      <c r="F243" s="20" t="str">
        <f aca="false">IF($E243="","Unmatched","Matched")</f>
        <v>Matched</v>
      </c>
    </row>
    <row r="244" customFormat="false" ht="15" hidden="false" customHeight="false" outlineLevel="0" collapsed="false">
      <c r="A244" s="20" t="s">
        <v>592</v>
      </c>
      <c r="B244" s="20" t="n">
        <v>2025</v>
      </c>
      <c r="C244" s="21" t="n">
        <v>-1</v>
      </c>
      <c r="D244" s="22" t="n">
        <v>-37.8</v>
      </c>
      <c r="E244" s="20" t="n">
        <f aca="false">IFERROR(INDEX('Catalog'!$A:$A,MATCH($A244,'Catalog'!$B:$B,0)),IFERROR(INDEX('Catalog'!$A:$A,MATCH(TRIM(SUBSTITUTE($A244,CHAR(160)," ")),'Catalog'!$C:$C,0)),""))</f>
        <v>4413166</v>
      </c>
      <c r="F244" s="20" t="str">
        <f aca="false">IF($E244="","Unmatched","Matched")</f>
        <v>Matched</v>
      </c>
    </row>
    <row r="245" customFormat="false" ht="15" hidden="false" customHeight="false" outlineLevel="0" collapsed="false">
      <c r="A245" s="20" t="s">
        <v>243</v>
      </c>
      <c r="B245" s="20" t="n">
        <v>2025</v>
      </c>
      <c r="C245" s="21" t="n">
        <v>1</v>
      </c>
      <c r="D245" s="22" t="n">
        <v>94.6</v>
      </c>
      <c r="E245" s="20" t="n">
        <f aca="false">IFERROR(INDEX('Catalog'!$A:$A,MATCH($A245,'Catalog'!$B:$B,0)),IFERROR(INDEX('Catalog'!$A:$A,MATCH(TRIM(SUBSTITUTE($A245,CHAR(160)," ")),'Catalog'!$C:$C,0)),""))</f>
        <v>4413169</v>
      </c>
      <c r="F245" s="20" t="str">
        <f aca="false">IF($E245="","Unmatched","Matched")</f>
        <v>Matched</v>
      </c>
    </row>
    <row r="246" customFormat="false" ht="15" hidden="false" customHeight="false" outlineLevel="0" collapsed="false">
      <c r="A246" s="20" t="s">
        <v>242</v>
      </c>
      <c r="B246" s="20" t="n">
        <v>2025</v>
      </c>
      <c r="C246" s="21" t="n">
        <v>1</v>
      </c>
      <c r="D246" s="22" t="n">
        <v>94.5</v>
      </c>
      <c r="E246" s="20" t="n">
        <f aca="false">IFERROR(INDEX('Catalog'!$A:$A,MATCH($A246,'Catalog'!$B:$B,0)),IFERROR(INDEX('Catalog'!$A:$A,MATCH(TRIM(SUBSTITUTE($A246,CHAR(160)," ")),'Catalog'!$C:$C,0)),""))</f>
        <v>4413170</v>
      </c>
      <c r="F246" s="20" t="str">
        <f aca="false">IF($E246="","Unmatched","Matched")</f>
        <v>Matched</v>
      </c>
    </row>
    <row r="247" customFormat="false" ht="15" hidden="false" customHeight="false" outlineLevel="0" collapsed="false">
      <c r="A247" s="20" t="s">
        <v>241</v>
      </c>
      <c r="B247" s="20" t="n">
        <v>2025</v>
      </c>
      <c r="C247" s="21" t="n">
        <v>3</v>
      </c>
      <c r="D247" s="22" t="n">
        <v>271.1</v>
      </c>
      <c r="E247" s="20" t="n">
        <f aca="false">IFERROR(INDEX('Catalog'!$A:$A,MATCH($A247,'Catalog'!$B:$B,0)),IFERROR(INDEX('Catalog'!$A:$A,MATCH(TRIM(SUBSTITUTE($A247,CHAR(160)," ")),'Catalog'!$C:$C,0)),""))</f>
        <v>4413171</v>
      </c>
      <c r="F247" s="20" t="str">
        <f aca="false">IF($E247="","Unmatched","Matched")</f>
        <v>Matched</v>
      </c>
    </row>
    <row r="248" customFormat="false" ht="15" hidden="false" customHeight="false" outlineLevel="0" collapsed="false">
      <c r="A248" s="20" t="s">
        <v>244</v>
      </c>
      <c r="B248" s="20" t="n">
        <v>2025</v>
      </c>
      <c r="C248" s="21" t="n">
        <v>4</v>
      </c>
      <c r="D248" s="22" t="n">
        <v>365.6</v>
      </c>
      <c r="E248" s="20" t="n">
        <f aca="false">IFERROR(INDEX('Catalog'!$A:$A,MATCH($A248,'Catalog'!$B:$B,0)),IFERROR(INDEX('Catalog'!$A:$A,MATCH(TRIM(SUBSTITUTE($A248,CHAR(160)," ")),'Catalog'!$C:$C,0)),""))</f>
        <v>4413172</v>
      </c>
      <c r="F248" s="20" t="str">
        <f aca="false">IF($E248="","Unmatched","Matched")</f>
        <v>Matched</v>
      </c>
    </row>
    <row r="249" customFormat="false" ht="15" hidden="false" customHeight="false" outlineLevel="0" collapsed="false">
      <c r="A249" s="20" t="s">
        <v>245</v>
      </c>
      <c r="B249" s="20" t="n">
        <v>2025</v>
      </c>
      <c r="C249" s="21" t="n">
        <v>1</v>
      </c>
      <c r="D249" s="22" t="n">
        <v>82</v>
      </c>
      <c r="E249" s="20" t="n">
        <f aca="false">IFERROR(INDEX('Catalog'!$A:$A,MATCH($A249,'Catalog'!$B:$B,0)),IFERROR(INDEX('Catalog'!$A:$A,MATCH(TRIM(SUBSTITUTE($A249,CHAR(160)," ")),'Catalog'!$C:$C,0)),""))</f>
        <v>4413173</v>
      </c>
      <c r="F249" s="20" t="str">
        <f aca="false">IF($E249="","Unmatched","Matched")</f>
        <v>Matched</v>
      </c>
    </row>
    <row r="250" customFormat="false" ht="15" hidden="false" customHeight="false" outlineLevel="0" collapsed="false">
      <c r="A250" s="20" t="s">
        <v>601</v>
      </c>
      <c r="B250" s="20" t="n">
        <v>2025</v>
      </c>
      <c r="C250" s="21" t="n">
        <v>1</v>
      </c>
      <c r="D250" s="22" t="n">
        <v>94.5</v>
      </c>
      <c r="E250" s="20" t="n">
        <f aca="false">IFERROR(INDEX('Catalog'!$A:$A,MATCH($A250,'Catalog'!$B:$B,0)),IFERROR(INDEX('Catalog'!$A:$A,MATCH(TRIM(SUBSTITUTE($A250,CHAR(160)," ")),'Catalog'!$C:$C,0)),""))</f>
        <v>4413174</v>
      </c>
      <c r="F250" s="20" t="str">
        <f aca="false">IF($E250="","Unmatched","Matched")</f>
        <v>Matched</v>
      </c>
    </row>
    <row r="251" customFormat="false" ht="15" hidden="false" customHeight="false" outlineLevel="0" collapsed="false">
      <c r="A251" s="20" t="s">
        <v>600</v>
      </c>
      <c r="B251" s="20" t="n">
        <v>2025</v>
      </c>
      <c r="C251" s="21" t="n">
        <v>2</v>
      </c>
      <c r="D251" s="22" t="n">
        <v>189.1</v>
      </c>
      <c r="E251" s="20" t="n">
        <f aca="false">IFERROR(INDEX('Catalog'!$A:$A,MATCH($A251,'Catalog'!$B:$B,0)),IFERROR(INDEX('Catalog'!$A:$A,MATCH(TRIM(SUBSTITUTE($A251,CHAR(160)," ")),'Catalog'!$C:$C,0)),""))</f>
        <v>4413175</v>
      </c>
      <c r="F251" s="20" t="str">
        <f aca="false">IF($E251="","Unmatched","Matched")</f>
        <v>Matched</v>
      </c>
    </row>
    <row r="252" customFormat="false" ht="15" hidden="false" customHeight="false" outlineLevel="0" collapsed="false">
      <c r="A252" s="20" t="s">
        <v>599</v>
      </c>
      <c r="B252" s="20" t="n">
        <v>2025</v>
      </c>
      <c r="C252" s="21" t="n">
        <v>3</v>
      </c>
      <c r="D252" s="22" t="n">
        <v>283.8</v>
      </c>
      <c r="E252" s="20" t="n">
        <f aca="false">IFERROR(INDEX('Catalog'!$A:$A,MATCH($A252,'Catalog'!$B:$B,0)),IFERROR(INDEX('Catalog'!$A:$A,MATCH(TRIM(SUBSTITUTE($A252,CHAR(160)," ")),'Catalog'!$C:$C,0)),""))</f>
        <v>4413176</v>
      </c>
      <c r="F252" s="20" t="str">
        <f aca="false">IF($E252="","Unmatched","Matched")</f>
        <v>Matched</v>
      </c>
    </row>
    <row r="253" customFormat="false" ht="15" hidden="false" customHeight="false" outlineLevel="0" collapsed="false">
      <c r="A253" s="20" t="s">
        <v>602</v>
      </c>
      <c r="B253" s="20" t="n">
        <v>2025</v>
      </c>
      <c r="C253" s="21" t="n">
        <v>1</v>
      </c>
      <c r="D253" s="22" t="n">
        <v>94.6</v>
      </c>
      <c r="E253" s="20" t="n">
        <f aca="false">IFERROR(INDEX('Catalog'!$A:$A,MATCH($A253,'Catalog'!$B:$B,0)),IFERROR(INDEX('Catalog'!$A:$A,MATCH(TRIM(SUBSTITUTE($A253,CHAR(160)," ")),'Catalog'!$C:$C,0)),""))</f>
        <v>4413177</v>
      </c>
      <c r="F253" s="20" t="str">
        <f aca="false">IF($E253="","Unmatched","Matched")</f>
        <v>Matched</v>
      </c>
    </row>
    <row r="254" customFormat="false" ht="15" hidden="false" customHeight="false" outlineLevel="0" collapsed="false">
      <c r="A254" s="20" t="s">
        <v>881</v>
      </c>
      <c r="B254" s="20" t="n">
        <v>2025</v>
      </c>
      <c r="C254" s="21" t="n">
        <v>1</v>
      </c>
      <c r="D254" s="22" t="n">
        <v>93.4</v>
      </c>
      <c r="E254" s="20" t="n">
        <f aca="false">IFERROR(INDEX('Catalog'!$A:$A,MATCH($A254,'Catalog'!$B:$B,0)),IFERROR(INDEX('Catalog'!$A:$A,MATCH(TRIM(SUBSTITUTE($A254,CHAR(160)," ")),'Catalog'!$C:$C,0)),""))</f>
        <v>4413178</v>
      </c>
      <c r="F254" s="20" t="str">
        <f aca="false">IF($E254="","Unmatched","Matched")</f>
        <v>Matched</v>
      </c>
    </row>
    <row r="255" customFormat="false" ht="15" hidden="false" customHeight="false" outlineLevel="0" collapsed="false">
      <c r="A255" s="20" t="s">
        <v>879</v>
      </c>
      <c r="B255" s="20" t="n">
        <v>2025</v>
      </c>
      <c r="C255" s="21" t="n">
        <v>4</v>
      </c>
      <c r="D255" s="22" t="n">
        <v>402.3</v>
      </c>
      <c r="E255" s="20" t="n">
        <f aca="false">IFERROR(INDEX('Catalog'!$A:$A,MATCH($A255,'Catalog'!$B:$B,0)),IFERROR(INDEX('Catalog'!$A:$A,MATCH(TRIM(SUBSTITUTE($A255,CHAR(160)," ")),'Catalog'!$C:$C,0)),""))</f>
        <v>4413179</v>
      </c>
      <c r="F255" s="20" t="str">
        <f aca="false">IF($E255="","Unmatched","Matched")</f>
        <v>Matched</v>
      </c>
    </row>
    <row r="256" customFormat="false" ht="15" hidden="false" customHeight="false" outlineLevel="0" collapsed="false">
      <c r="A256" s="20" t="s">
        <v>910</v>
      </c>
      <c r="B256" s="20" t="n">
        <v>2025</v>
      </c>
      <c r="C256" s="21" t="n">
        <v>3</v>
      </c>
      <c r="D256" s="22" t="n">
        <v>308.9</v>
      </c>
      <c r="E256" s="20" t="n">
        <f aca="false">IFERROR(INDEX('Catalog'!$A:$A,MATCH($A256,'Catalog'!$B:$B,0)),IFERROR(INDEX('Catalog'!$A:$A,MATCH(TRIM(SUBSTITUTE($A256,CHAR(160)," ")),'Catalog'!$C:$C,0)),""))</f>
        <v>4413181</v>
      </c>
      <c r="F256" s="20" t="str">
        <f aca="false">IF($E256="","Unmatched","Matched")</f>
        <v>Matched</v>
      </c>
    </row>
    <row r="257" customFormat="false" ht="15" hidden="false" customHeight="false" outlineLevel="0" collapsed="false">
      <c r="A257" s="20" t="s">
        <v>238</v>
      </c>
      <c r="B257" s="20" t="n">
        <v>2025</v>
      </c>
      <c r="C257" s="21" t="n">
        <v>1</v>
      </c>
      <c r="D257" s="22" t="n">
        <v>104</v>
      </c>
      <c r="E257" s="20" t="n">
        <f aca="false">IFERROR(INDEX('Catalog'!$A:$A,MATCH($A257,'Catalog'!$B:$B,0)),IFERROR(INDEX('Catalog'!$A:$A,MATCH(TRIM(SUBSTITUTE($A257,CHAR(160)," ")),'Catalog'!$C:$C,0)),""))</f>
        <v>4413183</v>
      </c>
      <c r="F257" s="20" t="str">
        <f aca="false">IF($E257="","Unmatched","Matched")</f>
        <v>Matched</v>
      </c>
    </row>
    <row r="258" customFormat="false" ht="15" hidden="false" customHeight="false" outlineLevel="0" collapsed="false">
      <c r="A258" s="20" t="s">
        <v>237</v>
      </c>
      <c r="B258" s="20" t="n">
        <v>2025</v>
      </c>
      <c r="C258" s="21" t="n">
        <v>4</v>
      </c>
      <c r="D258" s="22" t="n">
        <v>417.5</v>
      </c>
      <c r="E258" s="20" t="n">
        <f aca="false">IFERROR(INDEX('Catalog'!$A:$A,MATCH($A258,'Catalog'!$B:$B,0)),IFERROR(INDEX('Catalog'!$A:$A,MATCH(TRIM(SUBSTITUTE($A258,CHAR(160)," ")),'Catalog'!$C:$C,0)),""))</f>
        <v>4413184</v>
      </c>
      <c r="F258" s="20" t="str">
        <f aca="false">IF($E258="","Unmatched","Matched")</f>
        <v>Matched</v>
      </c>
    </row>
    <row r="259" customFormat="false" ht="15" hidden="false" customHeight="false" outlineLevel="0" collapsed="false">
      <c r="A259" s="20" t="s">
        <v>239</v>
      </c>
      <c r="B259" s="20" t="n">
        <v>2025</v>
      </c>
      <c r="C259" s="21" t="n">
        <v>5</v>
      </c>
      <c r="D259" s="22" t="n">
        <v>525.6</v>
      </c>
      <c r="E259" s="20" t="n">
        <f aca="false">IFERROR(INDEX('Catalog'!$A:$A,MATCH($A259,'Catalog'!$B:$B,0)),IFERROR(INDEX('Catalog'!$A:$A,MATCH(TRIM(SUBSTITUTE($A259,CHAR(160)," ")),'Catalog'!$C:$C,0)),""))</f>
        <v>4413185</v>
      </c>
      <c r="F259" s="20" t="str">
        <f aca="false">IF($E259="","Unmatched","Matched")</f>
        <v>Matched</v>
      </c>
    </row>
    <row r="260" customFormat="false" ht="15" hidden="false" customHeight="false" outlineLevel="0" collapsed="false">
      <c r="A260" s="20" t="s">
        <v>469</v>
      </c>
      <c r="B260" s="20" t="n">
        <v>2025</v>
      </c>
      <c r="C260" s="21" t="n">
        <v>5</v>
      </c>
      <c r="D260" s="22" t="n">
        <v>957.4</v>
      </c>
      <c r="E260" s="20" t="n">
        <f aca="false">IFERROR(INDEX('Catalog'!$A:$A,MATCH($A260,'Catalog'!$B:$B,0)),IFERROR(INDEX('Catalog'!$A:$A,MATCH(TRIM(SUBSTITUTE($A260,CHAR(160)," ")),'Catalog'!$C:$C,0)),""))</f>
        <v>4413195</v>
      </c>
      <c r="F260" s="20" t="str">
        <f aca="false">IF($E260="","Unmatched","Matched")</f>
        <v>Matched</v>
      </c>
    </row>
    <row r="261" customFormat="false" ht="15" hidden="false" customHeight="false" outlineLevel="0" collapsed="false">
      <c r="A261" s="20" t="s">
        <v>468</v>
      </c>
      <c r="B261" s="20" t="n">
        <v>2025</v>
      </c>
      <c r="C261" s="21" t="n">
        <v>14</v>
      </c>
      <c r="D261" s="22" t="n">
        <v>2744.1</v>
      </c>
      <c r="E261" s="20" t="n">
        <f aca="false">IFERROR(INDEX('Catalog'!$A:$A,MATCH($A261,'Catalog'!$B:$B,0)),IFERROR(INDEX('Catalog'!$A:$A,MATCH(TRIM(SUBSTITUTE($A261,CHAR(160)," ")),'Catalog'!$C:$C,0)),""))</f>
        <v>4413196</v>
      </c>
      <c r="F261" s="20" t="str">
        <f aca="false">IF($E261="","Unmatched","Matched")</f>
        <v>Matched</v>
      </c>
    </row>
    <row r="262" customFormat="false" ht="15" hidden="false" customHeight="false" outlineLevel="0" collapsed="false">
      <c r="A262" s="20" t="s">
        <v>467</v>
      </c>
      <c r="B262" s="20" t="n">
        <v>2025</v>
      </c>
      <c r="C262" s="21" t="n">
        <v>27</v>
      </c>
      <c r="D262" s="22" t="n">
        <v>5337.7</v>
      </c>
      <c r="E262" s="20" t="n">
        <f aca="false">IFERROR(INDEX('Catalog'!$A:$A,MATCH($A262,'Catalog'!$B:$B,0)),IFERROR(INDEX('Catalog'!$A:$A,MATCH(TRIM(SUBSTITUTE($A262,CHAR(160)," ")),'Catalog'!$C:$C,0)),""))</f>
        <v>4413197</v>
      </c>
      <c r="F262" s="20" t="str">
        <f aca="false">IF($E262="","Unmatched","Matched")</f>
        <v>Matched</v>
      </c>
    </row>
    <row r="263" customFormat="false" ht="15" hidden="false" customHeight="false" outlineLevel="0" collapsed="false">
      <c r="A263" s="20" t="s">
        <v>470</v>
      </c>
      <c r="B263" s="20" t="n">
        <v>2025</v>
      </c>
      <c r="C263" s="21" t="n">
        <v>18</v>
      </c>
      <c r="D263" s="22" t="n">
        <v>3457.1</v>
      </c>
      <c r="E263" s="20" t="n">
        <f aca="false">IFERROR(INDEX('Catalog'!$A:$A,MATCH($A263,'Catalog'!$B:$B,0)),IFERROR(INDEX('Catalog'!$A:$A,MATCH(TRIM(SUBSTITUTE($A263,CHAR(160)," ")),'Catalog'!$C:$C,0)),""))</f>
        <v>4413198</v>
      </c>
      <c r="F263" s="20" t="str">
        <f aca="false">IF($E263="","Unmatched","Matched")</f>
        <v>Matched</v>
      </c>
    </row>
    <row r="264" customFormat="false" ht="15" hidden="false" customHeight="false" outlineLevel="0" collapsed="false">
      <c r="A264" s="20" t="s">
        <v>471</v>
      </c>
      <c r="B264" s="20" t="n">
        <v>2025</v>
      </c>
      <c r="C264" s="21" t="n">
        <v>2</v>
      </c>
      <c r="D264" s="22" t="n">
        <v>403</v>
      </c>
      <c r="E264" s="20" t="n">
        <f aca="false">IFERROR(INDEX('Catalog'!$A:$A,MATCH($A264,'Catalog'!$B:$B,0)),IFERROR(INDEX('Catalog'!$A:$A,MATCH(TRIM(SUBSTITUTE($A264,CHAR(160)," ")),'Catalog'!$C:$C,0)),""))</f>
        <v>4413204</v>
      </c>
      <c r="F264" s="20" t="str">
        <f aca="false">IF($E264="","Unmatched","Matched")</f>
        <v>Matched</v>
      </c>
    </row>
    <row r="265" customFormat="false" ht="15" hidden="false" customHeight="false" outlineLevel="0" collapsed="false">
      <c r="A265" s="20" t="s">
        <v>258</v>
      </c>
      <c r="B265" s="20" t="n">
        <v>2025</v>
      </c>
      <c r="C265" s="21" t="n">
        <v>2</v>
      </c>
      <c r="D265" s="22" t="n">
        <v>237.1</v>
      </c>
      <c r="E265" s="20" t="n">
        <f aca="false">IFERROR(INDEX('Catalog'!$A:$A,MATCH($A265,'Catalog'!$B:$B,0)),IFERROR(INDEX('Catalog'!$A:$A,MATCH(TRIM(SUBSTITUTE($A265,CHAR(160)," ")),'Catalog'!$C:$C,0)),""))</f>
        <v>4413224</v>
      </c>
      <c r="F265" s="20" t="str">
        <f aca="false">IF($E265="","Unmatched","Matched")</f>
        <v>Matched</v>
      </c>
    </row>
    <row r="266" customFormat="false" ht="15" hidden="false" customHeight="false" outlineLevel="0" collapsed="false">
      <c r="A266" s="20" t="s">
        <v>256</v>
      </c>
      <c r="B266" s="20" t="n">
        <v>2025</v>
      </c>
      <c r="C266" s="21" t="n">
        <v>1</v>
      </c>
      <c r="D266" s="22" t="n">
        <v>118.6</v>
      </c>
      <c r="E266" s="20" t="n">
        <f aca="false">IFERROR(INDEX('Catalog'!$A:$A,MATCH($A266,'Catalog'!$B:$B,0)),IFERROR(INDEX('Catalog'!$A:$A,MATCH(TRIM(SUBSTITUTE($A266,CHAR(160)," ")),'Catalog'!$C:$C,0)),""))</f>
        <v>4413225</v>
      </c>
      <c r="F266" s="20" t="str">
        <f aca="false">IF($E266="","Unmatched","Matched")</f>
        <v>Matched</v>
      </c>
    </row>
    <row r="267" customFormat="false" ht="15" hidden="false" customHeight="false" outlineLevel="0" collapsed="false">
      <c r="A267" s="20" t="s">
        <v>255</v>
      </c>
      <c r="B267" s="20" t="n">
        <v>2025</v>
      </c>
      <c r="C267" s="21" t="n">
        <v>2</v>
      </c>
      <c r="D267" s="22" t="n">
        <v>237.1</v>
      </c>
      <c r="E267" s="20" t="n">
        <f aca="false">IFERROR(INDEX('Catalog'!$A:$A,MATCH($A267,'Catalog'!$B:$B,0)),IFERROR(INDEX('Catalog'!$A:$A,MATCH(TRIM(SUBSTITUTE($A267,CHAR(160)," ")),'Catalog'!$C:$C,0)),""))</f>
        <v>4413226</v>
      </c>
      <c r="F267" s="20" t="str">
        <f aca="false">IF($E267="","Unmatched","Matched")</f>
        <v>Matched</v>
      </c>
    </row>
    <row r="268" customFormat="false" ht="15" hidden="false" customHeight="false" outlineLevel="0" collapsed="false">
      <c r="A268" s="20" t="s">
        <v>458</v>
      </c>
      <c r="B268" s="20" t="n">
        <v>2025</v>
      </c>
      <c r="C268" s="21" t="n">
        <v>2</v>
      </c>
      <c r="D268" s="22" t="n">
        <v>409.4</v>
      </c>
      <c r="E268" s="20" t="n">
        <f aca="false">IFERROR(INDEX('Catalog'!$A:$A,MATCH($A268,'Catalog'!$B:$B,0)),IFERROR(INDEX('Catalog'!$A:$A,MATCH(TRIM(SUBSTITUTE($A268,CHAR(160)," ")),'Catalog'!$C:$C,0)),""))</f>
        <v>4413262</v>
      </c>
      <c r="F268" s="20" t="str">
        <f aca="false">IF($E268="","Unmatched","Matched")</f>
        <v>Matched</v>
      </c>
    </row>
    <row r="269" customFormat="false" ht="15" hidden="false" customHeight="false" outlineLevel="0" collapsed="false">
      <c r="A269" s="20" t="s">
        <v>483</v>
      </c>
      <c r="B269" s="20" t="n">
        <v>2025</v>
      </c>
      <c r="C269" s="21" t="n">
        <v>2</v>
      </c>
      <c r="D269" s="22" t="n">
        <v>47.4</v>
      </c>
      <c r="E269" s="20" t="n">
        <f aca="false">IFERROR(INDEX('Catalog'!$A:$A,MATCH($A269,'Catalog'!$B:$B,0)),IFERROR(INDEX('Catalog'!$A:$A,MATCH(TRIM(SUBSTITUTE($A269,CHAR(160)," ")),'Catalog'!$C:$C,0)),""))</f>
        <v>4413276</v>
      </c>
      <c r="F269" s="20" t="str">
        <f aca="false">IF($E269="","Unmatched","Matched")</f>
        <v>Matched</v>
      </c>
    </row>
    <row r="270" customFormat="false" ht="15" hidden="false" customHeight="false" outlineLevel="0" collapsed="false">
      <c r="A270" s="20" t="s">
        <v>484</v>
      </c>
      <c r="B270" s="20" t="n">
        <v>2025</v>
      </c>
      <c r="C270" s="21" t="n">
        <v>4</v>
      </c>
      <c r="D270" s="22" t="n">
        <v>186</v>
      </c>
      <c r="E270" s="20" t="n">
        <f aca="false">IFERROR(INDEX('Catalog'!$A:$A,MATCH($A270,'Catalog'!$B:$B,0)),IFERROR(INDEX('Catalog'!$A:$A,MATCH(TRIM(SUBSTITUTE($A270,CHAR(160)," ")),'Catalog'!$C:$C,0)),""))</f>
        <v>4413277</v>
      </c>
      <c r="F270" s="20" t="str">
        <f aca="false">IF($E270="","Unmatched","Matched")</f>
        <v>Matched</v>
      </c>
    </row>
    <row r="271" customFormat="false" ht="15" hidden="false" customHeight="false" outlineLevel="0" collapsed="false">
      <c r="A271" s="20" t="s">
        <v>485</v>
      </c>
      <c r="B271" s="20" t="n">
        <v>2025</v>
      </c>
      <c r="C271" s="21" t="n">
        <v>5</v>
      </c>
      <c r="D271" s="22" t="n">
        <v>217.5</v>
      </c>
      <c r="E271" s="20" t="n">
        <f aca="false">IFERROR(INDEX('Catalog'!$A:$A,MATCH($A271,'Catalog'!$B:$B,0)),IFERROR(INDEX('Catalog'!$A:$A,MATCH(TRIM(SUBSTITUTE($A271,CHAR(160)," ")),'Catalog'!$C:$C,0)),""))</f>
        <v>4413278</v>
      </c>
      <c r="F271" s="20" t="str">
        <f aca="false">IF($E271="","Unmatched","Matched")</f>
        <v>Matched</v>
      </c>
    </row>
    <row r="272" customFormat="false" ht="15" hidden="false" customHeight="false" outlineLevel="0" collapsed="false">
      <c r="A272" s="20" t="s">
        <v>186</v>
      </c>
      <c r="B272" s="20" t="n">
        <v>2025</v>
      </c>
      <c r="C272" s="21" t="n">
        <v>0</v>
      </c>
      <c r="D272" s="22" t="n">
        <v>-13.5</v>
      </c>
      <c r="E272" s="20" t="n">
        <f aca="false">IFERROR(INDEX('Catalog'!$A:$A,MATCH($A272,'Catalog'!$B:$B,0)),IFERROR(INDEX('Catalog'!$A:$A,MATCH(TRIM(SUBSTITUTE($A272,CHAR(160)," ")),'Catalog'!$C:$C,0)),""))</f>
        <v>4413282</v>
      </c>
      <c r="F272" s="20" t="str">
        <f aca="false">IF($E272="","Unmatched","Matched")</f>
        <v>Matched</v>
      </c>
    </row>
    <row r="273" customFormat="false" ht="15" hidden="false" customHeight="false" outlineLevel="0" collapsed="false">
      <c r="A273" s="20" t="s">
        <v>187</v>
      </c>
      <c r="B273" s="20" t="n">
        <v>2025</v>
      </c>
      <c r="C273" s="21" t="n">
        <v>1</v>
      </c>
      <c r="D273" s="22" t="n">
        <v>189.8</v>
      </c>
      <c r="E273" s="20" t="n">
        <f aca="false">IFERROR(INDEX('Catalog'!$A:$A,MATCH($A273,'Catalog'!$B:$B,0)),IFERROR(INDEX('Catalog'!$A:$A,MATCH(TRIM(SUBSTITUTE($A273,CHAR(160)," ")),'Catalog'!$C:$C,0)),""))</f>
        <v>4413283</v>
      </c>
      <c r="F273" s="20" t="str">
        <f aca="false">IF($E273="","Unmatched","Matched")</f>
        <v>Matched</v>
      </c>
    </row>
    <row r="274" customFormat="false" ht="15" hidden="false" customHeight="false" outlineLevel="0" collapsed="false">
      <c r="A274" s="20" t="s">
        <v>188</v>
      </c>
      <c r="B274" s="20" t="n">
        <v>2025</v>
      </c>
      <c r="C274" s="21" t="n">
        <v>1</v>
      </c>
      <c r="D274" s="22" t="n">
        <v>203.4</v>
      </c>
      <c r="E274" s="20" t="n">
        <f aca="false">IFERROR(INDEX('Catalog'!$A:$A,MATCH($A274,'Catalog'!$B:$B,0)),IFERROR(INDEX('Catalog'!$A:$A,MATCH(TRIM(SUBSTITUTE($A274,CHAR(160)," ")),'Catalog'!$C:$C,0)),""))</f>
        <v>4413284</v>
      </c>
      <c r="F274" s="20" t="str">
        <f aca="false">IF($E274="","Unmatched","Matched")</f>
        <v>Matched</v>
      </c>
    </row>
    <row r="275" customFormat="false" ht="15" hidden="false" customHeight="false" outlineLevel="0" collapsed="false">
      <c r="A275" s="20" t="s">
        <v>817</v>
      </c>
      <c r="B275" s="20" t="n">
        <v>2025</v>
      </c>
      <c r="C275" s="21" t="n">
        <v>5</v>
      </c>
      <c r="D275" s="22" t="n">
        <v>346.6</v>
      </c>
      <c r="E275" s="20" t="n">
        <f aca="false">IFERROR(INDEX('Catalog'!$A:$A,MATCH($A275,'Catalog'!$B:$B,0)),IFERROR(INDEX('Catalog'!$A:$A,MATCH(TRIM(SUBSTITUTE($A275,CHAR(160)," ")),'Catalog'!$C:$C,0)),""))</f>
        <v>4413303</v>
      </c>
      <c r="F275" s="20" t="str">
        <f aca="false">IF($E275="","Unmatched","Matched")</f>
        <v>Matched</v>
      </c>
    </row>
    <row r="276" customFormat="false" ht="15" hidden="false" customHeight="false" outlineLevel="0" collapsed="false">
      <c r="A276" s="20" t="s">
        <v>646</v>
      </c>
      <c r="B276" s="20" t="n">
        <v>2025</v>
      </c>
      <c r="C276" s="21" t="n">
        <v>141</v>
      </c>
      <c r="D276" s="22" t="n">
        <v>4332.4</v>
      </c>
      <c r="E276" s="20" t="n">
        <f aca="false">IFERROR(INDEX('Catalog'!$A:$A,MATCH($A276,'Catalog'!$B:$B,0)),IFERROR(INDEX('Catalog'!$A:$A,MATCH(TRIM(SUBSTITUTE($A276,CHAR(160)," ")),'Catalog'!$C:$C,0)),""))</f>
        <v>4413307</v>
      </c>
      <c r="F276" s="20" t="str">
        <f aca="false">IF($E276="","Unmatched","Matched")</f>
        <v>Matched</v>
      </c>
    </row>
    <row r="277" customFormat="false" ht="15" hidden="false" customHeight="false" outlineLevel="0" collapsed="false">
      <c r="A277" s="20" t="s">
        <v>822</v>
      </c>
      <c r="B277" s="20" t="n">
        <v>2025</v>
      </c>
      <c r="C277" s="21" t="n">
        <v>8</v>
      </c>
      <c r="D277" s="22" t="n">
        <v>240.9</v>
      </c>
      <c r="E277" s="20" t="n">
        <f aca="false">IFERROR(INDEX('Catalog'!$A:$A,MATCH($A277,'Catalog'!$B:$B,0)),IFERROR(INDEX('Catalog'!$A:$A,MATCH(TRIM(SUBSTITUTE($A277,CHAR(160)," ")),'Catalog'!$C:$C,0)),""))</f>
        <v>4413324</v>
      </c>
      <c r="F277" s="20" t="str">
        <f aca="false">IF($E277="","Unmatched","Matched")</f>
        <v>Matched</v>
      </c>
    </row>
    <row r="278" customFormat="false" ht="15" hidden="false" customHeight="false" outlineLevel="0" collapsed="false">
      <c r="A278" s="20" t="s">
        <v>834</v>
      </c>
      <c r="B278" s="20" t="n">
        <v>2025</v>
      </c>
      <c r="C278" s="21" t="n">
        <v>374</v>
      </c>
      <c r="D278" s="22" t="n">
        <v>11800.7</v>
      </c>
      <c r="E278" s="20" t="n">
        <f aca="false">IFERROR(INDEX('Catalog'!$A:$A,MATCH($A278,'Catalog'!$B:$B,0)),IFERROR(INDEX('Catalog'!$A:$A,MATCH(TRIM(SUBSTITUTE($A278,CHAR(160)," ")),'Catalog'!$C:$C,0)),""))</f>
        <v>4413326</v>
      </c>
      <c r="F278" s="20" t="str">
        <f aca="false">IF($E278="","Unmatched","Matched")</f>
        <v>Matched</v>
      </c>
    </row>
    <row r="279" customFormat="false" ht="15" hidden="false" customHeight="false" outlineLevel="0" collapsed="false">
      <c r="A279" s="20" t="s">
        <v>225</v>
      </c>
      <c r="B279" s="20" t="n">
        <v>2025</v>
      </c>
      <c r="C279" s="21" t="n">
        <v>103</v>
      </c>
      <c r="D279" s="22" t="n">
        <v>9674.1</v>
      </c>
      <c r="E279" s="20" t="n">
        <f aca="false">IFERROR(INDEX('Catalog'!$A:$A,MATCH($A279,'Catalog'!$B:$B,0)),IFERROR(INDEX('Catalog'!$A:$A,MATCH(TRIM(SUBSTITUTE($A279,CHAR(160)," ")),'Catalog'!$C:$C,0)),""))</f>
        <v>4413328</v>
      </c>
      <c r="F279" s="20" t="str">
        <f aca="false">IF($E279="","Unmatched","Matched")</f>
        <v>Matched</v>
      </c>
    </row>
    <row r="280" customFormat="false" ht="15" hidden="false" customHeight="false" outlineLevel="0" collapsed="false">
      <c r="A280" s="20" t="s">
        <v>226</v>
      </c>
      <c r="B280" s="20" t="n">
        <v>2025</v>
      </c>
      <c r="C280" s="21" t="n">
        <v>555</v>
      </c>
      <c r="D280" s="22" t="n">
        <v>36987</v>
      </c>
      <c r="E280" s="20" t="n">
        <f aca="false">IFERROR(INDEX('Catalog'!$A:$A,MATCH($A280,'Catalog'!$B:$B,0)),IFERROR(INDEX('Catalog'!$A:$A,MATCH(TRIM(SUBSTITUTE($A280,CHAR(160)," ")),'Catalog'!$C:$C,0)),""))</f>
        <v>4413329</v>
      </c>
      <c r="F280" s="20" t="str">
        <f aca="false">IF($E280="","Unmatched","Matched")</f>
        <v>Matched</v>
      </c>
    </row>
    <row r="281" customFormat="false" ht="15" hidden="false" customHeight="false" outlineLevel="0" collapsed="false">
      <c r="A281" s="20" t="s">
        <v>877</v>
      </c>
      <c r="B281" s="20" t="n">
        <v>2025</v>
      </c>
      <c r="C281" s="21" t="n">
        <v>21</v>
      </c>
      <c r="D281" s="22" t="n">
        <v>1201.4</v>
      </c>
      <c r="E281" s="20" t="n">
        <f aca="false">IFERROR(INDEX('Catalog'!$A:$A,MATCH($A281,'Catalog'!$B:$B,0)),IFERROR(INDEX('Catalog'!$A:$A,MATCH(TRIM(SUBSTITUTE($A281,CHAR(160)," ")),'Catalog'!$C:$C,0)),""))</f>
        <v>4413330</v>
      </c>
      <c r="F281" s="20" t="str">
        <f aca="false">IF($E281="","Unmatched","Matched")</f>
        <v>Matched</v>
      </c>
    </row>
    <row r="282" customFormat="false" ht="15" hidden="false" customHeight="false" outlineLevel="0" collapsed="false">
      <c r="A282" s="20" t="s">
        <v>577</v>
      </c>
      <c r="B282" s="20" t="n">
        <v>2025</v>
      </c>
      <c r="C282" s="21" t="n">
        <v>231</v>
      </c>
      <c r="D282" s="22" t="n">
        <v>8400.9</v>
      </c>
      <c r="E282" s="20" t="n">
        <f aca="false">IFERROR(INDEX('Catalog'!$A:$A,MATCH($A282,'Catalog'!$B:$B,0)),IFERROR(INDEX('Catalog'!$A:$A,MATCH(TRIM(SUBSTITUTE($A282,CHAR(160)," ")),'Catalog'!$C:$C,0)),""))</f>
        <v>4413331</v>
      </c>
      <c r="F282" s="20" t="str">
        <f aca="false">IF($E282="","Unmatched","Matched")</f>
        <v>Matched</v>
      </c>
    </row>
    <row r="283" customFormat="false" ht="15" hidden="false" customHeight="false" outlineLevel="0" collapsed="false">
      <c r="A283" s="20" t="s">
        <v>194</v>
      </c>
      <c r="B283" s="20" t="n">
        <v>2025</v>
      </c>
      <c r="C283" s="21" t="n">
        <v>5</v>
      </c>
      <c r="D283" s="22" t="n">
        <v>146.2</v>
      </c>
      <c r="E283" s="20" t="n">
        <f aca="false">IFERROR(INDEX('Catalog'!$A:$A,MATCH($A283,'Catalog'!$B:$B,0)),IFERROR(INDEX('Catalog'!$A:$A,MATCH(TRIM(SUBSTITUTE($A283,CHAR(160)," ")),'Catalog'!$C:$C,0)),""))</f>
        <v>4413332</v>
      </c>
      <c r="F283" s="20" t="str">
        <f aca="false">IF($E283="","Unmatched","Matched")</f>
        <v>Matched</v>
      </c>
    </row>
    <row r="284" customFormat="false" ht="15" hidden="false" customHeight="false" outlineLevel="0" collapsed="false">
      <c r="A284" s="20" t="s">
        <v>633</v>
      </c>
      <c r="B284" s="20" t="n">
        <v>2025</v>
      </c>
      <c r="C284" s="21" t="n">
        <v>14</v>
      </c>
      <c r="D284" s="22" t="n">
        <v>714.2</v>
      </c>
      <c r="E284" s="20" t="n">
        <f aca="false">IFERROR(INDEX('Catalog'!$A:$A,MATCH($A284,'Catalog'!$B:$B,0)),IFERROR(INDEX('Catalog'!$A:$A,MATCH(TRIM(SUBSTITUTE($A284,CHAR(160)," ")),'Catalog'!$C:$C,0)),""))</f>
        <v>4413340</v>
      </c>
      <c r="F284" s="20" t="str">
        <f aca="false">IF($E284="","Unmatched","Matched")</f>
        <v>Matched</v>
      </c>
    </row>
    <row r="285" customFormat="false" ht="15" hidden="false" customHeight="false" outlineLevel="0" collapsed="false">
      <c r="A285" s="20" t="s">
        <v>189</v>
      </c>
      <c r="B285" s="20" t="n">
        <v>2025</v>
      </c>
      <c r="C285" s="21" t="n">
        <v>3</v>
      </c>
      <c r="D285" s="22" t="n">
        <v>512.4</v>
      </c>
      <c r="E285" s="20" t="n">
        <f aca="false">IFERROR(INDEX('Catalog'!$A:$A,MATCH($A285,'Catalog'!$B:$B,0)),IFERROR(INDEX('Catalog'!$A:$A,MATCH(TRIM(SUBSTITUTE($A285,CHAR(160)," ")),'Catalog'!$C:$C,0)),""))</f>
        <v>4413341</v>
      </c>
      <c r="F285" s="20" t="str">
        <f aca="false">IF($E285="","Unmatched","Matched")</f>
        <v>Matched</v>
      </c>
    </row>
    <row r="286" customFormat="false" ht="15" hidden="false" customHeight="false" outlineLevel="0" collapsed="false">
      <c r="A286" s="20" t="s">
        <v>190</v>
      </c>
      <c r="B286" s="20" t="n">
        <v>2025</v>
      </c>
      <c r="C286" s="21" t="n">
        <v>4</v>
      </c>
      <c r="D286" s="22" t="n">
        <v>685.1</v>
      </c>
      <c r="E286" s="20" t="n">
        <f aca="false">IFERROR(INDEX('Catalog'!$A:$A,MATCH($A286,'Catalog'!$B:$B,0)),IFERROR(INDEX('Catalog'!$A:$A,MATCH(TRIM(SUBSTITUTE($A286,CHAR(160)," ")),'Catalog'!$C:$C,0)),""))</f>
        <v>4413342</v>
      </c>
      <c r="F286" s="20" t="str">
        <f aca="false">IF($E286="","Unmatched","Matched")</f>
        <v>Matched</v>
      </c>
    </row>
    <row r="287" customFormat="false" ht="15" hidden="false" customHeight="false" outlineLevel="0" collapsed="false">
      <c r="A287" s="20" t="s">
        <v>191</v>
      </c>
      <c r="B287" s="20" t="n">
        <v>2025</v>
      </c>
      <c r="C287" s="21" t="n">
        <v>1</v>
      </c>
      <c r="D287" s="22" t="n">
        <v>175</v>
      </c>
      <c r="E287" s="20" t="n">
        <f aca="false">IFERROR(INDEX('Catalog'!$A:$A,MATCH($A287,'Catalog'!$B:$B,0)),IFERROR(INDEX('Catalog'!$A:$A,MATCH(TRIM(SUBSTITUTE($A287,CHAR(160)," ")),'Catalog'!$C:$C,0)),""))</f>
        <v>4413344</v>
      </c>
      <c r="F287" s="20" t="str">
        <f aca="false">IF($E287="","Unmatched","Matched")</f>
        <v>Matched</v>
      </c>
    </row>
    <row r="288" customFormat="false" ht="15" hidden="false" customHeight="false" outlineLevel="0" collapsed="false">
      <c r="A288" s="20" t="s">
        <v>192</v>
      </c>
      <c r="B288" s="20" t="n">
        <v>2025</v>
      </c>
      <c r="C288" s="21" t="n">
        <v>3</v>
      </c>
      <c r="D288" s="22" t="n">
        <v>524.8</v>
      </c>
      <c r="E288" s="20" t="n">
        <f aca="false">IFERROR(INDEX('Catalog'!$A:$A,MATCH($A288,'Catalog'!$B:$B,0)),IFERROR(INDEX('Catalog'!$A:$A,MATCH(TRIM(SUBSTITUTE($A288,CHAR(160)," ")),'Catalog'!$C:$C,0)),""))</f>
        <v>4413345</v>
      </c>
      <c r="F288" s="20" t="str">
        <f aca="false">IF($E288="","Unmatched","Matched")</f>
        <v>Matched</v>
      </c>
    </row>
    <row r="289" customFormat="false" ht="15" hidden="false" customHeight="false" outlineLevel="0" collapsed="false">
      <c r="A289" s="20" t="s">
        <v>436</v>
      </c>
      <c r="B289" s="20" t="n">
        <v>2025</v>
      </c>
      <c r="C289" s="21" t="n">
        <v>710</v>
      </c>
      <c r="D289" s="22" t="n">
        <v>23268.2</v>
      </c>
      <c r="E289" s="20" t="n">
        <f aca="false">IFERROR(INDEX('Catalog'!$A:$A,MATCH($A289,'Catalog'!$B:$B,0)),IFERROR(INDEX('Catalog'!$A:$A,MATCH(TRIM(SUBSTITUTE($A289,CHAR(160)," ")),'Catalog'!$C:$C,0)),""))</f>
        <v>4414000</v>
      </c>
      <c r="F289" s="20" t="str">
        <f aca="false">IF($E289="","Unmatched","Matched")</f>
        <v>Matched</v>
      </c>
    </row>
    <row r="290" customFormat="false" ht="15" hidden="false" customHeight="false" outlineLevel="0" collapsed="false">
      <c r="A290" s="20" t="s">
        <v>690</v>
      </c>
      <c r="B290" s="20" t="n">
        <v>2025</v>
      </c>
      <c r="C290" s="21" t="n">
        <v>106</v>
      </c>
      <c r="D290" s="22" t="n">
        <v>10415.4</v>
      </c>
      <c r="E290" s="20" t="n">
        <f aca="false">IFERROR(INDEX('Catalog'!$A:$A,MATCH($A290,'Catalog'!$B:$B,0)),IFERROR(INDEX('Catalog'!$A:$A,MATCH(TRIM(SUBSTITUTE($A290,CHAR(160)," ")),'Catalog'!$C:$C,0)),""))</f>
        <v>4415000</v>
      </c>
      <c r="F290" s="20" t="str">
        <f aca="false">IF($E290="","Unmatched","Matched")</f>
        <v>Matched</v>
      </c>
    </row>
    <row r="291" customFormat="false" ht="15" hidden="false" customHeight="false" outlineLevel="0" collapsed="false">
      <c r="A291" s="20" t="s">
        <v>691</v>
      </c>
      <c r="B291" s="20" t="n">
        <v>2025</v>
      </c>
      <c r="C291" s="21" t="n">
        <v>91</v>
      </c>
      <c r="D291" s="22" t="n">
        <v>8969</v>
      </c>
      <c r="E291" s="20" t="n">
        <f aca="false">IFERROR(INDEX('Catalog'!$A:$A,MATCH($A291,'Catalog'!$B:$B,0)),IFERROR(INDEX('Catalog'!$A:$A,MATCH(TRIM(SUBSTITUTE($A291,CHAR(160)," ")),'Catalog'!$C:$C,0)),""))</f>
        <v>4415001</v>
      </c>
      <c r="F291" s="20" t="str">
        <f aca="false">IF($E291="","Unmatched","Matched")</f>
        <v>Matched</v>
      </c>
    </row>
    <row r="292" customFormat="false" ht="15" hidden="false" customHeight="false" outlineLevel="0" collapsed="false">
      <c r="A292" s="20" t="s">
        <v>692</v>
      </c>
      <c r="B292" s="20" t="n">
        <v>2025</v>
      </c>
      <c r="C292" s="21" t="n">
        <v>53</v>
      </c>
      <c r="D292" s="22" t="n">
        <v>5173.7</v>
      </c>
      <c r="E292" s="20" t="n">
        <f aca="false">IFERROR(INDEX('Catalog'!$A:$A,MATCH($A292,'Catalog'!$B:$B,0)),IFERROR(INDEX('Catalog'!$A:$A,MATCH(TRIM(SUBSTITUTE($A292,CHAR(160)," ")),'Catalog'!$C:$C,0)),""))</f>
        <v>4415002</v>
      </c>
      <c r="F292" s="20" t="str">
        <f aca="false">IF($E292="","Unmatched","Matched")</f>
        <v>Matched</v>
      </c>
    </row>
    <row r="293" customFormat="false" ht="15" hidden="false" customHeight="false" outlineLevel="0" collapsed="false">
      <c r="A293" s="20" t="s">
        <v>693</v>
      </c>
      <c r="B293" s="20" t="n">
        <v>2025</v>
      </c>
      <c r="C293" s="21" t="n">
        <v>70</v>
      </c>
      <c r="D293" s="22" t="n">
        <v>6818.9</v>
      </c>
      <c r="E293" s="20" t="n">
        <f aca="false">IFERROR(INDEX('Catalog'!$A:$A,MATCH($A293,'Catalog'!$B:$B,0)),IFERROR(INDEX('Catalog'!$A:$A,MATCH(TRIM(SUBSTITUTE($A293,CHAR(160)," ")),'Catalog'!$C:$C,0)),""))</f>
        <v>4415003</v>
      </c>
      <c r="F293" s="20" t="str">
        <f aca="false">IF($E293="","Unmatched","Matched")</f>
        <v>Matched</v>
      </c>
    </row>
    <row r="294" customFormat="false" ht="15" hidden="false" customHeight="false" outlineLevel="0" collapsed="false">
      <c r="A294" s="20" t="s">
        <v>695</v>
      </c>
      <c r="B294" s="20" t="n">
        <v>2025</v>
      </c>
      <c r="C294" s="21" t="n">
        <v>3</v>
      </c>
      <c r="D294" s="22" t="n">
        <v>309.2</v>
      </c>
      <c r="E294" s="20" t="n">
        <f aca="false">IFERROR(INDEX('Catalog'!$A:$A,MATCH($A294,'Catalog'!$B:$B,0)),IFERROR(INDEX('Catalog'!$A:$A,MATCH(TRIM(SUBSTITUTE($A294,CHAR(160)," ")),'Catalog'!$C:$C,0)),""))</f>
        <v>4415004</v>
      </c>
      <c r="F294" s="20" t="str">
        <f aca="false">IF($E294="","Unmatched","Matched")</f>
        <v>Matched</v>
      </c>
    </row>
    <row r="295" customFormat="false" ht="15" hidden="false" customHeight="false" outlineLevel="0" collapsed="false">
      <c r="A295" s="20" t="s">
        <v>718</v>
      </c>
      <c r="B295" s="20" t="n">
        <v>2025</v>
      </c>
      <c r="C295" s="21" t="n">
        <v>62</v>
      </c>
      <c r="D295" s="22" t="n">
        <v>6194.4</v>
      </c>
      <c r="E295" s="20" t="n">
        <f aca="false">IFERROR(INDEX('Catalog'!$A:$A,MATCH($A295,'Catalog'!$B:$B,0)),IFERROR(INDEX('Catalog'!$A:$A,MATCH(TRIM(SUBSTITUTE($A295,CHAR(160)," ")),'Catalog'!$C:$C,0)),""))</f>
        <v>4415005</v>
      </c>
      <c r="F295" s="20" t="str">
        <f aca="false">IF($E295="","Unmatched","Matched")</f>
        <v>Matched</v>
      </c>
    </row>
    <row r="296" customFormat="false" ht="15" hidden="false" customHeight="false" outlineLevel="0" collapsed="false">
      <c r="A296" s="20" t="s">
        <v>719</v>
      </c>
      <c r="B296" s="20" t="n">
        <v>2025</v>
      </c>
      <c r="C296" s="21" t="n">
        <v>80</v>
      </c>
      <c r="D296" s="22" t="n">
        <v>7782.5</v>
      </c>
      <c r="E296" s="20" t="n">
        <f aca="false">IFERROR(INDEX('Catalog'!$A:$A,MATCH($A296,'Catalog'!$B:$B,0)),IFERROR(INDEX('Catalog'!$A:$A,MATCH(TRIM(SUBSTITUTE($A296,CHAR(160)," ")),'Catalog'!$C:$C,0)),""))</f>
        <v>4415006</v>
      </c>
      <c r="F296" s="20" t="str">
        <f aca="false">IF($E296="","Unmatched","Matched")</f>
        <v>Matched</v>
      </c>
    </row>
    <row r="297" customFormat="false" ht="15" hidden="false" customHeight="false" outlineLevel="0" collapsed="false">
      <c r="A297" s="20" t="s">
        <v>720</v>
      </c>
      <c r="B297" s="20" t="n">
        <v>2025</v>
      </c>
      <c r="C297" s="21" t="n">
        <v>62</v>
      </c>
      <c r="D297" s="22" t="n">
        <v>6057.7</v>
      </c>
      <c r="E297" s="20" t="n">
        <f aca="false">IFERROR(INDEX('Catalog'!$A:$A,MATCH($A297,'Catalog'!$B:$B,0)),IFERROR(INDEX('Catalog'!$A:$A,MATCH(TRIM(SUBSTITUTE($A297,CHAR(160)," ")),'Catalog'!$C:$C,0)),""))</f>
        <v>4415007</v>
      </c>
      <c r="F297" s="20" t="str">
        <f aca="false">IF($E297="","Unmatched","Matched")</f>
        <v>Matched</v>
      </c>
    </row>
    <row r="298" customFormat="false" ht="15" hidden="false" customHeight="false" outlineLevel="0" collapsed="false">
      <c r="A298" s="20" t="s">
        <v>721</v>
      </c>
      <c r="B298" s="20" t="n">
        <v>2025</v>
      </c>
      <c r="C298" s="21" t="n">
        <v>33</v>
      </c>
      <c r="D298" s="22" t="n">
        <v>3312.8</v>
      </c>
      <c r="E298" s="20" t="n">
        <f aca="false">IFERROR(INDEX('Catalog'!$A:$A,MATCH($A298,'Catalog'!$B:$B,0)),IFERROR(INDEX('Catalog'!$A:$A,MATCH(TRIM(SUBSTITUTE($A298,CHAR(160)," ")),'Catalog'!$C:$C,0)),""))</f>
        <v>4415008</v>
      </c>
      <c r="F298" s="20" t="str">
        <f aca="false">IF($E298="","Unmatched","Matched")</f>
        <v>Matched</v>
      </c>
    </row>
    <row r="299" customFormat="false" ht="15" hidden="false" customHeight="false" outlineLevel="0" collapsed="false">
      <c r="A299" s="20" t="s">
        <v>790</v>
      </c>
      <c r="B299" s="20" t="n">
        <v>2025</v>
      </c>
      <c r="C299" s="21" t="n">
        <v>1</v>
      </c>
      <c r="D299" s="22" t="n">
        <v>198.6</v>
      </c>
      <c r="E299" s="20" t="n">
        <f aca="false">IFERROR(INDEX('Catalog'!$A:$A,MATCH($A299,'Catalog'!$B:$B,0)),IFERROR(INDEX('Catalog'!$A:$A,MATCH(TRIM(SUBSTITUTE($A299,CHAR(160)," ")),'Catalog'!$C:$C,0)),""))</f>
        <v>4415012</v>
      </c>
      <c r="F299" s="20" t="str">
        <f aca="false">IF($E299="","Unmatched","Matched")</f>
        <v>Matched</v>
      </c>
    </row>
    <row r="300" customFormat="false" ht="15" hidden="false" customHeight="false" outlineLevel="0" collapsed="false">
      <c r="A300" s="20" t="s">
        <v>806</v>
      </c>
      <c r="B300" s="20" t="n">
        <v>2025</v>
      </c>
      <c r="C300" s="21" t="n">
        <v>10</v>
      </c>
      <c r="D300" s="22" t="n">
        <v>1362.8</v>
      </c>
      <c r="E300" s="20" t="n">
        <f aca="false">IFERROR(INDEX('Catalog'!$A:$A,MATCH($A300,'Catalog'!$B:$B,0)),IFERROR(INDEX('Catalog'!$A:$A,MATCH(TRIM(SUBSTITUTE($A300,CHAR(160)," ")),'Catalog'!$C:$C,0)),""))</f>
        <v>4415019</v>
      </c>
      <c r="F300" s="20" t="str">
        <f aca="false">IF($E300="","Unmatched","Matched")</f>
        <v>Matched</v>
      </c>
    </row>
    <row r="301" customFormat="false" ht="15" hidden="false" customHeight="false" outlineLevel="0" collapsed="false">
      <c r="A301" s="20" t="s">
        <v>717</v>
      </c>
      <c r="B301" s="20" t="n">
        <v>2025</v>
      </c>
      <c r="C301" s="21" t="n">
        <v>2</v>
      </c>
      <c r="D301" s="22" t="n">
        <v>199.3</v>
      </c>
      <c r="E301" s="20" t="n">
        <f aca="false">IFERROR(INDEX('Catalog'!$A:$A,MATCH($A301,'Catalog'!$B:$B,0)),IFERROR(INDEX('Catalog'!$A:$A,MATCH(TRIM(SUBSTITUTE($A301,CHAR(160)," ")),'Catalog'!$C:$C,0)),""))</f>
        <v>4415025</v>
      </c>
      <c r="F301" s="20" t="str">
        <f aca="false">IF($E301="","Unmatched","Matched")</f>
        <v>Matched</v>
      </c>
    </row>
    <row r="302" customFormat="false" ht="15" hidden="false" customHeight="false" outlineLevel="0" collapsed="false">
      <c r="A302" s="20" t="s">
        <v>885</v>
      </c>
      <c r="B302" s="20" t="n">
        <v>2025</v>
      </c>
      <c r="C302" s="21" t="n">
        <v>364</v>
      </c>
      <c r="D302" s="22" t="n">
        <v>15021.6</v>
      </c>
      <c r="E302" s="20" t="n">
        <f aca="false">IFERROR(INDEX('Catalog'!$A:$A,MATCH($A302,'Catalog'!$B:$B,0)),IFERROR(INDEX('Catalog'!$A:$A,MATCH(TRIM(SUBSTITUTE($A302,CHAR(160)," ")),'Catalog'!$C:$C,0)),""))</f>
        <v>4415026</v>
      </c>
      <c r="F302" s="20" t="str">
        <f aca="false">IF($E302="","Unmatched","Matched")</f>
        <v>Matched</v>
      </c>
    </row>
    <row r="303" customFormat="false" ht="15" hidden="false" customHeight="false" outlineLevel="0" collapsed="false">
      <c r="A303" s="20" t="s">
        <v>886</v>
      </c>
      <c r="B303" s="20" t="n">
        <v>2025</v>
      </c>
      <c r="C303" s="21" t="n">
        <v>413</v>
      </c>
      <c r="D303" s="22" t="n">
        <v>16528.7</v>
      </c>
      <c r="E303" s="20" t="n">
        <f aca="false">IFERROR(INDEX('Catalog'!$A:$A,MATCH($A303,'Catalog'!$B:$B,0)),IFERROR(INDEX('Catalog'!$A:$A,MATCH(TRIM(SUBSTITUTE($A303,CHAR(160)," ")),'Catalog'!$C:$C,0)),""))</f>
        <v>4415027</v>
      </c>
      <c r="F303" s="20" t="str">
        <f aca="false">IF($E303="","Unmatched","Matched")</f>
        <v>Matched</v>
      </c>
    </row>
    <row r="304" customFormat="false" ht="15" hidden="false" customHeight="false" outlineLevel="0" collapsed="false">
      <c r="A304" s="20" t="s">
        <v>724</v>
      </c>
      <c r="B304" s="20" t="n">
        <v>2025</v>
      </c>
      <c r="C304" s="21" t="n">
        <v>652</v>
      </c>
      <c r="D304" s="22" t="n">
        <v>23480.4</v>
      </c>
      <c r="E304" s="20" t="n">
        <f aca="false">IFERROR(INDEX('Catalog'!$A:$A,MATCH($A304,'Catalog'!$B:$B,0)),IFERROR(INDEX('Catalog'!$A:$A,MATCH(TRIM(SUBSTITUTE($A304,CHAR(160)," ")),'Catalog'!$C:$C,0)),""))</f>
        <v>4415028</v>
      </c>
      <c r="F304" s="20" t="str">
        <f aca="false">IF($E304="","Unmatched","Matched")</f>
        <v>Matched</v>
      </c>
    </row>
    <row r="305" customFormat="false" ht="15" hidden="false" customHeight="false" outlineLevel="0" collapsed="false">
      <c r="A305" s="20" t="s">
        <v>749</v>
      </c>
      <c r="B305" s="20" t="n">
        <v>2025</v>
      </c>
      <c r="C305" s="21" t="n">
        <v>0</v>
      </c>
      <c r="D305" s="22" t="n">
        <v>-13</v>
      </c>
      <c r="E305" s="20" t="n">
        <f aca="false">IFERROR(INDEX('Catalog'!$A:$A,MATCH($A305,'Catalog'!$B:$B,0)),IFERROR(INDEX('Catalog'!$A:$A,MATCH(TRIM(SUBSTITUTE($A305,CHAR(160)," ")),'Catalog'!$C:$C,0)),""))</f>
        <v>4415067</v>
      </c>
      <c r="F305" s="20" t="str">
        <f aca="false">IF($E305="","Unmatched","Matched")</f>
        <v>Matched</v>
      </c>
    </row>
    <row r="306" customFormat="false" ht="15" hidden="false" customHeight="false" outlineLevel="0" collapsed="false">
      <c r="A306" s="20" t="s">
        <v>757</v>
      </c>
      <c r="B306" s="20" t="n">
        <v>2025</v>
      </c>
      <c r="C306" s="21" t="n">
        <v>7</v>
      </c>
      <c r="D306" s="22" t="n">
        <v>486.6</v>
      </c>
      <c r="E306" s="20" t="n">
        <f aca="false">IFERROR(INDEX('Catalog'!$A:$A,MATCH($A306,'Catalog'!$B:$B,0)),IFERROR(INDEX('Catalog'!$A:$A,MATCH(TRIM(SUBSTITUTE($A306,CHAR(160)," ")),'Catalog'!$C:$C,0)),""))</f>
        <v>4415069</v>
      </c>
      <c r="F306" s="20" t="str">
        <f aca="false">IF($E306="","Unmatched","Matched")</f>
        <v>Matched</v>
      </c>
    </row>
    <row r="307" customFormat="false" ht="15" hidden="false" customHeight="false" outlineLevel="0" collapsed="false">
      <c r="A307" s="20" t="s">
        <v>758</v>
      </c>
      <c r="B307" s="20" t="n">
        <v>2025</v>
      </c>
      <c r="C307" s="21" t="n">
        <v>1</v>
      </c>
      <c r="D307" s="22" t="n">
        <v>66.1</v>
      </c>
      <c r="E307" s="20" t="n">
        <f aca="false">IFERROR(INDEX('Catalog'!$A:$A,MATCH($A307,'Catalog'!$B:$B,0)),IFERROR(INDEX('Catalog'!$A:$A,MATCH(TRIM(SUBSTITUTE($A307,CHAR(160)," ")),'Catalog'!$C:$C,0)),""))</f>
        <v>4415070</v>
      </c>
      <c r="F307" s="20" t="str">
        <f aca="false">IF($E307="","Unmatched","Matched")</f>
        <v>Matched</v>
      </c>
    </row>
    <row r="308" customFormat="false" ht="15" hidden="false" customHeight="false" outlineLevel="0" collapsed="false">
      <c r="A308" s="20" t="s">
        <v>756</v>
      </c>
      <c r="B308" s="20" t="n">
        <v>2025</v>
      </c>
      <c r="C308" s="21" t="n">
        <v>4</v>
      </c>
      <c r="D308" s="22" t="n">
        <v>274</v>
      </c>
      <c r="E308" s="20" t="n">
        <f aca="false">IFERROR(INDEX('Catalog'!$A:$A,MATCH($A308,'Catalog'!$B:$B,0)),IFERROR(INDEX('Catalog'!$A:$A,MATCH(TRIM(SUBSTITUTE($A308,CHAR(160)," ")),'Catalog'!$C:$C,0)),""))</f>
        <v>4415071</v>
      </c>
      <c r="F308" s="20" t="str">
        <f aca="false">IF($E308="","Unmatched","Matched")</f>
        <v>Matched</v>
      </c>
    </row>
    <row r="309" customFormat="false" ht="15" hidden="false" customHeight="false" outlineLevel="0" collapsed="false">
      <c r="A309" s="20" t="s">
        <v>752</v>
      </c>
      <c r="B309" s="20" t="n">
        <v>2025</v>
      </c>
      <c r="C309" s="21" t="n">
        <v>47</v>
      </c>
      <c r="D309" s="22" t="n">
        <v>3144.3</v>
      </c>
      <c r="E309" s="20" t="n">
        <f aca="false">IFERROR(INDEX('Catalog'!$A:$A,MATCH($A309,'Catalog'!$B:$B,0)),IFERROR(INDEX('Catalog'!$A:$A,MATCH(TRIM(SUBSTITUTE($A309,CHAR(160)," ")),'Catalog'!$C:$C,0)),""))</f>
        <v>4415072</v>
      </c>
      <c r="F309" s="20" t="str">
        <f aca="false">IF($E309="","Unmatched","Matched")</f>
        <v>Matched</v>
      </c>
    </row>
    <row r="310" customFormat="false" ht="15" hidden="false" customHeight="false" outlineLevel="0" collapsed="false">
      <c r="A310" s="20" t="s">
        <v>751</v>
      </c>
      <c r="B310" s="20" t="n">
        <v>2025</v>
      </c>
      <c r="C310" s="21" t="n">
        <v>43</v>
      </c>
      <c r="D310" s="22" t="n">
        <v>2839.6</v>
      </c>
      <c r="E310" s="20" t="n">
        <f aca="false">IFERROR(INDEX('Catalog'!$A:$A,MATCH($A310,'Catalog'!$B:$B,0)),IFERROR(INDEX('Catalog'!$A:$A,MATCH(TRIM(SUBSTITUTE($A310,CHAR(160)," ")),'Catalog'!$C:$C,0)),""))</f>
        <v>4415073</v>
      </c>
      <c r="F310" s="20" t="str">
        <f aca="false">IF($E310="","Unmatched","Matched")</f>
        <v>Matched</v>
      </c>
    </row>
    <row r="311" customFormat="false" ht="15" hidden="false" customHeight="false" outlineLevel="0" collapsed="false">
      <c r="A311" s="20" t="s">
        <v>755</v>
      </c>
      <c r="B311" s="20" t="n">
        <v>2025</v>
      </c>
      <c r="C311" s="21" t="n">
        <v>88</v>
      </c>
      <c r="D311" s="22" t="n">
        <v>5922.8</v>
      </c>
      <c r="E311" s="20" t="n">
        <f aca="false">IFERROR(INDEX('Catalog'!$A:$A,MATCH($A311,'Catalog'!$B:$B,0)),IFERROR(INDEX('Catalog'!$A:$A,MATCH(TRIM(SUBSTITUTE($A311,CHAR(160)," ")),'Catalog'!$C:$C,0)),""))</f>
        <v>4415074</v>
      </c>
      <c r="F311" s="20" t="str">
        <f aca="false">IF($E311="","Unmatched","Matched")</f>
        <v>Matched</v>
      </c>
    </row>
    <row r="312" customFormat="false" ht="15" hidden="false" customHeight="false" outlineLevel="0" collapsed="false">
      <c r="A312" s="20" t="s">
        <v>754</v>
      </c>
      <c r="B312" s="20" t="n">
        <v>2025</v>
      </c>
      <c r="C312" s="21" t="n">
        <v>47</v>
      </c>
      <c r="D312" s="22" t="n">
        <v>3181.8</v>
      </c>
      <c r="E312" s="20" t="n">
        <f aca="false">IFERROR(INDEX('Catalog'!$A:$A,MATCH($A312,'Catalog'!$B:$B,0)),IFERROR(INDEX('Catalog'!$A:$A,MATCH(TRIM(SUBSTITUTE($A312,CHAR(160)," ")),'Catalog'!$C:$C,0)),""))</f>
        <v>4415075</v>
      </c>
      <c r="F312" s="20" t="str">
        <f aca="false">IF($E312="","Unmatched","Matched")</f>
        <v>Matched</v>
      </c>
    </row>
    <row r="313" customFormat="false" ht="15" hidden="false" customHeight="false" outlineLevel="0" collapsed="false">
      <c r="A313" s="20" t="s">
        <v>653</v>
      </c>
      <c r="B313" s="20" t="n">
        <v>2025</v>
      </c>
      <c r="C313" s="21" t="n">
        <v>44</v>
      </c>
      <c r="D313" s="22" t="n">
        <v>419.3</v>
      </c>
      <c r="E313" s="20" t="n">
        <f aca="false">IFERROR(INDEX('Catalog'!$A:$A,MATCH($A313,'Catalog'!$B:$B,0)),IFERROR(INDEX('Catalog'!$A:$A,MATCH(TRIM(SUBSTITUTE($A313,CHAR(160)," ")),'Catalog'!$C:$C,0)),""))</f>
        <v>4415080</v>
      </c>
      <c r="F313" s="20" t="str">
        <f aca="false">IF($E313="","Unmatched","Matched")</f>
        <v>Matched</v>
      </c>
    </row>
    <row r="314" customFormat="false" ht="15" hidden="false" customHeight="false" outlineLevel="0" collapsed="false">
      <c r="A314" s="20" t="s">
        <v>839</v>
      </c>
      <c r="B314" s="20" t="n">
        <v>2025</v>
      </c>
      <c r="C314" s="21" t="n">
        <v>4</v>
      </c>
      <c r="D314" s="22" t="n">
        <v>438.5</v>
      </c>
      <c r="E314" s="20" t="n">
        <f aca="false">IFERROR(INDEX('Catalog'!$A:$A,MATCH($A314,'Catalog'!$B:$B,0)),IFERROR(INDEX('Catalog'!$A:$A,MATCH(TRIM(SUBSTITUTE($A314,CHAR(160)," ")),'Catalog'!$C:$C,0)),""))</f>
        <v>4415083</v>
      </c>
      <c r="F314" s="20" t="str">
        <f aca="false">IF($E314="","Unmatched","Matched")</f>
        <v>Matched</v>
      </c>
    </row>
    <row r="315" customFormat="false" ht="15" hidden="false" customHeight="false" outlineLevel="0" collapsed="false">
      <c r="A315" s="20" t="s">
        <v>838</v>
      </c>
      <c r="B315" s="20" t="n">
        <v>2025</v>
      </c>
      <c r="C315" s="21" t="n">
        <v>4</v>
      </c>
      <c r="D315" s="22" t="n">
        <v>449.8</v>
      </c>
      <c r="E315" s="20" t="n">
        <f aca="false">IFERROR(INDEX('Catalog'!$A:$A,MATCH($A315,'Catalog'!$B:$B,0)),IFERROR(INDEX('Catalog'!$A:$A,MATCH(TRIM(SUBSTITUTE($A315,CHAR(160)," ")),'Catalog'!$C:$C,0)),""))</f>
        <v>4415084</v>
      </c>
      <c r="F315" s="20" t="str">
        <f aca="false">IF($E315="","Unmatched","Matched")</f>
        <v>Matched</v>
      </c>
    </row>
    <row r="316" customFormat="false" ht="15" hidden="false" customHeight="false" outlineLevel="0" collapsed="false">
      <c r="A316" s="20" t="s">
        <v>712</v>
      </c>
      <c r="B316" s="20" t="n">
        <v>2025</v>
      </c>
      <c r="C316" s="21" t="n">
        <v>1</v>
      </c>
      <c r="D316" s="22" t="n">
        <v>90.1</v>
      </c>
      <c r="E316" s="20" t="n">
        <f aca="false">IFERROR(INDEX('Catalog'!$A:$A,MATCH($A316,'Catalog'!$B:$B,0)),IFERROR(INDEX('Catalog'!$A:$A,MATCH(TRIM(SUBSTITUTE($A316,CHAR(160)," ")),'Catalog'!$C:$C,0)),""))</f>
        <v>4415089</v>
      </c>
      <c r="F316" s="20" t="str">
        <f aca="false">IF($E316="","Unmatched","Matched")</f>
        <v>Matched</v>
      </c>
    </row>
    <row r="317" customFormat="false" ht="15" hidden="false" customHeight="false" outlineLevel="0" collapsed="false">
      <c r="A317" s="20" t="s">
        <v>711</v>
      </c>
      <c r="B317" s="20" t="n">
        <v>2025</v>
      </c>
      <c r="C317" s="21" t="n">
        <v>1</v>
      </c>
      <c r="D317" s="22" t="n">
        <v>90.1</v>
      </c>
      <c r="E317" s="20" t="n">
        <f aca="false">IFERROR(INDEX('Catalog'!$A:$A,MATCH($A317,'Catalog'!$B:$B,0)),IFERROR(INDEX('Catalog'!$A:$A,MATCH(TRIM(SUBSTITUTE($A317,CHAR(160)," ")),'Catalog'!$C:$C,0)),""))</f>
        <v>4415090</v>
      </c>
      <c r="F317" s="20" t="str">
        <f aca="false">IF($E317="","Unmatched","Matched")</f>
        <v>Matched</v>
      </c>
    </row>
    <row r="318" customFormat="false" ht="15" hidden="false" customHeight="false" outlineLevel="0" collapsed="false">
      <c r="A318" s="20" t="s">
        <v>840</v>
      </c>
      <c r="B318" s="20" t="n">
        <v>2025</v>
      </c>
      <c r="C318" s="21" t="n">
        <v>1</v>
      </c>
      <c r="D318" s="22" t="n">
        <v>137</v>
      </c>
      <c r="E318" s="20" t="n">
        <f aca="false">IFERROR(INDEX('Catalog'!$A:$A,MATCH($A318,'Catalog'!$B:$B,0)),IFERROR(INDEX('Catalog'!$A:$A,MATCH(TRIM(SUBSTITUTE($A318,CHAR(160)," ")),'Catalog'!$C:$C,0)),""))</f>
        <v>4415120</v>
      </c>
      <c r="F318" s="20" t="str">
        <f aca="false">IF($E318="","Unmatched","Matched")</f>
        <v>Matched</v>
      </c>
    </row>
    <row r="319" customFormat="false" ht="15" hidden="false" customHeight="false" outlineLevel="0" collapsed="false">
      <c r="A319" s="20" t="s">
        <v>740</v>
      </c>
      <c r="B319" s="20" t="n">
        <v>2025</v>
      </c>
      <c r="C319" s="21" t="n">
        <v>1</v>
      </c>
      <c r="D319" s="22" t="n">
        <v>94.5</v>
      </c>
      <c r="E319" s="20" t="n">
        <f aca="false">IFERROR(INDEX('Catalog'!$A:$A,MATCH($A319,'Catalog'!$B:$B,0)),IFERROR(INDEX('Catalog'!$A:$A,MATCH(TRIM(SUBSTITUTE($A319,CHAR(160)," ")),'Catalog'!$C:$C,0)),""))</f>
        <v>4415131</v>
      </c>
      <c r="F319" s="20" t="str">
        <f aca="false">IF($E319="","Unmatched","Matched")</f>
        <v>Matched</v>
      </c>
    </row>
    <row r="320" customFormat="false" ht="15" hidden="false" customHeight="false" outlineLevel="0" collapsed="false">
      <c r="A320" s="20" t="s">
        <v>609</v>
      </c>
      <c r="B320" s="20" t="n">
        <v>2025</v>
      </c>
      <c r="C320" s="21" t="n">
        <v>158</v>
      </c>
      <c r="D320" s="22" t="n">
        <v>13067.4</v>
      </c>
      <c r="E320" s="20" t="n">
        <f aca="false">IFERROR(INDEX('Catalog'!$A:$A,MATCH($A320,'Catalog'!$B:$B,0)),IFERROR(INDEX('Catalog'!$A:$A,MATCH(TRIM(SUBSTITUTE($A320,CHAR(160)," ")),'Catalog'!$C:$C,0)),""))</f>
        <v>4416000</v>
      </c>
      <c r="F320" s="20" t="str">
        <f aca="false">IF($E320="","Unmatched","Matched")</f>
        <v>Matched</v>
      </c>
    </row>
    <row r="321" customFormat="false" ht="15" hidden="false" customHeight="false" outlineLevel="0" collapsed="false">
      <c r="A321" s="20" t="s">
        <v>610</v>
      </c>
      <c r="B321" s="20" t="n">
        <v>2025</v>
      </c>
      <c r="C321" s="21" t="n">
        <v>157</v>
      </c>
      <c r="D321" s="22" t="n">
        <v>12875.5</v>
      </c>
      <c r="E321" s="20" t="n">
        <f aca="false">IFERROR(INDEX('Catalog'!$A:$A,MATCH($A321,'Catalog'!$B:$B,0)),IFERROR(INDEX('Catalog'!$A:$A,MATCH(TRIM(SUBSTITUTE($A321,CHAR(160)," ")),'Catalog'!$C:$C,0)),""))</f>
        <v>4416001</v>
      </c>
      <c r="F321" s="20" t="str">
        <f aca="false">IF($E321="","Unmatched","Matched")</f>
        <v>Matched</v>
      </c>
    </row>
    <row r="322" customFormat="false" ht="15" hidden="false" customHeight="false" outlineLevel="0" collapsed="false">
      <c r="A322" s="20" t="s">
        <v>611</v>
      </c>
      <c r="B322" s="20" t="n">
        <v>2025</v>
      </c>
      <c r="C322" s="21" t="n">
        <v>46</v>
      </c>
      <c r="D322" s="22" t="n">
        <v>3635.5</v>
      </c>
      <c r="E322" s="20" t="n">
        <f aca="false">IFERROR(INDEX('Catalog'!$A:$A,MATCH($A322,'Catalog'!$B:$B,0)),IFERROR(INDEX('Catalog'!$A:$A,MATCH(TRIM(SUBSTITUTE($A322,CHAR(160)," ")),'Catalog'!$C:$C,0)),""))</f>
        <v>4416002</v>
      </c>
      <c r="F322" s="20" t="str">
        <f aca="false">IF($E322="","Unmatched","Matched")</f>
        <v>Matched</v>
      </c>
    </row>
    <row r="323" customFormat="false" ht="15" hidden="false" customHeight="false" outlineLevel="0" collapsed="false">
      <c r="A323" s="20" t="s">
        <v>613</v>
      </c>
      <c r="B323" s="20" t="n">
        <v>2025</v>
      </c>
      <c r="C323" s="21" t="n">
        <v>124</v>
      </c>
      <c r="D323" s="22" t="n">
        <v>6812.1</v>
      </c>
      <c r="E323" s="20" t="n">
        <f aca="false">IFERROR(INDEX('Catalog'!$A:$A,MATCH($A323,'Catalog'!$B:$B,0)),IFERROR(INDEX('Catalog'!$A:$A,MATCH(TRIM(SUBSTITUTE($A323,CHAR(160)," ")),'Catalog'!$C:$C,0)),""))</f>
        <v>4416003</v>
      </c>
      <c r="F323" s="20" t="str">
        <f aca="false">IF($E323="","Unmatched","Matched")</f>
        <v>Matched</v>
      </c>
    </row>
    <row r="324" customFormat="false" ht="15" hidden="false" customHeight="false" outlineLevel="0" collapsed="false">
      <c r="A324" s="20" t="s">
        <v>614</v>
      </c>
      <c r="B324" s="20" t="n">
        <v>2025</v>
      </c>
      <c r="C324" s="21" t="n">
        <v>129</v>
      </c>
      <c r="D324" s="22" t="n">
        <v>7157.9</v>
      </c>
      <c r="E324" s="20" t="n">
        <f aca="false">IFERROR(INDEX('Catalog'!$A:$A,MATCH($A324,'Catalog'!$B:$B,0)),IFERROR(INDEX('Catalog'!$A:$A,MATCH(TRIM(SUBSTITUTE($A324,CHAR(160)," ")),'Catalog'!$C:$C,0)),""))</f>
        <v>4416005</v>
      </c>
      <c r="F324" s="20" t="str">
        <f aca="false">IF($E324="","Unmatched","Matched")</f>
        <v>Matched</v>
      </c>
    </row>
    <row r="325" customFormat="false" ht="15" hidden="false" customHeight="false" outlineLevel="0" collapsed="false">
      <c r="A325" s="20" t="s">
        <v>615</v>
      </c>
      <c r="B325" s="20" t="n">
        <v>2025</v>
      </c>
      <c r="C325" s="21" t="n">
        <v>-1</v>
      </c>
      <c r="D325" s="22" t="n">
        <v>-25.3</v>
      </c>
      <c r="E325" s="20" t="n">
        <f aca="false">IFERROR(INDEX('Catalog'!$A:$A,MATCH($A325,'Catalog'!$B:$B,0)),IFERROR(INDEX('Catalog'!$A:$A,MATCH(TRIM(SUBSTITUTE($A325,CHAR(160)," ")),'Catalog'!$C:$C,0)),""))</f>
        <v>4416006</v>
      </c>
      <c r="F325" s="20" t="str">
        <f aca="false">IF($E325="","Unmatched","Matched")</f>
        <v>Matched</v>
      </c>
    </row>
    <row r="326" customFormat="false" ht="15" hidden="false" customHeight="false" outlineLevel="0" collapsed="false">
      <c r="A326" s="20" t="s">
        <v>651</v>
      </c>
      <c r="B326" s="20" t="n">
        <v>2025</v>
      </c>
      <c r="C326" s="21" t="n">
        <v>220</v>
      </c>
      <c r="D326" s="22" t="n">
        <v>5447.3</v>
      </c>
      <c r="E326" s="20" t="n">
        <f aca="false">IFERROR(INDEX('Catalog'!$A:$A,MATCH($A326,'Catalog'!$B:$B,0)),IFERROR(INDEX('Catalog'!$A:$A,MATCH(TRIM(SUBSTITUTE($A326,CHAR(160)," ")),'Catalog'!$C:$C,0)),""))</f>
        <v>4417000</v>
      </c>
      <c r="F326" s="20" t="str">
        <f aca="false">IF($E326="","Unmatched","Matched")</f>
        <v>Matched</v>
      </c>
    </row>
    <row r="327" customFormat="false" ht="15" hidden="false" customHeight="false" outlineLevel="0" collapsed="false">
      <c r="A327" s="20" t="s">
        <v>652</v>
      </c>
      <c r="B327" s="20" t="n">
        <v>2025</v>
      </c>
      <c r="C327" s="21" t="n">
        <v>-1</v>
      </c>
      <c r="D327" s="22" t="n">
        <v>-9</v>
      </c>
      <c r="E327" s="20" t="n">
        <f aca="false">IFERROR(INDEX('Catalog'!$A:$A,MATCH($A327,'Catalog'!$B:$B,0)),IFERROR(INDEX('Catalog'!$A:$A,MATCH(TRIM(SUBSTITUTE($A327,CHAR(160)," ")),'Catalog'!$C:$C,0)),""))</f>
        <v>4417001</v>
      </c>
      <c r="F327" s="20" t="str">
        <f aca="false">IF($E327="","Unmatched","Matched")</f>
        <v>Matched</v>
      </c>
    </row>
    <row r="328" customFormat="false" ht="15" hidden="false" customHeight="false" outlineLevel="0" collapsed="false">
      <c r="A328" s="20" t="s">
        <v>762</v>
      </c>
      <c r="B328" s="20" t="n">
        <v>2025</v>
      </c>
      <c r="C328" s="21" t="n">
        <v>192</v>
      </c>
      <c r="D328" s="22" t="n">
        <v>9282.6</v>
      </c>
      <c r="E328" s="20" t="n">
        <f aca="false">IFERROR(INDEX('Catalog'!$A:$A,MATCH($A328,'Catalog'!$B:$B,0)),IFERROR(INDEX('Catalog'!$A:$A,MATCH(TRIM(SUBSTITUTE($A328,CHAR(160)," ")),'Catalog'!$C:$C,0)),""))</f>
        <v>4418000</v>
      </c>
      <c r="F328" s="20" t="str">
        <f aca="false">IF($E328="","Unmatched","Matched")</f>
        <v>Matched</v>
      </c>
    </row>
    <row r="329" customFormat="false" ht="15" hidden="false" customHeight="false" outlineLevel="0" collapsed="false">
      <c r="A329" s="20" t="s">
        <v>763</v>
      </c>
      <c r="B329" s="20" t="n">
        <v>2025</v>
      </c>
      <c r="C329" s="21" t="n">
        <v>146</v>
      </c>
      <c r="D329" s="22" t="n">
        <v>7093.8</v>
      </c>
      <c r="E329" s="20" t="n">
        <f aca="false">IFERROR(INDEX('Catalog'!$A:$A,MATCH($A329,'Catalog'!$B:$B,0)),IFERROR(INDEX('Catalog'!$A:$A,MATCH(TRIM(SUBSTITUTE($A329,CHAR(160)," ")),'Catalog'!$C:$C,0)),""))</f>
        <v>4418001</v>
      </c>
      <c r="F329" s="20" t="str">
        <f aca="false">IF($E329="","Unmatched","Matched")</f>
        <v>Matched</v>
      </c>
    </row>
    <row r="330" customFormat="false" ht="15" hidden="false" customHeight="false" outlineLevel="0" collapsed="false">
      <c r="A330" s="20" t="s">
        <v>764</v>
      </c>
      <c r="B330" s="20" t="n">
        <v>2025</v>
      </c>
      <c r="C330" s="21" t="n">
        <v>71</v>
      </c>
      <c r="D330" s="22" t="n">
        <v>3406.8</v>
      </c>
      <c r="E330" s="20" t="n">
        <f aca="false">IFERROR(INDEX('Catalog'!$A:$A,MATCH($A330,'Catalog'!$B:$B,0)),IFERROR(INDEX('Catalog'!$A:$A,MATCH(TRIM(SUBSTITUTE($A330,CHAR(160)," ")),'Catalog'!$C:$C,0)),""))</f>
        <v>4418002</v>
      </c>
      <c r="F330" s="20" t="str">
        <f aca="false">IF($E330="","Unmatched","Matched")</f>
        <v>Matched</v>
      </c>
    </row>
    <row r="331" customFormat="false" ht="15" hidden="false" customHeight="false" outlineLevel="0" collapsed="false">
      <c r="A331" s="20" t="s">
        <v>765</v>
      </c>
      <c r="B331" s="20" t="n">
        <v>2025</v>
      </c>
      <c r="C331" s="21" t="n">
        <v>128</v>
      </c>
      <c r="D331" s="22" t="n">
        <v>6188.8</v>
      </c>
      <c r="E331" s="20" t="n">
        <f aca="false">IFERROR(INDEX('Catalog'!$A:$A,MATCH($A331,'Catalog'!$B:$B,0)),IFERROR(INDEX('Catalog'!$A:$A,MATCH(TRIM(SUBSTITUTE($A331,CHAR(160)," ")),'Catalog'!$C:$C,0)),""))</f>
        <v>4418003</v>
      </c>
      <c r="F331" s="20" t="str">
        <f aca="false">IF($E331="","Unmatched","Matched")</f>
        <v>Matched</v>
      </c>
    </row>
    <row r="332" customFormat="false" ht="15" hidden="false" customHeight="false" outlineLevel="0" collapsed="false">
      <c r="A332" s="20" t="s">
        <v>766</v>
      </c>
      <c r="B332" s="20" t="n">
        <v>2025</v>
      </c>
      <c r="C332" s="21" t="n">
        <v>2</v>
      </c>
      <c r="D332" s="22" t="n">
        <v>99.2</v>
      </c>
      <c r="E332" s="20" t="n">
        <f aca="false">IFERROR(INDEX('Catalog'!$A:$A,MATCH($A332,'Catalog'!$B:$B,0)),IFERROR(INDEX('Catalog'!$A:$A,MATCH(TRIM(SUBSTITUTE($A332,CHAR(160)," ")),'Catalog'!$C:$C,0)),""))</f>
        <v>4418004</v>
      </c>
      <c r="F332" s="20" t="str">
        <f aca="false">IF($E332="","Unmatched","Matched")</f>
        <v>Matched</v>
      </c>
    </row>
    <row r="333" customFormat="false" ht="15" hidden="false" customHeight="false" outlineLevel="0" collapsed="false">
      <c r="A333" s="20" t="s">
        <v>772</v>
      </c>
      <c r="B333" s="20" t="n">
        <v>2025</v>
      </c>
      <c r="C333" s="21" t="n">
        <v>1</v>
      </c>
      <c r="D333" s="22" t="n">
        <v>66.5</v>
      </c>
      <c r="E333" s="20" t="n">
        <f aca="false">IFERROR(INDEX('Catalog'!$A:$A,MATCH($A333,'Catalog'!$B:$B,0)),IFERROR(INDEX('Catalog'!$A:$A,MATCH(TRIM(SUBSTITUTE($A333,CHAR(160)," ")),'Catalog'!$C:$C,0)),""))</f>
        <v>4418006</v>
      </c>
      <c r="F333" s="20" t="str">
        <f aca="false">IF($E333="","Unmatched","Matched")</f>
        <v>Matched</v>
      </c>
    </row>
    <row r="334" customFormat="false" ht="15" hidden="false" customHeight="false" outlineLevel="0" collapsed="false">
      <c r="A334" s="20" t="s">
        <v>775</v>
      </c>
      <c r="B334" s="20" t="n">
        <v>2025</v>
      </c>
      <c r="C334" s="21" t="n">
        <v>-1</v>
      </c>
      <c r="D334" s="22" t="n">
        <v>-29.7</v>
      </c>
      <c r="E334" s="20" t="n">
        <f aca="false">IFERROR(INDEX('Catalog'!$A:$A,MATCH($A334,'Catalog'!$B:$B,0)),IFERROR(INDEX('Catalog'!$A:$A,MATCH(TRIM(SUBSTITUTE($A334,CHAR(160)," ")),'Catalog'!$C:$C,0)),""))</f>
        <v>4419002</v>
      </c>
      <c r="F334" s="20" t="str">
        <f aca="false">IF($E334="","Unmatched","Matched")</f>
        <v>Matched</v>
      </c>
    </row>
    <row r="335" customFormat="false" ht="15" hidden="false" customHeight="false" outlineLevel="0" collapsed="false">
      <c r="A335" s="20" t="s">
        <v>774</v>
      </c>
      <c r="B335" s="20" t="n">
        <v>2025</v>
      </c>
      <c r="C335" s="21" t="n">
        <v>-5</v>
      </c>
      <c r="D335" s="22" t="n">
        <v>-165.6</v>
      </c>
      <c r="E335" s="20" t="n">
        <f aca="false">IFERROR(INDEX('Catalog'!$A:$A,MATCH($A335,'Catalog'!$B:$B,0)),IFERROR(INDEX('Catalog'!$A:$A,MATCH(TRIM(SUBSTITUTE($A335,CHAR(160)," ")),'Catalog'!$C:$C,0)),""))</f>
        <v>4419003</v>
      </c>
      <c r="F335" s="20" t="str">
        <f aca="false">IF($E335="","Unmatched","Matched")</f>
        <v>Matched</v>
      </c>
    </row>
    <row r="336" customFormat="false" ht="15" hidden="false" customHeight="false" outlineLevel="0" collapsed="false">
      <c r="A336" s="20" t="s">
        <v>776</v>
      </c>
      <c r="B336" s="20" t="n">
        <v>2025</v>
      </c>
      <c r="C336" s="21" t="n">
        <v>-1</v>
      </c>
      <c r="D336" s="22" t="n">
        <v>-29.7</v>
      </c>
      <c r="E336" s="20" t="n">
        <f aca="false">IFERROR(INDEX('Catalog'!$A:$A,MATCH($A336,'Catalog'!$B:$B,0)),IFERROR(INDEX('Catalog'!$A:$A,MATCH(TRIM(SUBSTITUTE($A336,CHAR(160)," ")),'Catalog'!$C:$C,0)),""))</f>
        <v>4419004</v>
      </c>
      <c r="F336" s="20" t="str">
        <f aca="false">IF($E336="","Unmatched","Matched")</f>
        <v>Matched</v>
      </c>
    </row>
    <row r="337" customFormat="false" ht="15" hidden="false" customHeight="false" outlineLevel="0" collapsed="false">
      <c r="A337" s="20" t="s">
        <v>649</v>
      </c>
      <c r="B337" s="20" t="n">
        <v>2025</v>
      </c>
      <c r="C337" s="21" t="n">
        <v>1063</v>
      </c>
      <c r="D337" s="22" t="n">
        <v>14552.5</v>
      </c>
      <c r="E337" s="20" t="n">
        <f aca="false">IFERROR(INDEX('Catalog'!$A:$A,MATCH($A337,'Catalog'!$B:$B,0)),IFERROR(INDEX('Catalog'!$A:$A,MATCH(TRIM(SUBSTITUTE($A337,CHAR(160)," ")),'Catalog'!$C:$C,0)),""))</f>
        <v>4419006</v>
      </c>
      <c r="F337" s="20" t="str">
        <f aca="false">IF($E337="","Unmatched","Matched")</f>
        <v>Matched</v>
      </c>
    </row>
    <row r="338" customFormat="false" ht="15" hidden="false" customHeight="false" outlineLevel="0" collapsed="false">
      <c r="A338" s="20" t="s">
        <v>780</v>
      </c>
      <c r="B338" s="20" t="n">
        <v>2025</v>
      </c>
      <c r="C338" s="21" t="n">
        <v>-17</v>
      </c>
      <c r="D338" s="22" t="n">
        <v>-768.2</v>
      </c>
      <c r="E338" s="20" t="n">
        <f aca="false">IFERROR(INDEX('Catalog'!$A:$A,MATCH($A338,'Catalog'!$B:$B,0)),IFERROR(INDEX('Catalog'!$A:$A,MATCH(TRIM(SUBSTITUTE($A338,CHAR(160)," ")),'Catalog'!$C:$C,0)),""))</f>
        <v>4419010</v>
      </c>
      <c r="F338" s="20" t="str">
        <f aca="false">IF($E338="","Unmatched","Matched")</f>
        <v>Matched</v>
      </c>
    </row>
    <row r="339" customFormat="false" ht="15" hidden="false" customHeight="false" outlineLevel="0" collapsed="false">
      <c r="A339" s="20" t="s">
        <v>850</v>
      </c>
      <c r="B339" s="20" t="n">
        <v>2025</v>
      </c>
      <c r="C339" s="21" t="n">
        <v>428</v>
      </c>
      <c r="D339" s="22" t="n">
        <v>5019.7</v>
      </c>
      <c r="E339" s="20" t="n">
        <f aca="false">IFERROR(INDEX('Catalog'!$A:$A,MATCH($A339,'Catalog'!$B:$B,0)),IFERROR(INDEX('Catalog'!$A:$A,MATCH(TRIM(SUBSTITUTE($A339,CHAR(160)," ")),'Catalog'!$C:$C,0)),""))</f>
        <v>4420000</v>
      </c>
      <c r="F339" s="20" t="str">
        <f aca="false">IF($E339="","Unmatched","Matched")</f>
        <v>Matched</v>
      </c>
    </row>
    <row r="340" customFormat="false" ht="15" hidden="false" customHeight="false" outlineLevel="0" collapsed="false">
      <c r="A340" s="20" t="s">
        <v>852</v>
      </c>
      <c r="B340" s="20" t="n">
        <v>2025</v>
      </c>
      <c r="C340" s="21" t="n">
        <v>148</v>
      </c>
      <c r="D340" s="22" t="n">
        <v>1619.1</v>
      </c>
      <c r="E340" s="20" t="n">
        <f aca="false">IFERROR(INDEX('Catalog'!$A:$A,MATCH($A340,'Catalog'!$B:$B,0)),IFERROR(INDEX('Catalog'!$A:$A,MATCH(TRIM(SUBSTITUTE($A340,CHAR(160)," ")),'Catalog'!$C:$C,0)),""))</f>
        <v>4420001</v>
      </c>
      <c r="F340" s="20" t="str">
        <f aca="false">IF($E340="","Unmatched","Matched")</f>
        <v>Matched</v>
      </c>
    </row>
    <row r="341" customFormat="false" ht="15" hidden="false" customHeight="false" outlineLevel="0" collapsed="false">
      <c r="A341" s="20" t="s">
        <v>853</v>
      </c>
      <c r="B341" s="20" t="n">
        <v>2025</v>
      </c>
      <c r="C341" s="21" t="n">
        <v>629</v>
      </c>
      <c r="D341" s="22" t="n">
        <v>8964.7</v>
      </c>
      <c r="E341" s="20" t="n">
        <f aca="false">IFERROR(INDEX('Catalog'!$A:$A,MATCH($A341,'Catalog'!$B:$B,0)),IFERROR(INDEX('Catalog'!$A:$A,MATCH(TRIM(SUBSTITUTE($A341,CHAR(160)," ")),'Catalog'!$C:$C,0)),""))</f>
        <v>4420002</v>
      </c>
      <c r="F341" s="20" t="str">
        <f aca="false">IF($E341="","Unmatched","Matched")</f>
        <v>Matched</v>
      </c>
    </row>
    <row r="342" customFormat="false" ht="15" hidden="false" customHeight="false" outlineLevel="0" collapsed="false">
      <c r="A342" s="20" t="s">
        <v>854</v>
      </c>
      <c r="B342" s="20" t="n">
        <v>2025</v>
      </c>
      <c r="C342" s="21" t="n">
        <v>304</v>
      </c>
      <c r="D342" s="22" t="n">
        <v>4153.2</v>
      </c>
      <c r="E342" s="20" t="n">
        <f aca="false">IFERROR(INDEX('Catalog'!$A:$A,MATCH($A342,'Catalog'!$B:$B,0)),IFERROR(INDEX('Catalog'!$A:$A,MATCH(TRIM(SUBSTITUTE($A342,CHAR(160)," ")),'Catalog'!$C:$C,0)),""))</f>
        <v>4420003</v>
      </c>
      <c r="F342" s="20" t="str">
        <f aca="false">IF($E342="","Unmatched","Matched")</f>
        <v>Matched</v>
      </c>
    </row>
    <row r="343" customFormat="false" ht="15" hidden="false" customHeight="false" outlineLevel="0" collapsed="false">
      <c r="A343" s="20" t="s">
        <v>857</v>
      </c>
      <c r="B343" s="20" t="n">
        <v>2025</v>
      </c>
      <c r="C343" s="21" t="n">
        <v>3</v>
      </c>
      <c r="D343" s="22" t="n">
        <v>42.7</v>
      </c>
      <c r="E343" s="20" t="n">
        <f aca="false">IFERROR(INDEX('Catalog'!$A:$A,MATCH($A343,'Catalog'!$B:$B,0)),IFERROR(INDEX('Catalog'!$A:$A,MATCH(TRIM(SUBSTITUTE($A343,CHAR(160)," ")),'Catalog'!$C:$C,0)),""))</f>
        <v>4420004</v>
      </c>
      <c r="F343" s="20" t="str">
        <f aca="false">IF($E343="","Unmatched","Matched")</f>
        <v>Matched</v>
      </c>
    </row>
    <row r="344" customFormat="false" ht="15" hidden="false" customHeight="false" outlineLevel="0" collapsed="false">
      <c r="A344" s="20" t="s">
        <v>864</v>
      </c>
      <c r="B344" s="20" t="n">
        <v>2025</v>
      </c>
      <c r="C344" s="21" t="n">
        <v>3</v>
      </c>
      <c r="D344" s="22" t="n">
        <v>125</v>
      </c>
      <c r="E344" s="20" t="n">
        <f aca="false">IFERROR(INDEX('Catalog'!$A:$A,MATCH($A344,'Catalog'!$B:$B,0)),IFERROR(INDEX('Catalog'!$A:$A,MATCH(TRIM(SUBSTITUTE($A344,CHAR(160)," ")),'Catalog'!$C:$C,0)),""))</f>
        <v>4420005</v>
      </c>
      <c r="F344" s="20" t="str">
        <f aca="false">IF($E344="","Unmatched","Matched")</f>
        <v>Matched</v>
      </c>
    </row>
    <row r="345" customFormat="false" ht="15" hidden="false" customHeight="false" outlineLevel="0" collapsed="false">
      <c r="A345" s="20" t="s">
        <v>855</v>
      </c>
      <c r="B345" s="20" t="n">
        <v>2025</v>
      </c>
      <c r="C345" s="21" t="n">
        <v>2</v>
      </c>
      <c r="D345" s="22" t="n">
        <v>81.5</v>
      </c>
      <c r="E345" s="20" t="n">
        <f aca="false">IFERROR(INDEX('Catalog'!$A:$A,MATCH($A345,'Catalog'!$B:$B,0)),IFERROR(INDEX('Catalog'!$A:$A,MATCH(TRIM(SUBSTITUTE($A345,CHAR(160)," ")),'Catalog'!$C:$C,0)),""))</f>
        <v>4420007</v>
      </c>
      <c r="F345" s="20" t="str">
        <f aca="false">IF($E345="","Unmatched","Matched")</f>
        <v>Matched</v>
      </c>
    </row>
    <row r="346" customFormat="false" ht="15" hidden="false" customHeight="false" outlineLevel="0" collapsed="false">
      <c r="A346" s="20" t="s">
        <v>859</v>
      </c>
      <c r="B346" s="20" t="n">
        <v>2025</v>
      </c>
      <c r="C346" s="21" t="n">
        <v>2</v>
      </c>
      <c r="D346" s="22" t="n">
        <v>84.3</v>
      </c>
      <c r="E346" s="20" t="n">
        <f aca="false">IFERROR(INDEX('Catalog'!$A:$A,MATCH($A346,'Catalog'!$B:$B,0)),IFERROR(INDEX('Catalog'!$A:$A,MATCH(TRIM(SUBSTITUTE($A346,CHAR(160)," ")),'Catalog'!$C:$C,0)),""))</f>
        <v>4420008</v>
      </c>
      <c r="F346" s="20" t="str">
        <f aca="false">IF($E346="","Unmatched","Matched")</f>
        <v>Matched</v>
      </c>
    </row>
    <row r="347" customFormat="false" ht="15" hidden="false" customHeight="false" outlineLevel="0" collapsed="false">
      <c r="A347" s="20" t="s">
        <v>863</v>
      </c>
      <c r="B347" s="20" t="n">
        <v>2025</v>
      </c>
      <c r="C347" s="21" t="n">
        <v>6</v>
      </c>
      <c r="D347" s="22" t="n">
        <v>247.1</v>
      </c>
      <c r="E347" s="20" t="n">
        <f aca="false">IFERROR(INDEX('Catalog'!$A:$A,MATCH($A347,'Catalog'!$B:$B,0)),IFERROR(INDEX('Catalog'!$A:$A,MATCH(TRIM(SUBSTITUTE($A347,CHAR(160)," ")),'Catalog'!$C:$C,0)),""))</f>
        <v>4420010</v>
      </c>
      <c r="F347" s="20" t="str">
        <f aca="false">IF($E347="","Unmatched","Matched")</f>
        <v>Matched</v>
      </c>
    </row>
    <row r="348" customFormat="false" ht="15" hidden="false" customHeight="false" outlineLevel="0" collapsed="false">
      <c r="A348" s="20" t="s">
        <v>160</v>
      </c>
      <c r="B348" s="20" t="n">
        <v>2025</v>
      </c>
      <c r="C348" s="21" t="n">
        <v>46</v>
      </c>
      <c r="D348" s="22" t="n">
        <v>2335.3</v>
      </c>
      <c r="E348" s="20" t="n">
        <f aca="false">IFERROR(INDEX('Catalog'!$A:$A,MATCH($A348,'Catalog'!$B:$B,0)),IFERROR(INDEX('Catalog'!$A:$A,MATCH(TRIM(SUBSTITUTE($A348,CHAR(160)," ")),'Catalog'!$C:$C,0)),""))</f>
        <v>4420016</v>
      </c>
      <c r="F348" s="20" t="str">
        <f aca="false">IF($E348="","Unmatched","Matched")</f>
        <v>Matched</v>
      </c>
    </row>
    <row r="349" customFormat="false" ht="15" hidden="false" customHeight="false" outlineLevel="0" collapsed="false">
      <c r="A349" s="20" t="s">
        <v>161</v>
      </c>
      <c r="B349" s="20" t="n">
        <v>2025</v>
      </c>
      <c r="C349" s="21" t="n">
        <v>35</v>
      </c>
      <c r="D349" s="22" t="n">
        <v>3191.1</v>
      </c>
      <c r="E349" s="20" t="n">
        <f aca="false">IFERROR(INDEX('Catalog'!$A:$A,MATCH($A349,'Catalog'!$B:$B,0)),IFERROR(INDEX('Catalog'!$A:$A,MATCH(TRIM(SUBSTITUTE($A349,CHAR(160)," ")),'Catalog'!$C:$C,0)),""))</f>
        <v>4420017</v>
      </c>
      <c r="F349" s="20" t="str">
        <f aca="false">IF($E349="","Unmatched","Matched")</f>
        <v>Matched</v>
      </c>
    </row>
    <row r="350" customFormat="false" ht="15" hidden="false" customHeight="false" outlineLevel="0" collapsed="false">
      <c r="A350" s="20" t="s">
        <v>581</v>
      </c>
      <c r="B350" s="20" t="n">
        <v>2025</v>
      </c>
      <c r="C350" s="21" t="n">
        <v>-1</v>
      </c>
      <c r="D350" s="22" t="n">
        <v>-98.3</v>
      </c>
      <c r="E350" s="20" t="n">
        <f aca="false">IFERROR(INDEX('Catalog'!$A:$A,MATCH($A350,'Catalog'!$B:$B,0)),IFERROR(INDEX('Catalog'!$A:$A,MATCH(TRIM(SUBSTITUTE($A350,CHAR(160)," ")),'Catalog'!$C:$C,0)),""))</f>
        <v>4420018</v>
      </c>
      <c r="F350" s="20" t="str">
        <f aca="false">IF($E350="","Unmatched","Matched")</f>
        <v>Matched</v>
      </c>
    </row>
    <row r="351" customFormat="false" ht="15" hidden="false" customHeight="false" outlineLevel="0" collapsed="false">
      <c r="A351" s="20" t="s">
        <v>480</v>
      </c>
      <c r="B351" s="20" t="n">
        <v>2025</v>
      </c>
      <c r="C351" s="21" t="n">
        <v>81</v>
      </c>
      <c r="D351" s="22" t="n">
        <v>1782.8</v>
      </c>
      <c r="E351" s="20" t="n">
        <f aca="false">IFERROR(INDEX('Catalog'!$A:$A,MATCH($A351,'Catalog'!$B:$B,0)),IFERROR(INDEX('Catalog'!$A:$A,MATCH(TRIM(SUBSTITUTE($A351,CHAR(160)," ")),'Catalog'!$C:$C,0)),""))</f>
        <v>4420022</v>
      </c>
      <c r="F351" s="20" t="str">
        <f aca="false">IF($E351="","Unmatched","Matched")</f>
        <v>Matched</v>
      </c>
    </row>
    <row r="352" customFormat="false" ht="15" hidden="false" customHeight="false" outlineLevel="0" collapsed="false">
      <c r="A352" s="20" t="s">
        <v>481</v>
      </c>
      <c r="B352" s="20" t="n">
        <v>2025</v>
      </c>
      <c r="C352" s="21" t="n">
        <v>7</v>
      </c>
      <c r="D352" s="22" t="n">
        <v>180.9</v>
      </c>
      <c r="E352" s="20" t="n">
        <f aca="false">IFERROR(INDEX('Catalog'!$A:$A,MATCH($A352,'Catalog'!$B:$B,0)),IFERROR(INDEX('Catalog'!$A:$A,MATCH(TRIM(SUBSTITUTE($A352,CHAR(160)," ")),'Catalog'!$C:$C,0)),""))</f>
        <v>4420023</v>
      </c>
      <c r="F352" s="20" t="str">
        <f aca="false">IF($E352="","Unmatched","Matched")</f>
        <v>Matched</v>
      </c>
    </row>
    <row r="353" customFormat="false" ht="15" hidden="false" customHeight="false" outlineLevel="0" collapsed="false">
      <c r="A353" s="20" t="s">
        <v>487</v>
      </c>
      <c r="B353" s="20" t="n">
        <v>2025</v>
      </c>
      <c r="C353" s="21" t="n">
        <v>54</v>
      </c>
      <c r="D353" s="22" t="n">
        <v>1072.9</v>
      </c>
      <c r="E353" s="20" t="n">
        <f aca="false">IFERROR(INDEX('Catalog'!$A:$A,MATCH($A353,'Catalog'!$B:$B,0)),IFERROR(INDEX('Catalog'!$A:$A,MATCH(TRIM(SUBSTITUTE($A353,CHAR(160)," ")),'Catalog'!$C:$C,0)),""))</f>
        <v>4420024</v>
      </c>
      <c r="F353" s="20" t="str">
        <f aca="false">IF($E353="","Unmatched","Matched")</f>
        <v>Matched</v>
      </c>
    </row>
    <row r="354" customFormat="false" ht="15" hidden="false" customHeight="false" outlineLevel="0" collapsed="false">
      <c r="A354" s="20" t="s">
        <v>482</v>
      </c>
      <c r="B354" s="20" t="n">
        <v>2025</v>
      </c>
      <c r="C354" s="21" t="n">
        <v>45</v>
      </c>
      <c r="D354" s="22" t="n">
        <v>1008</v>
      </c>
      <c r="E354" s="20" t="n">
        <f aca="false">IFERROR(INDEX('Catalog'!$A:$A,MATCH($A354,'Catalog'!$B:$B,0)),IFERROR(INDEX('Catalog'!$A:$A,MATCH(TRIM(SUBSTITUTE($A354,CHAR(160)," ")),'Catalog'!$C:$C,0)),""))</f>
        <v>4420025</v>
      </c>
      <c r="F354" s="20" t="str">
        <f aca="false">IF($E354="","Unmatched","Matched")</f>
        <v>Matched</v>
      </c>
    </row>
    <row r="355" customFormat="false" ht="15" hidden="false" customHeight="false" outlineLevel="0" collapsed="false">
      <c r="A355" s="20" t="s">
        <v>632</v>
      </c>
      <c r="B355" s="20" t="n">
        <v>2025</v>
      </c>
      <c r="C355" s="21" t="n">
        <v>1693</v>
      </c>
      <c r="D355" s="22" t="n">
        <v>29905.1</v>
      </c>
      <c r="E355" s="20" t="n">
        <f aca="false">IFERROR(INDEX('Catalog'!$A:$A,MATCH($A355,'Catalog'!$B:$B,0)),IFERROR(INDEX('Catalog'!$A:$A,MATCH(TRIM(SUBSTITUTE($A355,CHAR(160)," ")),'Catalog'!$C:$C,0)),""))</f>
        <v>4421000</v>
      </c>
      <c r="F355" s="20" t="str">
        <f aca="false">IF($E355="","Unmatched","Matched")</f>
        <v>Matched</v>
      </c>
    </row>
    <row r="356" customFormat="false" ht="15" hidden="false" customHeight="false" outlineLevel="0" collapsed="false">
      <c r="A356" s="20" t="s">
        <v>623</v>
      </c>
      <c r="B356" s="20" t="n">
        <v>2025</v>
      </c>
      <c r="C356" s="21" t="n">
        <v>161</v>
      </c>
      <c r="D356" s="22" t="n">
        <v>9236.9</v>
      </c>
      <c r="E356" s="20" t="n">
        <f aca="false">IFERROR(INDEX('Catalog'!$A:$A,MATCH($A356,'Catalog'!$B:$B,0)),IFERROR(INDEX('Catalog'!$A:$A,MATCH(TRIM(SUBSTITUTE($A356,CHAR(160)," ")),'Catalog'!$C:$C,0)),""))</f>
        <v>4421001</v>
      </c>
      <c r="F356" s="20" t="str">
        <f aca="false">IF($E356="","Unmatched","Matched")</f>
        <v>Matched</v>
      </c>
    </row>
    <row r="357" customFormat="false" ht="15" hidden="false" customHeight="false" outlineLevel="0" collapsed="false">
      <c r="A357" s="20" t="s">
        <v>914</v>
      </c>
      <c r="B357" s="20" t="n">
        <v>2025</v>
      </c>
      <c r="C357" s="21" t="n">
        <v>129</v>
      </c>
      <c r="D357" s="22" t="n">
        <v>2674.4</v>
      </c>
      <c r="E357" s="20" t="n">
        <f aca="false">IFERROR(INDEX('Catalog'!$A:$A,MATCH($A357,'Catalog'!$B:$B,0)),IFERROR(INDEX('Catalog'!$A:$A,MATCH(TRIM(SUBSTITUTE($A357,CHAR(160)," ")),'Catalog'!$C:$C,0)),""))</f>
        <v>4422000</v>
      </c>
      <c r="F357" s="20" t="str">
        <f aca="false">IF($E357="","Unmatched","Matched")</f>
        <v>Matched</v>
      </c>
    </row>
    <row r="358" customFormat="false" ht="15" hidden="false" customHeight="false" outlineLevel="0" collapsed="false">
      <c r="A358" s="20" t="s">
        <v>782</v>
      </c>
      <c r="B358" s="20" t="n">
        <v>2025</v>
      </c>
      <c r="C358" s="21" t="n">
        <v>-1</v>
      </c>
      <c r="D358" s="22" t="n">
        <v>-36.5</v>
      </c>
      <c r="E358" s="20" t="n">
        <f aca="false">IFERROR(INDEX('Catalog'!$A:$A,MATCH($A358,'Catalog'!$B:$B,0)),IFERROR(INDEX('Catalog'!$A:$A,MATCH(TRIM(SUBSTITUTE($A358,CHAR(160)," ")),'Catalog'!$C:$C,0)),""))</f>
        <v>4422003</v>
      </c>
      <c r="F358" s="20" t="str">
        <f aca="false">IF($E358="","Unmatched","Matched")</f>
        <v>Matched</v>
      </c>
    </row>
    <row r="359" customFormat="false" ht="15" hidden="false" customHeight="false" outlineLevel="0" collapsed="false">
      <c r="A359" s="20" t="s">
        <v>476</v>
      </c>
      <c r="B359" s="20" t="n">
        <v>2025</v>
      </c>
      <c r="C359" s="21" t="n">
        <v>11</v>
      </c>
      <c r="D359" s="22" t="n">
        <v>2043.8</v>
      </c>
      <c r="E359" s="20" t="n">
        <f aca="false">IFERROR(INDEX('Catalog'!$A:$A,MATCH($A359,'Catalog'!$B:$B,0)),IFERROR(INDEX('Catalog'!$A:$A,MATCH(TRIM(SUBSTITUTE($A359,CHAR(160)," ")),'Catalog'!$C:$C,0)),""))</f>
        <v>4422004</v>
      </c>
      <c r="F359" s="20" t="str">
        <f aca="false">IF($E359="","Unmatched","Matched")</f>
        <v>Matched</v>
      </c>
    </row>
    <row r="360" customFormat="false" ht="15" hidden="false" customHeight="false" outlineLevel="0" collapsed="false">
      <c r="A360" s="20" t="s">
        <v>475</v>
      </c>
      <c r="B360" s="20" t="n">
        <v>2025</v>
      </c>
      <c r="C360" s="21" t="n">
        <v>27</v>
      </c>
      <c r="D360" s="22" t="n">
        <v>5060</v>
      </c>
      <c r="E360" s="20" t="n">
        <f aca="false">IFERROR(INDEX('Catalog'!$A:$A,MATCH($A360,'Catalog'!$B:$B,0)),IFERROR(INDEX('Catalog'!$A:$A,MATCH(TRIM(SUBSTITUTE($A360,CHAR(160)," ")),'Catalog'!$C:$C,0)),""))</f>
        <v>4422005</v>
      </c>
      <c r="F360" s="20" t="str">
        <f aca="false">IF($E360="","Unmatched","Matched")</f>
        <v>Matched</v>
      </c>
    </row>
    <row r="361" customFormat="false" ht="15" hidden="false" customHeight="false" outlineLevel="0" collapsed="false">
      <c r="A361" s="20" t="s">
        <v>474</v>
      </c>
      <c r="B361" s="20" t="n">
        <v>2025</v>
      </c>
      <c r="C361" s="21" t="n">
        <v>38</v>
      </c>
      <c r="D361" s="22" t="n">
        <v>7103.2</v>
      </c>
      <c r="E361" s="20" t="n">
        <f aca="false">IFERROR(INDEX('Catalog'!$A:$A,MATCH($A361,'Catalog'!$B:$B,0)),IFERROR(INDEX('Catalog'!$A:$A,MATCH(TRIM(SUBSTITUTE($A361,CHAR(160)," ")),'Catalog'!$C:$C,0)),""))</f>
        <v>4422006</v>
      </c>
      <c r="F361" s="20" t="str">
        <f aca="false">IF($E361="","Unmatched","Matched")</f>
        <v>Matched</v>
      </c>
    </row>
    <row r="362" customFormat="false" ht="15" hidden="false" customHeight="false" outlineLevel="0" collapsed="false">
      <c r="A362" s="20" t="s">
        <v>477</v>
      </c>
      <c r="B362" s="20" t="n">
        <v>2025</v>
      </c>
      <c r="C362" s="21" t="n">
        <v>18</v>
      </c>
      <c r="D362" s="22" t="n">
        <v>3356.7</v>
      </c>
      <c r="E362" s="20" t="n">
        <f aca="false">IFERROR(INDEX('Catalog'!$A:$A,MATCH($A362,'Catalog'!$B:$B,0)),IFERROR(INDEX('Catalog'!$A:$A,MATCH(TRIM(SUBSTITUTE($A362,CHAR(160)," ")),'Catalog'!$C:$C,0)),""))</f>
        <v>4422007</v>
      </c>
      <c r="F362" s="20" t="str">
        <f aca="false">IF($E362="","Unmatched","Matched")</f>
        <v>Matched</v>
      </c>
    </row>
    <row r="363" customFormat="false" ht="15" hidden="false" customHeight="false" outlineLevel="0" collapsed="false">
      <c r="A363" s="20" t="s">
        <v>478</v>
      </c>
      <c r="B363" s="20" t="n">
        <v>2025</v>
      </c>
      <c r="C363" s="21" t="n">
        <v>4</v>
      </c>
      <c r="D363" s="22" t="n">
        <v>719.4</v>
      </c>
      <c r="E363" s="20" t="n">
        <f aca="false">IFERROR(INDEX('Catalog'!$A:$A,MATCH($A363,'Catalog'!$B:$B,0)),IFERROR(INDEX('Catalog'!$A:$A,MATCH(TRIM(SUBSTITUTE($A363,CHAR(160)," ")),'Catalog'!$C:$C,0)),""))</f>
        <v>4422009</v>
      </c>
      <c r="F363" s="20" t="str">
        <f aca="false">IF($E363="","Unmatched","Matched")</f>
        <v>Matched</v>
      </c>
    </row>
    <row r="364" customFormat="false" ht="15" hidden="false" customHeight="false" outlineLevel="0" collapsed="false">
      <c r="A364" s="20" t="s">
        <v>696</v>
      </c>
      <c r="B364" s="20" t="n">
        <v>2025</v>
      </c>
      <c r="C364" s="21" t="n">
        <v>502</v>
      </c>
      <c r="D364" s="22" t="n">
        <v>38890.7</v>
      </c>
      <c r="E364" s="20" t="n">
        <f aca="false">IFERROR(INDEX('Catalog'!$A:$A,MATCH($A364,'Catalog'!$B:$B,0)),IFERROR(INDEX('Catalog'!$A:$A,MATCH(TRIM(SUBSTITUTE($A364,CHAR(160)," ")),'Catalog'!$C:$C,0)),""))</f>
        <v>4415158</v>
      </c>
      <c r="F364" s="20" t="str">
        <f aca="false">IF($E364="","Unmatched","Matched")</f>
        <v>Matched</v>
      </c>
    </row>
    <row r="365" customFormat="false" ht="15" hidden="false" customHeight="false" outlineLevel="0" collapsed="false">
      <c r="A365" s="20" t="s">
        <v>707</v>
      </c>
      <c r="B365" s="20" t="n">
        <v>2025</v>
      </c>
      <c r="C365" s="21" t="n">
        <v>120</v>
      </c>
      <c r="D365" s="22" t="n">
        <v>13916.1</v>
      </c>
      <c r="E365" s="20" t="n">
        <f aca="false">IFERROR(INDEX('Catalog'!$A:$A,MATCH($A365,'Catalog'!$B:$B,0)),IFERROR(INDEX('Catalog'!$A:$A,MATCH(TRIM(SUBSTITUTE($A365,CHAR(160)," ")),'Catalog'!$C:$C,0)),""))</f>
        <v>4415159</v>
      </c>
      <c r="F365" s="20" t="str">
        <f aca="false">IF($E365="","Unmatched","Matched")</f>
        <v>Matched</v>
      </c>
    </row>
    <row r="366" customFormat="false" ht="15" hidden="false" customHeight="false" outlineLevel="0" collapsed="false">
      <c r="A366" s="20" t="s">
        <v>283</v>
      </c>
      <c r="B366" s="20" t="n">
        <v>2025</v>
      </c>
      <c r="C366" s="21" t="n">
        <v>125</v>
      </c>
      <c r="D366" s="22" t="n">
        <v>7355.3</v>
      </c>
      <c r="E366" s="20" t="n">
        <f aca="false">IFERROR(INDEX('Catalog'!$A:$A,MATCH($A366,'Catalog'!$B:$B,0)),IFERROR(INDEX('Catalog'!$A:$A,MATCH(TRIM(SUBSTITUTE($A366,CHAR(160)," ")),'Catalog'!$C:$C,0)),""))</f>
        <v>4403028</v>
      </c>
      <c r="F366" s="20" t="str">
        <f aca="false">IF($E366="","Unmatched","Matched")</f>
        <v>Matched</v>
      </c>
    </row>
    <row r="367" customFormat="false" ht="15" hidden="false" customHeight="false" outlineLevel="0" collapsed="false">
      <c r="A367" s="20" t="s">
        <v>284</v>
      </c>
      <c r="B367" s="20" t="n">
        <v>2025</v>
      </c>
      <c r="C367" s="21" t="n">
        <v>201</v>
      </c>
      <c r="D367" s="22" t="n">
        <v>11825.2</v>
      </c>
      <c r="E367" s="20" t="n">
        <f aca="false">IFERROR(INDEX('Catalog'!$A:$A,MATCH($A367,'Catalog'!$B:$B,0)),IFERROR(INDEX('Catalog'!$A:$A,MATCH(TRIM(SUBSTITUTE($A367,CHAR(160)," ")),'Catalog'!$C:$C,0)),""))</f>
        <v>4403029</v>
      </c>
      <c r="F367" s="20" t="str">
        <f aca="false">IF($E367="","Unmatched","Matched")</f>
        <v>Matched</v>
      </c>
    </row>
    <row r="368" customFormat="false" ht="15" hidden="false" customHeight="false" outlineLevel="0" collapsed="false">
      <c r="A368" s="20" t="s">
        <v>285</v>
      </c>
      <c r="B368" s="20" t="n">
        <v>2025</v>
      </c>
      <c r="C368" s="21" t="n">
        <v>211</v>
      </c>
      <c r="D368" s="22" t="n">
        <v>12491.9</v>
      </c>
      <c r="E368" s="20" t="n">
        <f aca="false">IFERROR(INDEX('Catalog'!$A:$A,MATCH($A368,'Catalog'!$B:$B,0)),IFERROR(INDEX('Catalog'!$A:$A,MATCH(TRIM(SUBSTITUTE($A368,CHAR(160)," ")),'Catalog'!$C:$C,0)),""))</f>
        <v>4403030</v>
      </c>
      <c r="F368" s="20" t="str">
        <f aca="false">IF($E368="","Unmatched","Matched")</f>
        <v>Matched</v>
      </c>
    </row>
    <row r="369" customFormat="false" ht="15" hidden="false" customHeight="false" outlineLevel="0" collapsed="false">
      <c r="A369" s="20" t="s">
        <v>224</v>
      </c>
      <c r="B369" s="20" t="n">
        <v>2025</v>
      </c>
      <c r="C369" s="21" t="n">
        <v>4</v>
      </c>
      <c r="D369" s="22" t="n">
        <v>315.3</v>
      </c>
      <c r="E369" s="20" t="n">
        <f aca="false">IFERROR(INDEX('Catalog'!$A:$A,MATCH($A369,'Catalog'!$B:$B,0)),IFERROR(INDEX('Catalog'!$A:$A,MATCH(TRIM(SUBSTITUTE($A369,CHAR(160)," ")),'Catalog'!$C:$C,0)),""))</f>
        <v>4420026</v>
      </c>
      <c r="F369" s="20" t="str">
        <f aca="false">IF($E369="","Unmatched","Matched")</f>
        <v>Matched</v>
      </c>
    </row>
    <row r="370" customFormat="false" ht="15" hidden="false" customHeight="false" outlineLevel="0" collapsed="false">
      <c r="A370" s="20" t="s">
        <v>313</v>
      </c>
      <c r="B370" s="20" t="n">
        <v>2025</v>
      </c>
      <c r="C370" s="21" t="n">
        <v>5</v>
      </c>
      <c r="D370" s="22" t="n">
        <v>577.8</v>
      </c>
      <c r="E370" s="20" t="n">
        <f aca="false">IFERROR(INDEX('Catalog'!$A:$A,MATCH($A370,'Catalog'!$B:$B,0)),IFERROR(INDEX('Catalog'!$A:$A,MATCH(TRIM(SUBSTITUTE($A370,CHAR(160)," ")),'Catalog'!$C:$C,0)),""))</f>
        <v>4408219</v>
      </c>
      <c r="F370" s="20" t="str">
        <f aca="false">IF($E370="","Unmatched","Matched")</f>
        <v>Matched</v>
      </c>
    </row>
    <row r="371" customFormat="false" ht="15" hidden="false" customHeight="false" outlineLevel="0" collapsed="false">
      <c r="A371" s="20" t="s">
        <v>312</v>
      </c>
      <c r="B371" s="20" t="n">
        <v>2025</v>
      </c>
      <c r="C371" s="21" t="n">
        <v>27</v>
      </c>
      <c r="D371" s="22" t="n">
        <v>2977.7</v>
      </c>
      <c r="E371" s="20" t="n">
        <f aca="false">IFERROR(INDEX('Catalog'!$A:$A,MATCH($A371,'Catalog'!$B:$B,0)),IFERROR(INDEX('Catalog'!$A:$A,MATCH(TRIM(SUBSTITUTE($A371,CHAR(160)," ")),'Catalog'!$C:$C,0)),""))</f>
        <v>4408220</v>
      </c>
      <c r="F371" s="20" t="str">
        <f aca="false">IF($E371="","Unmatched","Matched")</f>
        <v>Matched</v>
      </c>
    </row>
    <row r="372" customFormat="false" ht="15" hidden="false" customHeight="false" outlineLevel="0" collapsed="false">
      <c r="A372" s="20" t="s">
        <v>311</v>
      </c>
      <c r="B372" s="20" t="n">
        <v>2025</v>
      </c>
      <c r="C372" s="21" t="n">
        <v>50</v>
      </c>
      <c r="D372" s="22" t="n">
        <v>5649.4</v>
      </c>
      <c r="E372" s="20" t="n">
        <f aca="false">IFERROR(INDEX('Catalog'!$A:$A,MATCH($A372,'Catalog'!$B:$B,0)),IFERROR(INDEX('Catalog'!$A:$A,MATCH(TRIM(SUBSTITUTE($A372,CHAR(160)," ")),'Catalog'!$C:$C,0)),""))</f>
        <v>4408221</v>
      </c>
      <c r="F372" s="20" t="str">
        <f aca="false">IF($E372="","Unmatched","Matched")</f>
        <v>Matched</v>
      </c>
    </row>
    <row r="373" customFormat="false" ht="15" hidden="false" customHeight="false" outlineLevel="0" collapsed="false">
      <c r="A373" s="20" t="s">
        <v>314</v>
      </c>
      <c r="B373" s="20" t="n">
        <v>2025</v>
      </c>
      <c r="C373" s="21" t="n">
        <v>53</v>
      </c>
      <c r="D373" s="22" t="n">
        <v>5922.9</v>
      </c>
      <c r="E373" s="20" t="n">
        <f aca="false">IFERROR(INDEX('Catalog'!$A:$A,MATCH($A373,'Catalog'!$B:$B,0)),IFERROR(INDEX('Catalog'!$A:$A,MATCH(TRIM(SUBSTITUTE($A373,CHAR(160)," ")),'Catalog'!$C:$C,0)),""))</f>
        <v>4408222</v>
      </c>
      <c r="F373" s="20" t="str">
        <f aca="false">IF($E373="","Unmatched","Matched")</f>
        <v>Matched</v>
      </c>
    </row>
    <row r="374" customFormat="false" ht="15" hidden="false" customHeight="false" outlineLevel="0" collapsed="false">
      <c r="A374" s="20" t="s">
        <v>315</v>
      </c>
      <c r="B374" s="20" t="n">
        <v>2025</v>
      </c>
      <c r="C374" s="21" t="n">
        <v>41</v>
      </c>
      <c r="D374" s="22" t="n">
        <v>4452.3</v>
      </c>
      <c r="E374" s="20" t="n">
        <f aca="false">IFERROR(INDEX('Catalog'!$A:$A,MATCH($A374,'Catalog'!$B:$B,0)),IFERROR(INDEX('Catalog'!$A:$A,MATCH(TRIM(SUBSTITUTE($A374,CHAR(160)," ")),'Catalog'!$C:$C,0)),""))</f>
        <v>4408223</v>
      </c>
      <c r="F374" s="20" t="str">
        <f aca="false">IF($E374="","Unmatched","Matched")</f>
        <v>Matched</v>
      </c>
    </row>
    <row r="375" customFormat="false" ht="15" hidden="false" customHeight="false" outlineLevel="0" collapsed="false">
      <c r="A375" s="20" t="s">
        <v>406</v>
      </c>
      <c r="B375" s="20" t="n">
        <v>2025</v>
      </c>
      <c r="C375" s="21" t="n">
        <v>3</v>
      </c>
      <c r="D375" s="22" t="n">
        <v>288.7</v>
      </c>
      <c r="E375" s="20" t="n">
        <f aca="false">IFERROR(INDEX('Catalog'!$A:$A,MATCH($A375,'Catalog'!$B:$B,0)),IFERROR(INDEX('Catalog'!$A:$A,MATCH(TRIM(SUBSTITUTE($A375,CHAR(160)," ")),'Catalog'!$C:$C,0)),""))</f>
        <v>4408225</v>
      </c>
      <c r="F375" s="20" t="str">
        <f aca="false">IF($E375="","Unmatched","Matched")</f>
        <v>Matched</v>
      </c>
    </row>
    <row r="376" customFormat="false" ht="15" hidden="false" customHeight="false" outlineLevel="0" collapsed="false">
      <c r="A376" s="20" t="s">
        <v>405</v>
      </c>
      <c r="B376" s="20" t="n">
        <v>2025</v>
      </c>
      <c r="C376" s="21" t="n">
        <v>2</v>
      </c>
      <c r="D376" s="22" t="n">
        <v>206.1</v>
      </c>
      <c r="E376" s="20" t="n">
        <f aca="false">IFERROR(INDEX('Catalog'!$A:$A,MATCH($A376,'Catalog'!$B:$B,0)),IFERROR(INDEX('Catalog'!$A:$A,MATCH(TRIM(SUBSTITUTE($A376,CHAR(160)," ")),'Catalog'!$C:$C,0)),""))</f>
        <v>4408226</v>
      </c>
      <c r="F376" s="20" t="str">
        <f aca="false">IF($E376="","Unmatched","Matched")</f>
        <v>Matched</v>
      </c>
    </row>
    <row r="377" customFormat="false" ht="15" hidden="false" customHeight="false" outlineLevel="0" collapsed="false">
      <c r="A377" s="20" t="s">
        <v>417</v>
      </c>
      <c r="B377" s="20" t="n">
        <v>2025</v>
      </c>
      <c r="C377" s="21" t="n">
        <v>1</v>
      </c>
      <c r="D377" s="22" t="n">
        <v>103.1</v>
      </c>
      <c r="E377" s="20" t="n">
        <f aca="false">IFERROR(INDEX('Catalog'!$A:$A,MATCH($A377,'Catalog'!$B:$B,0)),IFERROR(INDEX('Catalog'!$A:$A,MATCH(TRIM(SUBSTITUTE($A377,CHAR(160)," ")),'Catalog'!$C:$C,0)),""))</f>
        <v>4408227</v>
      </c>
      <c r="F377" s="20" t="str">
        <f aca="false">IF($E377="","Unmatched","Matched")</f>
        <v>Matched</v>
      </c>
    </row>
    <row r="378" customFormat="false" ht="15" hidden="false" customHeight="false" outlineLevel="0" collapsed="false">
      <c r="A378" s="20" t="s">
        <v>418</v>
      </c>
      <c r="B378" s="20" t="n">
        <v>2025</v>
      </c>
      <c r="C378" s="21" t="n">
        <v>1</v>
      </c>
      <c r="D378" s="22" t="n">
        <v>103.1</v>
      </c>
      <c r="E378" s="20" t="n">
        <f aca="false">IFERROR(INDEX('Catalog'!$A:$A,MATCH($A378,'Catalog'!$B:$B,0)),IFERROR(INDEX('Catalog'!$A:$A,MATCH(TRIM(SUBSTITUTE($A378,CHAR(160)," ")),'Catalog'!$C:$C,0)),""))</f>
        <v>4408229</v>
      </c>
      <c r="F378" s="20" t="str">
        <f aca="false">IF($E378="","Unmatched","Matched")</f>
        <v>Matched</v>
      </c>
    </row>
    <row r="379" customFormat="false" ht="15" hidden="false" customHeight="false" outlineLevel="0" collapsed="false">
      <c r="A379" s="20" t="s">
        <v>794</v>
      </c>
      <c r="B379" s="20" t="n">
        <v>2025</v>
      </c>
      <c r="C379" s="21" t="n">
        <v>2</v>
      </c>
      <c r="D379" s="22" t="n">
        <v>255.5</v>
      </c>
      <c r="E379" s="20" t="n">
        <f aca="false">IFERROR(INDEX('Catalog'!$A:$A,MATCH($A379,'Catalog'!$B:$B,0)),IFERROR(INDEX('Catalog'!$A:$A,MATCH(TRIM(SUBSTITUTE($A379,CHAR(160)," ")),'Catalog'!$C:$C,0)),""))</f>
        <v>4413335</v>
      </c>
      <c r="F379" s="20" t="str">
        <f aca="false">IF($E379="","Unmatched","Matched")</f>
        <v>Matched</v>
      </c>
    </row>
    <row r="380" customFormat="false" ht="15" hidden="false" customHeight="false" outlineLevel="0" collapsed="false">
      <c r="A380" s="20" t="s">
        <v>793</v>
      </c>
      <c r="B380" s="20" t="n">
        <v>2025</v>
      </c>
      <c r="C380" s="21" t="n">
        <v>1</v>
      </c>
      <c r="D380" s="22" t="n">
        <v>127.9</v>
      </c>
      <c r="E380" s="20" t="n">
        <f aca="false">IFERROR(INDEX('Catalog'!$A:$A,MATCH($A380,'Catalog'!$B:$B,0)),IFERROR(INDEX('Catalog'!$A:$A,MATCH(TRIM(SUBSTITUTE($A380,CHAR(160)," ")),'Catalog'!$C:$C,0)),""))</f>
        <v>4413336</v>
      </c>
      <c r="F380" s="20" t="str">
        <f aca="false">IF($E380="","Unmatched","Matched")</f>
        <v>Matched</v>
      </c>
    </row>
    <row r="381" customFormat="false" ht="15" hidden="false" customHeight="false" outlineLevel="0" collapsed="false">
      <c r="A381" s="20" t="s">
        <v>796</v>
      </c>
      <c r="B381" s="20" t="n">
        <v>2025</v>
      </c>
      <c r="C381" s="21" t="n">
        <v>1</v>
      </c>
      <c r="D381" s="22" t="n">
        <v>127.6</v>
      </c>
      <c r="E381" s="20" t="n">
        <f aca="false">IFERROR(INDEX('Catalog'!$A:$A,MATCH($A381,'Catalog'!$B:$B,0)),IFERROR(INDEX('Catalog'!$A:$A,MATCH(TRIM(SUBSTITUTE($A381,CHAR(160)," ")),'Catalog'!$C:$C,0)),""))</f>
        <v>4413338</v>
      </c>
      <c r="F381" s="20" t="str">
        <f aca="false">IF($E381="","Unmatched","Matched")</f>
        <v>Matched</v>
      </c>
    </row>
    <row r="382" customFormat="false" ht="15" hidden="false" customHeight="false" outlineLevel="0" collapsed="false">
      <c r="A382" s="20" t="s">
        <v>792</v>
      </c>
      <c r="B382" s="20" t="n">
        <v>2025</v>
      </c>
      <c r="C382" s="21" t="n">
        <v>1</v>
      </c>
      <c r="D382" s="22" t="n">
        <v>127.9</v>
      </c>
      <c r="E382" s="20" t="n">
        <f aca="false">IFERROR(INDEX('Catalog'!$A:$A,MATCH($A382,'Catalog'!$B:$B,0)),IFERROR(INDEX('Catalog'!$A:$A,MATCH(TRIM(SUBSTITUTE($A382,CHAR(160)," ")),'Catalog'!$C:$C,0)),""))</f>
        <v>4413347</v>
      </c>
      <c r="F382" s="20" t="str">
        <f aca="false">IF($E382="","Unmatched","Matched")</f>
        <v>Matched</v>
      </c>
    </row>
    <row r="383" customFormat="false" ht="15" hidden="false" customHeight="false" outlineLevel="0" collapsed="false">
      <c r="A383" s="20" t="s">
        <v>383</v>
      </c>
      <c r="B383" s="20" t="n">
        <v>2025</v>
      </c>
      <c r="C383" s="21" t="n">
        <v>13</v>
      </c>
      <c r="D383" s="22" t="n">
        <v>1544.1</v>
      </c>
      <c r="E383" s="20" t="n">
        <f aca="false">IFERROR(INDEX('Catalog'!$A:$A,MATCH($A383,'Catalog'!$B:$B,0)),IFERROR(INDEX('Catalog'!$A:$A,MATCH(TRIM(SUBSTITUTE($A383,CHAR(160)," ")),'Catalog'!$C:$C,0)),""))</f>
        <v>4408230</v>
      </c>
      <c r="F383" s="20" t="str">
        <f aca="false">IF($E383="","Unmatched","Matched")</f>
        <v>Matched</v>
      </c>
    </row>
    <row r="384" customFormat="false" ht="15" hidden="false" customHeight="false" outlineLevel="0" collapsed="false">
      <c r="A384" s="20" t="s">
        <v>384</v>
      </c>
      <c r="B384" s="20" t="n">
        <v>2025</v>
      </c>
      <c r="C384" s="21" t="n">
        <v>3</v>
      </c>
      <c r="D384" s="22" t="n">
        <v>339.6</v>
      </c>
      <c r="E384" s="20" t="n">
        <f aca="false">IFERROR(INDEX('Catalog'!$A:$A,MATCH($A384,'Catalog'!$B:$B,0)),IFERROR(INDEX('Catalog'!$A:$A,MATCH(TRIM(SUBSTITUTE($A384,CHAR(160)," ")),'Catalog'!$C:$C,0)),""))</f>
        <v>4408231</v>
      </c>
      <c r="F384" s="20" t="str">
        <f aca="false">IF($E384="","Unmatched","Matched")</f>
        <v>Matched</v>
      </c>
    </row>
    <row r="385" customFormat="false" ht="15" hidden="false" customHeight="false" outlineLevel="0" collapsed="false">
      <c r="A385" s="20" t="s">
        <v>385</v>
      </c>
      <c r="B385" s="20" t="n">
        <v>2025</v>
      </c>
      <c r="C385" s="21" t="n">
        <v>2</v>
      </c>
      <c r="D385" s="22" t="n">
        <v>236.2</v>
      </c>
      <c r="E385" s="20" t="n">
        <f aca="false">IFERROR(INDEX('Catalog'!$A:$A,MATCH($A385,'Catalog'!$B:$B,0)),IFERROR(INDEX('Catalog'!$A:$A,MATCH(TRIM(SUBSTITUTE($A385,CHAR(160)," ")),'Catalog'!$C:$C,0)),""))</f>
        <v>4408232</v>
      </c>
      <c r="F385" s="20" t="str">
        <f aca="false">IF($E385="","Unmatched","Matched")</f>
        <v>Matched</v>
      </c>
    </row>
    <row r="386" customFormat="false" ht="15" hidden="false" customHeight="false" outlineLevel="0" collapsed="false">
      <c r="A386" s="20" t="s">
        <v>307</v>
      </c>
      <c r="B386" s="20" t="n">
        <v>2025</v>
      </c>
      <c r="C386" s="21" t="n">
        <v>-1</v>
      </c>
      <c r="D386" s="22" t="n">
        <v>-133.3</v>
      </c>
      <c r="E386" s="20" t="n">
        <f aca="false">IFERROR(INDEX('Catalog'!$A:$A,MATCH($A386,'Catalog'!$B:$B,0)),IFERROR(INDEX('Catalog'!$A:$A,MATCH(TRIM(SUBSTITUTE($A386,CHAR(160)," ")),'Catalog'!$C:$C,0)),""))</f>
        <v>4408234</v>
      </c>
      <c r="F386" s="20" t="str">
        <f aca="false">IF($E386="","Unmatched","Matched")</f>
        <v>Matched</v>
      </c>
    </row>
    <row r="387" customFormat="false" ht="15" hidden="false" customHeight="false" outlineLevel="0" collapsed="false">
      <c r="A387" s="20" t="s">
        <v>302</v>
      </c>
      <c r="B387" s="20" t="n">
        <v>2025</v>
      </c>
      <c r="C387" s="21" t="n">
        <v>7</v>
      </c>
      <c r="D387" s="22" t="n">
        <v>999</v>
      </c>
      <c r="E387" s="20" t="n">
        <f aca="false">IFERROR(INDEX('Catalog'!$A:$A,MATCH($A387,'Catalog'!$B:$B,0)),IFERROR(INDEX('Catalog'!$A:$A,MATCH(TRIM(SUBSTITUTE($A387,CHAR(160)," ")),'Catalog'!$C:$C,0)),""))</f>
        <v>4408245</v>
      </c>
      <c r="F387" s="20" t="str">
        <f aca="false">IF($E387="","Unmatched","Matched")</f>
        <v>Matched</v>
      </c>
    </row>
    <row r="388" customFormat="false" ht="15" hidden="false" customHeight="false" outlineLevel="0" collapsed="false">
      <c r="A388" s="20" t="s">
        <v>422</v>
      </c>
      <c r="B388" s="20" t="n">
        <v>2025</v>
      </c>
      <c r="C388" s="21" t="n">
        <v>10</v>
      </c>
      <c r="D388" s="22" t="n">
        <v>159.1</v>
      </c>
      <c r="E388" s="20" t="n">
        <f aca="false">IFERROR(INDEX('Catalog'!$A:$A,MATCH($A388,'Catalog'!$B:$B,0)),IFERROR(INDEX('Catalog'!$A:$A,MATCH(TRIM(SUBSTITUTE($A388,CHAR(160)," ")),'Catalog'!$C:$C,0)),""))</f>
        <v>4409010</v>
      </c>
      <c r="F388" s="20" t="str">
        <f aca="false">IF($E388="","Unmatched","Matched")</f>
        <v>Matched</v>
      </c>
    </row>
    <row r="389" customFormat="false" ht="15" hidden="false" customHeight="false" outlineLevel="0" collapsed="false">
      <c r="A389" s="20" t="s">
        <v>419</v>
      </c>
      <c r="B389" s="20" t="n">
        <v>2025</v>
      </c>
      <c r="C389" s="21" t="n">
        <v>26</v>
      </c>
      <c r="D389" s="22" t="n">
        <v>417.2</v>
      </c>
      <c r="E389" s="20" t="n">
        <f aca="false">IFERROR(INDEX('Catalog'!$A:$A,MATCH($A389,'Catalog'!$B:$B,0)),IFERROR(INDEX('Catalog'!$A:$A,MATCH(TRIM(SUBSTITUTE($A389,CHAR(160)," ")),'Catalog'!$C:$C,0)),""))</f>
        <v>4409011</v>
      </c>
      <c r="F389" s="20" t="str">
        <f aca="false">IF($E389="","Unmatched","Matched")</f>
        <v>Matched</v>
      </c>
    </row>
    <row r="390" customFormat="false" ht="15" hidden="false" customHeight="false" outlineLevel="0" collapsed="false">
      <c r="A390" s="20" t="s">
        <v>421</v>
      </c>
      <c r="B390" s="20" t="n">
        <v>2025</v>
      </c>
      <c r="C390" s="21" t="n">
        <v>41</v>
      </c>
      <c r="D390" s="22" t="n">
        <v>613.6</v>
      </c>
      <c r="E390" s="20" t="n">
        <f aca="false">IFERROR(INDEX('Catalog'!$A:$A,MATCH($A390,'Catalog'!$B:$B,0)),IFERROR(INDEX('Catalog'!$A:$A,MATCH(TRIM(SUBSTITUTE($A390,CHAR(160)," ")),'Catalog'!$C:$C,0)),""))</f>
        <v>4409012</v>
      </c>
      <c r="F390" s="20" t="str">
        <f aca="false">IF($E390="","Unmatched","Matched")</f>
        <v>Matched</v>
      </c>
    </row>
    <row r="391" customFormat="false" ht="15" hidden="false" customHeight="false" outlineLevel="0" collapsed="false">
      <c r="A391" s="20" t="s">
        <v>420</v>
      </c>
      <c r="B391" s="20" t="n">
        <v>2025</v>
      </c>
      <c r="C391" s="21" t="n">
        <v>7</v>
      </c>
      <c r="D391" s="22" t="n">
        <v>118.8</v>
      </c>
      <c r="E391" s="20" t="n">
        <f aca="false">IFERROR(INDEX('Catalog'!$A:$A,MATCH($A391,'Catalog'!$B:$B,0)),IFERROR(INDEX('Catalog'!$A:$A,MATCH(TRIM(SUBSTITUTE($A391,CHAR(160)," ")),'Catalog'!$C:$C,0)),""))</f>
        <v>4409013</v>
      </c>
      <c r="F391" s="20" t="str">
        <f aca="false">IF($E391="","Unmatched","Matched")</f>
        <v>Matched</v>
      </c>
    </row>
    <row r="392" customFormat="false" ht="15" hidden="false" customHeight="false" outlineLevel="0" collapsed="false">
      <c r="A392" s="20" t="s">
        <v>430</v>
      </c>
      <c r="B392" s="20" t="n">
        <v>2025</v>
      </c>
      <c r="C392" s="21" t="n">
        <v>295</v>
      </c>
      <c r="D392" s="22" t="n">
        <v>8838</v>
      </c>
      <c r="E392" s="20" t="n">
        <f aca="false">IFERROR(INDEX('Catalog'!$A:$A,MATCH($A392,'Catalog'!$B:$B,0)),IFERROR(INDEX('Catalog'!$A:$A,MATCH(TRIM(SUBSTITUTE($A392,CHAR(160)," ")),'Catalog'!$C:$C,0)),""))</f>
        <v>4409014</v>
      </c>
      <c r="F392" s="20" t="str">
        <f aca="false">IF($E392="","Unmatched","Matched")</f>
        <v>Matched</v>
      </c>
    </row>
    <row r="393" customFormat="false" ht="15" hidden="false" customHeight="false" outlineLevel="0" collapsed="false">
      <c r="A393" s="20" t="s">
        <v>428</v>
      </c>
      <c r="B393" s="20" t="n">
        <v>2025</v>
      </c>
      <c r="C393" s="21" t="n">
        <v>411</v>
      </c>
      <c r="D393" s="22" t="n">
        <v>13057</v>
      </c>
      <c r="E393" s="20" t="n">
        <f aca="false">IFERROR(INDEX('Catalog'!$A:$A,MATCH($A393,'Catalog'!$B:$B,0)),IFERROR(INDEX('Catalog'!$A:$A,MATCH(TRIM(SUBSTITUTE($A393,CHAR(160)," ")),'Catalog'!$C:$C,0)),""))</f>
        <v>4409015</v>
      </c>
      <c r="F393" s="20" t="str">
        <f aca="false">IF($E393="","Unmatched","Matched")</f>
        <v>Matched</v>
      </c>
    </row>
    <row r="394" customFormat="false" ht="15" hidden="false" customHeight="false" outlineLevel="0" collapsed="false">
      <c r="A394" s="20" t="s">
        <v>429</v>
      </c>
      <c r="B394" s="20" t="n">
        <v>2025</v>
      </c>
      <c r="C394" s="21" t="n">
        <v>517</v>
      </c>
      <c r="D394" s="22" t="n">
        <v>15602.6</v>
      </c>
      <c r="E394" s="20" t="n">
        <f aca="false">IFERROR(INDEX('Catalog'!$A:$A,MATCH($A394,'Catalog'!$B:$B,0)),IFERROR(INDEX('Catalog'!$A:$A,MATCH(TRIM(SUBSTITUTE($A394,CHAR(160)," ")),'Catalog'!$C:$C,0)),""))</f>
        <v>4409016</v>
      </c>
      <c r="F394" s="20" t="str">
        <f aca="false">IF($E394="","Unmatched","Matched")</f>
        <v>Matched</v>
      </c>
    </row>
    <row r="395" customFormat="false" ht="15" hidden="false" customHeight="false" outlineLevel="0" collapsed="false">
      <c r="A395" s="20" t="s">
        <v>427</v>
      </c>
      <c r="B395" s="20" t="n">
        <v>2025</v>
      </c>
      <c r="C395" s="21" t="n">
        <v>391</v>
      </c>
      <c r="D395" s="22" t="n">
        <v>12113.8</v>
      </c>
      <c r="E395" s="20" t="n">
        <f aca="false">IFERROR(INDEX('Catalog'!$A:$A,MATCH($A395,'Catalog'!$B:$B,0)),IFERROR(INDEX('Catalog'!$A:$A,MATCH(TRIM(SUBSTITUTE($A395,CHAR(160)," ")),'Catalog'!$C:$C,0)),""))</f>
        <v>4409017</v>
      </c>
      <c r="F395" s="20" t="str">
        <f aca="false">IF($E395="","Unmatched","Matched")</f>
        <v>Matched</v>
      </c>
    </row>
    <row r="396" customFormat="false" ht="15" hidden="false" customHeight="false" outlineLevel="0" collapsed="false">
      <c r="A396" s="20" t="s">
        <v>612</v>
      </c>
      <c r="B396" s="20" t="n">
        <v>2025</v>
      </c>
      <c r="C396" s="21" t="n">
        <v>104</v>
      </c>
      <c r="D396" s="22" t="n">
        <v>8199.3</v>
      </c>
      <c r="E396" s="20" t="n">
        <f aca="false">IFERROR(INDEX('Catalog'!$A:$A,MATCH($A396,'Catalog'!$B:$B,0)),IFERROR(INDEX('Catalog'!$A:$A,MATCH(TRIM(SUBSTITUTE($A396,CHAR(160)," ")),'Catalog'!$C:$C,0)),""))</f>
        <v>4411016</v>
      </c>
      <c r="F396" s="20" t="str">
        <f aca="false">IF($E396="","Unmatched","Matched")</f>
        <v>Matched</v>
      </c>
    </row>
    <row r="397" customFormat="false" ht="15" hidden="false" customHeight="false" outlineLevel="0" collapsed="false">
      <c r="A397" s="20" t="s">
        <v>491</v>
      </c>
      <c r="B397" s="20" t="n">
        <v>2025</v>
      </c>
      <c r="C397" s="21" t="n">
        <v>569</v>
      </c>
      <c r="D397" s="22" t="n">
        <v>33796.2</v>
      </c>
      <c r="E397" s="20" t="n">
        <f aca="false">IFERROR(INDEX('Catalog'!$A:$A,MATCH($A397,'Catalog'!$B:$B,0)),IFERROR(INDEX('Catalog'!$A:$A,MATCH(TRIM(SUBSTITUTE($A397,CHAR(160)," ")),'Catalog'!$C:$C,0)),""))</f>
        <v>4413348</v>
      </c>
      <c r="F397" s="20" t="str">
        <f aca="false">IF($E397="","Unmatched","Matched")</f>
        <v>Matched</v>
      </c>
    </row>
    <row r="398" customFormat="false" ht="15" hidden="false" customHeight="false" outlineLevel="0" collapsed="false">
      <c r="A398" s="20" t="s">
        <v>570</v>
      </c>
      <c r="B398" s="20" t="n">
        <v>2025</v>
      </c>
      <c r="C398" s="21" t="n">
        <v>216</v>
      </c>
      <c r="D398" s="22" t="n">
        <v>6434.6</v>
      </c>
      <c r="E398" s="20" t="n">
        <f aca="false">IFERROR(INDEX('Catalog'!$A:$A,MATCH($A398,'Catalog'!$B:$B,0)),IFERROR(INDEX('Catalog'!$A:$A,MATCH(TRIM(SUBSTITUTE($A398,CHAR(160)," ")),'Catalog'!$C:$C,0)),""))</f>
        <v>4413364</v>
      </c>
      <c r="F398" s="20" t="str">
        <f aca="false">IF($E398="","Unmatched","Matched")</f>
        <v>Matched</v>
      </c>
    </row>
    <row r="399" customFormat="false" ht="15" hidden="false" customHeight="false" outlineLevel="0" collapsed="false">
      <c r="A399" s="20" t="s">
        <v>569</v>
      </c>
      <c r="B399" s="20" t="n">
        <v>2025</v>
      </c>
      <c r="C399" s="21" t="n">
        <v>146</v>
      </c>
      <c r="D399" s="22" t="n">
        <v>4343.9</v>
      </c>
      <c r="E399" s="20" t="n">
        <f aca="false">IFERROR(INDEX('Catalog'!$A:$A,MATCH($A399,'Catalog'!$B:$B,0)),IFERROR(INDEX('Catalog'!$A:$A,MATCH(TRIM(SUBSTITUTE($A399,CHAR(160)," ")),'Catalog'!$C:$C,0)),""))</f>
        <v>4413365</v>
      </c>
      <c r="F399" s="20" t="str">
        <f aca="false">IF($E399="","Unmatched","Matched")</f>
        <v>Matched</v>
      </c>
    </row>
    <row r="400" customFormat="false" ht="15" hidden="false" customHeight="false" outlineLevel="0" collapsed="false">
      <c r="A400" s="20" t="s">
        <v>571</v>
      </c>
      <c r="B400" s="20" t="n">
        <v>2025</v>
      </c>
      <c r="C400" s="21" t="n">
        <v>155</v>
      </c>
      <c r="D400" s="22" t="n">
        <v>4633.6</v>
      </c>
      <c r="E400" s="20" t="n">
        <f aca="false">IFERROR(INDEX('Catalog'!$A:$A,MATCH($A400,'Catalog'!$B:$B,0)),IFERROR(INDEX('Catalog'!$A:$A,MATCH(TRIM(SUBSTITUTE($A400,CHAR(160)," ")),'Catalog'!$C:$C,0)),""))</f>
        <v>4413366</v>
      </c>
      <c r="F400" s="20" t="str">
        <f aca="false">IF($E400="","Unmatched","Matched")</f>
        <v>Matched</v>
      </c>
    </row>
    <row r="401" customFormat="false" ht="15" hidden="false" customHeight="false" outlineLevel="0" collapsed="false">
      <c r="A401" s="20" t="s">
        <v>572</v>
      </c>
      <c r="B401" s="20" t="n">
        <v>2025</v>
      </c>
      <c r="C401" s="21" t="n">
        <v>49</v>
      </c>
      <c r="D401" s="22" t="n">
        <v>1476.2</v>
      </c>
      <c r="E401" s="20" t="n">
        <f aca="false">IFERROR(INDEX('Catalog'!$A:$A,MATCH($A401,'Catalog'!$B:$B,0)),IFERROR(INDEX('Catalog'!$A:$A,MATCH(TRIM(SUBSTITUTE($A401,CHAR(160)," ")),'Catalog'!$C:$C,0)),""))</f>
        <v>4413367</v>
      </c>
      <c r="F401" s="20" t="str">
        <f aca="false">IF($E401="","Unmatched","Matched")</f>
        <v>Matched</v>
      </c>
    </row>
    <row r="402" customFormat="false" ht="15" hidden="false" customHeight="false" outlineLevel="0" collapsed="false">
      <c r="A402" s="20" t="s">
        <v>573</v>
      </c>
      <c r="B402" s="20" t="n">
        <v>2025</v>
      </c>
      <c r="C402" s="21" t="n">
        <v>12</v>
      </c>
      <c r="D402" s="22" t="n">
        <v>351.9</v>
      </c>
      <c r="E402" s="20" t="n">
        <f aca="false">IFERROR(INDEX('Catalog'!$A:$A,MATCH($A402,'Catalog'!$B:$B,0)),IFERROR(INDEX('Catalog'!$A:$A,MATCH(TRIM(SUBSTITUTE($A402,CHAR(160)," ")),'Catalog'!$C:$C,0)),""))</f>
        <v>4413368</v>
      </c>
      <c r="F402" s="20" t="str">
        <f aca="false">IF($E402="","Unmatched","Matched")</f>
        <v>Matched</v>
      </c>
    </row>
    <row r="403" customFormat="false" ht="15" hidden="false" customHeight="false" outlineLevel="0" collapsed="false">
      <c r="A403" s="20" t="s">
        <v>574</v>
      </c>
      <c r="B403" s="20" t="n">
        <v>2025</v>
      </c>
      <c r="C403" s="21" t="n">
        <v>6</v>
      </c>
      <c r="D403" s="22" t="n">
        <v>179.2</v>
      </c>
      <c r="E403" s="20" t="n">
        <f aca="false">IFERROR(INDEX('Catalog'!$A:$A,MATCH($A403,'Catalog'!$B:$B,0)),IFERROR(INDEX('Catalog'!$A:$A,MATCH(TRIM(SUBSTITUTE($A403,CHAR(160)," ")),'Catalog'!$C:$C,0)),""))</f>
        <v>4413369</v>
      </c>
      <c r="F403" s="20" t="str">
        <f aca="false">IF($E403="","Unmatched","Matched")</f>
        <v>Matched</v>
      </c>
    </row>
    <row r="404" customFormat="false" ht="15" hidden="false" customHeight="false" outlineLevel="0" collapsed="false">
      <c r="A404" s="20" t="s">
        <v>636</v>
      </c>
      <c r="B404" s="20" t="n">
        <v>2025</v>
      </c>
      <c r="C404" s="21" t="n">
        <v>330</v>
      </c>
      <c r="D404" s="22" t="n">
        <v>12540</v>
      </c>
      <c r="E404" s="20" t="n">
        <f aca="false">IFERROR(INDEX('Catalog'!$A:$A,MATCH($A404,'Catalog'!$B:$B,0)),IFERROR(INDEX('Catalog'!$A:$A,MATCH(TRIM(SUBSTITUTE($A404,CHAR(160)," ")),'Catalog'!$C:$C,0)),""))</f>
        <v>4413370</v>
      </c>
      <c r="F404" s="20" t="str">
        <f aca="false">IF($E404="","Unmatched","Matched")</f>
        <v>Matched</v>
      </c>
    </row>
    <row r="405" customFormat="false" ht="15" hidden="false" customHeight="false" outlineLevel="0" collapsed="false">
      <c r="A405" s="20" t="s">
        <v>637</v>
      </c>
      <c r="B405" s="20" t="n">
        <v>2025</v>
      </c>
      <c r="C405" s="21" t="n">
        <v>59</v>
      </c>
      <c r="D405" s="22" t="n">
        <v>1719.6</v>
      </c>
      <c r="E405" s="20" t="n">
        <f aca="false">IFERROR(INDEX('Catalog'!$A:$A,MATCH($A405,'Catalog'!$B:$B,0)),IFERROR(INDEX('Catalog'!$A:$A,MATCH(TRIM(SUBSTITUTE($A405,CHAR(160)," ")),'Catalog'!$C:$C,0)),""))</f>
        <v>4413371</v>
      </c>
      <c r="F405" s="20" t="str">
        <f aca="false">IF($E405="","Unmatched","Matched")</f>
        <v>Matched</v>
      </c>
    </row>
    <row r="406" customFormat="false" ht="15" hidden="false" customHeight="false" outlineLevel="0" collapsed="false">
      <c r="A406" s="20" t="s">
        <v>490</v>
      </c>
      <c r="B406" s="20" t="n">
        <v>2025</v>
      </c>
      <c r="C406" s="21" t="n">
        <v>272</v>
      </c>
      <c r="D406" s="22" t="n">
        <v>16261.3</v>
      </c>
      <c r="E406" s="20" t="n">
        <f aca="false">IFERROR(INDEX('Catalog'!$A:$A,MATCH($A406,'Catalog'!$B:$B,0)),IFERROR(INDEX('Catalog'!$A:$A,MATCH(TRIM(SUBSTITUTE($A406,CHAR(160)," ")),'Catalog'!$C:$C,0)),""))</f>
        <v>4413372</v>
      </c>
      <c r="F406" s="20" t="str">
        <f aca="false">IF($E406="","Unmatched","Matched")</f>
        <v>Matched</v>
      </c>
    </row>
    <row r="407" customFormat="false" ht="15" hidden="false" customHeight="false" outlineLevel="0" collapsed="false">
      <c r="A407" s="20" t="s">
        <v>216</v>
      </c>
      <c r="B407" s="20" t="n">
        <v>2025</v>
      </c>
      <c r="C407" s="21" t="n">
        <v>35</v>
      </c>
      <c r="D407" s="22" t="n">
        <v>1256.9</v>
      </c>
      <c r="E407" s="20" t="n">
        <f aca="false">IFERROR(INDEX('Catalog'!$A:$A,MATCH($A407,'Catalog'!$B:$B,0)),IFERROR(INDEX('Catalog'!$A:$A,MATCH(TRIM(SUBSTITUTE($A407,CHAR(160)," ")),'Catalog'!$C:$C,0)),""))</f>
        <v>4413394</v>
      </c>
      <c r="F407" s="20" t="str">
        <f aca="false">IF($E407="","Unmatched","Matched")</f>
        <v>Matched</v>
      </c>
    </row>
    <row r="408" customFormat="false" ht="15" hidden="false" customHeight="false" outlineLevel="0" collapsed="false">
      <c r="A408" s="20" t="s">
        <v>215</v>
      </c>
      <c r="B408" s="20" t="n">
        <v>2025</v>
      </c>
      <c r="C408" s="21" t="n">
        <v>93</v>
      </c>
      <c r="D408" s="22" t="n">
        <v>3323.9</v>
      </c>
      <c r="E408" s="20" t="n">
        <f aca="false">IFERROR(INDEX('Catalog'!$A:$A,MATCH($A408,'Catalog'!$B:$B,0)),IFERROR(INDEX('Catalog'!$A:$A,MATCH(TRIM(SUBSTITUTE($A408,CHAR(160)," ")),'Catalog'!$C:$C,0)),""))</f>
        <v>4413395</v>
      </c>
      <c r="F408" s="20" t="str">
        <f aca="false">IF($E408="","Unmatched","Matched")</f>
        <v>Matched</v>
      </c>
    </row>
    <row r="409" customFormat="false" ht="15" hidden="false" customHeight="false" outlineLevel="0" collapsed="false">
      <c r="A409" s="20" t="s">
        <v>214</v>
      </c>
      <c r="B409" s="20" t="n">
        <v>2025</v>
      </c>
      <c r="C409" s="21" t="n">
        <v>100</v>
      </c>
      <c r="D409" s="22" t="n">
        <v>3606.2</v>
      </c>
      <c r="E409" s="20" t="n">
        <f aca="false">IFERROR(INDEX('Catalog'!$A:$A,MATCH($A409,'Catalog'!$B:$B,0)),IFERROR(INDEX('Catalog'!$A:$A,MATCH(TRIM(SUBSTITUTE($A409,CHAR(160)," ")),'Catalog'!$C:$C,0)),""))</f>
        <v>4413396</v>
      </c>
      <c r="F409" s="20" t="str">
        <f aca="false">IF($E409="","Unmatched","Matched")</f>
        <v>Matched</v>
      </c>
    </row>
    <row r="410" customFormat="false" ht="15" hidden="false" customHeight="false" outlineLevel="0" collapsed="false">
      <c r="A410" s="20" t="s">
        <v>217</v>
      </c>
      <c r="B410" s="20" t="n">
        <v>2025</v>
      </c>
      <c r="C410" s="21" t="n">
        <v>103</v>
      </c>
      <c r="D410" s="22" t="n">
        <v>3709.6</v>
      </c>
      <c r="E410" s="20" t="n">
        <f aca="false">IFERROR(INDEX('Catalog'!$A:$A,MATCH($A410,'Catalog'!$B:$B,0)),IFERROR(INDEX('Catalog'!$A:$A,MATCH(TRIM(SUBSTITUTE($A410,CHAR(160)," ")),'Catalog'!$C:$C,0)),""))</f>
        <v>4413397</v>
      </c>
      <c r="F410" s="20" t="str">
        <f aca="false">IF($E410="","Unmatched","Matched")</f>
        <v>Matched</v>
      </c>
    </row>
    <row r="411" customFormat="false" ht="15" hidden="false" customHeight="false" outlineLevel="0" collapsed="false">
      <c r="A411" s="20" t="s">
        <v>218</v>
      </c>
      <c r="B411" s="20" t="n">
        <v>2025</v>
      </c>
      <c r="C411" s="21" t="n">
        <v>44</v>
      </c>
      <c r="D411" s="22" t="n">
        <v>1613.3</v>
      </c>
      <c r="E411" s="20" t="n">
        <f aca="false">IFERROR(INDEX('Catalog'!$A:$A,MATCH($A411,'Catalog'!$B:$B,0)),IFERROR(INDEX('Catalog'!$A:$A,MATCH(TRIM(SUBSTITUTE($A411,CHAR(160)," ")),'Catalog'!$C:$C,0)),""))</f>
        <v>4413398</v>
      </c>
      <c r="F411" s="20" t="str">
        <f aca="false">IF($E411="","Unmatched","Matched")</f>
        <v>Matched</v>
      </c>
    </row>
    <row r="412" customFormat="false" ht="15" hidden="false" customHeight="false" outlineLevel="0" collapsed="false">
      <c r="A412" s="20" t="s">
        <v>666</v>
      </c>
      <c r="B412" s="20" t="n">
        <v>2025</v>
      </c>
      <c r="C412" s="21" t="n">
        <v>-1</v>
      </c>
      <c r="D412" s="22" t="n">
        <v>-37.8</v>
      </c>
      <c r="E412" s="20" t="n">
        <f aca="false">IFERROR(INDEX('Catalog'!$A:$A,MATCH($A412,'Catalog'!$B:$B,0)),IFERROR(INDEX('Catalog'!$A:$A,MATCH(TRIM(SUBSTITUTE($A412,CHAR(160)," ")),'Catalog'!$C:$C,0)),""))</f>
        <v>4413399</v>
      </c>
      <c r="F412" s="20" t="str">
        <f aca="false">IF($E412="","Unmatched","Matched")</f>
        <v>Matched</v>
      </c>
    </row>
    <row r="413" customFormat="false" ht="15" hidden="false" customHeight="false" outlineLevel="0" collapsed="false">
      <c r="A413" s="20" t="s">
        <v>463</v>
      </c>
      <c r="B413" s="20" t="n">
        <v>2025</v>
      </c>
      <c r="C413" s="21" t="n">
        <v>-1</v>
      </c>
      <c r="D413" s="22" t="n">
        <v>-165.4</v>
      </c>
      <c r="E413" s="20" t="n">
        <f aca="false">IFERROR(INDEX('Catalog'!$A:$A,MATCH($A413,'Catalog'!$B:$B,0)),IFERROR(INDEX('Catalog'!$A:$A,MATCH(TRIM(SUBSTITUTE($A413,CHAR(160)," ")),'Catalog'!$C:$C,0)),""))</f>
        <v>4413403</v>
      </c>
      <c r="F413" s="20" t="str">
        <f aca="false">IF($E413="","Unmatched","Matched")</f>
        <v>Matched</v>
      </c>
    </row>
    <row r="414" customFormat="false" ht="15" hidden="false" customHeight="false" outlineLevel="0" collapsed="false">
      <c r="A414" s="20" t="s">
        <v>683</v>
      </c>
      <c r="B414" s="20" t="n">
        <v>2025</v>
      </c>
      <c r="C414" s="21" t="n">
        <v>278</v>
      </c>
      <c r="D414" s="22" t="n">
        <v>5307.5</v>
      </c>
      <c r="E414" s="20" t="n">
        <f aca="false">IFERROR(INDEX('Catalog'!$A:$A,MATCH($A414,'Catalog'!$B:$B,0)),IFERROR(INDEX('Catalog'!$A:$A,MATCH(TRIM(SUBSTITUTE($A414,CHAR(160)," ")),'Catalog'!$C:$C,0)),""))</f>
        <v>4415160</v>
      </c>
      <c r="F414" s="20" t="str">
        <f aca="false">IF($E414="","Unmatched","Matched")</f>
        <v>Matched</v>
      </c>
    </row>
    <row r="415" customFormat="false" ht="15" hidden="false" customHeight="false" outlineLevel="0" collapsed="false">
      <c r="A415" s="20" t="s">
        <v>682</v>
      </c>
      <c r="B415" s="20" t="n">
        <v>2025</v>
      </c>
      <c r="C415" s="21" t="n">
        <v>390</v>
      </c>
      <c r="D415" s="22" t="n">
        <v>7446.8</v>
      </c>
      <c r="E415" s="20" t="n">
        <f aca="false">IFERROR(INDEX('Catalog'!$A:$A,MATCH($A415,'Catalog'!$B:$B,0)),IFERROR(INDEX('Catalog'!$A:$A,MATCH(TRIM(SUBSTITUTE($A415,CHAR(160)," ")),'Catalog'!$C:$C,0)),""))</f>
        <v>4415161</v>
      </c>
      <c r="F415" s="20" t="str">
        <f aca="false">IF($E415="","Unmatched","Matched")</f>
        <v>Matched</v>
      </c>
    </row>
    <row r="416" customFormat="false" ht="15" hidden="false" customHeight="false" outlineLevel="0" collapsed="false">
      <c r="A416" s="20" t="s">
        <v>681</v>
      </c>
      <c r="B416" s="20" t="n">
        <v>2025</v>
      </c>
      <c r="C416" s="21" t="n">
        <v>382</v>
      </c>
      <c r="D416" s="22" t="n">
        <v>7315.8</v>
      </c>
      <c r="E416" s="20" t="n">
        <f aca="false">IFERROR(INDEX('Catalog'!$A:$A,MATCH($A416,'Catalog'!$B:$B,0)),IFERROR(INDEX('Catalog'!$A:$A,MATCH(TRIM(SUBSTITUTE($A416,CHAR(160)," ")),'Catalog'!$C:$C,0)),""))</f>
        <v>4415162</v>
      </c>
      <c r="F416" s="20" t="str">
        <f aca="false">IF($E416="","Unmatched","Matched")</f>
        <v>Matched</v>
      </c>
    </row>
    <row r="417" customFormat="false" ht="15" hidden="false" customHeight="false" outlineLevel="0" collapsed="false">
      <c r="A417" s="20" t="s">
        <v>684</v>
      </c>
      <c r="B417" s="20" t="n">
        <v>2025</v>
      </c>
      <c r="C417" s="21" t="n">
        <v>222</v>
      </c>
      <c r="D417" s="22" t="n">
        <v>4293</v>
      </c>
      <c r="E417" s="20" t="n">
        <f aca="false">IFERROR(INDEX('Catalog'!$A:$A,MATCH($A417,'Catalog'!$B:$B,0)),IFERROR(INDEX('Catalog'!$A:$A,MATCH(TRIM(SUBSTITUTE($A417,CHAR(160)," ")),'Catalog'!$C:$C,0)),""))</f>
        <v>4415163</v>
      </c>
      <c r="F417" s="20" t="str">
        <f aca="false">IF($E417="","Unmatched","Matched")</f>
        <v>Matched</v>
      </c>
    </row>
    <row r="418" customFormat="false" ht="15" hidden="false" customHeight="false" outlineLevel="0" collapsed="false">
      <c r="A418" s="20" t="s">
        <v>621</v>
      </c>
      <c r="B418" s="20" t="n">
        <v>2025</v>
      </c>
      <c r="C418" s="21" t="n">
        <v>316</v>
      </c>
      <c r="D418" s="22" t="n">
        <v>7117.5</v>
      </c>
      <c r="E418" s="20" t="n">
        <f aca="false">IFERROR(INDEX('Catalog'!$A:$A,MATCH($A418,'Catalog'!$B:$B,0)),IFERROR(INDEX('Catalog'!$A:$A,MATCH(TRIM(SUBSTITUTE($A418,CHAR(160)," ")),'Catalog'!$C:$C,0)),""))</f>
        <v>4415297</v>
      </c>
      <c r="F418" s="20" t="str">
        <f aca="false">IF($E418="","Unmatched","Matched")</f>
        <v>Matched</v>
      </c>
    </row>
    <row r="419" customFormat="false" ht="15" hidden="false" customHeight="false" outlineLevel="0" collapsed="false">
      <c r="A419" s="20" t="s">
        <v>851</v>
      </c>
      <c r="B419" s="20" t="n">
        <v>2025</v>
      </c>
      <c r="C419" s="21" t="n">
        <v>58</v>
      </c>
      <c r="D419" s="22" t="n">
        <v>678.9</v>
      </c>
      <c r="E419" s="20" t="n">
        <f aca="false">IFERROR(INDEX('Catalog'!$A:$A,MATCH($A419,'Catalog'!$B:$B,0)),IFERROR(INDEX('Catalog'!$A:$A,MATCH(TRIM(SUBSTITUTE($A419,CHAR(160)," ")),'Catalog'!$C:$C,0)),""))</f>
        <v>4420027</v>
      </c>
      <c r="F419" s="20" t="str">
        <f aca="false">IF($E419="","Unmatched","Matched")</f>
        <v>Matched</v>
      </c>
    </row>
    <row r="420" customFormat="false" ht="15" hidden="false" customHeight="false" outlineLevel="0" collapsed="false">
      <c r="A420" s="20" t="s">
        <v>849</v>
      </c>
      <c r="B420" s="20" t="n">
        <v>2025</v>
      </c>
      <c r="C420" s="21" t="n">
        <v>-1</v>
      </c>
      <c r="D420" s="22" t="n">
        <v>-43.2</v>
      </c>
      <c r="E420" s="20" t="n">
        <f aca="false">IFERROR(INDEX('Catalog'!$A:$A,MATCH($A420,'Catalog'!$B:$B,0)),IFERROR(INDEX('Catalog'!$A:$A,MATCH(TRIM(SUBSTITUTE($A420,CHAR(160)," ")),'Catalog'!$C:$C,0)),""))</f>
        <v>4420028</v>
      </c>
      <c r="F420" s="20" t="str">
        <f aca="false">IF($E420="","Unmatched","Matched")</f>
        <v>Matched</v>
      </c>
    </row>
    <row r="421" customFormat="false" ht="15" hidden="false" customHeight="false" outlineLevel="0" collapsed="false">
      <c r="A421" s="20" t="s">
        <v>868</v>
      </c>
      <c r="B421" s="20" t="n">
        <v>2025</v>
      </c>
      <c r="C421" s="21" t="n">
        <v>1</v>
      </c>
      <c r="D421" s="22" t="n">
        <v>33</v>
      </c>
      <c r="E421" s="20" t="n">
        <f aca="false">IFERROR(INDEX('Catalog'!$A:$A,MATCH($A421,'Catalog'!$B:$B,0)),IFERROR(INDEX('Catalog'!$A:$A,MATCH(TRIM(SUBSTITUTE($A421,CHAR(160)," ")),'Catalog'!$C:$C,0)),""))</f>
        <v>4420030</v>
      </c>
      <c r="F421" s="20" t="str">
        <f aca="false">IF($E421="","Unmatched","Matched")</f>
        <v>Matched</v>
      </c>
    </row>
    <row r="422" customFormat="false" ht="15" hidden="false" customHeight="false" outlineLevel="0" collapsed="false">
      <c r="A422" s="20" t="s">
        <v>870</v>
      </c>
      <c r="B422" s="20" t="n">
        <v>2025</v>
      </c>
      <c r="C422" s="21" t="n">
        <v>4</v>
      </c>
      <c r="D422" s="22" t="n">
        <v>133.6</v>
      </c>
      <c r="E422" s="20" t="n">
        <f aca="false">IFERROR(INDEX('Catalog'!$A:$A,MATCH($A422,'Catalog'!$B:$B,0)),IFERROR(INDEX('Catalog'!$A:$A,MATCH(TRIM(SUBSTITUTE($A422,CHAR(160)," ")),'Catalog'!$C:$C,0)),""))</f>
        <v>4420032</v>
      </c>
      <c r="F422" s="20" t="str">
        <f aca="false">IF($E422="","Unmatched","Matched")</f>
        <v>Matched</v>
      </c>
    </row>
    <row r="423" customFormat="false" ht="15" hidden="false" customHeight="false" outlineLevel="0" collapsed="false">
      <c r="A423" s="20" t="s">
        <v>635</v>
      </c>
      <c r="B423" s="20" t="n">
        <v>2025</v>
      </c>
      <c r="C423" s="21" t="n">
        <v>127</v>
      </c>
      <c r="D423" s="22" t="n">
        <v>4418.7</v>
      </c>
      <c r="E423" s="20" t="n">
        <f aca="false">IFERROR(INDEX('Catalog'!$A:$A,MATCH($A423,'Catalog'!$B:$B,0)),IFERROR(INDEX('Catalog'!$A:$A,MATCH(TRIM(SUBSTITUTE($A423,CHAR(160)," ")),'Catalog'!$C:$C,0)),""))</f>
        <v>4421003</v>
      </c>
      <c r="F423" s="20" t="str">
        <f aca="false">IF($E423="","Unmatched","Matched")</f>
        <v>Matched</v>
      </c>
    </row>
    <row r="424" customFormat="false" ht="15" hidden="false" customHeight="false" outlineLevel="0" collapsed="false">
      <c r="A424" s="20" t="s">
        <v>915</v>
      </c>
      <c r="B424" s="20" t="n">
        <v>2025</v>
      </c>
      <c r="C424" s="21" t="n">
        <v>1500</v>
      </c>
      <c r="D424" s="22" t="n">
        <v>14703.8</v>
      </c>
      <c r="E424" s="20" t="n">
        <f aca="false">IFERROR(INDEX('Catalog'!$A:$A,MATCH($A424,'Catalog'!$B:$B,0)),IFERROR(INDEX('Catalog'!$A:$A,MATCH(TRIM(SUBSTITUTE($A424,CHAR(160)," ")),'Catalog'!$C:$C,0)),""))</f>
        <v>4422023</v>
      </c>
      <c r="F424" s="20" t="str">
        <f aca="false">IF($E424="","Unmatched","Matched")</f>
        <v>Matched</v>
      </c>
    </row>
    <row r="425" customFormat="false" ht="15" hidden="false" customHeight="false" outlineLevel="0" collapsed="false">
      <c r="A425" s="20" t="s">
        <v>916</v>
      </c>
      <c r="B425" s="20" t="n">
        <v>2025</v>
      </c>
      <c r="C425" s="21" t="n">
        <v>928</v>
      </c>
      <c r="D425" s="22" t="n">
        <v>9313.1</v>
      </c>
      <c r="E425" s="20" t="n">
        <f aca="false">IFERROR(INDEX('Catalog'!$A:$A,MATCH($A425,'Catalog'!$B:$B,0)),IFERROR(INDEX('Catalog'!$A:$A,MATCH(TRIM(SUBSTITUTE($A425,CHAR(160)," ")),'Catalog'!$C:$C,0)),""))</f>
        <v>4422024</v>
      </c>
      <c r="F425" s="20" t="str">
        <f aca="false">IF($E425="","Unmatched","Matched")</f>
        <v>Matched</v>
      </c>
    </row>
    <row r="426" customFormat="false" ht="15" hidden="false" customHeight="false" outlineLevel="0" collapsed="false">
      <c r="A426" s="20" t="s">
        <v>917</v>
      </c>
      <c r="B426" s="20" t="n">
        <v>2025</v>
      </c>
      <c r="C426" s="21" t="n">
        <v>476</v>
      </c>
      <c r="D426" s="22" t="n">
        <v>4540.6</v>
      </c>
      <c r="E426" s="20" t="n">
        <f aca="false">IFERROR(INDEX('Catalog'!$A:$A,MATCH($A426,'Catalog'!$B:$B,0)),IFERROR(INDEX('Catalog'!$A:$A,MATCH(TRIM(SUBSTITUTE($A426,CHAR(160)," ")),'Catalog'!$C:$C,0)),""))</f>
        <v>4422025</v>
      </c>
      <c r="F426" s="20" t="str">
        <f aca="false">IF($E426="","Unmatched","Matched")</f>
        <v>Matched</v>
      </c>
    </row>
    <row r="427" customFormat="false" ht="15" hidden="false" customHeight="false" outlineLevel="0" collapsed="false">
      <c r="A427" s="20" t="s">
        <v>918</v>
      </c>
      <c r="B427" s="20" t="n">
        <v>2025</v>
      </c>
      <c r="C427" s="21" t="n">
        <v>471</v>
      </c>
      <c r="D427" s="22" t="n">
        <v>4693.4</v>
      </c>
      <c r="E427" s="20" t="n">
        <f aca="false">IFERROR(INDEX('Catalog'!$A:$A,MATCH($A427,'Catalog'!$B:$B,0)),IFERROR(INDEX('Catalog'!$A:$A,MATCH(TRIM(SUBSTITUTE($A427,CHAR(160)," ")),'Catalog'!$C:$C,0)),""))</f>
        <v>4422026</v>
      </c>
      <c r="F427" s="20" t="str">
        <f aca="false">IF($E427="","Unmatched","Matched")</f>
        <v>Matched</v>
      </c>
    </row>
    <row r="428" customFormat="false" ht="15" hidden="false" customHeight="false" outlineLevel="0" collapsed="false">
      <c r="A428" s="20" t="s">
        <v>889</v>
      </c>
      <c r="B428" s="20" t="n">
        <v>2025</v>
      </c>
      <c r="C428" s="21" t="n">
        <v>3</v>
      </c>
      <c r="D428" s="22" t="n">
        <v>248.3</v>
      </c>
      <c r="E428" s="20" t="n">
        <f aca="false">IFERROR(INDEX('Catalog'!$A:$A,MATCH($A428,'Catalog'!$B:$B,0)),IFERROR(INDEX('Catalog'!$A:$A,MATCH(TRIM(SUBSTITUTE($A428,CHAR(160)," ")),'Catalog'!$C:$C,0)),""))</f>
        <v>4408247</v>
      </c>
      <c r="F428" s="20" t="str">
        <f aca="false">IF($E428="","Unmatched","Matched")</f>
        <v>Matched</v>
      </c>
    </row>
    <row r="429" customFormat="false" ht="15" hidden="false" customHeight="false" outlineLevel="0" collapsed="false">
      <c r="A429" s="20" t="s">
        <v>888</v>
      </c>
      <c r="B429" s="20" t="n">
        <v>2025</v>
      </c>
      <c r="C429" s="21" t="n">
        <v>13</v>
      </c>
      <c r="D429" s="22" t="n">
        <v>1102.3</v>
      </c>
      <c r="E429" s="20" t="n">
        <f aca="false">IFERROR(INDEX('Catalog'!$A:$A,MATCH($A429,'Catalog'!$B:$B,0)),IFERROR(INDEX('Catalog'!$A:$A,MATCH(TRIM(SUBSTITUTE($A429,CHAR(160)," ")),'Catalog'!$C:$C,0)),""))</f>
        <v>4408248</v>
      </c>
      <c r="F429" s="20" t="str">
        <f aca="false">IF($E429="","Unmatched","Matched")</f>
        <v>Matched</v>
      </c>
    </row>
    <row r="430" customFormat="false" ht="15" hidden="false" customHeight="false" outlineLevel="0" collapsed="false">
      <c r="A430" s="20" t="s">
        <v>887</v>
      </c>
      <c r="B430" s="20" t="n">
        <v>2025</v>
      </c>
      <c r="C430" s="21" t="n">
        <v>10</v>
      </c>
      <c r="D430" s="22" t="n">
        <v>806</v>
      </c>
      <c r="E430" s="20" t="n">
        <f aca="false">IFERROR(INDEX('Catalog'!$A:$A,MATCH($A430,'Catalog'!$B:$B,0)),IFERROR(INDEX('Catalog'!$A:$A,MATCH(TRIM(SUBSTITUTE($A430,CHAR(160)," ")),'Catalog'!$C:$C,0)),""))</f>
        <v>4408249</v>
      </c>
      <c r="F430" s="20" t="str">
        <f aca="false">IF($E430="","Unmatched","Matched")</f>
        <v>Matched</v>
      </c>
    </row>
    <row r="431" customFormat="false" ht="15" hidden="false" customHeight="false" outlineLevel="0" collapsed="false">
      <c r="A431" s="20" t="s">
        <v>890</v>
      </c>
      <c r="B431" s="20" t="n">
        <v>2025</v>
      </c>
      <c r="C431" s="21" t="n">
        <v>9</v>
      </c>
      <c r="D431" s="22" t="n">
        <v>718.1</v>
      </c>
      <c r="E431" s="20" t="n">
        <f aca="false">IFERROR(INDEX('Catalog'!$A:$A,MATCH($A431,'Catalog'!$B:$B,0)),IFERROR(INDEX('Catalog'!$A:$A,MATCH(TRIM(SUBSTITUTE($A431,CHAR(160)," ")),'Catalog'!$C:$C,0)),""))</f>
        <v>4408250</v>
      </c>
      <c r="F431" s="20" t="str">
        <f aca="false">IF($E431="","Unmatched","Matched")</f>
        <v>Matched</v>
      </c>
    </row>
    <row r="432" customFormat="false" ht="15" hidden="false" customHeight="false" outlineLevel="0" collapsed="false">
      <c r="A432" s="20" t="s">
        <v>908</v>
      </c>
      <c r="B432" s="20" t="n">
        <v>2025</v>
      </c>
      <c r="C432" s="21" t="n">
        <v>6</v>
      </c>
      <c r="D432" s="22" t="n">
        <v>507.7</v>
      </c>
      <c r="E432" s="20" t="n">
        <f aca="false">IFERROR(INDEX('Catalog'!$A:$A,MATCH($A432,'Catalog'!$B:$B,0)),IFERROR(INDEX('Catalog'!$A:$A,MATCH(TRIM(SUBSTITUTE($A432,CHAR(160)," ")),'Catalog'!$C:$C,0)),""))</f>
        <v>4413406</v>
      </c>
      <c r="F432" s="20" t="str">
        <f aca="false">IF($E432="","Unmatched","Matched")</f>
        <v>Matched</v>
      </c>
    </row>
    <row r="433" customFormat="false" ht="15" hidden="false" customHeight="false" outlineLevel="0" collapsed="false">
      <c r="A433" s="20" t="s">
        <v>907</v>
      </c>
      <c r="B433" s="20" t="n">
        <v>2025</v>
      </c>
      <c r="C433" s="21" t="n">
        <v>7</v>
      </c>
      <c r="D433" s="22" t="n">
        <v>548.9</v>
      </c>
      <c r="E433" s="20" t="n">
        <f aca="false">IFERROR(INDEX('Catalog'!$A:$A,MATCH($A433,'Catalog'!$B:$B,0)),IFERROR(INDEX('Catalog'!$A:$A,MATCH(TRIM(SUBSTITUTE($A433,CHAR(160)," ")),'Catalog'!$C:$C,0)),""))</f>
        <v>4413407</v>
      </c>
      <c r="F433" s="20" t="str">
        <f aca="false">IF($E433="","Unmatched","Matched")</f>
        <v>Matched</v>
      </c>
    </row>
    <row r="434" customFormat="false" ht="15" hidden="false" customHeight="false" outlineLevel="0" collapsed="false">
      <c r="A434" s="20" t="s">
        <v>909</v>
      </c>
      <c r="B434" s="20" t="n">
        <v>2025</v>
      </c>
      <c r="C434" s="21" t="n">
        <v>5</v>
      </c>
      <c r="D434" s="22" t="n">
        <v>377.3</v>
      </c>
      <c r="E434" s="20" t="n">
        <f aca="false">IFERROR(INDEX('Catalog'!$A:$A,MATCH($A434,'Catalog'!$B:$B,0)),IFERROR(INDEX('Catalog'!$A:$A,MATCH(TRIM(SUBSTITUTE($A434,CHAR(160)," ")),'Catalog'!$C:$C,0)),""))</f>
        <v>4413408</v>
      </c>
      <c r="F434" s="20" t="str">
        <f aca="false">IF($E434="","Unmatched","Matched")</f>
        <v>Matched</v>
      </c>
    </row>
    <row r="435" customFormat="false" ht="15" hidden="false" customHeight="false" outlineLevel="0" collapsed="false">
      <c r="A435" s="20" t="s">
        <v>901</v>
      </c>
      <c r="B435" s="20" t="n">
        <v>2025</v>
      </c>
      <c r="C435" s="21" t="n">
        <v>3</v>
      </c>
      <c r="D435" s="22" t="n">
        <v>413.3</v>
      </c>
      <c r="E435" s="20" t="n">
        <f aca="false">IFERROR(INDEX('Catalog'!$A:$A,MATCH($A435,'Catalog'!$B:$B,0)),IFERROR(INDEX('Catalog'!$A:$A,MATCH(TRIM(SUBSTITUTE($A435,CHAR(160)," ")),'Catalog'!$C:$C,0)),""))</f>
        <v>4413415</v>
      </c>
      <c r="F435" s="20" t="str">
        <f aca="false">IF($E435="","Unmatched","Matched")</f>
        <v>Matched</v>
      </c>
    </row>
    <row r="436" customFormat="false" ht="15" hidden="false" customHeight="false" outlineLevel="0" collapsed="false">
      <c r="A436" s="20" t="s">
        <v>900</v>
      </c>
      <c r="B436" s="20" t="n">
        <v>2025</v>
      </c>
      <c r="C436" s="21" t="n">
        <v>1</v>
      </c>
      <c r="D436" s="22" t="n">
        <v>145.3</v>
      </c>
      <c r="E436" s="20" t="n">
        <f aca="false">IFERROR(INDEX('Catalog'!$A:$A,MATCH($A436,'Catalog'!$B:$B,0)),IFERROR(INDEX('Catalog'!$A:$A,MATCH(TRIM(SUBSTITUTE($A436,CHAR(160)," ")),'Catalog'!$C:$C,0)),""))</f>
        <v>4413416</v>
      </c>
      <c r="F436" s="20" t="str">
        <f aca="false">IF($E436="","Unmatched","Matched")</f>
        <v>Matched</v>
      </c>
    </row>
    <row r="437" customFormat="false" ht="15" hidden="false" customHeight="false" outlineLevel="0" collapsed="false">
      <c r="A437" s="20" t="s">
        <v>899</v>
      </c>
      <c r="B437" s="20" t="n">
        <v>2025</v>
      </c>
      <c r="C437" s="21" t="n">
        <v>2</v>
      </c>
      <c r="D437" s="22" t="n">
        <v>290.5</v>
      </c>
      <c r="E437" s="20" t="n">
        <f aca="false">IFERROR(INDEX('Catalog'!$A:$A,MATCH($A437,'Catalog'!$B:$B,0)),IFERROR(INDEX('Catalog'!$A:$A,MATCH(TRIM(SUBSTITUTE($A437,CHAR(160)," ")),'Catalog'!$C:$C,0)),""))</f>
        <v>4413417</v>
      </c>
      <c r="F437" s="20" t="str">
        <f aca="false">IF($E437="","Unmatched","Matched")</f>
        <v>Matched</v>
      </c>
    </row>
    <row r="438" customFormat="false" ht="15" hidden="false" customHeight="false" outlineLevel="0" collapsed="false">
      <c r="A438" s="20" t="s">
        <v>902</v>
      </c>
      <c r="B438" s="20" t="n">
        <v>2025</v>
      </c>
      <c r="C438" s="21" t="n">
        <v>1</v>
      </c>
      <c r="D438" s="22" t="n">
        <v>153.1</v>
      </c>
      <c r="E438" s="20" t="n">
        <f aca="false">IFERROR(INDEX('Catalog'!$A:$A,MATCH($A438,'Catalog'!$B:$B,0)),IFERROR(INDEX('Catalog'!$A:$A,MATCH(TRIM(SUBSTITUTE($A438,CHAR(160)," ")),'Catalog'!$C:$C,0)),""))</f>
        <v>4413418</v>
      </c>
      <c r="F438" s="20" t="str">
        <f aca="false">IF($E438="","Unmatched","Matched")</f>
        <v>Matched</v>
      </c>
    </row>
    <row r="439" customFormat="false" ht="15" hidden="false" customHeight="false" outlineLevel="0" collapsed="false">
      <c r="A439" s="20" t="s">
        <v>903</v>
      </c>
      <c r="B439" s="20" t="n">
        <v>2025</v>
      </c>
      <c r="C439" s="21" t="n">
        <v>0</v>
      </c>
      <c r="D439" s="22" t="n">
        <v>22.4</v>
      </c>
      <c r="E439" s="20" t="n">
        <f aca="false">IFERROR(INDEX('Catalog'!$A:$A,MATCH($A439,'Catalog'!$B:$B,0)),IFERROR(INDEX('Catalog'!$A:$A,MATCH(TRIM(SUBSTITUTE($A439,CHAR(160)," ")),'Catalog'!$C:$C,0)),""))</f>
        <v>4413419</v>
      </c>
      <c r="F439" s="20" t="str">
        <f aca="false">IF($E439="","Unmatched","Matched")</f>
        <v>Matched</v>
      </c>
    </row>
    <row r="440" customFormat="false" ht="15" hidden="false" customHeight="false" outlineLevel="0" collapsed="false">
      <c r="A440" s="20" t="s">
        <v>893</v>
      </c>
      <c r="B440" s="20" t="n">
        <v>2025</v>
      </c>
      <c r="C440" s="21" t="n">
        <v>2</v>
      </c>
      <c r="D440" s="22" t="n">
        <v>154.6</v>
      </c>
      <c r="E440" s="20" t="n">
        <f aca="false">IFERROR(INDEX('Catalog'!$A:$A,MATCH($A440,'Catalog'!$B:$B,0)),IFERROR(INDEX('Catalog'!$A:$A,MATCH(TRIM(SUBSTITUTE($A440,CHAR(160)," ")),'Catalog'!$C:$C,0)),""))</f>
        <v>4413420</v>
      </c>
      <c r="F440" s="20" t="str">
        <f aca="false">IF($E440="","Unmatched","Matched")</f>
        <v>Matched</v>
      </c>
    </row>
    <row r="441" customFormat="false" ht="15" hidden="false" customHeight="false" outlineLevel="0" collapsed="false">
      <c r="A441" s="20" t="s">
        <v>892</v>
      </c>
      <c r="B441" s="20" t="n">
        <v>2025</v>
      </c>
      <c r="C441" s="21" t="n">
        <v>6</v>
      </c>
      <c r="D441" s="22" t="n">
        <v>490.3</v>
      </c>
      <c r="E441" s="20" t="n">
        <f aca="false">IFERROR(INDEX('Catalog'!$A:$A,MATCH($A441,'Catalog'!$B:$B,0)),IFERROR(INDEX('Catalog'!$A:$A,MATCH(TRIM(SUBSTITUTE($A441,CHAR(160)," ")),'Catalog'!$C:$C,0)),""))</f>
        <v>4413421</v>
      </c>
      <c r="F441" s="20" t="str">
        <f aca="false">IF($E441="","Unmatched","Matched")</f>
        <v>Matched</v>
      </c>
    </row>
    <row r="442" customFormat="false" ht="15" hidden="false" customHeight="false" outlineLevel="0" collapsed="false">
      <c r="A442" s="20" t="s">
        <v>891</v>
      </c>
      <c r="B442" s="20" t="n">
        <v>2025</v>
      </c>
      <c r="C442" s="21" t="n">
        <v>3</v>
      </c>
      <c r="D442" s="22" t="n">
        <v>231.9</v>
      </c>
      <c r="E442" s="20" t="n">
        <f aca="false">IFERROR(INDEX('Catalog'!$A:$A,MATCH($A442,'Catalog'!$B:$B,0)),IFERROR(INDEX('Catalog'!$A:$A,MATCH(TRIM(SUBSTITUTE($A442,CHAR(160)," ")),'Catalog'!$C:$C,0)),""))</f>
        <v>4413422</v>
      </c>
      <c r="F442" s="20" t="str">
        <f aca="false">IF($E442="","Unmatched","Matched")</f>
        <v>Matched</v>
      </c>
    </row>
    <row r="443" customFormat="false" ht="15" hidden="false" customHeight="false" outlineLevel="0" collapsed="false">
      <c r="A443" s="20" t="s">
        <v>894</v>
      </c>
      <c r="B443" s="20" t="n">
        <v>2025</v>
      </c>
      <c r="C443" s="21" t="n">
        <v>1</v>
      </c>
      <c r="D443" s="22" t="n">
        <v>72.1</v>
      </c>
      <c r="E443" s="20" t="n">
        <f aca="false">IFERROR(INDEX('Catalog'!$A:$A,MATCH($A443,'Catalog'!$B:$B,0)),IFERROR(INDEX('Catalog'!$A:$A,MATCH(TRIM(SUBSTITUTE($A443,CHAR(160)," ")),'Catalog'!$C:$C,0)),""))</f>
        <v>4413423</v>
      </c>
      <c r="F443" s="20" t="str">
        <f aca="false">IF($E443="","Unmatched","Matched")</f>
        <v>Matched</v>
      </c>
    </row>
    <row r="444" customFormat="false" ht="15" hidden="false" customHeight="false" outlineLevel="0" collapsed="false">
      <c r="A444" s="20" t="s">
        <v>897</v>
      </c>
      <c r="B444" s="20" t="n">
        <v>2025</v>
      </c>
      <c r="C444" s="21" t="n">
        <v>3</v>
      </c>
      <c r="D444" s="22" t="n">
        <v>231.9</v>
      </c>
      <c r="E444" s="20" t="n">
        <f aca="false">IFERROR(INDEX('Catalog'!$A:$A,MATCH($A444,'Catalog'!$B:$B,0)),IFERROR(INDEX('Catalog'!$A:$A,MATCH(TRIM(SUBSTITUTE($A444,CHAR(160)," ")),'Catalog'!$C:$C,0)),""))</f>
        <v>4413424</v>
      </c>
      <c r="F444" s="20" t="str">
        <f aca="false">IF($E444="","Unmatched","Matched")</f>
        <v>Matched</v>
      </c>
    </row>
    <row r="445" customFormat="false" ht="15" hidden="false" customHeight="false" outlineLevel="0" collapsed="false">
      <c r="A445" s="20" t="s">
        <v>896</v>
      </c>
      <c r="B445" s="20" t="n">
        <v>2025</v>
      </c>
      <c r="C445" s="21" t="n">
        <v>9</v>
      </c>
      <c r="D445" s="22" t="n">
        <v>724.8</v>
      </c>
      <c r="E445" s="20" t="n">
        <f aca="false">IFERROR(INDEX('Catalog'!$A:$A,MATCH($A445,'Catalog'!$B:$B,0)),IFERROR(INDEX('Catalog'!$A:$A,MATCH(TRIM(SUBSTITUTE($A445,CHAR(160)," ")),'Catalog'!$C:$C,0)),""))</f>
        <v>4413425</v>
      </c>
      <c r="F445" s="20" t="str">
        <f aca="false">IF($E445="","Unmatched","Matched")</f>
        <v>Matched</v>
      </c>
    </row>
    <row r="446" customFormat="false" ht="15" hidden="false" customHeight="false" outlineLevel="0" collapsed="false">
      <c r="A446" s="20" t="s">
        <v>895</v>
      </c>
      <c r="B446" s="20" t="n">
        <v>2025</v>
      </c>
      <c r="C446" s="21" t="n">
        <v>4</v>
      </c>
      <c r="D446" s="22" t="n">
        <v>309.2</v>
      </c>
      <c r="E446" s="20" t="n">
        <f aca="false">IFERROR(INDEX('Catalog'!$A:$A,MATCH($A446,'Catalog'!$B:$B,0)),IFERROR(INDEX('Catalog'!$A:$A,MATCH(TRIM(SUBSTITUTE($A446,CHAR(160)," ")),'Catalog'!$C:$C,0)),""))</f>
        <v>4413426</v>
      </c>
      <c r="F446" s="20" t="str">
        <f aca="false">IF($E446="","Unmatched","Matched")</f>
        <v>Matched</v>
      </c>
    </row>
    <row r="447" customFormat="false" ht="15" hidden="false" customHeight="false" outlineLevel="0" collapsed="false">
      <c r="A447" s="20" t="s">
        <v>898</v>
      </c>
      <c r="B447" s="20" t="n">
        <v>2025</v>
      </c>
      <c r="C447" s="21" t="n">
        <v>1</v>
      </c>
      <c r="D447" s="22" t="n">
        <v>77.3</v>
      </c>
      <c r="E447" s="20" t="n">
        <f aca="false">IFERROR(INDEX('Catalog'!$A:$A,MATCH($A447,'Catalog'!$B:$B,0)),IFERROR(INDEX('Catalog'!$A:$A,MATCH(TRIM(SUBSTITUTE($A447,CHAR(160)," ")),'Catalog'!$C:$C,0)),""))</f>
        <v>4413427</v>
      </c>
      <c r="F447" s="20" t="str">
        <f aca="false">IF($E447="","Unmatched","Matched")</f>
        <v>Matched</v>
      </c>
    </row>
    <row r="448" customFormat="false" ht="15" hidden="false" customHeight="false" outlineLevel="0" collapsed="false">
      <c r="A448" s="20" t="s">
        <v>228</v>
      </c>
      <c r="B448" s="20" t="n">
        <v>2025</v>
      </c>
      <c r="C448" s="21" t="n">
        <v>6</v>
      </c>
      <c r="D448" s="22" t="n">
        <v>830.5</v>
      </c>
      <c r="E448" s="20" t="n">
        <f aca="false">IFERROR(INDEX('Catalog'!$A:$A,MATCH($A448,'Catalog'!$B:$B,0)),IFERROR(INDEX('Catalog'!$A:$A,MATCH(TRIM(SUBSTITUTE($A448,CHAR(160)," ")),'Catalog'!$C:$C,0)),""))</f>
        <v>4413438</v>
      </c>
      <c r="F448" s="20" t="str">
        <f aca="false">IF($E448="","Unmatched","Matched")</f>
        <v>Matched</v>
      </c>
    </row>
    <row r="449" customFormat="false" ht="15" hidden="false" customHeight="false" outlineLevel="0" collapsed="false">
      <c r="A449" s="20" t="s">
        <v>905</v>
      </c>
      <c r="B449" s="20" t="n">
        <v>2025</v>
      </c>
      <c r="C449" s="21" t="n">
        <v>11</v>
      </c>
      <c r="D449" s="22" t="n">
        <v>1474.1</v>
      </c>
      <c r="E449" s="20" t="n">
        <f aca="false">IFERROR(INDEX('Catalog'!$A:$A,MATCH($A449,'Catalog'!$B:$B,0)),IFERROR(INDEX('Catalog'!$A:$A,MATCH(TRIM(SUBSTITUTE($A449,CHAR(160)," ")),'Catalog'!$C:$C,0)),""))</f>
        <v>4413439</v>
      </c>
      <c r="F449" s="20" t="str">
        <f aca="false">IF($E449="","Unmatched","Matched")</f>
        <v>Matched</v>
      </c>
    </row>
    <row r="450" customFormat="false" ht="15" hidden="false" customHeight="false" outlineLevel="0" collapsed="false">
      <c r="A450" s="20" t="s">
        <v>904</v>
      </c>
      <c r="B450" s="20" t="n">
        <v>2025</v>
      </c>
      <c r="C450" s="21" t="n">
        <v>19</v>
      </c>
      <c r="D450" s="22" t="n">
        <v>2570.5</v>
      </c>
      <c r="E450" s="20" t="n">
        <f aca="false">IFERROR(INDEX('Catalog'!$A:$A,MATCH($A450,'Catalog'!$B:$B,0)),IFERROR(INDEX('Catalog'!$A:$A,MATCH(TRIM(SUBSTITUTE($A450,CHAR(160)," ")),'Catalog'!$C:$C,0)),""))</f>
        <v>4413440</v>
      </c>
      <c r="F450" s="20" t="str">
        <f aca="false">IF($E450="","Unmatched","Matched")</f>
        <v>Matched</v>
      </c>
    </row>
    <row r="451" customFormat="false" ht="15" hidden="false" customHeight="false" outlineLevel="0" collapsed="false">
      <c r="A451" s="20" t="s">
        <v>906</v>
      </c>
      <c r="B451" s="20" t="n">
        <v>2025</v>
      </c>
      <c r="C451" s="21" t="n">
        <v>11</v>
      </c>
      <c r="D451" s="22" t="n">
        <v>1455.4</v>
      </c>
      <c r="E451" s="20" t="n">
        <f aca="false">IFERROR(INDEX('Catalog'!$A:$A,MATCH($A451,'Catalog'!$B:$B,0)),IFERROR(INDEX('Catalog'!$A:$A,MATCH(TRIM(SUBSTITUTE($A451,CHAR(160)," ")),'Catalog'!$C:$C,0)),""))</f>
        <v>4413441</v>
      </c>
      <c r="F451" s="20" t="str">
        <f aca="false">IF($E451="","Unmatched","Matched")</f>
        <v>Matched</v>
      </c>
    </row>
    <row r="452" customFormat="false" ht="15" hidden="false" customHeight="false" outlineLevel="0" collapsed="false">
      <c r="A452" s="20" t="s">
        <v>229</v>
      </c>
      <c r="B452" s="20" t="n">
        <v>2025</v>
      </c>
      <c r="C452" s="21" t="n">
        <v>1</v>
      </c>
      <c r="D452" s="22" t="n">
        <v>112.7</v>
      </c>
      <c r="E452" s="20" t="n">
        <f aca="false">IFERROR(INDEX('Catalog'!$A:$A,MATCH($A452,'Catalog'!$B:$B,0)),IFERROR(INDEX('Catalog'!$A:$A,MATCH(TRIM(SUBSTITUTE($A452,CHAR(160)," ")),'Catalog'!$C:$C,0)),""))</f>
        <v>4413442</v>
      </c>
      <c r="F452" s="20" t="str">
        <f aca="false">IF($E452="","Unmatched","Matched")</f>
        <v>Matched</v>
      </c>
    </row>
    <row r="453" customFormat="false" ht="15" hidden="false" customHeight="false" outlineLevel="0" collapsed="false">
      <c r="A453" s="20" t="s">
        <v>700</v>
      </c>
      <c r="B453" s="20" t="n">
        <v>2025</v>
      </c>
      <c r="C453" s="21" t="n">
        <v>1</v>
      </c>
      <c r="D453" s="22" t="n">
        <v>108.7</v>
      </c>
      <c r="E453" s="20" t="n">
        <f aca="false">IFERROR(INDEX('Catalog'!$A:$A,MATCH($A453,'Catalog'!$B:$B,0)),IFERROR(INDEX('Catalog'!$A:$A,MATCH(TRIM(SUBSTITUTE($A453,CHAR(160)," ")),'Catalog'!$C:$C,0)),""))</f>
        <v>4415164</v>
      </c>
      <c r="F453" s="20" t="str">
        <f aca="false">IF($E453="","Unmatched","Matched")</f>
        <v>Matched</v>
      </c>
    </row>
    <row r="454" customFormat="false" ht="15" hidden="false" customHeight="false" outlineLevel="0" collapsed="false">
      <c r="A454" s="20" t="s">
        <v>699</v>
      </c>
      <c r="B454" s="20" t="n">
        <v>2025</v>
      </c>
      <c r="C454" s="21" t="n">
        <v>1</v>
      </c>
      <c r="D454" s="22" t="n">
        <v>108.7</v>
      </c>
      <c r="E454" s="20" t="n">
        <f aca="false">IFERROR(INDEX('Catalog'!$A:$A,MATCH($A454,'Catalog'!$B:$B,0)),IFERROR(INDEX('Catalog'!$A:$A,MATCH(TRIM(SUBSTITUTE($A454,CHAR(160)," ")),'Catalog'!$C:$C,0)),""))</f>
        <v>4415165</v>
      </c>
      <c r="F454" s="20" t="str">
        <f aca="false">IF($E454="","Unmatched","Matched")</f>
        <v>Matched</v>
      </c>
    </row>
    <row r="455" customFormat="false" ht="15" hidden="false" customHeight="false" outlineLevel="0" collapsed="false">
      <c r="A455" s="20" t="s">
        <v>704</v>
      </c>
      <c r="B455" s="20" t="n">
        <v>2025</v>
      </c>
      <c r="C455" s="21" t="n">
        <v>1</v>
      </c>
      <c r="D455" s="22" t="n">
        <v>108.7</v>
      </c>
      <c r="E455" s="20" t="n">
        <f aca="false">IFERROR(INDEX('Catalog'!$A:$A,MATCH($A455,'Catalog'!$B:$B,0)),IFERROR(INDEX('Catalog'!$A:$A,MATCH(TRIM(SUBSTITUTE($A455,CHAR(160)," ")),'Catalog'!$C:$C,0)),""))</f>
        <v>4415167</v>
      </c>
      <c r="F455" s="20" t="str">
        <f aca="false">IF($E455="","Unmatched","Matched")</f>
        <v>Matched</v>
      </c>
    </row>
    <row r="456" customFormat="false" ht="15" hidden="false" customHeight="false" outlineLevel="0" collapsed="false">
      <c r="A456" s="20" t="s">
        <v>705</v>
      </c>
      <c r="B456" s="20" t="n">
        <v>2025</v>
      </c>
      <c r="C456" s="21" t="n">
        <v>1</v>
      </c>
      <c r="D456" s="22" t="n">
        <v>108.7</v>
      </c>
      <c r="E456" s="20" t="n">
        <f aca="false">IFERROR(INDEX('Catalog'!$A:$A,MATCH($A456,'Catalog'!$B:$B,0)),IFERROR(INDEX('Catalog'!$A:$A,MATCH(TRIM(SUBSTITUTE($A456,CHAR(160)," ")),'Catalog'!$C:$C,0)),""))</f>
        <v>4415168</v>
      </c>
      <c r="F456" s="20" t="str">
        <f aca="false">IF($E456="","Unmatched","Matched")</f>
        <v>Matched</v>
      </c>
    </row>
    <row r="457" customFormat="false" ht="15" hidden="false" customHeight="false" outlineLevel="0" collapsed="false">
      <c r="A457" s="20" t="s">
        <v>697</v>
      </c>
      <c r="B457" s="20" t="n">
        <v>2025</v>
      </c>
      <c r="C457" s="21" t="n">
        <v>1</v>
      </c>
      <c r="D457" s="22" t="n">
        <v>108.7</v>
      </c>
      <c r="E457" s="20" t="n">
        <f aca="false">IFERROR(INDEX('Catalog'!$A:$A,MATCH($A457,'Catalog'!$B:$B,0)),IFERROR(INDEX('Catalog'!$A:$A,MATCH(TRIM(SUBSTITUTE($A457,CHAR(160)," ")),'Catalog'!$C:$C,0)),""))</f>
        <v>4415170</v>
      </c>
      <c r="F457" s="20" t="str">
        <f aca="false">IF($E457="","Unmatched","Matched")</f>
        <v>Matched</v>
      </c>
    </row>
    <row r="458" customFormat="false" ht="15" hidden="false" customHeight="false" outlineLevel="0" collapsed="false">
      <c r="A458" s="20" t="s">
        <v>698</v>
      </c>
      <c r="B458" s="20" t="n">
        <v>2025</v>
      </c>
      <c r="C458" s="21" t="n">
        <v>1</v>
      </c>
      <c r="D458" s="22" t="n">
        <v>108.7</v>
      </c>
      <c r="E458" s="20" t="n">
        <f aca="false">IFERROR(INDEX('Catalog'!$A:$A,MATCH($A458,'Catalog'!$B:$B,0)),IFERROR(INDEX('Catalog'!$A:$A,MATCH(TRIM(SUBSTITUTE($A458,CHAR(160)," ")),'Catalog'!$C:$C,0)),""))</f>
        <v>4415171</v>
      </c>
      <c r="F458" s="20" t="str">
        <f aca="false">IF($E458="","Unmatched","Matched")</f>
        <v>Matched</v>
      </c>
    </row>
    <row r="459" customFormat="false" ht="15" hidden="false" customHeight="false" outlineLevel="0" collapsed="false">
      <c r="A459" s="20" t="s">
        <v>702</v>
      </c>
      <c r="B459" s="20" t="n">
        <v>2025</v>
      </c>
      <c r="C459" s="21" t="n">
        <v>1</v>
      </c>
      <c r="D459" s="22" t="n">
        <v>108.7</v>
      </c>
      <c r="E459" s="20" t="n">
        <f aca="false">IFERROR(INDEX('Catalog'!$A:$A,MATCH($A459,'Catalog'!$B:$B,0)),IFERROR(INDEX('Catalog'!$A:$A,MATCH(TRIM(SUBSTITUTE($A459,CHAR(160)," ")),'Catalog'!$C:$C,0)),""))</f>
        <v>4415173</v>
      </c>
      <c r="F459" s="20" t="str">
        <f aca="false">IF($E459="","Unmatched","Matched")</f>
        <v>Matched</v>
      </c>
    </row>
    <row r="460" customFormat="false" ht="15" hidden="false" customHeight="false" outlineLevel="0" collapsed="false">
      <c r="A460" s="20" t="s">
        <v>703</v>
      </c>
      <c r="B460" s="20" t="n">
        <v>2025</v>
      </c>
      <c r="C460" s="21" t="n">
        <v>1</v>
      </c>
      <c r="D460" s="22" t="n">
        <v>108.7</v>
      </c>
      <c r="E460" s="20" t="n">
        <f aca="false">IFERROR(INDEX('Catalog'!$A:$A,MATCH($A460,'Catalog'!$B:$B,0)),IFERROR(INDEX('Catalog'!$A:$A,MATCH(TRIM(SUBSTITUTE($A460,CHAR(160)," ")),'Catalog'!$C:$C,0)),""))</f>
        <v>4415174</v>
      </c>
      <c r="F460" s="20" t="str">
        <f aca="false">IF($E460="","Unmatched","Matched")</f>
        <v>Matched</v>
      </c>
    </row>
    <row r="461" customFormat="false" ht="15" hidden="false" customHeight="false" outlineLevel="0" collapsed="false">
      <c r="A461" s="20" t="s">
        <v>668</v>
      </c>
      <c r="B461" s="20" t="n">
        <v>2025</v>
      </c>
      <c r="C461" s="21" t="n">
        <v>26</v>
      </c>
      <c r="D461" s="22" t="n">
        <v>922.3</v>
      </c>
      <c r="E461" s="20" t="n">
        <f aca="false">IFERROR(INDEX('Catalog'!$A:$A,MATCH($A461,'Catalog'!$B:$B,0)),IFERROR(INDEX('Catalog'!$A:$A,MATCH(TRIM(SUBSTITUTE($A461,CHAR(160)," ")),'Catalog'!$C:$C,0)),""))</f>
        <v>4411017</v>
      </c>
      <c r="F461" s="20" t="str">
        <f aca="false">IF($E461="","Unmatched","Matched")</f>
        <v>Matched</v>
      </c>
    </row>
    <row r="462" customFormat="false" ht="15" hidden="false" customHeight="false" outlineLevel="0" collapsed="false">
      <c r="A462" s="20" t="s">
        <v>669</v>
      </c>
      <c r="B462" s="20" t="n">
        <v>2025</v>
      </c>
      <c r="C462" s="21" t="n">
        <v>32</v>
      </c>
      <c r="D462" s="22" t="n">
        <v>1162.2</v>
      </c>
      <c r="E462" s="20" t="n">
        <f aca="false">IFERROR(INDEX('Catalog'!$A:$A,MATCH($A462,'Catalog'!$B:$B,0)),IFERROR(INDEX('Catalog'!$A:$A,MATCH(TRIM(SUBSTITUTE($A462,CHAR(160)," ")),'Catalog'!$C:$C,0)),""))</f>
        <v>4411018</v>
      </c>
      <c r="F462" s="20" t="str">
        <f aca="false">IF($E462="","Unmatched","Matched")</f>
        <v>Matched</v>
      </c>
    </row>
    <row r="463" customFormat="false" ht="15" hidden="false" customHeight="false" outlineLevel="0" collapsed="false">
      <c r="A463" s="20" t="s">
        <v>670</v>
      </c>
      <c r="B463" s="20" t="n">
        <v>2025</v>
      </c>
      <c r="C463" s="21" t="n">
        <v>24</v>
      </c>
      <c r="D463" s="22" t="n">
        <v>857.1</v>
      </c>
      <c r="E463" s="20" t="n">
        <f aca="false">IFERROR(INDEX('Catalog'!$A:$A,MATCH($A463,'Catalog'!$B:$B,0)),IFERROR(INDEX('Catalog'!$A:$A,MATCH(TRIM(SUBSTITUTE($A463,CHAR(160)," ")),'Catalog'!$C:$C,0)),""))</f>
        <v>4411019</v>
      </c>
      <c r="F463" s="20" t="str">
        <f aca="false">IF($E463="","Unmatched","Matched")</f>
        <v>Matched</v>
      </c>
    </row>
    <row r="464" customFormat="false" ht="15" hidden="false" customHeight="false" outlineLevel="0" collapsed="false">
      <c r="A464" s="20" t="s">
        <v>671</v>
      </c>
      <c r="B464" s="20" t="n">
        <v>2025</v>
      </c>
      <c r="C464" s="21" t="n">
        <v>13</v>
      </c>
      <c r="D464" s="22" t="n">
        <v>469.4</v>
      </c>
      <c r="E464" s="20" t="n">
        <f aca="false">IFERROR(INDEX('Catalog'!$A:$A,MATCH($A464,'Catalog'!$B:$B,0)),IFERROR(INDEX('Catalog'!$A:$A,MATCH(TRIM(SUBSTITUTE($A464,CHAR(160)," ")),'Catalog'!$C:$C,0)),""))</f>
        <v>4411020</v>
      </c>
      <c r="F464" s="20" t="str">
        <f aca="false">IF($E464="","Unmatched","Matched")</f>
        <v>Matched</v>
      </c>
    </row>
    <row r="465" customFormat="false" ht="15" hidden="false" customHeight="false" outlineLevel="0" collapsed="false">
      <c r="A465" s="20" t="s">
        <v>672</v>
      </c>
      <c r="B465" s="20" t="n">
        <v>2025</v>
      </c>
      <c r="C465" s="21" t="n">
        <v>28</v>
      </c>
      <c r="D465" s="22" t="n">
        <v>1071.9</v>
      </c>
      <c r="E465" s="20" t="n">
        <f aca="false">IFERROR(INDEX('Catalog'!$A:$A,MATCH($A465,'Catalog'!$B:$B,0)),IFERROR(INDEX('Catalog'!$A:$A,MATCH(TRIM(SUBSTITUTE($A465,CHAR(160)," ")),'Catalog'!$C:$C,0)),""))</f>
        <v>4411021</v>
      </c>
      <c r="F465" s="20" t="str">
        <f aca="false">IF($E465="","Unmatched","Matched")</f>
        <v>Matched</v>
      </c>
    </row>
    <row r="466" customFormat="false" ht="15" hidden="false" customHeight="false" outlineLevel="0" collapsed="false">
      <c r="A466" s="20" t="s">
        <v>673</v>
      </c>
      <c r="B466" s="20" t="n">
        <v>2025</v>
      </c>
      <c r="C466" s="21" t="n">
        <v>44</v>
      </c>
      <c r="D466" s="22" t="n">
        <v>1685.9</v>
      </c>
      <c r="E466" s="20" t="n">
        <f aca="false">IFERROR(INDEX('Catalog'!$A:$A,MATCH($A466,'Catalog'!$B:$B,0)),IFERROR(INDEX('Catalog'!$A:$A,MATCH(TRIM(SUBSTITUTE($A466,CHAR(160)," ")),'Catalog'!$C:$C,0)),""))</f>
        <v>4411022</v>
      </c>
      <c r="F466" s="20" t="str">
        <f aca="false">IF($E466="","Unmatched","Matched")</f>
        <v>Matched</v>
      </c>
    </row>
    <row r="467" customFormat="false" ht="15" hidden="false" customHeight="false" outlineLevel="0" collapsed="false">
      <c r="A467" s="20" t="s">
        <v>674</v>
      </c>
      <c r="B467" s="20" t="n">
        <v>2025</v>
      </c>
      <c r="C467" s="21" t="n">
        <v>35</v>
      </c>
      <c r="D467" s="22" t="n">
        <v>1331.6</v>
      </c>
      <c r="E467" s="20" t="n">
        <f aca="false">IFERROR(INDEX('Catalog'!$A:$A,MATCH($A467,'Catalog'!$B:$B,0)),IFERROR(INDEX('Catalog'!$A:$A,MATCH(TRIM(SUBSTITUTE($A467,CHAR(160)," ")),'Catalog'!$C:$C,0)),""))</f>
        <v>4411023</v>
      </c>
      <c r="F467" s="20" t="str">
        <f aca="false">IF($E467="","Unmatched","Matched")</f>
        <v>Matched</v>
      </c>
    </row>
    <row r="468" customFormat="false" ht="15" hidden="false" customHeight="false" outlineLevel="0" collapsed="false">
      <c r="A468" s="20" t="s">
        <v>675</v>
      </c>
      <c r="B468" s="20" t="n">
        <v>2025</v>
      </c>
      <c r="C468" s="21" t="n">
        <v>16</v>
      </c>
      <c r="D468" s="22" t="n">
        <v>609.4</v>
      </c>
      <c r="E468" s="20" t="n">
        <f aca="false">IFERROR(INDEX('Catalog'!$A:$A,MATCH($A468,'Catalog'!$B:$B,0)),IFERROR(INDEX('Catalog'!$A:$A,MATCH(TRIM(SUBSTITUTE($A468,CHAR(160)," ")),'Catalog'!$C:$C,0)),""))</f>
        <v>4411024</v>
      </c>
      <c r="F468" s="20" t="str">
        <f aca="false">IF($E468="","Unmatched","Matched")</f>
        <v>Matched</v>
      </c>
    </row>
    <row r="469" customFormat="false" ht="15" hidden="false" customHeight="false" outlineLevel="0" collapsed="false">
      <c r="A469" s="20" t="s">
        <v>492</v>
      </c>
      <c r="B469" s="20" t="n">
        <v>2025</v>
      </c>
      <c r="C469" s="21" t="n">
        <v>-2</v>
      </c>
      <c r="D469" s="22" t="n">
        <v>-144.5</v>
      </c>
      <c r="E469" s="20" t="n">
        <f aca="false">IFERROR(INDEX('Catalog'!$A:$A,MATCH($A469,'Catalog'!$B:$B,0)),IFERROR(INDEX('Catalog'!$A:$A,MATCH(TRIM(SUBSTITUTE($A469,CHAR(160)," ")),'Catalog'!$C:$C,0)),""))</f>
        <v>4413444</v>
      </c>
      <c r="F469" s="20" t="str">
        <f aca="false">IF($E469="","Unmatched","Matched")</f>
        <v>Matched</v>
      </c>
    </row>
    <row r="470" customFormat="false" ht="15" hidden="false" customHeight="false" outlineLevel="0" collapsed="false">
      <c r="A470" s="20" t="s">
        <v>493</v>
      </c>
      <c r="B470" s="20" t="n">
        <v>2025</v>
      </c>
      <c r="C470" s="21" t="n">
        <v>1</v>
      </c>
      <c r="D470" s="22" t="n">
        <v>56</v>
      </c>
      <c r="E470" s="20" t="n">
        <f aca="false">IFERROR(INDEX('Catalog'!$A:$A,MATCH($A470,'Catalog'!$B:$B,0)),IFERROR(INDEX('Catalog'!$A:$A,MATCH(TRIM(SUBSTITUTE($A470,CHAR(160)," ")),'Catalog'!$C:$C,0)),""))</f>
        <v>4413445</v>
      </c>
      <c r="F470" s="20" t="str">
        <f aca="false">IF($E470="","Unmatched","Matched")</f>
        <v>Matched</v>
      </c>
    </row>
    <row r="471" customFormat="false" ht="15" hidden="false" customHeight="false" outlineLevel="0" collapsed="false">
      <c r="A471" s="20" t="s">
        <v>642</v>
      </c>
      <c r="B471" s="20" t="n">
        <v>2025</v>
      </c>
      <c r="C471" s="21" t="n">
        <v>63</v>
      </c>
      <c r="D471" s="22" t="n">
        <v>2915.1</v>
      </c>
      <c r="E471" s="20" t="n">
        <f aca="false">IFERROR(INDEX('Catalog'!$A:$A,MATCH($A471,'Catalog'!$B:$B,0)),IFERROR(INDEX('Catalog'!$A:$A,MATCH(TRIM(SUBSTITUTE($A471,CHAR(160)," ")),'Catalog'!$C:$C,0)),""))</f>
        <v>4413452</v>
      </c>
      <c r="F471" s="20" t="str">
        <f aca="false">IF($E471="","Unmatched","Matched")</f>
        <v>Matched</v>
      </c>
    </row>
    <row r="472" customFormat="false" ht="15" hidden="false" customHeight="false" outlineLevel="0" collapsed="false">
      <c r="A472" s="20" t="s">
        <v>473</v>
      </c>
      <c r="B472" s="20" t="n">
        <v>2025</v>
      </c>
      <c r="C472" s="21" t="n">
        <v>943</v>
      </c>
      <c r="D472" s="22" t="n">
        <v>65610.8</v>
      </c>
      <c r="E472" s="20" t="n">
        <f aca="false">IFERROR(INDEX('Catalog'!$A:$A,MATCH($A472,'Catalog'!$B:$B,0)),IFERROR(INDEX('Catalog'!$A:$A,MATCH(TRIM(SUBSTITUTE($A472,CHAR(160)," ")),'Catalog'!$C:$C,0)),""))</f>
        <v>4413453</v>
      </c>
      <c r="F472" s="20" t="str">
        <f aca="false">IF($E472="","Unmatched","Matched")</f>
        <v>Matched</v>
      </c>
    </row>
    <row r="473" customFormat="false" ht="15" hidden="false" customHeight="false" outlineLevel="0" collapsed="false">
      <c r="A473" s="20" t="s">
        <v>607</v>
      </c>
      <c r="B473" s="20" t="n">
        <v>2025</v>
      </c>
      <c r="C473" s="21" t="n">
        <v>153</v>
      </c>
      <c r="D473" s="22" t="n">
        <v>7719.7</v>
      </c>
      <c r="E473" s="20" t="n">
        <f aca="false">IFERROR(INDEX('Catalog'!$A:$A,MATCH($A473,'Catalog'!$B:$B,0)),IFERROR(INDEX('Catalog'!$A:$A,MATCH(TRIM(SUBSTITUTE($A473,CHAR(160)," ")),'Catalog'!$C:$C,0)),""))</f>
        <v>4413455</v>
      </c>
      <c r="F473" s="20" t="str">
        <f aca="false">IF($E473="","Unmatched","Matched")</f>
        <v>Matched</v>
      </c>
    </row>
    <row r="474" customFormat="false" ht="15" hidden="false" customHeight="false" outlineLevel="0" collapsed="false">
      <c r="A474" s="20" t="s">
        <v>472</v>
      </c>
      <c r="B474" s="20" t="n">
        <v>2025</v>
      </c>
      <c r="C474" s="21" t="n">
        <v>106</v>
      </c>
      <c r="D474" s="22" t="n">
        <v>7191.5</v>
      </c>
      <c r="E474" s="20" t="n">
        <f aca="false">IFERROR(INDEX('Catalog'!$A:$A,MATCH($A474,'Catalog'!$B:$B,0)),IFERROR(INDEX('Catalog'!$A:$A,MATCH(TRIM(SUBSTITUTE($A474,CHAR(160)," ")),'Catalog'!$C:$C,0)),""))</f>
        <v>4413456</v>
      </c>
      <c r="F474" s="20" t="str">
        <f aca="false">IF($E474="","Unmatched","Matched")</f>
        <v>Matched</v>
      </c>
    </row>
    <row r="475" customFormat="false" ht="15" hidden="false" customHeight="false" outlineLevel="0" collapsed="false">
      <c r="A475" s="20" t="s">
        <v>545</v>
      </c>
      <c r="B475" s="20" t="n">
        <v>2025</v>
      </c>
      <c r="C475" s="21" t="n">
        <v>-4</v>
      </c>
      <c r="D475" s="22" t="n">
        <v>-32.5</v>
      </c>
      <c r="E475" s="20" t="n">
        <f aca="false">IFERROR(INDEX('Catalog'!$A:$A,MATCH($A475,'Catalog'!$B:$B,0)),IFERROR(INDEX('Catalog'!$A:$A,MATCH(TRIM(SUBSTITUTE($A475,CHAR(160)," ")),'Catalog'!$C:$C,0)),""))</f>
        <v>4413464</v>
      </c>
      <c r="F475" s="20" t="str">
        <f aca="false">IF($E475="","Unmatched","Matched")</f>
        <v>Matched</v>
      </c>
    </row>
    <row r="476" customFormat="false" ht="15" hidden="false" customHeight="false" outlineLevel="0" collapsed="false">
      <c r="A476" s="20" t="s">
        <v>824</v>
      </c>
      <c r="B476" s="20" t="n">
        <v>2025</v>
      </c>
      <c r="C476" s="21" t="n">
        <v>293</v>
      </c>
      <c r="D476" s="22" t="n">
        <v>8399.7</v>
      </c>
      <c r="E476" s="20" t="n">
        <f aca="false">IFERROR(INDEX('Catalog'!$A:$A,MATCH($A476,'Catalog'!$B:$B,0)),IFERROR(INDEX('Catalog'!$A:$A,MATCH(TRIM(SUBSTITUTE($A476,CHAR(160)," ")),'Catalog'!$C:$C,0)),""))</f>
        <v>4413490</v>
      </c>
      <c r="F476" s="20" t="str">
        <f aca="false">IF($E476="","Unmatched","Matched")</f>
        <v>Matched</v>
      </c>
    </row>
    <row r="477" customFormat="false" ht="15" hidden="false" customHeight="false" outlineLevel="0" collapsed="false">
      <c r="A477" s="20" t="s">
        <v>827</v>
      </c>
      <c r="B477" s="20" t="n">
        <v>2025</v>
      </c>
      <c r="C477" s="21" t="n">
        <v>185</v>
      </c>
      <c r="D477" s="22" t="n">
        <v>5554.1</v>
      </c>
      <c r="E477" s="20" t="n">
        <f aca="false">IFERROR(INDEX('Catalog'!$A:$A,MATCH($A477,'Catalog'!$B:$B,0)),IFERROR(INDEX('Catalog'!$A:$A,MATCH(TRIM(SUBSTITUTE($A477,CHAR(160)," ")),'Catalog'!$C:$C,0)),""))</f>
        <v>4413491</v>
      </c>
      <c r="F477" s="20" t="str">
        <f aca="false">IF($E477="","Unmatched","Matched")</f>
        <v>Matched</v>
      </c>
    </row>
    <row r="478" customFormat="false" ht="15" hidden="false" customHeight="false" outlineLevel="0" collapsed="false">
      <c r="A478" s="20" t="s">
        <v>825</v>
      </c>
      <c r="B478" s="20" t="n">
        <v>2025</v>
      </c>
      <c r="C478" s="21" t="n">
        <v>265</v>
      </c>
      <c r="D478" s="22" t="n">
        <v>7812.9</v>
      </c>
      <c r="E478" s="20" t="n">
        <f aca="false">IFERROR(INDEX('Catalog'!$A:$A,MATCH($A478,'Catalog'!$B:$B,0)),IFERROR(INDEX('Catalog'!$A:$A,MATCH(TRIM(SUBSTITUTE($A478,CHAR(160)," ")),'Catalog'!$C:$C,0)),""))</f>
        <v>4413492</v>
      </c>
      <c r="F478" s="20" t="str">
        <f aca="false">IF($E478="","Unmatched","Matched")</f>
        <v>Matched</v>
      </c>
    </row>
    <row r="479" customFormat="false" ht="15" hidden="false" customHeight="false" outlineLevel="0" collapsed="false">
      <c r="A479" s="20" t="s">
        <v>826</v>
      </c>
      <c r="B479" s="20" t="n">
        <v>2025</v>
      </c>
      <c r="C479" s="21" t="n">
        <v>136</v>
      </c>
      <c r="D479" s="22" t="n">
        <v>4138.2</v>
      </c>
      <c r="E479" s="20" t="n">
        <f aca="false">IFERROR(INDEX('Catalog'!$A:$A,MATCH($A479,'Catalog'!$B:$B,0)),IFERROR(INDEX('Catalog'!$A:$A,MATCH(TRIM(SUBSTITUTE($A479,CHAR(160)," ")),'Catalog'!$C:$C,0)),""))</f>
        <v>4413493</v>
      </c>
      <c r="F479" s="20" t="str">
        <f aca="false">IF($E479="","Unmatched","Matched")</f>
        <v>Matched</v>
      </c>
    </row>
    <row r="480" customFormat="false" ht="15" hidden="false" customHeight="false" outlineLevel="0" collapsed="false">
      <c r="A480" s="20" t="s">
        <v>828</v>
      </c>
      <c r="B480" s="20" t="n">
        <v>2025</v>
      </c>
      <c r="C480" s="21" t="n">
        <v>47</v>
      </c>
      <c r="D480" s="22" t="n">
        <v>1423</v>
      </c>
      <c r="E480" s="20" t="n">
        <f aca="false">IFERROR(INDEX('Catalog'!$A:$A,MATCH($A480,'Catalog'!$B:$B,0)),IFERROR(INDEX('Catalog'!$A:$A,MATCH(TRIM(SUBSTITUTE($A480,CHAR(160)," ")),'Catalog'!$C:$C,0)),""))</f>
        <v>4413494</v>
      </c>
      <c r="F480" s="20" t="str">
        <f aca="false">IF($E480="","Unmatched","Matched")</f>
        <v>Matched</v>
      </c>
    </row>
    <row r="481" customFormat="false" ht="15" hidden="false" customHeight="false" outlineLevel="0" collapsed="false">
      <c r="A481" s="20" t="s">
        <v>200</v>
      </c>
      <c r="B481" s="20" t="n">
        <v>2025</v>
      </c>
      <c r="C481" s="21" t="n">
        <v>388</v>
      </c>
      <c r="D481" s="22" t="n">
        <v>11355.1</v>
      </c>
      <c r="E481" s="20" t="n">
        <f aca="false">IFERROR(INDEX('Catalog'!$A:$A,MATCH($A481,'Catalog'!$B:$B,0)),IFERROR(INDEX('Catalog'!$A:$A,MATCH(TRIM(SUBSTITUTE($A481,CHAR(160)," ")),'Catalog'!$C:$C,0)),""))</f>
        <v>4413495</v>
      </c>
      <c r="F481" s="20" t="str">
        <f aca="false">IF($E481="","Unmatched","Matched")</f>
        <v>Matched</v>
      </c>
    </row>
    <row r="482" customFormat="false" ht="15" hidden="false" customHeight="false" outlineLevel="0" collapsed="false">
      <c r="A482" s="20" t="s">
        <v>203</v>
      </c>
      <c r="B482" s="20" t="n">
        <v>2025</v>
      </c>
      <c r="C482" s="21" t="n">
        <v>281</v>
      </c>
      <c r="D482" s="22" t="n">
        <v>8133.8</v>
      </c>
      <c r="E482" s="20" t="n">
        <f aca="false">IFERROR(INDEX('Catalog'!$A:$A,MATCH($A482,'Catalog'!$B:$B,0)),IFERROR(INDEX('Catalog'!$A:$A,MATCH(TRIM(SUBSTITUTE($A482,CHAR(160)," ")),'Catalog'!$C:$C,0)),""))</f>
        <v>4413496</v>
      </c>
      <c r="F482" s="20" t="str">
        <f aca="false">IF($E482="","Unmatched","Matched")</f>
        <v>Matched</v>
      </c>
    </row>
    <row r="483" customFormat="false" ht="15" hidden="false" customHeight="false" outlineLevel="0" collapsed="false">
      <c r="A483" s="20" t="s">
        <v>201</v>
      </c>
      <c r="B483" s="20" t="n">
        <v>2025</v>
      </c>
      <c r="C483" s="21" t="n">
        <v>276</v>
      </c>
      <c r="D483" s="22" t="n">
        <v>8129.6</v>
      </c>
      <c r="E483" s="20" t="n">
        <f aca="false">IFERROR(INDEX('Catalog'!$A:$A,MATCH($A483,'Catalog'!$B:$B,0)),IFERROR(INDEX('Catalog'!$A:$A,MATCH(TRIM(SUBSTITUTE($A483,CHAR(160)," ")),'Catalog'!$C:$C,0)),""))</f>
        <v>4413497</v>
      </c>
      <c r="F483" s="20" t="str">
        <f aca="false">IF($E483="","Unmatched","Matched")</f>
        <v>Matched</v>
      </c>
    </row>
    <row r="484" customFormat="false" ht="15" hidden="false" customHeight="false" outlineLevel="0" collapsed="false">
      <c r="A484" s="20" t="s">
        <v>202</v>
      </c>
      <c r="B484" s="20" t="n">
        <v>2025</v>
      </c>
      <c r="C484" s="21" t="n">
        <v>122</v>
      </c>
      <c r="D484" s="22" t="n">
        <v>3701.5</v>
      </c>
      <c r="E484" s="20" t="n">
        <f aca="false">IFERROR(INDEX('Catalog'!$A:$A,MATCH($A484,'Catalog'!$B:$B,0)),IFERROR(INDEX('Catalog'!$A:$A,MATCH(TRIM(SUBSTITUTE($A484,CHAR(160)," ")),'Catalog'!$C:$C,0)),""))</f>
        <v>4413498</v>
      </c>
      <c r="F484" s="20" t="str">
        <f aca="false">IF($E484="","Unmatched","Matched")</f>
        <v>Matched</v>
      </c>
    </row>
    <row r="485" customFormat="false" ht="15" hidden="false" customHeight="false" outlineLevel="0" collapsed="false">
      <c r="A485" s="20" t="s">
        <v>204</v>
      </c>
      <c r="B485" s="20" t="n">
        <v>2025</v>
      </c>
      <c r="C485" s="21" t="n">
        <v>83</v>
      </c>
      <c r="D485" s="22" t="n">
        <v>2454.1</v>
      </c>
      <c r="E485" s="20" t="n">
        <f aca="false">IFERROR(INDEX('Catalog'!$A:$A,MATCH($A485,'Catalog'!$B:$B,0)),IFERROR(INDEX('Catalog'!$A:$A,MATCH(TRIM(SUBSTITUTE($A485,CHAR(160)," ")),'Catalog'!$C:$C,0)),""))</f>
        <v>4413499</v>
      </c>
      <c r="F485" s="20" t="str">
        <f aca="false">IF($E485="","Unmatched","Matched")</f>
        <v>Matched</v>
      </c>
    </row>
    <row r="486" customFormat="false" ht="15" hidden="false" customHeight="false" outlineLevel="0" collapsed="false">
      <c r="A486" s="20" t="s">
        <v>564</v>
      </c>
      <c r="B486" s="20" t="n">
        <v>2025</v>
      </c>
      <c r="C486" s="21" t="n">
        <v>94</v>
      </c>
      <c r="D486" s="22" t="n">
        <v>2669.6</v>
      </c>
      <c r="E486" s="20" t="n">
        <f aca="false">IFERROR(INDEX('Catalog'!$A:$A,MATCH($A486,'Catalog'!$B:$B,0)),IFERROR(INDEX('Catalog'!$A:$A,MATCH(TRIM(SUBSTITUTE($A486,CHAR(160)," ")),'Catalog'!$C:$C,0)),""))</f>
        <v>4413500</v>
      </c>
      <c r="F486" s="20" t="str">
        <f aca="false">IF($E486="","Unmatched","Matched")</f>
        <v>Matched</v>
      </c>
    </row>
    <row r="487" customFormat="false" ht="15" hidden="false" customHeight="false" outlineLevel="0" collapsed="false">
      <c r="A487" s="20" t="s">
        <v>565</v>
      </c>
      <c r="B487" s="20" t="n">
        <v>2025</v>
      </c>
      <c r="C487" s="21" t="n">
        <v>169</v>
      </c>
      <c r="D487" s="22" t="n">
        <v>5003.7</v>
      </c>
      <c r="E487" s="20" t="n">
        <f aca="false">IFERROR(INDEX('Catalog'!$A:$A,MATCH($A487,'Catalog'!$B:$B,0)),IFERROR(INDEX('Catalog'!$A:$A,MATCH(TRIM(SUBSTITUTE($A487,CHAR(160)," ")),'Catalog'!$C:$C,0)),""))</f>
        <v>4413501</v>
      </c>
      <c r="F487" s="20" t="str">
        <f aca="false">IF($E487="","Unmatched","Matched")</f>
        <v>Matched</v>
      </c>
    </row>
    <row r="488" customFormat="false" ht="15" hidden="false" customHeight="false" outlineLevel="0" collapsed="false">
      <c r="A488" s="20" t="s">
        <v>566</v>
      </c>
      <c r="B488" s="20" t="n">
        <v>2025</v>
      </c>
      <c r="C488" s="21" t="n">
        <v>119</v>
      </c>
      <c r="D488" s="22" t="n">
        <v>3561.2</v>
      </c>
      <c r="E488" s="20" t="n">
        <f aca="false">IFERROR(INDEX('Catalog'!$A:$A,MATCH($A488,'Catalog'!$B:$B,0)),IFERROR(INDEX('Catalog'!$A:$A,MATCH(TRIM(SUBSTITUTE($A488,CHAR(160)," ")),'Catalog'!$C:$C,0)),""))</f>
        <v>4413502</v>
      </c>
      <c r="F488" s="20" t="str">
        <f aca="false">IF($E488="","Unmatched","Matched")</f>
        <v>Matched</v>
      </c>
    </row>
    <row r="489" customFormat="false" ht="15" hidden="false" customHeight="false" outlineLevel="0" collapsed="false">
      <c r="A489" s="20" t="s">
        <v>567</v>
      </c>
      <c r="B489" s="20" t="n">
        <v>2025</v>
      </c>
      <c r="C489" s="21" t="n">
        <v>92</v>
      </c>
      <c r="D489" s="22" t="n">
        <v>2705.5</v>
      </c>
      <c r="E489" s="20" t="n">
        <f aca="false">IFERROR(INDEX('Catalog'!$A:$A,MATCH($A489,'Catalog'!$B:$B,0)),IFERROR(INDEX('Catalog'!$A:$A,MATCH(TRIM(SUBSTITUTE($A489,CHAR(160)," ")),'Catalog'!$C:$C,0)),""))</f>
        <v>4413503</v>
      </c>
      <c r="F489" s="20" t="str">
        <f aca="false">IF($E489="","Unmatched","Matched")</f>
        <v>Matched</v>
      </c>
    </row>
    <row r="490" customFormat="false" ht="15" hidden="false" customHeight="false" outlineLevel="0" collapsed="false">
      <c r="A490" s="20" t="s">
        <v>568</v>
      </c>
      <c r="B490" s="20" t="n">
        <v>2025</v>
      </c>
      <c r="C490" s="21" t="n">
        <v>5</v>
      </c>
      <c r="D490" s="22" t="n">
        <v>147.2</v>
      </c>
      <c r="E490" s="20" t="n">
        <f aca="false">IFERROR(INDEX('Catalog'!$A:$A,MATCH($A490,'Catalog'!$B:$B,0)),IFERROR(INDEX('Catalog'!$A:$A,MATCH(TRIM(SUBSTITUTE($A490,CHAR(160)," ")),'Catalog'!$C:$C,0)),""))</f>
        <v>4413504</v>
      </c>
      <c r="F490" s="20" t="str">
        <f aca="false">IF($E490="","Unmatched","Matched")</f>
        <v>Matched</v>
      </c>
    </row>
    <row r="491" customFormat="false" ht="15" hidden="false" customHeight="false" outlineLevel="0" collapsed="false">
      <c r="A491" s="20" t="s">
        <v>760</v>
      </c>
      <c r="B491" s="20" t="n">
        <v>2025</v>
      </c>
      <c r="C491" s="21" t="n">
        <v>44</v>
      </c>
      <c r="D491" s="22" t="n">
        <v>1297.9</v>
      </c>
      <c r="E491" s="20" t="n">
        <f aca="false">IFERROR(INDEX('Catalog'!$A:$A,MATCH($A491,'Catalog'!$B:$B,0)),IFERROR(INDEX('Catalog'!$A:$A,MATCH(TRIM(SUBSTITUTE($A491,CHAR(160)," ")),'Catalog'!$C:$C,0)),""))</f>
        <v>4415029</v>
      </c>
      <c r="F491" s="20" t="str">
        <f aca="false">IF($E491="","Unmatched","Matched")</f>
        <v>Matched</v>
      </c>
    </row>
    <row r="492" customFormat="false" ht="15" hidden="false" customHeight="false" outlineLevel="0" collapsed="false">
      <c r="A492" s="20" t="s">
        <v>911</v>
      </c>
      <c r="B492" s="20" t="n">
        <v>2025</v>
      </c>
      <c r="C492" s="21" t="n">
        <v>2</v>
      </c>
      <c r="D492" s="22" t="n">
        <v>75.5</v>
      </c>
      <c r="E492" s="20" t="n">
        <f aca="false">IFERROR(INDEX('Catalog'!$A:$A,MATCH($A492,'Catalog'!$B:$B,0)),IFERROR(INDEX('Catalog'!$A:$A,MATCH(TRIM(SUBSTITUTE($A492,CHAR(160)," ")),'Catalog'!$C:$C,0)),""))</f>
        <v>4420034</v>
      </c>
      <c r="F492" s="20" t="str">
        <f aca="false">IF($E492="","Unmatched","Matched")</f>
        <v>Matched</v>
      </c>
    </row>
    <row r="493" customFormat="false" ht="15" hidden="false" customHeight="false" outlineLevel="0" collapsed="false">
      <c r="A493" s="20" t="s">
        <v>846</v>
      </c>
      <c r="B493" s="20" t="n">
        <v>2025</v>
      </c>
      <c r="C493" s="21" t="n">
        <v>8</v>
      </c>
      <c r="D493" s="22" t="n">
        <v>401</v>
      </c>
      <c r="E493" s="20" t="n">
        <f aca="false">IFERROR(INDEX('Catalog'!$A:$A,MATCH($A493,'Catalog'!$B:$B,0)),IFERROR(INDEX('Catalog'!$A:$A,MATCH(TRIM(SUBSTITUTE($A493,CHAR(160)," ")),'Catalog'!$C:$C,0)),""))</f>
        <v>4420035</v>
      </c>
      <c r="F493" s="20" t="str">
        <f aca="false">IF($E493="","Unmatched","Matched")</f>
        <v>Matched</v>
      </c>
    </row>
    <row r="494" customFormat="false" ht="15" hidden="false" customHeight="false" outlineLevel="0" collapsed="false">
      <c r="A494" s="20" t="s">
        <v>845</v>
      </c>
      <c r="B494" s="20" t="n">
        <v>2025</v>
      </c>
      <c r="C494" s="21" t="n">
        <v>28</v>
      </c>
      <c r="D494" s="22" t="n">
        <v>1431.1</v>
      </c>
      <c r="E494" s="20" t="n">
        <f aca="false">IFERROR(INDEX('Catalog'!$A:$A,MATCH($A494,'Catalog'!$B:$B,0)),IFERROR(INDEX('Catalog'!$A:$A,MATCH(TRIM(SUBSTITUTE($A494,CHAR(160)," ")),'Catalog'!$C:$C,0)),""))</f>
        <v>4420036</v>
      </c>
      <c r="F494" s="20" t="str">
        <f aca="false">IF($E494="","Unmatched","Matched")</f>
        <v>Matched</v>
      </c>
    </row>
    <row r="495" customFormat="false" ht="15" hidden="false" customHeight="false" outlineLevel="0" collapsed="false">
      <c r="A495" s="20" t="s">
        <v>848</v>
      </c>
      <c r="B495" s="20" t="n">
        <v>2025</v>
      </c>
      <c r="C495" s="21" t="n">
        <v>-2</v>
      </c>
      <c r="D495" s="22" t="n">
        <v>-107.2</v>
      </c>
      <c r="E495" s="20" t="n">
        <f aca="false">IFERROR(INDEX('Catalog'!$A:$A,MATCH($A495,'Catalog'!$B:$B,0)),IFERROR(INDEX('Catalog'!$A:$A,MATCH(TRIM(SUBSTITUTE($A495,CHAR(160)," ")),'Catalog'!$C:$C,0)),""))</f>
        <v>4420037</v>
      </c>
      <c r="F495" s="20" t="str">
        <f aca="false">IF($E495="","Unmatched","Matched")</f>
        <v>Matched</v>
      </c>
    </row>
    <row r="496" customFormat="false" ht="15" hidden="false" customHeight="false" outlineLevel="0" collapsed="false">
      <c r="A496" s="20" t="s">
        <v>446</v>
      </c>
      <c r="B496" s="20" t="n">
        <v>2025</v>
      </c>
      <c r="C496" s="21" t="n">
        <v>72</v>
      </c>
      <c r="D496" s="22" t="n">
        <v>2651</v>
      </c>
      <c r="E496" s="20" t="n">
        <f aca="false">IFERROR(INDEX('Catalog'!$A:$A,MATCH($A496,'Catalog'!$B:$B,0)),IFERROR(INDEX('Catalog'!$A:$A,MATCH(TRIM(SUBSTITUTE($A496,CHAR(160)," ")),'Catalog'!$C:$C,0)),""))</f>
        <v>4421005</v>
      </c>
      <c r="F496" s="20" t="str">
        <f aca="false">IF($E496="","Unmatched","Matched")</f>
        <v>Matched</v>
      </c>
    </row>
    <row r="497" customFormat="false" ht="15" hidden="false" customHeight="false" outlineLevel="0" collapsed="false">
      <c r="A497" s="20" t="s">
        <v>445</v>
      </c>
      <c r="B497" s="20" t="n">
        <v>2025</v>
      </c>
      <c r="C497" s="21" t="n">
        <v>117</v>
      </c>
      <c r="D497" s="22" t="n">
        <v>4671.1</v>
      </c>
      <c r="E497" s="20" t="n">
        <f aca="false">IFERROR(INDEX('Catalog'!$A:$A,MATCH($A497,'Catalog'!$B:$B,0)),IFERROR(INDEX('Catalog'!$A:$A,MATCH(TRIM(SUBSTITUTE($A497,CHAR(160)," ")),'Catalog'!$C:$C,0)),""))</f>
        <v>4421006</v>
      </c>
      <c r="F497" s="20" t="str">
        <f aca="false">IF($E497="","Unmatched","Matched")</f>
        <v>Matched</v>
      </c>
    </row>
    <row r="498" customFormat="false" ht="15" hidden="false" customHeight="false" outlineLevel="0" collapsed="false">
      <c r="A498" s="20" t="s">
        <v>440</v>
      </c>
      <c r="B498" s="20" t="n">
        <v>2025</v>
      </c>
      <c r="C498" s="21" t="n">
        <v>80</v>
      </c>
      <c r="D498" s="22" t="n">
        <v>3457.6</v>
      </c>
      <c r="E498" s="20" t="n">
        <f aca="false">IFERROR(INDEX('Catalog'!$A:$A,MATCH($A498,'Catalog'!$B:$B,0)),IFERROR(INDEX('Catalog'!$A:$A,MATCH(TRIM(SUBSTITUTE($A498,CHAR(160)," ")),'Catalog'!$C:$C,0)),""))</f>
        <v>4421007</v>
      </c>
      <c r="F498" s="20" t="str">
        <f aca="false">IF($E498="","Unmatched","Matched")</f>
        <v>Matched</v>
      </c>
    </row>
    <row r="499" customFormat="false" ht="15" hidden="false" customHeight="false" outlineLevel="0" collapsed="false">
      <c r="A499" s="20" t="s">
        <v>439</v>
      </c>
      <c r="B499" s="20" t="n">
        <v>2025</v>
      </c>
      <c r="C499" s="21" t="n">
        <v>89</v>
      </c>
      <c r="D499" s="22" t="n">
        <v>4014.8</v>
      </c>
      <c r="E499" s="20" t="n">
        <f aca="false">IFERROR(INDEX('Catalog'!$A:$A,MATCH($A499,'Catalog'!$B:$B,0)),IFERROR(INDEX('Catalog'!$A:$A,MATCH(TRIM(SUBSTITUTE($A499,CHAR(160)," ")),'Catalog'!$C:$C,0)),""))</f>
        <v>4421008</v>
      </c>
      <c r="F499" s="20" t="str">
        <f aca="false">IF($E499="","Unmatched","Matched")</f>
        <v>Matched</v>
      </c>
    </row>
    <row r="500" customFormat="false" ht="15" hidden="false" customHeight="false" outlineLevel="0" collapsed="false">
      <c r="A500" s="20" t="s">
        <v>921</v>
      </c>
      <c r="B500" s="20" t="n">
        <v>2025</v>
      </c>
      <c r="C500" s="21" t="n">
        <v>702</v>
      </c>
      <c r="D500" s="22" t="n">
        <v>7071.1</v>
      </c>
      <c r="E500" s="20" t="n">
        <f aca="false">IFERROR(INDEX('Catalog'!$A:$A,MATCH($A500,'Catalog'!$B:$B,0)),IFERROR(INDEX('Catalog'!$A:$A,MATCH(TRIM(SUBSTITUTE($A500,CHAR(160)," ")),'Catalog'!$C:$C,0)),""))</f>
        <v>4422031</v>
      </c>
      <c r="F500" s="20" t="str">
        <f aca="false">IF($E500="","Unmatched","Matched")</f>
        <v>Matched</v>
      </c>
    </row>
    <row r="501" customFormat="false" ht="15" hidden="false" customHeight="false" outlineLevel="0" collapsed="false">
      <c r="A501" s="20" t="s">
        <v>919</v>
      </c>
      <c r="B501" s="20" t="n">
        <v>2025</v>
      </c>
      <c r="C501" s="21" t="n">
        <v>482</v>
      </c>
      <c r="D501" s="22" t="n">
        <v>4463.1</v>
      </c>
      <c r="E501" s="20" t="n">
        <f aca="false">IFERROR(INDEX('Catalog'!$A:$A,MATCH($A501,'Catalog'!$B:$B,0)),IFERROR(INDEX('Catalog'!$A:$A,MATCH(TRIM(SUBSTITUTE($A501,CHAR(160)," ")),'Catalog'!$C:$C,0)),""))</f>
        <v>4422032</v>
      </c>
      <c r="F501" s="20" t="str">
        <f aca="false">IF($E501="","Unmatched","Matched")</f>
        <v>Matched</v>
      </c>
    </row>
    <row r="502" customFormat="false" ht="15" hidden="false" customHeight="false" outlineLevel="0" collapsed="false">
      <c r="A502" s="20" t="s">
        <v>920</v>
      </c>
      <c r="B502" s="20" t="n">
        <v>2025</v>
      </c>
      <c r="C502" s="21" t="n">
        <v>400</v>
      </c>
      <c r="D502" s="22" t="n">
        <v>3741.1</v>
      </c>
      <c r="E502" s="20" t="n">
        <f aca="false">IFERROR(INDEX('Catalog'!$A:$A,MATCH($A502,'Catalog'!$B:$B,0)),IFERROR(INDEX('Catalog'!$A:$A,MATCH(TRIM(SUBSTITUTE($A502,CHAR(160)," ")),'Catalog'!$C:$C,0)),""))</f>
        <v>4422033</v>
      </c>
      <c r="F502" s="20" t="str">
        <f aca="false">IF($E502="","Unmatched","Matched")</f>
        <v>Matched</v>
      </c>
    </row>
    <row r="503" customFormat="false" ht="15" hidden="false" customHeight="false" outlineLevel="0" collapsed="false">
      <c r="A503" s="20" t="s">
        <v>922</v>
      </c>
      <c r="B503" s="20" t="n">
        <v>2025</v>
      </c>
      <c r="C503" s="21" t="n">
        <v>201</v>
      </c>
      <c r="D503" s="22" t="n">
        <v>1926.5</v>
      </c>
      <c r="E503" s="20" t="n">
        <f aca="false">IFERROR(INDEX('Catalog'!$A:$A,MATCH($A503,'Catalog'!$B:$B,0)),IFERROR(INDEX('Catalog'!$A:$A,MATCH(TRIM(SUBSTITUTE($A503,CHAR(160)," ")),'Catalog'!$C:$C,0)),""))</f>
        <v>4422034</v>
      </c>
      <c r="F503" s="20" t="str">
        <f aca="false">IF($E503="","Unmatched","Matched")</f>
        <v>Matched</v>
      </c>
    </row>
    <row r="504" customFormat="false" ht="15" hidden="false" customHeight="false" outlineLevel="0" collapsed="false">
      <c r="A504" s="20" t="s">
        <v>290</v>
      </c>
      <c r="B504" s="20" t="n">
        <v>2025</v>
      </c>
      <c r="C504" s="21" t="n">
        <v>1</v>
      </c>
      <c r="D504" s="22" t="n">
        <v>92.1</v>
      </c>
      <c r="E504" s="20" t="n">
        <f aca="false">IFERROR(INDEX('Catalog'!$A:$A,MATCH($A504,'Catalog'!$B:$B,0)),IFERROR(INDEX('Catalog'!$A:$A,MATCH(TRIM(SUBSTITUTE($A504,CHAR(160)," ")),'Catalog'!$C:$C,0)),""))</f>
        <v>4403034</v>
      </c>
      <c r="F504" s="20" t="str">
        <f aca="false">IF($E504="","Unmatched","Matched")</f>
        <v>Matched</v>
      </c>
    </row>
    <row r="505" customFormat="false" ht="15" hidden="false" customHeight="false" outlineLevel="0" collapsed="false">
      <c r="A505" s="20" t="s">
        <v>351</v>
      </c>
      <c r="B505" s="20" t="n">
        <v>2025</v>
      </c>
      <c r="C505" s="21" t="n">
        <v>2</v>
      </c>
      <c r="D505" s="22" t="n">
        <v>310.5</v>
      </c>
      <c r="E505" s="20" t="n">
        <f aca="false">IFERROR(INDEX('Catalog'!$A:$A,MATCH($A505,'Catalog'!$B:$B,0)),IFERROR(INDEX('Catalog'!$A:$A,MATCH(TRIM(SUBSTITUTE($A505,CHAR(160)," ")),'Catalog'!$C:$C,0)),""))</f>
        <v>4408260</v>
      </c>
      <c r="F505" s="20" t="str">
        <f aca="false">IF($E505="","Unmatched","Matched")</f>
        <v>Matched</v>
      </c>
    </row>
    <row r="506" customFormat="false" ht="15" hidden="false" customHeight="false" outlineLevel="0" collapsed="false">
      <c r="A506" s="20" t="s">
        <v>506</v>
      </c>
      <c r="B506" s="20" t="n">
        <v>2025</v>
      </c>
      <c r="C506" s="21" t="n">
        <v>-1</v>
      </c>
      <c r="D506" s="22" t="n">
        <v>-75.6</v>
      </c>
      <c r="E506" s="20" t="n">
        <f aca="false">IFERROR(INDEX('Catalog'!$A:$A,MATCH($A506,'Catalog'!$B:$B,0)),IFERROR(INDEX('Catalog'!$A:$A,MATCH(TRIM(SUBSTITUTE($A506,CHAR(160)," ")),'Catalog'!$C:$C,0)),""))</f>
        <v>4413482</v>
      </c>
      <c r="F506" s="20" t="str">
        <f aca="false">IF($E506="","Unmatched","Matched")</f>
        <v>Matched</v>
      </c>
    </row>
    <row r="507" customFormat="false" ht="15" hidden="false" customHeight="false" outlineLevel="0" collapsed="false">
      <c r="A507" s="20" t="s">
        <v>603</v>
      </c>
      <c r="B507" s="20" t="n">
        <v>2025</v>
      </c>
      <c r="C507" s="21" t="n">
        <v>241</v>
      </c>
      <c r="D507" s="22" t="n">
        <v>12736.4</v>
      </c>
      <c r="E507" s="20" t="n">
        <f aca="false">IFERROR(INDEX('Catalog'!$A:$A,MATCH($A507,'Catalog'!$B:$B,0)),IFERROR(INDEX('Catalog'!$A:$A,MATCH(TRIM(SUBSTITUTE($A507,CHAR(160)," ")),'Catalog'!$C:$C,0)),""))</f>
        <v>4413516</v>
      </c>
      <c r="F507" s="20" t="str">
        <f aca="false">IF($E507="","Unmatched","Matched")</f>
        <v>Matched</v>
      </c>
    </row>
    <row r="508" customFormat="false" ht="15" hidden="false" customHeight="false" outlineLevel="0" collapsed="false">
      <c r="A508" s="20" t="s">
        <v>604</v>
      </c>
      <c r="B508" s="20" t="n">
        <v>2025</v>
      </c>
      <c r="C508" s="21" t="n">
        <v>160</v>
      </c>
      <c r="D508" s="22" t="n">
        <v>8753.6</v>
      </c>
      <c r="E508" s="20" t="n">
        <f aca="false">IFERROR(INDEX('Catalog'!$A:$A,MATCH($A508,'Catalog'!$B:$B,0)),IFERROR(INDEX('Catalog'!$A:$A,MATCH(TRIM(SUBSTITUTE($A508,CHAR(160)," ")),'Catalog'!$C:$C,0)),""))</f>
        <v>4413517</v>
      </c>
      <c r="F508" s="20" t="str">
        <f aca="false">IF($E508="","Unmatched","Matched")</f>
        <v>Matched</v>
      </c>
    </row>
    <row r="509" customFormat="false" ht="15" hidden="false" customHeight="false" outlineLevel="0" collapsed="false">
      <c r="A509" s="20" t="s">
        <v>606</v>
      </c>
      <c r="B509" s="20" t="n">
        <v>2025</v>
      </c>
      <c r="C509" s="21" t="n">
        <v>113</v>
      </c>
      <c r="D509" s="22" t="n">
        <v>6162.7</v>
      </c>
      <c r="E509" s="20" t="n">
        <f aca="false">IFERROR(INDEX('Catalog'!$A:$A,MATCH($A509,'Catalog'!$B:$B,0)),IFERROR(INDEX('Catalog'!$A:$A,MATCH(TRIM(SUBSTITUTE($A509,CHAR(160)," ")),'Catalog'!$C:$C,0)),""))</f>
        <v>4413518</v>
      </c>
      <c r="F509" s="20" t="str">
        <f aca="false">IF($E509="","Unmatched","Matched")</f>
        <v>Matched</v>
      </c>
    </row>
    <row r="510" customFormat="false" ht="15" hidden="false" customHeight="false" outlineLevel="0" collapsed="false">
      <c r="A510" s="20" t="s">
        <v>605</v>
      </c>
      <c r="B510" s="20" t="n">
        <v>2025</v>
      </c>
      <c r="C510" s="21" t="n">
        <v>86</v>
      </c>
      <c r="D510" s="22" t="n">
        <v>4720.2</v>
      </c>
      <c r="E510" s="20" t="n">
        <f aca="false">IFERROR(INDEX('Catalog'!$A:$A,MATCH($A510,'Catalog'!$B:$B,0)),IFERROR(INDEX('Catalog'!$A:$A,MATCH(TRIM(SUBSTITUTE($A510,CHAR(160)," ")),'Catalog'!$C:$C,0)),""))</f>
        <v>4413519</v>
      </c>
      <c r="F510" s="20" t="str">
        <f aca="false">IF($E510="","Unmatched","Matched")</f>
        <v>Matched</v>
      </c>
    </row>
    <row r="511" customFormat="false" ht="15" hidden="false" customHeight="false" outlineLevel="0" collapsed="false">
      <c r="A511" s="20" t="s">
        <v>432</v>
      </c>
      <c r="B511" s="20" t="n">
        <v>2025</v>
      </c>
      <c r="C511" s="21" t="n">
        <v>-4</v>
      </c>
      <c r="D511" s="22" t="n">
        <v>-54.7</v>
      </c>
      <c r="E511" s="20" t="n">
        <f aca="false">IFERROR(INDEX('Catalog'!$A:$A,MATCH($A511,'Catalog'!$B:$B,0)),IFERROR(INDEX('Catalog'!$A:$A,MATCH(TRIM(SUBSTITUTE($A511,CHAR(160)," ")),'Catalog'!$C:$C,0)),""))</f>
        <v>4419011</v>
      </c>
      <c r="F511" s="20" t="str">
        <f aca="false">IF($E511="","Unmatched","Matched")</f>
        <v>Matched</v>
      </c>
    </row>
    <row r="512" customFormat="false" ht="15" hidden="false" customHeight="false" outlineLevel="0" collapsed="false">
      <c r="A512" s="20" t="s">
        <v>433</v>
      </c>
      <c r="B512" s="20" t="n">
        <v>2025</v>
      </c>
      <c r="C512" s="21" t="n">
        <v>-4</v>
      </c>
      <c r="D512" s="22" t="n">
        <v>-53.5</v>
      </c>
      <c r="E512" s="20" t="n">
        <f aca="false">IFERROR(INDEX('Catalog'!$A:$A,MATCH($A512,'Catalog'!$B:$B,0)),IFERROR(INDEX('Catalog'!$A:$A,MATCH(TRIM(SUBSTITUTE($A512,CHAR(160)," ")),'Catalog'!$C:$C,0)),""))</f>
        <v>4419012</v>
      </c>
      <c r="F512" s="20" t="str">
        <f aca="false">IF($E512="","Unmatched","Matched")</f>
        <v>Matched</v>
      </c>
    </row>
    <row r="513" customFormat="false" ht="15" hidden="false" customHeight="false" outlineLevel="0" collapsed="false">
      <c r="A513" s="20" t="s">
        <v>431</v>
      </c>
      <c r="B513" s="20" t="n">
        <v>2025</v>
      </c>
      <c r="C513" s="21" t="n">
        <v>-6</v>
      </c>
      <c r="D513" s="22" t="n">
        <v>-90.5</v>
      </c>
      <c r="E513" s="20" t="n">
        <f aca="false">IFERROR(INDEX('Catalog'!$A:$A,MATCH($A513,'Catalog'!$B:$B,0)),IFERROR(INDEX('Catalog'!$A:$A,MATCH(TRIM(SUBSTITUTE($A513,CHAR(160)," ")),'Catalog'!$C:$C,0)),""))</f>
        <v>4419013</v>
      </c>
      <c r="F513" s="20" t="str">
        <f aca="false">IF($E513="","Unmatched","Matched")</f>
        <v>Matched</v>
      </c>
    </row>
    <row r="514" customFormat="false" ht="15" hidden="false" customHeight="false" outlineLevel="0" collapsed="false">
      <c r="A514" s="20" t="s">
        <v>434</v>
      </c>
      <c r="B514" s="20" t="n">
        <v>2025</v>
      </c>
      <c r="C514" s="21" t="n">
        <v>-4</v>
      </c>
      <c r="D514" s="22" t="n">
        <v>-55.3</v>
      </c>
      <c r="E514" s="20" t="n">
        <f aca="false">IFERROR(INDEX('Catalog'!$A:$A,MATCH($A514,'Catalog'!$B:$B,0)),IFERROR(INDEX('Catalog'!$A:$A,MATCH(TRIM(SUBSTITUTE($A514,CHAR(160)," ")),'Catalog'!$C:$C,0)),""))</f>
        <v>4419014</v>
      </c>
      <c r="F514" s="20" t="str">
        <f aca="false">IF($E514="","Unmatched","Matched")</f>
        <v>Matched</v>
      </c>
    </row>
    <row r="515" customFormat="false" ht="15" hidden="false" customHeight="false" outlineLevel="0" collapsed="false">
      <c r="A515" s="20" t="s">
        <v>444</v>
      </c>
      <c r="B515" s="20" t="n">
        <v>2025</v>
      </c>
      <c r="C515" s="21" t="n">
        <v>956</v>
      </c>
      <c r="D515" s="22" t="n">
        <v>17801.7</v>
      </c>
      <c r="E515" s="20" t="n">
        <f aca="false">IFERROR(INDEX('Catalog'!$A:$A,MATCH($A515,'Catalog'!$B:$B,0)),IFERROR(INDEX('Catalog'!$A:$A,MATCH(TRIM(SUBSTITUTE($A515,CHAR(160)," ")),'Catalog'!$C:$C,0)),""))</f>
        <v>4422035</v>
      </c>
      <c r="F515" s="20" t="str">
        <f aca="false">IF($E515="","Unmatched","Matched")</f>
        <v>Matched</v>
      </c>
    </row>
    <row r="516" customFormat="false" ht="15" hidden="false" customHeight="false" outlineLevel="0" collapsed="false">
      <c r="A516" s="20" t="s">
        <v>260</v>
      </c>
      <c r="B516" s="20" t="n">
        <v>2025</v>
      </c>
      <c r="C516" s="21" t="n">
        <v>110</v>
      </c>
      <c r="D516" s="22" t="n">
        <v>4004.4</v>
      </c>
      <c r="E516" s="20" t="n">
        <f aca="false">IFERROR(INDEX('Catalog'!$A:$A,MATCH($A516,'Catalog'!$B:$B,0)),IFERROR(INDEX('Catalog'!$A:$A,MATCH(TRIM(SUBSTITUTE($A516,CHAR(160)," ")),'Catalog'!$C:$C,0)),""))</f>
        <v>4403040</v>
      </c>
      <c r="F516" s="20" t="str">
        <f aca="false">IF($E516="","Unmatched","Matched")</f>
        <v>Matched</v>
      </c>
    </row>
    <row r="517" customFormat="false" ht="15" hidden="false" customHeight="false" outlineLevel="0" collapsed="false">
      <c r="A517" s="20" t="s">
        <v>733</v>
      </c>
      <c r="B517" s="20" t="n">
        <v>2025</v>
      </c>
      <c r="C517" s="21" t="n">
        <v>382</v>
      </c>
      <c r="D517" s="22" t="n">
        <v>15998.7</v>
      </c>
      <c r="E517" s="20" t="n">
        <f aca="false">IFERROR(INDEX('Catalog'!$A:$A,MATCH($A517,'Catalog'!$B:$B,0)),IFERROR(INDEX('Catalog'!$A:$A,MATCH(TRIM(SUBSTITUTE($A517,CHAR(160)," ")),'Catalog'!$C:$C,0)),""))</f>
        <v>4408264</v>
      </c>
      <c r="F517" s="20" t="str">
        <f aca="false">IF($E517="","Unmatched","Matched")</f>
        <v>Matched</v>
      </c>
    </row>
    <row r="518" customFormat="false" ht="15" hidden="false" customHeight="false" outlineLevel="0" collapsed="false">
      <c r="A518" s="20" t="s">
        <v>317</v>
      </c>
      <c r="B518" s="20" t="n">
        <v>2025</v>
      </c>
      <c r="C518" s="21" t="n">
        <v>64</v>
      </c>
      <c r="D518" s="22" t="n">
        <v>6752.6</v>
      </c>
      <c r="E518" s="20" t="n">
        <f aca="false">IFERROR(INDEX('Catalog'!$A:$A,MATCH($A518,'Catalog'!$B:$B,0)),IFERROR(INDEX('Catalog'!$A:$A,MATCH(TRIM(SUBSTITUTE($A518,CHAR(160)," ")),'Catalog'!$C:$C,0)),""))</f>
        <v>4408265</v>
      </c>
      <c r="F518" s="20" t="str">
        <f aca="false">IF($E518="","Unmatched","Matched")</f>
        <v>Matched</v>
      </c>
    </row>
    <row r="519" customFormat="false" ht="15" hidden="false" customHeight="false" outlineLevel="0" collapsed="false">
      <c r="A519" s="20" t="s">
        <v>549</v>
      </c>
      <c r="B519" s="20" t="n">
        <v>2025</v>
      </c>
      <c r="C519" s="21" t="n">
        <v>79</v>
      </c>
      <c r="D519" s="22" t="n">
        <v>6503.9</v>
      </c>
      <c r="E519" s="20" t="n">
        <f aca="false">IFERROR(INDEX('Catalog'!$A:$A,MATCH($A519,'Catalog'!$B:$B,0)),IFERROR(INDEX('Catalog'!$A:$A,MATCH(TRIM(SUBSTITUTE($A519,CHAR(160)," ")),'Catalog'!$C:$C,0)),""))</f>
        <v>4408266</v>
      </c>
      <c r="F519" s="20" t="str">
        <f aca="false">IF($E519="","Unmatched","Matched")</f>
        <v>Matched</v>
      </c>
    </row>
    <row r="520" customFormat="false" ht="15" hidden="false" customHeight="false" outlineLevel="0" collapsed="false">
      <c r="A520" s="20" t="s">
        <v>517</v>
      </c>
      <c r="B520" s="20" t="n">
        <v>2025</v>
      </c>
      <c r="C520" s="21" t="n">
        <v>7</v>
      </c>
      <c r="D520" s="22" t="n">
        <v>700.1</v>
      </c>
      <c r="E520" s="20" t="n">
        <f aca="false">IFERROR(INDEX('Catalog'!$A:$A,MATCH($A520,'Catalog'!$B:$B,0)),IFERROR(INDEX('Catalog'!$A:$A,MATCH(TRIM(SUBSTITUTE($A520,CHAR(160)," ")),'Catalog'!$C:$C,0)),""))</f>
        <v>4413520</v>
      </c>
      <c r="F520" s="20" t="str">
        <f aca="false">IF($E520="","Unmatched","Matched")</f>
        <v>Matched</v>
      </c>
    </row>
    <row r="521" customFormat="false" ht="15" hidden="false" customHeight="false" outlineLevel="0" collapsed="false">
      <c r="A521" s="20" t="s">
        <v>519</v>
      </c>
      <c r="B521" s="20" t="n">
        <v>2025</v>
      </c>
      <c r="C521" s="21" t="n">
        <v>21</v>
      </c>
      <c r="D521" s="22" t="n">
        <v>2137.3</v>
      </c>
      <c r="E521" s="20" t="n">
        <f aca="false">IFERROR(INDEX('Catalog'!$A:$A,MATCH($A521,'Catalog'!$B:$B,0)),IFERROR(INDEX('Catalog'!$A:$A,MATCH(TRIM(SUBSTITUTE($A521,CHAR(160)," ")),'Catalog'!$C:$C,0)),""))</f>
        <v>4413521</v>
      </c>
      <c r="F521" s="20" t="str">
        <f aca="false">IF($E521="","Unmatched","Matched")</f>
        <v>Matched</v>
      </c>
    </row>
    <row r="522" customFormat="false" ht="15" hidden="false" customHeight="false" outlineLevel="0" collapsed="false">
      <c r="A522" s="20" t="s">
        <v>518</v>
      </c>
      <c r="B522" s="20" t="n">
        <v>2025</v>
      </c>
      <c r="C522" s="21" t="n">
        <v>27</v>
      </c>
      <c r="D522" s="22" t="n">
        <v>2824.7</v>
      </c>
      <c r="E522" s="20" t="n">
        <f aca="false">IFERROR(INDEX('Catalog'!$A:$A,MATCH($A522,'Catalog'!$B:$B,0)),IFERROR(INDEX('Catalog'!$A:$A,MATCH(TRIM(SUBSTITUTE($A522,CHAR(160)," ")),'Catalog'!$C:$C,0)),""))</f>
        <v>4413522</v>
      </c>
      <c r="F522" s="20" t="str">
        <f aca="false">IF($E522="","Unmatched","Matched")</f>
        <v>Matched</v>
      </c>
    </row>
    <row r="523" customFormat="false" ht="15" hidden="false" customHeight="false" outlineLevel="0" collapsed="false">
      <c r="A523" s="20" t="s">
        <v>509</v>
      </c>
      <c r="B523" s="20" t="n">
        <v>2025</v>
      </c>
      <c r="C523" s="21" t="n">
        <v>7</v>
      </c>
      <c r="D523" s="22" t="n">
        <v>700.1</v>
      </c>
      <c r="E523" s="20" t="n">
        <f aca="false">IFERROR(INDEX('Catalog'!$A:$A,MATCH($A523,'Catalog'!$B:$B,0)),IFERROR(INDEX('Catalog'!$A:$A,MATCH(TRIM(SUBSTITUTE($A523,CHAR(160)," ")),'Catalog'!$C:$C,0)),""))</f>
        <v>4413523</v>
      </c>
      <c r="F523" s="20" t="str">
        <f aca="false">IF($E523="","Unmatched","Matched")</f>
        <v>Matched</v>
      </c>
    </row>
    <row r="524" customFormat="false" ht="15" hidden="false" customHeight="false" outlineLevel="0" collapsed="false">
      <c r="A524" s="20" t="s">
        <v>511</v>
      </c>
      <c r="B524" s="20" t="n">
        <v>2025</v>
      </c>
      <c r="C524" s="21" t="n">
        <v>23</v>
      </c>
      <c r="D524" s="22" t="n">
        <v>2384.9</v>
      </c>
      <c r="E524" s="20" t="n">
        <f aca="false">IFERROR(INDEX('Catalog'!$A:$A,MATCH($A524,'Catalog'!$B:$B,0)),IFERROR(INDEX('Catalog'!$A:$A,MATCH(TRIM(SUBSTITUTE($A524,CHAR(160)," ")),'Catalog'!$C:$C,0)),""))</f>
        <v>4413524</v>
      </c>
      <c r="F524" s="20" t="str">
        <f aca="false">IF($E524="","Unmatched","Matched")</f>
        <v>Matched</v>
      </c>
    </row>
    <row r="525" customFormat="false" ht="15" hidden="false" customHeight="false" outlineLevel="0" collapsed="false">
      <c r="A525" s="20" t="s">
        <v>513</v>
      </c>
      <c r="B525" s="20" t="n">
        <v>2025</v>
      </c>
      <c r="C525" s="21" t="n">
        <v>20</v>
      </c>
      <c r="D525" s="22" t="n">
        <v>2114</v>
      </c>
      <c r="E525" s="20" t="n">
        <f aca="false">IFERROR(INDEX('Catalog'!$A:$A,MATCH($A525,'Catalog'!$B:$B,0)),IFERROR(INDEX('Catalog'!$A:$A,MATCH(TRIM(SUBSTITUTE($A525,CHAR(160)," ")),'Catalog'!$C:$C,0)),""))</f>
        <v>4413525</v>
      </c>
      <c r="F525" s="20" t="str">
        <f aca="false">IF($E525="","Unmatched","Matched")</f>
        <v>Matched</v>
      </c>
    </row>
    <row r="526" customFormat="false" ht="15" hidden="false" customHeight="false" outlineLevel="0" collapsed="false">
      <c r="A526" s="20" t="s">
        <v>510</v>
      </c>
      <c r="B526" s="20" t="n">
        <v>2025</v>
      </c>
      <c r="C526" s="21" t="n">
        <v>10</v>
      </c>
      <c r="D526" s="22" t="n">
        <v>902.8</v>
      </c>
      <c r="E526" s="20" t="n">
        <f aca="false">IFERROR(INDEX('Catalog'!$A:$A,MATCH($A526,'Catalog'!$B:$B,0)),IFERROR(INDEX('Catalog'!$A:$A,MATCH(TRIM(SUBSTITUTE($A526,CHAR(160)," ")),'Catalog'!$C:$C,0)),""))</f>
        <v>4413527</v>
      </c>
      <c r="F526" s="20" t="str">
        <f aca="false">IF($E526="","Unmatched","Matched")</f>
        <v>Matched</v>
      </c>
    </row>
    <row r="527" customFormat="false" ht="15" hidden="false" customHeight="false" outlineLevel="0" collapsed="false">
      <c r="A527" s="20" t="s">
        <v>512</v>
      </c>
      <c r="B527" s="20" t="n">
        <v>2025</v>
      </c>
      <c r="C527" s="21" t="n">
        <v>23</v>
      </c>
      <c r="D527" s="22" t="n">
        <v>2358.5</v>
      </c>
      <c r="E527" s="20" t="n">
        <f aca="false">IFERROR(INDEX('Catalog'!$A:$A,MATCH($A527,'Catalog'!$B:$B,0)),IFERROR(INDEX('Catalog'!$A:$A,MATCH(TRIM(SUBSTITUTE($A527,CHAR(160)," ")),'Catalog'!$C:$C,0)),""))</f>
        <v>4413528</v>
      </c>
      <c r="F527" s="20" t="str">
        <f aca="false">IF($E527="","Unmatched","Matched")</f>
        <v>Matched</v>
      </c>
    </row>
    <row r="528" customFormat="false" ht="15" hidden="false" customHeight="false" outlineLevel="0" collapsed="false">
      <c r="A528" s="20" t="s">
        <v>514</v>
      </c>
      <c r="B528" s="20" t="n">
        <v>2025</v>
      </c>
      <c r="C528" s="21" t="n">
        <v>22</v>
      </c>
      <c r="D528" s="22" t="n">
        <v>2158.5</v>
      </c>
      <c r="E528" s="20" t="n">
        <f aca="false">IFERROR(INDEX('Catalog'!$A:$A,MATCH($A528,'Catalog'!$B:$B,0)),IFERROR(INDEX('Catalog'!$A:$A,MATCH(TRIM(SUBSTITUTE($A528,CHAR(160)," ")),'Catalog'!$C:$C,0)),""))</f>
        <v>4413529</v>
      </c>
      <c r="F528" s="20" t="str">
        <f aca="false">IF($E528="","Unmatched","Matched")</f>
        <v>Matched</v>
      </c>
    </row>
    <row r="529" customFormat="false" ht="15" hidden="false" customHeight="false" outlineLevel="0" collapsed="false">
      <c r="A529" s="20" t="s">
        <v>833</v>
      </c>
      <c r="B529" s="20" t="n">
        <v>2025</v>
      </c>
      <c r="C529" s="21" t="n">
        <v>1</v>
      </c>
      <c r="D529" s="22" t="n">
        <v>28.8</v>
      </c>
      <c r="E529" s="20" t="n">
        <f aca="false">IFERROR(INDEX('Catalog'!$A:$A,MATCH($A529,'Catalog'!$B:$B,0)),IFERROR(INDEX('Catalog'!$A:$A,MATCH(TRIM(SUBSTITUTE($A529,CHAR(160)," ")),'Catalog'!$C:$C,0)),""))</f>
        <v>4413530</v>
      </c>
      <c r="F529" s="20" t="str">
        <f aca="false">IF($E529="","Unmatched","Matched")</f>
        <v>Matched</v>
      </c>
    </row>
    <row r="530" customFormat="false" ht="15" hidden="false" customHeight="false" outlineLevel="0" collapsed="false">
      <c r="A530" s="20" t="s">
        <v>913</v>
      </c>
      <c r="B530" s="20" t="n">
        <v>2025</v>
      </c>
      <c r="C530" s="21" t="n">
        <v>43</v>
      </c>
      <c r="D530" s="22" t="n">
        <v>2988.8</v>
      </c>
      <c r="E530" s="20" t="n">
        <f aca="false">IFERROR(INDEX('Catalog'!$A:$A,MATCH($A530,'Catalog'!$B:$B,0)),IFERROR(INDEX('Catalog'!$A:$A,MATCH(TRIM(SUBSTITUTE($A530,CHAR(160)," ")),'Catalog'!$C:$C,0)),""))</f>
        <v>4415298</v>
      </c>
      <c r="F530" s="20" t="str">
        <f aca="false">IF($E530="","Unmatched","Matched")</f>
        <v>Matched</v>
      </c>
    </row>
    <row r="531" customFormat="false" ht="15" hidden="false" customHeight="false" outlineLevel="0" collapsed="false">
      <c r="A531" s="20" t="s">
        <v>912</v>
      </c>
      <c r="B531" s="20" t="n">
        <v>2025</v>
      </c>
      <c r="C531" s="21" t="n">
        <v>59</v>
      </c>
      <c r="D531" s="22" t="n">
        <v>4081.5</v>
      </c>
      <c r="E531" s="20" t="n">
        <f aca="false">IFERROR(INDEX('Catalog'!$A:$A,MATCH($A531,'Catalog'!$B:$B,0)),IFERROR(INDEX('Catalog'!$A:$A,MATCH(TRIM(SUBSTITUTE($A531,CHAR(160)," ")),'Catalog'!$C:$C,0)),""))</f>
        <v>4415299</v>
      </c>
      <c r="F531" s="20" t="str">
        <f aca="false">IF($E531="","Unmatched","Matched")</f>
        <v>Matched</v>
      </c>
    </row>
    <row r="532" customFormat="false" ht="15" hidden="false" customHeight="false" outlineLevel="0" collapsed="false">
      <c r="A532" s="20" t="s">
        <v>442</v>
      </c>
      <c r="B532" s="20" t="n">
        <v>2025</v>
      </c>
      <c r="C532" s="21" t="n">
        <v>1000</v>
      </c>
      <c r="D532" s="22" t="n">
        <v>19629.5</v>
      </c>
      <c r="E532" s="20" t="n">
        <f aca="false">IFERROR(INDEX('Catalog'!$A:$A,MATCH($A532,'Catalog'!$B:$B,0)),IFERROR(INDEX('Catalog'!$A:$A,MATCH(TRIM(SUBSTITUTE($A532,CHAR(160)," ")),'Catalog'!$C:$C,0)),""))</f>
        <v>4422036</v>
      </c>
      <c r="F532" s="20" t="str">
        <f aca="false">IF($E532="","Unmatched","Matched")</f>
        <v>Matched</v>
      </c>
    </row>
    <row r="533" customFormat="false" ht="15" hidden="false" customHeight="false" outlineLevel="0" collapsed="false">
      <c r="A533" s="20" t="s">
        <v>230</v>
      </c>
      <c r="B533" s="20" t="n">
        <v>2025</v>
      </c>
      <c r="C533" s="21" t="n">
        <v>1</v>
      </c>
      <c r="D533" s="22" t="n">
        <v>215.4</v>
      </c>
      <c r="E533" s="20" t="n">
        <f aca="false">IFERROR(INDEX('Catalog'!$A:$A,MATCH($A533,'Catalog'!$B:$B,0)),IFERROR(INDEX('Catalog'!$A:$A,MATCH(TRIM(SUBSTITUTE($A533,CHAR(160)," ")),'Catalog'!$C:$C,0)),""))</f>
        <v>4422037</v>
      </c>
      <c r="F533" s="20" t="str">
        <f aca="false">IF($E533="","Unmatched","Matched")</f>
        <v>Matched</v>
      </c>
    </row>
    <row r="534" customFormat="false" ht="15" hidden="false" customHeight="false" outlineLevel="0" collapsed="false">
      <c r="A534" s="20" t="s">
        <v>231</v>
      </c>
      <c r="B534" s="20" t="n">
        <v>2025</v>
      </c>
      <c r="C534" s="21" t="n">
        <v>3</v>
      </c>
      <c r="D534" s="22" t="n">
        <v>646.1</v>
      </c>
      <c r="E534" s="20" t="n">
        <f aca="false">IFERROR(INDEX('Catalog'!$A:$A,MATCH($A534,'Catalog'!$B:$B,0)),IFERROR(INDEX('Catalog'!$A:$A,MATCH(TRIM(SUBSTITUTE($A534,CHAR(160)," ")),'Catalog'!$C:$C,0)),""))</f>
        <v>4422038</v>
      </c>
      <c r="F534" s="20" t="str">
        <f aca="false">IF($E534="","Unmatched","Matched")</f>
        <v>Matched</v>
      </c>
    </row>
    <row r="535" customFormat="false" ht="15" hidden="false" customHeight="false" outlineLevel="0" collapsed="false">
      <c r="A535" s="20" t="s">
        <v>232</v>
      </c>
      <c r="B535" s="20" t="n">
        <v>2025</v>
      </c>
      <c r="C535" s="21" t="n">
        <v>3</v>
      </c>
      <c r="D535" s="22" t="n">
        <v>646.1</v>
      </c>
      <c r="E535" s="20" t="n">
        <f aca="false">IFERROR(INDEX('Catalog'!$A:$A,MATCH($A535,'Catalog'!$B:$B,0)),IFERROR(INDEX('Catalog'!$A:$A,MATCH(TRIM(SUBSTITUTE($A535,CHAR(160)," ")),'Catalog'!$C:$C,0)),""))</f>
        <v>4422039</v>
      </c>
      <c r="F535" s="20" t="str">
        <f aca="false">IF($E535="","Unmatched","Matched")</f>
        <v>Matched</v>
      </c>
    </row>
    <row r="536" customFormat="false" ht="15" hidden="false" customHeight="false" outlineLevel="0" collapsed="false">
      <c r="A536" s="20" t="s">
        <v>233</v>
      </c>
      <c r="B536" s="20" t="n">
        <v>2025</v>
      </c>
      <c r="C536" s="21" t="n">
        <v>6</v>
      </c>
      <c r="D536" s="22" t="n">
        <v>1263.5</v>
      </c>
      <c r="E536" s="20" t="n">
        <f aca="false">IFERROR(INDEX('Catalog'!$A:$A,MATCH($A536,'Catalog'!$B:$B,0)),IFERROR(INDEX('Catalog'!$A:$A,MATCH(TRIM(SUBSTITUTE($A536,CHAR(160)," ")),'Catalog'!$C:$C,0)),""))</f>
        <v>4422040</v>
      </c>
      <c r="F536" s="20" t="str">
        <f aca="false">IF($E536="","Unmatched","Matched")</f>
        <v>Matched</v>
      </c>
    </row>
    <row r="537" customFormat="false" ht="15" hidden="false" customHeight="false" outlineLevel="0" collapsed="false">
      <c r="A537" s="20" t="s">
        <v>234</v>
      </c>
      <c r="B537" s="20" t="n">
        <v>2025</v>
      </c>
      <c r="C537" s="21" t="n">
        <v>6</v>
      </c>
      <c r="D537" s="22" t="n">
        <v>1263.5</v>
      </c>
      <c r="E537" s="20" t="n">
        <f aca="false">IFERROR(INDEX('Catalog'!$A:$A,MATCH($A537,'Catalog'!$B:$B,0)),IFERROR(INDEX('Catalog'!$A:$A,MATCH(TRIM(SUBSTITUTE($A537,CHAR(160)," ")),'Catalog'!$C:$C,0)),""))</f>
        <v>4422041</v>
      </c>
      <c r="F537" s="20" t="str">
        <f aca="false">IF($E537="","Unmatched","Matched")</f>
        <v>Matched</v>
      </c>
    </row>
    <row r="538" customFormat="false" ht="15" hidden="false" customHeight="false" outlineLevel="0" collapsed="false">
      <c r="A538" s="20" t="s">
        <v>640</v>
      </c>
      <c r="B538" s="20" t="n">
        <v>2026</v>
      </c>
      <c r="C538" s="21" t="n">
        <v>246</v>
      </c>
      <c r="D538" s="22" t="n">
        <v>5653.1</v>
      </c>
      <c r="E538" s="20" t="n">
        <f aca="false">IFERROR(INDEX('Catalog'!$A:$A,MATCH($A538,'Catalog'!$B:$B,0)),IFERROR(INDEX('Catalog'!$A:$A,MATCH(TRIM(SUBSTITUTE($A538,CHAR(160)," ")),'Catalog'!$C:$C,0)),""))</f>
        <v>4401000</v>
      </c>
      <c r="F538" s="20" t="str">
        <f aca="false">IF($E538="","Unmatched","Matched")</f>
        <v>Matched</v>
      </c>
    </row>
    <row r="539" customFormat="false" ht="15" hidden="false" customHeight="false" outlineLevel="0" collapsed="false">
      <c r="A539" s="20" t="s">
        <v>639</v>
      </c>
      <c r="B539" s="20" t="n">
        <v>2026</v>
      </c>
      <c r="C539" s="21" t="n">
        <v>288</v>
      </c>
      <c r="D539" s="22" t="n">
        <v>7178.1</v>
      </c>
      <c r="E539" s="20" t="n">
        <f aca="false">IFERROR(INDEX('Catalog'!$A:$A,MATCH($A539,'Catalog'!$B:$B,0)),IFERROR(INDEX('Catalog'!$A:$A,MATCH(TRIM(SUBSTITUTE($A539,CHAR(160)," ")),'Catalog'!$C:$C,0)),""))</f>
        <v>4401001</v>
      </c>
      <c r="F539" s="20" t="str">
        <f aca="false">IF($E539="","Unmatched","Matched")</f>
        <v>Matched</v>
      </c>
    </row>
    <row r="540" customFormat="false" ht="15" hidden="false" customHeight="false" outlineLevel="0" collapsed="false">
      <c r="A540" s="20" t="s">
        <v>648</v>
      </c>
      <c r="B540" s="20" t="n">
        <v>2026</v>
      </c>
      <c r="C540" s="21" t="n">
        <v>184</v>
      </c>
      <c r="D540" s="22" t="n">
        <v>1578.6</v>
      </c>
      <c r="E540" s="20" t="n">
        <f aca="false">IFERROR(INDEX('Catalog'!$A:$A,MATCH($A540,'Catalog'!$B:$B,0)),IFERROR(INDEX('Catalog'!$A:$A,MATCH(TRIM(SUBSTITUTE($A540,CHAR(160)," ")),'Catalog'!$C:$C,0)),""))</f>
        <v>4401002</v>
      </c>
      <c r="F540" s="20" t="str">
        <f aca="false">IF($E540="","Unmatched","Matched")</f>
        <v>Matched</v>
      </c>
    </row>
    <row r="541" customFormat="false" ht="15" hidden="false" customHeight="false" outlineLevel="0" collapsed="false">
      <c r="A541" s="20" t="s">
        <v>425</v>
      </c>
      <c r="B541" s="20" t="n">
        <v>2026</v>
      </c>
      <c r="C541" s="21" t="n">
        <v>48</v>
      </c>
      <c r="D541" s="22" t="n">
        <v>788.6</v>
      </c>
      <c r="E541" s="20" t="n">
        <f aca="false">IFERROR(INDEX('Catalog'!$A:$A,MATCH($A541,'Catalog'!$B:$B,0)),IFERROR(INDEX('Catalog'!$A:$A,MATCH(TRIM(SUBSTITUTE($A541,CHAR(160)," ")),'Catalog'!$C:$C,0)),""))</f>
        <v>4401011</v>
      </c>
      <c r="F541" s="20" t="str">
        <f aca="false">IF($E541="","Unmatched","Matched")</f>
        <v>Matched</v>
      </c>
    </row>
    <row r="542" customFormat="false" ht="15" hidden="false" customHeight="false" outlineLevel="0" collapsed="false">
      <c r="A542" s="20" t="s">
        <v>423</v>
      </c>
      <c r="B542" s="20" t="n">
        <v>2026</v>
      </c>
      <c r="C542" s="21" t="n">
        <v>21</v>
      </c>
      <c r="D542" s="22" t="n">
        <v>358.6</v>
      </c>
      <c r="E542" s="20" t="n">
        <f aca="false">IFERROR(INDEX('Catalog'!$A:$A,MATCH($A542,'Catalog'!$B:$B,0)),IFERROR(INDEX('Catalog'!$A:$A,MATCH(TRIM(SUBSTITUTE($A542,CHAR(160)," ")),'Catalog'!$C:$C,0)),""))</f>
        <v>4401012</v>
      </c>
      <c r="F542" s="20" t="str">
        <f aca="false">IF($E542="","Unmatched","Matched")</f>
        <v>Matched</v>
      </c>
    </row>
    <row r="543" customFormat="false" ht="15" hidden="false" customHeight="false" outlineLevel="0" collapsed="false">
      <c r="A543" s="20" t="s">
        <v>424</v>
      </c>
      <c r="B543" s="20" t="n">
        <v>2026</v>
      </c>
      <c r="C543" s="21" t="n">
        <v>19</v>
      </c>
      <c r="D543" s="22" t="n">
        <v>319.4</v>
      </c>
      <c r="E543" s="20" t="n">
        <f aca="false">IFERROR(INDEX('Catalog'!$A:$A,MATCH($A543,'Catalog'!$B:$B,0)),IFERROR(INDEX('Catalog'!$A:$A,MATCH(TRIM(SUBSTITUTE($A543,CHAR(160)," ")),'Catalog'!$C:$C,0)),""))</f>
        <v>4401013</v>
      </c>
      <c r="F543" s="20" t="str">
        <f aca="false">IF($E543="","Unmatched","Matched")</f>
        <v>Matched</v>
      </c>
    </row>
    <row r="544" customFormat="false" ht="15" hidden="false" customHeight="false" outlineLevel="0" collapsed="false">
      <c r="A544" s="20" t="s">
        <v>426</v>
      </c>
      <c r="B544" s="20" t="n">
        <v>2026</v>
      </c>
      <c r="C544" s="21" t="n">
        <v>41</v>
      </c>
      <c r="D544" s="22" t="n">
        <v>665.2</v>
      </c>
      <c r="E544" s="20" t="n">
        <f aca="false">IFERROR(INDEX('Catalog'!$A:$A,MATCH($A544,'Catalog'!$B:$B,0)),IFERROR(INDEX('Catalog'!$A:$A,MATCH(TRIM(SUBSTITUTE($A544,CHAR(160)," ")),'Catalog'!$C:$C,0)),""))</f>
        <v>4401014</v>
      </c>
      <c r="F544" s="20" t="str">
        <f aca="false">IF($E544="","Unmatched","Matched")</f>
        <v>Matched</v>
      </c>
    </row>
    <row r="545" customFormat="false" ht="15" hidden="false" customHeight="false" outlineLevel="0" collapsed="false">
      <c r="A545" s="20" t="s">
        <v>626</v>
      </c>
      <c r="B545" s="20" t="n">
        <v>2026</v>
      </c>
      <c r="C545" s="21" t="n">
        <v>105</v>
      </c>
      <c r="D545" s="22" t="n">
        <v>2749.1</v>
      </c>
      <c r="E545" s="20" t="n">
        <f aca="false">IFERROR(INDEX('Catalog'!$A:$A,MATCH($A545,'Catalog'!$B:$B,0)),IFERROR(INDEX('Catalog'!$A:$A,MATCH(TRIM(SUBSTITUTE($A545,CHAR(160)," ")),'Catalog'!$C:$C,0)),""))</f>
        <v>4402000</v>
      </c>
      <c r="F545" s="20" t="str">
        <f aca="false">IF($E545="","Unmatched","Matched")</f>
        <v>Matched</v>
      </c>
    </row>
    <row r="546" customFormat="false" ht="15" hidden="false" customHeight="false" outlineLevel="0" collapsed="false">
      <c r="A546" s="20" t="s">
        <v>622</v>
      </c>
      <c r="B546" s="20" t="n">
        <v>2026</v>
      </c>
      <c r="C546" s="21" t="n">
        <v>222</v>
      </c>
      <c r="D546" s="22" t="n">
        <v>4074.7</v>
      </c>
      <c r="E546" s="20" t="n">
        <f aca="false">IFERROR(INDEX('Catalog'!$A:$A,MATCH($A546,'Catalog'!$B:$B,0)),IFERROR(INDEX('Catalog'!$A:$A,MATCH(TRIM(SUBSTITUTE($A546,CHAR(160)," ")),'Catalog'!$C:$C,0)),""))</f>
        <v>4402007</v>
      </c>
      <c r="F546" s="20" t="str">
        <f aca="false">IF($E546="","Unmatched","Matched")</f>
        <v>Matched</v>
      </c>
    </row>
    <row r="547" customFormat="false" ht="15" hidden="false" customHeight="false" outlineLevel="0" collapsed="false">
      <c r="A547" s="20" t="s">
        <v>264</v>
      </c>
      <c r="B547" s="20" t="n">
        <v>2026</v>
      </c>
      <c r="C547" s="21" t="n">
        <v>11</v>
      </c>
      <c r="D547" s="22" t="n">
        <v>360.4</v>
      </c>
      <c r="E547" s="20" t="n">
        <f aca="false">IFERROR(INDEX('Catalog'!$A:$A,MATCH($A547,'Catalog'!$B:$B,0)),IFERROR(INDEX('Catalog'!$A:$A,MATCH(TRIM(SUBSTITUTE($A547,CHAR(160)," ")),'Catalog'!$C:$C,0)),""))</f>
        <v>4403000</v>
      </c>
      <c r="F547" s="20" t="str">
        <f aca="false">IF($E547="","Unmatched","Matched")</f>
        <v>Matched</v>
      </c>
    </row>
    <row r="548" customFormat="false" ht="15" hidden="false" customHeight="false" outlineLevel="0" collapsed="false">
      <c r="A548" s="20" t="s">
        <v>262</v>
      </c>
      <c r="B548" s="20" t="n">
        <v>2026</v>
      </c>
      <c r="C548" s="21" t="n">
        <v>15</v>
      </c>
      <c r="D548" s="22" t="n">
        <v>507.9</v>
      </c>
      <c r="E548" s="20" t="n">
        <f aca="false">IFERROR(INDEX('Catalog'!$A:$A,MATCH($A548,'Catalog'!$B:$B,0)),IFERROR(INDEX('Catalog'!$A:$A,MATCH(TRIM(SUBSTITUTE($A548,CHAR(160)," ")),'Catalog'!$C:$C,0)),""))</f>
        <v>4403001</v>
      </c>
      <c r="F548" s="20" t="str">
        <f aca="false">IF($E548="","Unmatched","Matched")</f>
        <v>Matched</v>
      </c>
    </row>
    <row r="549" customFormat="false" ht="15" hidden="false" customHeight="false" outlineLevel="0" collapsed="false">
      <c r="A549" s="20" t="s">
        <v>263</v>
      </c>
      <c r="B549" s="20" t="n">
        <v>2026</v>
      </c>
      <c r="C549" s="21" t="n">
        <v>23</v>
      </c>
      <c r="D549" s="22" t="n">
        <v>763</v>
      </c>
      <c r="E549" s="20" t="n">
        <f aca="false">IFERROR(INDEX('Catalog'!$A:$A,MATCH($A549,'Catalog'!$B:$B,0)),IFERROR(INDEX('Catalog'!$A:$A,MATCH(TRIM(SUBSTITUTE($A549,CHAR(160)," ")),'Catalog'!$C:$C,0)),""))</f>
        <v>4403002</v>
      </c>
      <c r="F549" s="20" t="str">
        <f aca="false">IF($E549="","Unmatched","Matched")</f>
        <v>Matched</v>
      </c>
    </row>
    <row r="550" customFormat="false" ht="15" hidden="false" customHeight="false" outlineLevel="0" collapsed="false">
      <c r="A550" s="20" t="s">
        <v>266</v>
      </c>
      <c r="B550" s="20" t="n">
        <v>2026</v>
      </c>
      <c r="C550" s="21" t="n">
        <v>11</v>
      </c>
      <c r="D550" s="22" t="n">
        <v>376.8</v>
      </c>
      <c r="E550" s="20" t="n">
        <f aca="false">IFERROR(INDEX('Catalog'!$A:$A,MATCH($A550,'Catalog'!$B:$B,0)),IFERROR(INDEX('Catalog'!$A:$A,MATCH(TRIM(SUBSTITUTE($A550,CHAR(160)," ")),'Catalog'!$C:$C,0)),""))</f>
        <v>4403003</v>
      </c>
      <c r="F550" s="20" t="str">
        <f aca="false">IF($E550="","Unmatched","Matched")</f>
        <v>Matched</v>
      </c>
    </row>
    <row r="551" customFormat="false" ht="15" hidden="false" customHeight="false" outlineLevel="0" collapsed="false">
      <c r="A551" s="20" t="s">
        <v>265</v>
      </c>
      <c r="B551" s="20" t="n">
        <v>2026</v>
      </c>
      <c r="C551" s="21" t="n">
        <v>4</v>
      </c>
      <c r="D551" s="22" t="n">
        <v>140.4</v>
      </c>
      <c r="E551" s="20" t="n">
        <f aca="false">IFERROR(INDEX('Catalog'!$A:$A,MATCH($A551,'Catalog'!$B:$B,0)),IFERROR(INDEX('Catalog'!$A:$A,MATCH(TRIM(SUBSTITUTE($A551,CHAR(160)," ")),'Catalog'!$C:$C,0)),""))</f>
        <v>4403004</v>
      </c>
      <c r="F551" s="20" t="str">
        <f aca="false">IF($E551="","Unmatched","Matched")</f>
        <v>Matched</v>
      </c>
    </row>
    <row r="552" customFormat="false" ht="15" hidden="false" customHeight="false" outlineLevel="0" collapsed="false">
      <c r="A552" s="20" t="s">
        <v>267</v>
      </c>
      <c r="B552" s="20" t="n">
        <v>2026</v>
      </c>
      <c r="C552" s="21" t="n">
        <v>12</v>
      </c>
      <c r="D552" s="22" t="n">
        <v>421.3</v>
      </c>
      <c r="E552" s="20" t="n">
        <f aca="false">IFERROR(INDEX('Catalog'!$A:$A,MATCH($A552,'Catalog'!$B:$B,0)),IFERROR(INDEX('Catalog'!$A:$A,MATCH(TRIM(SUBSTITUTE($A552,CHAR(160)," ")),'Catalog'!$C:$C,0)),""))</f>
        <v>4403006</v>
      </c>
      <c r="F552" s="20" t="str">
        <f aca="false">IF($E552="","Unmatched","Matched")</f>
        <v>Matched</v>
      </c>
    </row>
    <row r="553" customFormat="false" ht="15" hidden="false" customHeight="false" outlineLevel="0" collapsed="false">
      <c r="A553" s="20" t="s">
        <v>268</v>
      </c>
      <c r="B553" s="20" t="n">
        <v>2026</v>
      </c>
      <c r="C553" s="21" t="n">
        <v>13</v>
      </c>
      <c r="D553" s="22" t="n">
        <v>433</v>
      </c>
      <c r="E553" s="20" t="n">
        <f aca="false">IFERROR(INDEX('Catalog'!$A:$A,MATCH($A553,'Catalog'!$B:$B,0)),IFERROR(INDEX('Catalog'!$A:$A,MATCH(TRIM(SUBSTITUTE($A553,CHAR(160)," ")),'Catalog'!$C:$C,0)),""))</f>
        <v>4403007</v>
      </c>
      <c r="F553" s="20" t="str">
        <f aca="false">IF($E553="","Unmatched","Matched")</f>
        <v>Matched</v>
      </c>
    </row>
    <row r="554" customFormat="false" ht="15" hidden="false" customHeight="false" outlineLevel="0" collapsed="false">
      <c r="A554" s="20" t="s">
        <v>269</v>
      </c>
      <c r="B554" s="20" t="n">
        <v>2026</v>
      </c>
      <c r="C554" s="21" t="n">
        <v>13</v>
      </c>
      <c r="D554" s="22" t="n">
        <v>456.4</v>
      </c>
      <c r="E554" s="20" t="n">
        <f aca="false">IFERROR(INDEX('Catalog'!$A:$A,MATCH($A554,'Catalog'!$B:$B,0)),IFERROR(INDEX('Catalog'!$A:$A,MATCH(TRIM(SUBSTITUTE($A554,CHAR(160)," ")),'Catalog'!$C:$C,0)),""))</f>
        <v>4403008</v>
      </c>
      <c r="F554" s="20" t="str">
        <f aca="false">IF($E554="","Unmatched","Matched")</f>
        <v>Matched</v>
      </c>
    </row>
    <row r="555" customFormat="false" ht="15" hidden="false" customHeight="false" outlineLevel="0" collapsed="false">
      <c r="A555" s="20" t="s">
        <v>270</v>
      </c>
      <c r="B555" s="20" t="n">
        <v>2026</v>
      </c>
      <c r="C555" s="21" t="n">
        <v>27</v>
      </c>
      <c r="D555" s="22" t="n">
        <v>741.3</v>
      </c>
      <c r="E555" s="20" t="n">
        <f aca="false">IFERROR(INDEX('Catalog'!$A:$A,MATCH($A555,'Catalog'!$B:$B,0)),IFERROR(INDEX('Catalog'!$A:$A,MATCH(TRIM(SUBSTITUTE($A555,CHAR(160)," ")),'Catalog'!$C:$C,0)),""))</f>
        <v>4403017</v>
      </c>
      <c r="F555" s="20" t="str">
        <f aca="false">IF($E555="","Unmatched","Matched")</f>
        <v>Matched</v>
      </c>
    </row>
    <row r="556" customFormat="false" ht="15" hidden="false" customHeight="false" outlineLevel="0" collapsed="false">
      <c r="A556" s="20" t="s">
        <v>271</v>
      </c>
      <c r="B556" s="20" t="n">
        <v>2026</v>
      </c>
      <c r="C556" s="21" t="n">
        <v>61</v>
      </c>
      <c r="D556" s="22" t="n">
        <v>1578.1</v>
      </c>
      <c r="E556" s="20" t="n">
        <f aca="false">IFERROR(INDEX('Catalog'!$A:$A,MATCH($A556,'Catalog'!$B:$B,0)),IFERROR(INDEX('Catalog'!$A:$A,MATCH(TRIM(SUBSTITUTE($A556,CHAR(160)," ")),'Catalog'!$C:$C,0)),""))</f>
        <v>4403018</v>
      </c>
      <c r="F556" s="20" t="str">
        <f aca="false">IF($E556="","Unmatched","Matched")</f>
        <v>Matched</v>
      </c>
    </row>
    <row r="557" customFormat="false" ht="15" hidden="false" customHeight="false" outlineLevel="0" collapsed="false">
      <c r="A557" s="20" t="s">
        <v>272</v>
      </c>
      <c r="B557" s="20" t="n">
        <v>2026</v>
      </c>
      <c r="C557" s="21" t="n">
        <v>65</v>
      </c>
      <c r="D557" s="22" t="n">
        <v>1731.5</v>
      </c>
      <c r="E557" s="20" t="n">
        <f aca="false">IFERROR(INDEX('Catalog'!$A:$A,MATCH($A557,'Catalog'!$B:$B,0)),IFERROR(INDEX('Catalog'!$A:$A,MATCH(TRIM(SUBSTITUTE($A557,CHAR(160)," ")),'Catalog'!$C:$C,0)),""))</f>
        <v>4403019</v>
      </c>
      <c r="F557" s="20" t="str">
        <f aca="false">IF($E557="","Unmatched","Matched")</f>
        <v>Matched</v>
      </c>
    </row>
    <row r="558" customFormat="false" ht="15" hidden="false" customHeight="false" outlineLevel="0" collapsed="false">
      <c r="A558" s="20" t="s">
        <v>276</v>
      </c>
      <c r="B558" s="20" t="n">
        <v>2026</v>
      </c>
      <c r="C558" s="21" t="n">
        <v>22</v>
      </c>
      <c r="D558" s="22" t="n">
        <v>585.9</v>
      </c>
      <c r="E558" s="20" t="n">
        <f aca="false">IFERROR(INDEX('Catalog'!$A:$A,MATCH($A558,'Catalog'!$B:$B,0)),IFERROR(INDEX('Catalog'!$A:$A,MATCH(TRIM(SUBSTITUTE($A558,CHAR(160)," ")),'Catalog'!$C:$C,0)),""))</f>
        <v>4403023</v>
      </c>
      <c r="F558" s="20" t="str">
        <f aca="false">IF($E558="","Unmatched","Matched")</f>
        <v>Matched</v>
      </c>
    </row>
    <row r="559" customFormat="false" ht="15" hidden="false" customHeight="false" outlineLevel="0" collapsed="false">
      <c r="A559" s="20" t="s">
        <v>277</v>
      </c>
      <c r="B559" s="20" t="n">
        <v>2026</v>
      </c>
      <c r="C559" s="21" t="n">
        <v>44</v>
      </c>
      <c r="D559" s="22" t="n">
        <v>1170.1</v>
      </c>
      <c r="E559" s="20" t="n">
        <f aca="false">IFERROR(INDEX('Catalog'!$A:$A,MATCH($A559,'Catalog'!$B:$B,0)),IFERROR(INDEX('Catalog'!$A:$A,MATCH(TRIM(SUBSTITUTE($A559,CHAR(160)," ")),'Catalog'!$C:$C,0)),""))</f>
        <v>4403024</v>
      </c>
      <c r="F559" s="20" t="str">
        <f aca="false">IF($E559="","Unmatched","Matched")</f>
        <v>Matched</v>
      </c>
    </row>
    <row r="560" customFormat="false" ht="15" hidden="false" customHeight="false" outlineLevel="0" collapsed="false">
      <c r="A560" s="20" t="s">
        <v>278</v>
      </c>
      <c r="B560" s="20" t="n">
        <v>2026</v>
      </c>
      <c r="C560" s="21" t="n">
        <v>45</v>
      </c>
      <c r="D560" s="22" t="n">
        <v>1205.6</v>
      </c>
      <c r="E560" s="20" t="n">
        <f aca="false">IFERROR(INDEX('Catalog'!$A:$A,MATCH($A560,'Catalog'!$B:$B,0)),IFERROR(INDEX('Catalog'!$A:$A,MATCH(TRIM(SUBSTITUTE($A560,CHAR(160)," ")),'Catalog'!$C:$C,0)),""))</f>
        <v>4403025</v>
      </c>
      <c r="F560" s="20" t="str">
        <f aca="false">IF($E560="","Unmatched","Matched")</f>
        <v>Matched</v>
      </c>
    </row>
    <row r="561" customFormat="false" ht="15" hidden="false" customHeight="false" outlineLevel="0" collapsed="false">
      <c r="A561" s="20" t="s">
        <v>320</v>
      </c>
      <c r="B561" s="20" t="n">
        <v>2026</v>
      </c>
      <c r="C561" s="21" t="n">
        <v>0</v>
      </c>
      <c r="D561" s="22" t="n">
        <v>7.2</v>
      </c>
      <c r="E561" s="20" t="n">
        <f aca="false">IFERROR(INDEX('Catalog'!$A:$A,MATCH($A561,'Catalog'!$B:$B,0)),IFERROR(INDEX('Catalog'!$A:$A,MATCH(TRIM(SUBSTITUTE($A561,CHAR(160)," ")),'Catalog'!$C:$C,0)),""))</f>
        <v>4408009</v>
      </c>
      <c r="F561" s="20" t="str">
        <f aca="false">IF($E561="","Unmatched","Matched")</f>
        <v>Matched</v>
      </c>
    </row>
    <row r="562" customFormat="false" ht="15" hidden="false" customHeight="false" outlineLevel="0" collapsed="false">
      <c r="A562" s="20" t="s">
        <v>319</v>
      </c>
      <c r="B562" s="20" t="n">
        <v>2026</v>
      </c>
      <c r="C562" s="21" t="n">
        <v>1</v>
      </c>
      <c r="D562" s="22" t="n">
        <v>101.5</v>
      </c>
      <c r="E562" s="20" t="n">
        <f aca="false">IFERROR(INDEX('Catalog'!$A:$A,MATCH($A562,'Catalog'!$B:$B,0)),IFERROR(INDEX('Catalog'!$A:$A,MATCH(TRIM(SUBSTITUTE($A562,CHAR(160)," ")),'Catalog'!$C:$C,0)),""))</f>
        <v>4408010</v>
      </c>
      <c r="F562" s="20" t="str">
        <f aca="false">IF($E562="","Unmatched","Matched")</f>
        <v>Matched</v>
      </c>
    </row>
    <row r="563" customFormat="false" ht="15" hidden="false" customHeight="false" outlineLevel="0" collapsed="false">
      <c r="A563" s="20" t="s">
        <v>321</v>
      </c>
      <c r="B563" s="20" t="n">
        <v>2026</v>
      </c>
      <c r="C563" s="21" t="n">
        <v>1</v>
      </c>
      <c r="D563" s="22" t="n">
        <v>108.7</v>
      </c>
      <c r="E563" s="20" t="n">
        <f aca="false">IFERROR(INDEX('Catalog'!$A:$A,MATCH($A563,'Catalog'!$B:$B,0)),IFERROR(INDEX('Catalog'!$A:$A,MATCH(TRIM(SUBSTITUTE($A563,CHAR(160)," ")),'Catalog'!$C:$C,0)),""))</f>
        <v>4408012</v>
      </c>
      <c r="F563" s="20" t="str">
        <f aca="false">IF($E563="","Unmatched","Matched")</f>
        <v>Matched</v>
      </c>
    </row>
    <row r="564" customFormat="false" ht="15" hidden="false" customHeight="false" outlineLevel="0" collapsed="false">
      <c r="A564" s="20" t="s">
        <v>325</v>
      </c>
      <c r="B564" s="20" t="n">
        <v>2026</v>
      </c>
      <c r="C564" s="21" t="n">
        <v>1</v>
      </c>
      <c r="D564" s="22" t="n">
        <v>262.4</v>
      </c>
      <c r="E564" s="20" t="n">
        <f aca="false">IFERROR(INDEX('Catalog'!$A:$A,MATCH($A564,'Catalog'!$B:$B,0)),IFERROR(INDEX('Catalog'!$A:$A,MATCH(TRIM(SUBSTITUTE($A564,CHAR(160)," ")),'Catalog'!$C:$C,0)),""))</f>
        <v>4408014</v>
      </c>
      <c r="F564" s="20" t="str">
        <f aca="false">IF($E564="","Unmatched","Matched")</f>
        <v>Matched</v>
      </c>
    </row>
    <row r="565" customFormat="false" ht="15" hidden="false" customHeight="false" outlineLevel="0" collapsed="false">
      <c r="A565" s="20" t="s">
        <v>323</v>
      </c>
      <c r="B565" s="20" t="n">
        <v>2026</v>
      </c>
      <c r="C565" s="21" t="n">
        <v>-3</v>
      </c>
      <c r="D565" s="22" t="n">
        <v>-710.5</v>
      </c>
      <c r="E565" s="20" t="n">
        <f aca="false">IFERROR(INDEX('Catalog'!$A:$A,MATCH($A565,'Catalog'!$B:$B,0)),IFERROR(INDEX('Catalog'!$A:$A,MATCH(TRIM(SUBSTITUTE($A565,CHAR(160)," ")),'Catalog'!$C:$C,0)),""))</f>
        <v>4408015</v>
      </c>
      <c r="F565" s="20" t="str">
        <f aca="false">IF($E565="","Unmatched","Matched")</f>
        <v>Matched</v>
      </c>
    </row>
    <row r="566" customFormat="false" ht="15" hidden="false" customHeight="false" outlineLevel="0" collapsed="false">
      <c r="A566" s="20" t="s">
        <v>324</v>
      </c>
      <c r="B566" s="20" t="n">
        <v>2026</v>
      </c>
      <c r="C566" s="21" t="n">
        <v>-2</v>
      </c>
      <c r="D566" s="22" t="n">
        <v>-485.2</v>
      </c>
      <c r="E566" s="20" t="n">
        <f aca="false">IFERROR(INDEX('Catalog'!$A:$A,MATCH($A566,'Catalog'!$B:$B,0)),IFERROR(INDEX('Catalog'!$A:$A,MATCH(TRIM(SUBSTITUTE($A566,CHAR(160)," ")),'Catalog'!$C:$C,0)),""))</f>
        <v>4408016</v>
      </c>
      <c r="F566" s="20" t="str">
        <f aca="false">IF($E566="","Unmatched","Matched")</f>
        <v>Matched</v>
      </c>
    </row>
    <row r="567" customFormat="false" ht="15" hidden="false" customHeight="false" outlineLevel="0" collapsed="false">
      <c r="A567" s="20" t="s">
        <v>326</v>
      </c>
      <c r="B567" s="20" t="n">
        <v>2026</v>
      </c>
      <c r="C567" s="21" t="n">
        <v>2</v>
      </c>
      <c r="D567" s="22" t="n">
        <v>454.9</v>
      </c>
      <c r="E567" s="20" t="n">
        <f aca="false">IFERROR(INDEX('Catalog'!$A:$A,MATCH($A567,'Catalog'!$B:$B,0)),IFERROR(INDEX('Catalog'!$A:$A,MATCH(TRIM(SUBSTITUTE($A567,CHAR(160)," ")),'Catalog'!$C:$C,0)),""))</f>
        <v>4408017</v>
      </c>
      <c r="F567" s="20" t="str">
        <f aca="false">IF($E567="","Unmatched","Matched")</f>
        <v>Matched</v>
      </c>
    </row>
    <row r="568" customFormat="false" ht="15" hidden="false" customHeight="false" outlineLevel="0" collapsed="false">
      <c r="A568" s="20" t="s">
        <v>331</v>
      </c>
      <c r="B568" s="20" t="n">
        <v>2026</v>
      </c>
      <c r="C568" s="21" t="n">
        <v>0</v>
      </c>
      <c r="D568" s="22" t="n">
        <v>13.7</v>
      </c>
      <c r="E568" s="20" t="n">
        <f aca="false">IFERROR(INDEX('Catalog'!$A:$A,MATCH($A568,'Catalog'!$B:$B,0)),IFERROR(INDEX('Catalog'!$A:$A,MATCH(TRIM(SUBSTITUTE($A568,CHAR(160)," ")),'Catalog'!$C:$C,0)),""))</f>
        <v>4408026</v>
      </c>
      <c r="F568" s="20" t="str">
        <f aca="false">IF($E568="","Unmatched","Matched")</f>
        <v>Matched</v>
      </c>
    </row>
    <row r="569" customFormat="false" ht="15" hidden="false" customHeight="false" outlineLevel="0" collapsed="false">
      <c r="A569" s="20" t="s">
        <v>329</v>
      </c>
      <c r="B569" s="20" t="n">
        <v>2026</v>
      </c>
      <c r="C569" s="21" t="n">
        <v>17</v>
      </c>
      <c r="D569" s="22" t="n">
        <v>2529.7</v>
      </c>
      <c r="E569" s="20" t="n">
        <f aca="false">IFERROR(INDEX('Catalog'!$A:$A,MATCH($A569,'Catalog'!$B:$B,0)),IFERROR(INDEX('Catalog'!$A:$A,MATCH(TRIM(SUBSTITUTE($A569,CHAR(160)," ")),'Catalog'!$C:$C,0)),""))</f>
        <v>4408027</v>
      </c>
      <c r="F569" s="20" t="str">
        <f aca="false">IF($E569="","Unmatched","Matched")</f>
        <v>Matched</v>
      </c>
    </row>
    <row r="570" customFormat="false" ht="15" hidden="false" customHeight="false" outlineLevel="0" collapsed="false">
      <c r="A570" s="20" t="s">
        <v>330</v>
      </c>
      <c r="B570" s="20" t="n">
        <v>2026</v>
      </c>
      <c r="C570" s="21" t="n">
        <v>8</v>
      </c>
      <c r="D570" s="22" t="n">
        <v>1158</v>
      </c>
      <c r="E570" s="20" t="n">
        <f aca="false">IFERROR(INDEX('Catalog'!$A:$A,MATCH($A570,'Catalog'!$B:$B,0)),IFERROR(INDEX('Catalog'!$A:$A,MATCH(TRIM(SUBSTITUTE($A570,CHAR(160)," ")),'Catalog'!$C:$C,0)),""))</f>
        <v>4408028</v>
      </c>
      <c r="F570" s="20" t="str">
        <f aca="false">IF($E570="","Unmatched","Matched")</f>
        <v>Matched</v>
      </c>
    </row>
    <row r="571" customFormat="false" ht="15" hidden="false" customHeight="false" outlineLevel="0" collapsed="false">
      <c r="A571" s="20" t="s">
        <v>332</v>
      </c>
      <c r="B571" s="20" t="n">
        <v>2026</v>
      </c>
      <c r="C571" s="21" t="n">
        <v>13</v>
      </c>
      <c r="D571" s="22" t="n">
        <v>1896.8</v>
      </c>
      <c r="E571" s="20" t="n">
        <f aca="false">IFERROR(INDEX('Catalog'!$A:$A,MATCH($A571,'Catalog'!$B:$B,0)),IFERROR(INDEX('Catalog'!$A:$A,MATCH(TRIM(SUBSTITUTE($A571,CHAR(160)," ")),'Catalog'!$C:$C,0)),""))</f>
        <v>4408029</v>
      </c>
      <c r="F571" s="20" t="str">
        <f aca="false">IF($E571="","Unmatched","Matched")</f>
        <v>Matched</v>
      </c>
    </row>
    <row r="572" customFormat="false" ht="15" hidden="false" customHeight="false" outlineLevel="0" collapsed="false">
      <c r="A572" s="20" t="s">
        <v>333</v>
      </c>
      <c r="B572" s="20" t="n">
        <v>2026</v>
      </c>
      <c r="C572" s="21" t="n">
        <v>1</v>
      </c>
      <c r="D572" s="22" t="n">
        <v>148.4</v>
      </c>
      <c r="E572" s="20" t="n">
        <f aca="false">IFERROR(INDEX('Catalog'!$A:$A,MATCH($A572,'Catalog'!$B:$B,0)),IFERROR(INDEX('Catalog'!$A:$A,MATCH(TRIM(SUBSTITUTE($A572,CHAR(160)," ")),'Catalog'!$C:$C,0)),""))</f>
        <v>4408030</v>
      </c>
      <c r="F572" s="20" t="str">
        <f aca="false">IF($E572="","Unmatched","Matched")</f>
        <v>Matched</v>
      </c>
    </row>
    <row r="573" customFormat="false" ht="15" hidden="false" customHeight="false" outlineLevel="0" collapsed="false">
      <c r="A573" s="20" t="s">
        <v>336</v>
      </c>
      <c r="B573" s="20" t="n">
        <v>2026</v>
      </c>
      <c r="C573" s="21" t="n">
        <v>5</v>
      </c>
      <c r="D573" s="22" t="n">
        <v>534.5</v>
      </c>
      <c r="E573" s="20" t="n">
        <f aca="false">IFERROR(INDEX('Catalog'!$A:$A,MATCH($A573,'Catalog'!$B:$B,0)),IFERROR(INDEX('Catalog'!$A:$A,MATCH(TRIM(SUBSTITUTE($A573,CHAR(160)," ")),'Catalog'!$C:$C,0)),""))</f>
        <v>4408031</v>
      </c>
      <c r="F573" s="20" t="str">
        <f aca="false">IF($E573="","Unmatched","Matched")</f>
        <v>Matched</v>
      </c>
    </row>
    <row r="574" customFormat="false" ht="15" hidden="false" customHeight="false" outlineLevel="0" collapsed="false">
      <c r="A574" s="20" t="s">
        <v>334</v>
      </c>
      <c r="B574" s="20" t="n">
        <v>2026</v>
      </c>
      <c r="C574" s="21" t="n">
        <v>25</v>
      </c>
      <c r="D574" s="22" t="n">
        <v>2629.3</v>
      </c>
      <c r="E574" s="20" t="n">
        <f aca="false">IFERROR(INDEX('Catalog'!$A:$A,MATCH($A574,'Catalog'!$B:$B,0)),IFERROR(INDEX('Catalog'!$A:$A,MATCH(TRIM(SUBSTITUTE($A574,CHAR(160)," ")),'Catalog'!$C:$C,0)),""))</f>
        <v>4408032</v>
      </c>
      <c r="F574" s="20" t="str">
        <f aca="false">IF($E574="","Unmatched","Matched")</f>
        <v>Matched</v>
      </c>
    </row>
    <row r="575" customFormat="false" ht="15" hidden="false" customHeight="false" outlineLevel="0" collapsed="false">
      <c r="A575" s="20" t="s">
        <v>335</v>
      </c>
      <c r="B575" s="20" t="n">
        <v>2026</v>
      </c>
      <c r="C575" s="21" t="n">
        <v>24</v>
      </c>
      <c r="D575" s="22" t="n">
        <v>2466.9</v>
      </c>
      <c r="E575" s="20" t="n">
        <f aca="false">IFERROR(INDEX('Catalog'!$A:$A,MATCH($A575,'Catalog'!$B:$B,0)),IFERROR(INDEX('Catalog'!$A:$A,MATCH(TRIM(SUBSTITUTE($A575,CHAR(160)," ")),'Catalog'!$C:$C,0)),""))</f>
        <v>4408033</v>
      </c>
      <c r="F575" s="20" t="str">
        <f aca="false">IF($E575="","Unmatched","Matched")</f>
        <v>Matched</v>
      </c>
    </row>
    <row r="576" customFormat="false" ht="15" hidden="false" customHeight="false" outlineLevel="0" collapsed="false">
      <c r="A576" s="20" t="s">
        <v>337</v>
      </c>
      <c r="B576" s="20" t="n">
        <v>2026</v>
      </c>
      <c r="C576" s="21" t="n">
        <v>24</v>
      </c>
      <c r="D576" s="22" t="n">
        <v>2502.9</v>
      </c>
      <c r="E576" s="20" t="n">
        <f aca="false">IFERROR(INDEX('Catalog'!$A:$A,MATCH($A576,'Catalog'!$B:$B,0)),IFERROR(INDEX('Catalog'!$A:$A,MATCH(TRIM(SUBSTITUTE($A576,CHAR(160)," ")),'Catalog'!$C:$C,0)),""))</f>
        <v>4408034</v>
      </c>
      <c r="F576" s="20" t="str">
        <f aca="false">IF($E576="","Unmatched","Matched")</f>
        <v>Matched</v>
      </c>
    </row>
    <row r="577" customFormat="false" ht="15" hidden="false" customHeight="false" outlineLevel="0" collapsed="false">
      <c r="A577" s="20" t="s">
        <v>339</v>
      </c>
      <c r="B577" s="20" t="n">
        <v>2026</v>
      </c>
      <c r="C577" s="21" t="n">
        <v>10</v>
      </c>
      <c r="D577" s="22" t="n">
        <v>1077.6</v>
      </c>
      <c r="E577" s="20" t="n">
        <f aca="false">IFERROR(INDEX('Catalog'!$A:$A,MATCH($A577,'Catalog'!$B:$B,0)),IFERROR(INDEX('Catalog'!$A:$A,MATCH(TRIM(SUBSTITUTE($A577,CHAR(160)," ")),'Catalog'!$C:$C,0)),""))</f>
        <v>4408035</v>
      </c>
      <c r="F577" s="20" t="str">
        <f aca="false">IF($E577="","Unmatched","Matched")</f>
        <v>Matched</v>
      </c>
    </row>
    <row r="578" customFormat="false" ht="15" hidden="false" customHeight="false" outlineLevel="0" collapsed="false">
      <c r="A578" s="20" t="s">
        <v>389</v>
      </c>
      <c r="B578" s="20" t="n">
        <v>2026</v>
      </c>
      <c r="C578" s="21" t="n">
        <v>-1</v>
      </c>
      <c r="D578" s="22" t="n">
        <v>-247.5</v>
      </c>
      <c r="E578" s="20" t="n">
        <f aca="false">IFERROR(INDEX('Catalog'!$A:$A,MATCH($A578,'Catalog'!$B:$B,0)),IFERROR(INDEX('Catalog'!$A:$A,MATCH(TRIM(SUBSTITUTE($A578,CHAR(160)," ")),'Catalog'!$C:$C,0)),""))</f>
        <v>4408041</v>
      </c>
      <c r="F578" s="20" t="str">
        <f aca="false">IF($E578="","Unmatched","Matched")</f>
        <v>Matched</v>
      </c>
    </row>
    <row r="579" customFormat="false" ht="15" hidden="false" customHeight="false" outlineLevel="0" collapsed="false">
      <c r="A579" s="20" t="s">
        <v>387</v>
      </c>
      <c r="B579" s="20" t="n">
        <v>2026</v>
      </c>
      <c r="C579" s="21" t="n">
        <v>-1</v>
      </c>
      <c r="D579" s="22" t="n">
        <v>-247.5</v>
      </c>
      <c r="E579" s="20" t="n">
        <f aca="false">IFERROR(INDEX('Catalog'!$A:$A,MATCH($A579,'Catalog'!$B:$B,0)),IFERROR(INDEX('Catalog'!$A:$A,MATCH(TRIM(SUBSTITUTE($A579,CHAR(160)," ")),'Catalog'!$C:$C,0)),""))</f>
        <v>4408042</v>
      </c>
      <c r="F579" s="20" t="str">
        <f aca="false">IF($E579="","Unmatched","Matched")</f>
        <v>Matched</v>
      </c>
    </row>
    <row r="580" customFormat="false" ht="15" hidden="false" customHeight="false" outlineLevel="0" collapsed="false">
      <c r="A580" s="20" t="s">
        <v>388</v>
      </c>
      <c r="B580" s="20" t="n">
        <v>2026</v>
      </c>
      <c r="C580" s="21" t="n">
        <v>-1</v>
      </c>
      <c r="D580" s="22" t="n">
        <v>-247.5</v>
      </c>
      <c r="E580" s="20" t="n">
        <f aca="false">IFERROR(INDEX('Catalog'!$A:$A,MATCH($A580,'Catalog'!$B:$B,0)),IFERROR(INDEX('Catalog'!$A:$A,MATCH(TRIM(SUBSTITUTE($A580,CHAR(160)," ")),'Catalog'!$C:$C,0)),""))</f>
        <v>4408043</v>
      </c>
      <c r="F580" s="20" t="str">
        <f aca="false">IF($E580="","Unmatched","Matched")</f>
        <v>Matched</v>
      </c>
    </row>
    <row r="581" customFormat="false" ht="15" hidden="false" customHeight="false" outlineLevel="0" collapsed="false">
      <c r="A581" s="20" t="s">
        <v>386</v>
      </c>
      <c r="B581" s="20" t="n">
        <v>2026</v>
      </c>
      <c r="C581" s="21" t="n">
        <v>-1</v>
      </c>
      <c r="D581" s="22" t="n">
        <v>-247.5</v>
      </c>
      <c r="E581" s="20" t="n">
        <f aca="false">IFERROR(INDEX('Catalog'!$A:$A,MATCH($A581,'Catalog'!$B:$B,0)),IFERROR(INDEX('Catalog'!$A:$A,MATCH(TRIM(SUBSTITUTE($A581,CHAR(160)," ")),'Catalog'!$C:$C,0)),""))</f>
        <v>4408044</v>
      </c>
      <c r="F581" s="20" t="str">
        <f aca="false">IF($E581="","Unmatched","Matched")</f>
        <v>Matched</v>
      </c>
    </row>
    <row r="582" customFormat="false" ht="15" hidden="false" customHeight="false" outlineLevel="0" collapsed="false">
      <c r="A582" s="20" t="s">
        <v>656</v>
      </c>
      <c r="B582" s="20" t="n">
        <v>2026</v>
      </c>
      <c r="C582" s="21" t="n">
        <v>95</v>
      </c>
      <c r="D582" s="22" t="n">
        <v>3068.3</v>
      </c>
      <c r="E582" s="20" t="n">
        <f aca="false">IFERROR(INDEX('Catalog'!$A:$A,MATCH($A582,'Catalog'!$B:$B,0)),IFERROR(INDEX('Catalog'!$A:$A,MATCH(TRIM(SUBSTITUTE($A582,CHAR(160)," ")),'Catalog'!$C:$C,0)),""))</f>
        <v>4408046</v>
      </c>
      <c r="F582" s="20" t="str">
        <f aca="false">IF($E582="","Unmatched","Matched")</f>
        <v>Matched</v>
      </c>
    </row>
    <row r="583" customFormat="false" ht="15" hidden="false" customHeight="false" outlineLevel="0" collapsed="false">
      <c r="A583" s="20" t="s">
        <v>657</v>
      </c>
      <c r="B583" s="20" t="n">
        <v>2026</v>
      </c>
      <c r="C583" s="21" t="n">
        <v>103</v>
      </c>
      <c r="D583" s="22" t="n">
        <v>3352.3</v>
      </c>
      <c r="E583" s="20" t="n">
        <f aca="false">IFERROR(INDEX('Catalog'!$A:$A,MATCH($A583,'Catalog'!$B:$B,0)),IFERROR(INDEX('Catalog'!$A:$A,MATCH(TRIM(SUBSTITUTE($A583,CHAR(160)," ")),'Catalog'!$C:$C,0)),""))</f>
        <v>4408047</v>
      </c>
      <c r="F583" s="20" t="str">
        <f aca="false">IF($E583="","Unmatched","Matched")</f>
        <v>Matched</v>
      </c>
    </row>
    <row r="584" customFormat="false" ht="15" hidden="false" customHeight="false" outlineLevel="0" collapsed="false">
      <c r="A584" s="20" t="s">
        <v>658</v>
      </c>
      <c r="B584" s="20" t="n">
        <v>2026</v>
      </c>
      <c r="C584" s="21" t="n">
        <v>57</v>
      </c>
      <c r="D584" s="22" t="n">
        <v>1860</v>
      </c>
      <c r="E584" s="20" t="n">
        <f aca="false">IFERROR(INDEX('Catalog'!$A:$A,MATCH($A584,'Catalog'!$B:$B,0)),IFERROR(INDEX('Catalog'!$A:$A,MATCH(TRIM(SUBSTITUTE($A584,CHAR(160)," ")),'Catalog'!$C:$C,0)),""))</f>
        <v>4408048</v>
      </c>
      <c r="F584" s="20" t="str">
        <f aca="false">IF($E584="","Unmatched","Matched")</f>
        <v>Matched</v>
      </c>
    </row>
    <row r="585" customFormat="false" ht="15" hidden="false" customHeight="false" outlineLevel="0" collapsed="false">
      <c r="A585" s="20" t="s">
        <v>659</v>
      </c>
      <c r="B585" s="20" t="n">
        <v>2026</v>
      </c>
      <c r="C585" s="21" t="n">
        <v>30</v>
      </c>
      <c r="D585" s="22" t="n">
        <v>971.3</v>
      </c>
      <c r="E585" s="20" t="n">
        <f aca="false">IFERROR(INDEX('Catalog'!$A:$A,MATCH($A585,'Catalog'!$B:$B,0)),IFERROR(INDEX('Catalog'!$A:$A,MATCH(TRIM(SUBSTITUTE($A585,CHAR(160)," ")),'Catalog'!$C:$C,0)),""))</f>
        <v>4408049</v>
      </c>
      <c r="F585" s="20" t="str">
        <f aca="false">IF($E585="","Unmatched","Matched")</f>
        <v>Matched</v>
      </c>
    </row>
    <row r="586" customFormat="false" ht="15" hidden="false" customHeight="false" outlineLevel="0" collapsed="false">
      <c r="A586" s="20" t="s">
        <v>660</v>
      </c>
      <c r="B586" s="20" t="n">
        <v>2026</v>
      </c>
      <c r="C586" s="21" t="n">
        <v>2</v>
      </c>
      <c r="D586" s="22" t="n">
        <v>66.5</v>
      </c>
      <c r="E586" s="20" t="n">
        <f aca="false">IFERROR(INDEX('Catalog'!$A:$A,MATCH($A586,'Catalog'!$B:$B,0)),IFERROR(INDEX('Catalog'!$A:$A,MATCH(TRIM(SUBSTITUTE($A586,CHAR(160)," ")),'Catalog'!$C:$C,0)),""))</f>
        <v>4408050</v>
      </c>
      <c r="F586" s="20" t="str">
        <f aca="false">IF($E586="","Unmatched","Matched")</f>
        <v>Matched</v>
      </c>
    </row>
    <row r="587" customFormat="false" ht="15" hidden="false" customHeight="false" outlineLevel="0" collapsed="false">
      <c r="A587" s="20" t="s">
        <v>664</v>
      </c>
      <c r="B587" s="20" t="n">
        <v>2026</v>
      </c>
      <c r="C587" s="21" t="n">
        <v>162</v>
      </c>
      <c r="D587" s="22" t="n">
        <v>6356.1</v>
      </c>
      <c r="E587" s="20" t="n">
        <f aca="false">IFERROR(INDEX('Catalog'!$A:$A,MATCH($A587,'Catalog'!$B:$B,0)),IFERROR(INDEX('Catalog'!$A:$A,MATCH(TRIM(SUBSTITUTE($A587,CHAR(160)," ")),'Catalog'!$C:$C,0)),""))</f>
        <v>4408051</v>
      </c>
      <c r="F587" s="20" t="str">
        <f aca="false">IF($E587="","Unmatched","Matched")</f>
        <v>Matched</v>
      </c>
    </row>
    <row r="588" customFormat="false" ht="15" hidden="false" customHeight="false" outlineLevel="0" collapsed="false">
      <c r="A588" s="20" t="s">
        <v>662</v>
      </c>
      <c r="B588" s="20" t="n">
        <v>2026</v>
      </c>
      <c r="C588" s="21" t="n">
        <v>290</v>
      </c>
      <c r="D588" s="22" t="n">
        <v>11311.7</v>
      </c>
      <c r="E588" s="20" t="n">
        <f aca="false">IFERROR(INDEX('Catalog'!$A:$A,MATCH($A588,'Catalog'!$B:$B,0)),IFERROR(INDEX('Catalog'!$A:$A,MATCH(TRIM(SUBSTITUTE($A588,CHAR(160)," ")),'Catalog'!$C:$C,0)),""))</f>
        <v>4408052</v>
      </c>
      <c r="F588" s="20" t="str">
        <f aca="false">IF($E588="","Unmatched","Matched")</f>
        <v>Matched</v>
      </c>
    </row>
    <row r="589" customFormat="false" ht="15" hidden="false" customHeight="false" outlineLevel="0" collapsed="false">
      <c r="A589" s="20" t="s">
        <v>663</v>
      </c>
      <c r="B589" s="20" t="n">
        <v>2026</v>
      </c>
      <c r="C589" s="21" t="n">
        <v>380</v>
      </c>
      <c r="D589" s="22" t="n">
        <v>14853.3</v>
      </c>
      <c r="E589" s="20" t="n">
        <f aca="false">IFERROR(INDEX('Catalog'!$A:$A,MATCH($A589,'Catalog'!$B:$B,0)),IFERROR(INDEX('Catalog'!$A:$A,MATCH(TRIM(SUBSTITUTE($A589,CHAR(160)," ")),'Catalog'!$C:$C,0)),""))</f>
        <v>4408053</v>
      </c>
      <c r="F589" s="20" t="str">
        <f aca="false">IF($E589="","Unmatched","Matched")</f>
        <v>Matched</v>
      </c>
    </row>
    <row r="590" customFormat="false" ht="15" hidden="false" customHeight="false" outlineLevel="0" collapsed="false">
      <c r="A590" s="20" t="s">
        <v>665</v>
      </c>
      <c r="B590" s="20" t="n">
        <v>2026</v>
      </c>
      <c r="C590" s="21" t="n">
        <v>113</v>
      </c>
      <c r="D590" s="22" t="n">
        <v>4321.4</v>
      </c>
      <c r="E590" s="20" t="n">
        <f aca="false">IFERROR(INDEX('Catalog'!$A:$A,MATCH($A590,'Catalog'!$B:$B,0)),IFERROR(INDEX('Catalog'!$A:$A,MATCH(TRIM(SUBSTITUTE($A590,CHAR(160)," ")),'Catalog'!$C:$C,0)),""))</f>
        <v>4408054</v>
      </c>
      <c r="F590" s="20" t="str">
        <f aca="false">IF($E590="","Unmatched","Matched")</f>
        <v>Matched</v>
      </c>
    </row>
    <row r="591" customFormat="false" ht="15" hidden="false" customHeight="false" outlineLevel="0" collapsed="false">
      <c r="A591" s="20" t="s">
        <v>689</v>
      </c>
      <c r="B591" s="20" t="n">
        <v>2026</v>
      </c>
      <c r="C591" s="21" t="n">
        <v>-1</v>
      </c>
      <c r="D591" s="22" t="n">
        <v>-53.2</v>
      </c>
      <c r="E591" s="20" t="n">
        <f aca="false">IFERROR(INDEX('Catalog'!$A:$A,MATCH($A591,'Catalog'!$B:$B,0)),IFERROR(INDEX('Catalog'!$A:$A,MATCH(TRIM(SUBSTITUTE($A591,CHAR(160)," ")),'Catalog'!$C:$C,0)),""))</f>
        <v>4408062</v>
      </c>
      <c r="F591" s="20" t="str">
        <f aca="false">IF($E591="","Unmatched","Matched")</f>
        <v>Matched</v>
      </c>
    </row>
    <row r="592" customFormat="false" ht="15" hidden="false" customHeight="false" outlineLevel="0" collapsed="false">
      <c r="A592" s="20" t="s">
        <v>641</v>
      </c>
      <c r="B592" s="20" t="n">
        <v>2026</v>
      </c>
      <c r="C592" s="21" t="n">
        <v>2</v>
      </c>
      <c r="D592" s="22" t="n">
        <v>178</v>
      </c>
      <c r="E592" s="20" t="n">
        <f aca="false">IFERROR(INDEX('Catalog'!$A:$A,MATCH($A592,'Catalog'!$B:$B,0)),IFERROR(INDEX('Catalog'!$A:$A,MATCH(TRIM(SUBSTITUTE($A592,CHAR(160)," ")),'Catalog'!$C:$C,0)),""))</f>
        <v>4408069</v>
      </c>
      <c r="F592" s="20" t="str">
        <f aca="false">IF($E592="","Unmatched","Matched")</f>
        <v>Matched</v>
      </c>
    </row>
    <row r="593" customFormat="false" ht="15" hidden="false" customHeight="false" outlineLevel="0" collapsed="false">
      <c r="A593" s="20" t="s">
        <v>530</v>
      </c>
      <c r="B593" s="20" t="n">
        <v>2026</v>
      </c>
      <c r="C593" s="21" t="n">
        <v>3</v>
      </c>
      <c r="D593" s="22" t="n">
        <v>879.2</v>
      </c>
      <c r="E593" s="20" t="n">
        <f aca="false">IFERROR(INDEX('Catalog'!$A:$A,MATCH($A593,'Catalog'!$B:$B,0)),IFERROR(INDEX('Catalog'!$A:$A,MATCH(TRIM(SUBSTITUTE($A593,CHAR(160)," ")),'Catalog'!$C:$C,0)),""))</f>
        <v>4408071</v>
      </c>
      <c r="F593" s="20" t="str">
        <f aca="false">IF($E593="","Unmatched","Matched")</f>
        <v>Matched</v>
      </c>
    </row>
    <row r="594" customFormat="false" ht="15" hidden="false" customHeight="false" outlineLevel="0" collapsed="false">
      <c r="A594" s="20" t="s">
        <v>531</v>
      </c>
      <c r="B594" s="20" t="n">
        <v>2026</v>
      </c>
      <c r="C594" s="21" t="n">
        <v>1</v>
      </c>
      <c r="D594" s="22" t="n">
        <v>314</v>
      </c>
      <c r="E594" s="20" t="n">
        <f aca="false">IFERROR(INDEX('Catalog'!$A:$A,MATCH($A594,'Catalog'!$B:$B,0)),IFERROR(INDEX('Catalog'!$A:$A,MATCH(TRIM(SUBSTITUTE($A594,CHAR(160)," ")),'Catalog'!$C:$C,0)),""))</f>
        <v>4408072</v>
      </c>
      <c r="F594" s="20" t="str">
        <f aca="false">IF($E594="","Unmatched","Matched")</f>
        <v>Matched</v>
      </c>
    </row>
    <row r="595" customFormat="false" ht="15" hidden="false" customHeight="false" outlineLevel="0" collapsed="false">
      <c r="A595" s="20" t="s">
        <v>533</v>
      </c>
      <c r="B595" s="20" t="n">
        <v>2026</v>
      </c>
      <c r="C595" s="21" t="n">
        <v>1</v>
      </c>
      <c r="D595" s="22" t="n">
        <v>316.1</v>
      </c>
      <c r="E595" s="20" t="n">
        <f aca="false">IFERROR(INDEX('Catalog'!$A:$A,MATCH($A595,'Catalog'!$B:$B,0)),IFERROR(INDEX('Catalog'!$A:$A,MATCH(TRIM(SUBSTITUTE($A595,CHAR(160)," ")),'Catalog'!$C:$C,0)),""))</f>
        <v>4408073</v>
      </c>
      <c r="F595" s="20" t="str">
        <f aca="false">IF($E595="","Unmatched","Matched")</f>
        <v>Matched</v>
      </c>
    </row>
    <row r="596" customFormat="false" ht="15" hidden="false" customHeight="false" outlineLevel="0" collapsed="false">
      <c r="A596" s="20" t="s">
        <v>537</v>
      </c>
      <c r="B596" s="20" t="n">
        <v>2026</v>
      </c>
      <c r="C596" s="21" t="n">
        <v>1</v>
      </c>
      <c r="D596" s="22" t="n">
        <v>187.4</v>
      </c>
      <c r="E596" s="20" t="n">
        <f aca="false">IFERROR(INDEX('Catalog'!$A:$A,MATCH($A596,'Catalog'!$B:$B,0)),IFERROR(INDEX('Catalog'!$A:$A,MATCH(TRIM(SUBSTITUTE($A596,CHAR(160)," ")),'Catalog'!$C:$C,0)),""))</f>
        <v>4408075</v>
      </c>
      <c r="F596" s="20" t="str">
        <f aca="false">IF($E596="","Unmatched","Matched")</f>
        <v>Matched</v>
      </c>
    </row>
    <row r="597" customFormat="false" ht="15" hidden="false" customHeight="false" outlineLevel="0" collapsed="false">
      <c r="A597" s="20" t="s">
        <v>535</v>
      </c>
      <c r="B597" s="20" t="n">
        <v>2026</v>
      </c>
      <c r="C597" s="21" t="n">
        <v>3</v>
      </c>
      <c r="D597" s="22" t="n">
        <v>537.3</v>
      </c>
      <c r="E597" s="20" t="n">
        <f aca="false">IFERROR(INDEX('Catalog'!$A:$A,MATCH($A597,'Catalog'!$B:$B,0)),IFERROR(INDEX('Catalog'!$A:$A,MATCH(TRIM(SUBSTITUTE($A597,CHAR(160)," ")),'Catalog'!$C:$C,0)),""))</f>
        <v>4408076</v>
      </c>
      <c r="F597" s="20" t="str">
        <f aca="false">IF($E597="","Unmatched","Matched")</f>
        <v>Matched</v>
      </c>
    </row>
    <row r="598" customFormat="false" ht="15" hidden="false" customHeight="false" outlineLevel="0" collapsed="false">
      <c r="A598" s="20" t="s">
        <v>536</v>
      </c>
      <c r="B598" s="20" t="n">
        <v>2026</v>
      </c>
      <c r="C598" s="21" t="n">
        <v>2</v>
      </c>
      <c r="D598" s="22" t="n">
        <v>374.9</v>
      </c>
      <c r="E598" s="20" t="n">
        <f aca="false">IFERROR(INDEX('Catalog'!$A:$A,MATCH($A598,'Catalog'!$B:$B,0)),IFERROR(INDEX('Catalog'!$A:$A,MATCH(TRIM(SUBSTITUTE($A598,CHAR(160)," ")),'Catalog'!$C:$C,0)),""))</f>
        <v>4408077</v>
      </c>
      <c r="F598" s="20" t="str">
        <f aca="false">IF($E598="","Unmatched","Matched")</f>
        <v>Matched</v>
      </c>
    </row>
    <row r="599" customFormat="false" ht="15" hidden="false" customHeight="false" outlineLevel="0" collapsed="false">
      <c r="A599" s="20" t="s">
        <v>538</v>
      </c>
      <c r="B599" s="20" t="n">
        <v>2026</v>
      </c>
      <c r="C599" s="21" t="n">
        <v>1</v>
      </c>
      <c r="D599" s="22" t="n">
        <v>187.4</v>
      </c>
      <c r="E599" s="20" t="n">
        <f aca="false">IFERROR(INDEX('Catalog'!$A:$A,MATCH($A599,'Catalog'!$B:$B,0)),IFERROR(INDEX('Catalog'!$A:$A,MATCH(TRIM(SUBSTITUTE($A599,CHAR(160)," ")),'Catalog'!$C:$C,0)),""))</f>
        <v>4408078</v>
      </c>
      <c r="F599" s="20" t="str">
        <f aca="false">IF($E599="","Unmatched","Matched")</f>
        <v>Matched</v>
      </c>
    </row>
    <row r="600" customFormat="false" ht="15" hidden="false" customHeight="false" outlineLevel="0" collapsed="false">
      <c r="A600" s="20" t="s">
        <v>541</v>
      </c>
      <c r="B600" s="20" t="n">
        <v>2026</v>
      </c>
      <c r="C600" s="21" t="n">
        <v>0</v>
      </c>
      <c r="D600" s="22" t="n">
        <v>-22.4</v>
      </c>
      <c r="E600" s="20" t="n">
        <f aca="false">IFERROR(INDEX('Catalog'!$A:$A,MATCH($A600,'Catalog'!$B:$B,0)),IFERROR(INDEX('Catalog'!$A:$A,MATCH(TRIM(SUBSTITUTE($A600,CHAR(160)," ")),'Catalog'!$C:$C,0)),""))</f>
        <v>4408079</v>
      </c>
      <c r="F600" s="20" t="str">
        <f aca="false">IF($E600="","Unmatched","Matched")</f>
        <v>Matched</v>
      </c>
    </row>
    <row r="601" customFormat="false" ht="15" hidden="false" customHeight="false" outlineLevel="0" collapsed="false">
      <c r="A601" s="20" t="s">
        <v>539</v>
      </c>
      <c r="B601" s="20" t="n">
        <v>2026</v>
      </c>
      <c r="C601" s="21" t="n">
        <v>4</v>
      </c>
      <c r="D601" s="22" t="n">
        <v>762.3</v>
      </c>
      <c r="E601" s="20" t="n">
        <f aca="false">IFERROR(INDEX('Catalog'!$A:$A,MATCH($A601,'Catalog'!$B:$B,0)),IFERROR(INDEX('Catalog'!$A:$A,MATCH(TRIM(SUBSTITUTE($A601,CHAR(160)," ")),'Catalog'!$C:$C,0)),""))</f>
        <v>4408080</v>
      </c>
      <c r="F601" s="20" t="str">
        <f aca="false">IF($E601="","Unmatched","Matched")</f>
        <v>Matched</v>
      </c>
    </row>
    <row r="602" customFormat="false" ht="15" hidden="false" customHeight="false" outlineLevel="0" collapsed="false">
      <c r="A602" s="20" t="s">
        <v>540</v>
      </c>
      <c r="B602" s="20" t="n">
        <v>2026</v>
      </c>
      <c r="C602" s="21" t="n">
        <v>6</v>
      </c>
      <c r="D602" s="22" t="n">
        <v>1087.2</v>
      </c>
      <c r="E602" s="20" t="n">
        <f aca="false">IFERROR(INDEX('Catalog'!$A:$A,MATCH($A602,'Catalog'!$B:$B,0)),IFERROR(INDEX('Catalog'!$A:$A,MATCH(TRIM(SUBSTITUTE($A602,CHAR(160)," ")),'Catalog'!$C:$C,0)),""))</f>
        <v>4408081</v>
      </c>
      <c r="F602" s="20" t="str">
        <f aca="false">IF($E602="","Unmatched","Matched")</f>
        <v>Matched</v>
      </c>
    </row>
    <row r="603" customFormat="false" ht="15" hidden="false" customHeight="false" outlineLevel="0" collapsed="false">
      <c r="A603" s="20" t="s">
        <v>542</v>
      </c>
      <c r="B603" s="20" t="n">
        <v>2026</v>
      </c>
      <c r="C603" s="21" t="n">
        <v>2</v>
      </c>
      <c r="D603" s="22" t="n">
        <v>374.9</v>
      </c>
      <c r="E603" s="20" t="n">
        <f aca="false">IFERROR(INDEX('Catalog'!$A:$A,MATCH($A603,'Catalog'!$B:$B,0)),IFERROR(INDEX('Catalog'!$A:$A,MATCH(TRIM(SUBSTITUTE($A603,CHAR(160)," ")),'Catalog'!$C:$C,0)),""))</f>
        <v>4408082</v>
      </c>
      <c r="F603" s="20" t="str">
        <f aca="false">IF($E603="","Unmatched","Matched")</f>
        <v>Matched</v>
      </c>
    </row>
    <row r="604" customFormat="false" ht="15" hidden="false" customHeight="false" outlineLevel="0" collapsed="false">
      <c r="A604" s="20" t="s">
        <v>550</v>
      </c>
      <c r="B604" s="20" t="n">
        <v>2026</v>
      </c>
      <c r="C604" s="21" t="n">
        <v>2</v>
      </c>
      <c r="D604" s="22" t="n">
        <v>283.9</v>
      </c>
      <c r="E604" s="20" t="n">
        <f aca="false">IFERROR(INDEX('Catalog'!$A:$A,MATCH($A604,'Catalog'!$B:$B,0)),IFERROR(INDEX('Catalog'!$A:$A,MATCH(TRIM(SUBSTITUTE($A604,CHAR(160)," ")),'Catalog'!$C:$C,0)),""))</f>
        <v>4408084</v>
      </c>
      <c r="F604" s="20" t="str">
        <f aca="false">IF($E604="","Unmatched","Matched")</f>
        <v>Matched</v>
      </c>
    </row>
    <row r="605" customFormat="false" ht="15" hidden="false" customHeight="false" outlineLevel="0" collapsed="false">
      <c r="A605" s="20" t="s">
        <v>553</v>
      </c>
      <c r="B605" s="20" t="n">
        <v>2026</v>
      </c>
      <c r="C605" s="21" t="n">
        <v>1</v>
      </c>
      <c r="D605" s="22" t="n">
        <v>142</v>
      </c>
      <c r="E605" s="20" t="n">
        <f aca="false">IFERROR(INDEX('Catalog'!$A:$A,MATCH($A605,'Catalog'!$B:$B,0)),IFERROR(INDEX('Catalog'!$A:$A,MATCH(TRIM(SUBSTITUTE($A605,CHAR(160)," ")),'Catalog'!$C:$C,0)),""))</f>
        <v>4408087</v>
      </c>
      <c r="F605" s="20" t="str">
        <f aca="false">IF($E605="","Unmatched","Matched")</f>
        <v>Matched</v>
      </c>
    </row>
    <row r="606" customFormat="false" ht="15" hidden="false" customHeight="false" outlineLevel="0" collapsed="false">
      <c r="A606" s="20" t="s">
        <v>547</v>
      </c>
      <c r="B606" s="20" t="n">
        <v>2026</v>
      </c>
      <c r="C606" s="21" t="n">
        <v>11</v>
      </c>
      <c r="D606" s="22" t="n">
        <v>859.4</v>
      </c>
      <c r="E606" s="20" t="n">
        <f aca="false">IFERROR(INDEX('Catalog'!$A:$A,MATCH($A606,'Catalog'!$B:$B,0)),IFERROR(INDEX('Catalog'!$A:$A,MATCH(TRIM(SUBSTITUTE($A606,CHAR(160)," ")),'Catalog'!$C:$C,0)),""))</f>
        <v>4408088</v>
      </c>
      <c r="F606" s="20" t="str">
        <f aca="false">IF($E606="","Unmatched","Matched")</f>
        <v>Matched</v>
      </c>
    </row>
    <row r="607" customFormat="false" ht="15" hidden="false" customHeight="false" outlineLevel="0" collapsed="false">
      <c r="A607" s="20" t="s">
        <v>414</v>
      </c>
      <c r="B607" s="20" t="n">
        <v>2026</v>
      </c>
      <c r="C607" s="21" t="n">
        <v>1</v>
      </c>
      <c r="D607" s="22" t="n">
        <v>107.4</v>
      </c>
      <c r="E607" s="20" t="n">
        <f aca="false">IFERROR(INDEX('Catalog'!$A:$A,MATCH($A607,'Catalog'!$B:$B,0)),IFERROR(INDEX('Catalog'!$A:$A,MATCH(TRIM(SUBSTITUTE($A607,CHAR(160)," ")),'Catalog'!$C:$C,0)),""))</f>
        <v>4408089</v>
      </c>
      <c r="F607" s="20" t="str">
        <f aca="false">IF($E607="","Unmatched","Matched")</f>
        <v>Matched</v>
      </c>
    </row>
    <row r="608" customFormat="false" ht="15" hidden="false" customHeight="false" outlineLevel="0" collapsed="false">
      <c r="A608" s="20" t="s">
        <v>412</v>
      </c>
      <c r="B608" s="20" t="n">
        <v>2026</v>
      </c>
      <c r="C608" s="21" t="n">
        <v>4</v>
      </c>
      <c r="D608" s="22" t="n">
        <v>365.9</v>
      </c>
      <c r="E608" s="20" t="n">
        <f aca="false">IFERROR(INDEX('Catalog'!$A:$A,MATCH($A608,'Catalog'!$B:$B,0)),IFERROR(INDEX('Catalog'!$A:$A,MATCH(TRIM(SUBSTITUTE($A608,CHAR(160)," ")),'Catalog'!$C:$C,0)),""))</f>
        <v>4408090</v>
      </c>
      <c r="F608" s="20" t="str">
        <f aca="false">IF($E608="","Unmatched","Matched")</f>
        <v>Matched</v>
      </c>
    </row>
    <row r="609" customFormat="false" ht="15" hidden="false" customHeight="false" outlineLevel="0" collapsed="false">
      <c r="A609" s="20" t="s">
        <v>413</v>
      </c>
      <c r="B609" s="20" t="n">
        <v>2026</v>
      </c>
      <c r="C609" s="21" t="n">
        <v>2</v>
      </c>
      <c r="D609" s="22" t="n">
        <v>189.3</v>
      </c>
      <c r="E609" s="20" t="n">
        <f aca="false">IFERROR(INDEX('Catalog'!$A:$A,MATCH($A609,'Catalog'!$B:$B,0)),IFERROR(INDEX('Catalog'!$A:$A,MATCH(TRIM(SUBSTITUTE($A609,CHAR(160)," ")),'Catalog'!$C:$C,0)),""))</f>
        <v>4408091</v>
      </c>
      <c r="F609" s="20" t="str">
        <f aca="false">IF($E609="","Unmatched","Matched")</f>
        <v>Matched</v>
      </c>
    </row>
    <row r="610" customFormat="false" ht="15" hidden="false" customHeight="false" outlineLevel="0" collapsed="false">
      <c r="A610" s="20" t="s">
        <v>415</v>
      </c>
      <c r="B610" s="20" t="n">
        <v>2026</v>
      </c>
      <c r="C610" s="21" t="n">
        <v>7</v>
      </c>
      <c r="D610" s="22" t="n">
        <v>637.3</v>
      </c>
      <c r="E610" s="20" t="n">
        <f aca="false">IFERROR(INDEX('Catalog'!$A:$A,MATCH($A610,'Catalog'!$B:$B,0)),IFERROR(INDEX('Catalog'!$A:$A,MATCH(TRIM(SUBSTITUTE($A610,CHAR(160)," ")),'Catalog'!$C:$C,0)),""))</f>
        <v>4408092</v>
      </c>
      <c r="F610" s="20" t="str">
        <f aca="false">IF($E610="","Unmatched","Matched")</f>
        <v>Matched</v>
      </c>
    </row>
    <row r="611" customFormat="false" ht="15" hidden="false" customHeight="false" outlineLevel="0" collapsed="false">
      <c r="A611" s="20" t="s">
        <v>416</v>
      </c>
      <c r="B611" s="20" t="n">
        <v>2026</v>
      </c>
      <c r="C611" s="21" t="n">
        <v>5</v>
      </c>
      <c r="D611" s="22" t="n">
        <v>460.5</v>
      </c>
      <c r="E611" s="20" t="n">
        <f aca="false">IFERROR(INDEX('Catalog'!$A:$A,MATCH($A611,'Catalog'!$B:$B,0)),IFERROR(INDEX('Catalog'!$A:$A,MATCH(TRIM(SUBSTITUTE($A611,CHAR(160)," ")),'Catalog'!$C:$C,0)),""))</f>
        <v>4408093</v>
      </c>
      <c r="F611" s="20" t="str">
        <f aca="false">IF($E611="","Unmatched","Matched")</f>
        <v>Matched</v>
      </c>
    </row>
    <row r="612" customFormat="false" ht="15" hidden="false" customHeight="false" outlineLevel="0" collapsed="false">
      <c r="A612" s="20" t="s">
        <v>729</v>
      </c>
      <c r="B612" s="20" t="n">
        <v>2026</v>
      </c>
      <c r="C612" s="21" t="n">
        <v>61</v>
      </c>
      <c r="D612" s="22" t="n">
        <v>2134.4</v>
      </c>
      <c r="E612" s="20" t="n">
        <f aca="false">IFERROR(INDEX('Catalog'!$A:$A,MATCH($A612,'Catalog'!$B:$B,0)),IFERROR(INDEX('Catalog'!$A:$A,MATCH(TRIM(SUBSTITUTE($A612,CHAR(160)," ")),'Catalog'!$C:$C,0)),""))</f>
        <v>4408094</v>
      </c>
      <c r="F612" s="20" t="str">
        <f aca="false">IF($E612="","Unmatched","Matched")</f>
        <v>Matched</v>
      </c>
    </row>
    <row r="613" customFormat="false" ht="15" hidden="false" customHeight="false" outlineLevel="0" collapsed="false">
      <c r="A613" s="20" t="s">
        <v>728</v>
      </c>
      <c r="B613" s="20" t="n">
        <v>2026</v>
      </c>
      <c r="C613" s="21" t="n">
        <v>61</v>
      </c>
      <c r="D613" s="22" t="n">
        <v>2136.4</v>
      </c>
      <c r="E613" s="20" t="n">
        <f aca="false">IFERROR(INDEX('Catalog'!$A:$A,MATCH($A613,'Catalog'!$B:$B,0)),IFERROR(INDEX('Catalog'!$A:$A,MATCH(TRIM(SUBSTITUTE($A613,CHAR(160)," ")),'Catalog'!$C:$C,0)),""))</f>
        <v>4408095</v>
      </c>
      <c r="F613" s="20" t="str">
        <f aca="false">IF($E613="","Unmatched","Matched")</f>
        <v>Matched</v>
      </c>
    </row>
    <row r="614" customFormat="false" ht="15" hidden="false" customHeight="false" outlineLevel="0" collapsed="false">
      <c r="A614" s="20" t="s">
        <v>731</v>
      </c>
      <c r="B614" s="20" t="n">
        <v>2026</v>
      </c>
      <c r="C614" s="21" t="n">
        <v>32</v>
      </c>
      <c r="D614" s="22" t="n">
        <v>854.1</v>
      </c>
      <c r="E614" s="20" t="n">
        <f aca="false">IFERROR(INDEX('Catalog'!$A:$A,MATCH($A614,'Catalog'!$B:$B,0)),IFERROR(INDEX('Catalog'!$A:$A,MATCH(TRIM(SUBSTITUTE($A614,CHAR(160)," ")),'Catalog'!$C:$C,0)),""))</f>
        <v>4408096</v>
      </c>
      <c r="F614" s="20" t="str">
        <f aca="false">IF($E614="","Unmatched","Matched")</f>
        <v>Matched</v>
      </c>
    </row>
    <row r="615" customFormat="false" ht="15" hidden="false" customHeight="false" outlineLevel="0" collapsed="false">
      <c r="A615" s="20" t="s">
        <v>730</v>
      </c>
      <c r="B615" s="20" t="n">
        <v>2026</v>
      </c>
      <c r="C615" s="21" t="n">
        <v>37</v>
      </c>
      <c r="D615" s="22" t="n">
        <v>1290.3</v>
      </c>
      <c r="E615" s="20" t="n">
        <f aca="false">IFERROR(INDEX('Catalog'!$A:$A,MATCH($A615,'Catalog'!$B:$B,0)),IFERROR(INDEX('Catalog'!$A:$A,MATCH(TRIM(SUBSTITUTE($A615,CHAR(160)," ")),'Catalog'!$C:$C,0)),""))</f>
        <v>4408097</v>
      </c>
      <c r="F615" s="20" t="str">
        <f aca="false">IF($E615="","Unmatched","Matched")</f>
        <v>Matched</v>
      </c>
    </row>
    <row r="616" customFormat="false" ht="15" hidden="false" customHeight="false" outlineLevel="0" collapsed="false">
      <c r="A616" s="20" t="s">
        <v>732</v>
      </c>
      <c r="B616" s="20" t="n">
        <v>2026</v>
      </c>
      <c r="C616" s="21" t="n">
        <v>299</v>
      </c>
      <c r="D616" s="22" t="n">
        <v>13677.8</v>
      </c>
      <c r="E616" s="20" t="n">
        <f aca="false">IFERROR(INDEX('Catalog'!$A:$A,MATCH($A616,'Catalog'!$B:$B,0)),IFERROR(INDEX('Catalog'!$A:$A,MATCH(TRIM(SUBSTITUTE($A616,CHAR(160)," ")),'Catalog'!$C:$C,0)),""))</f>
        <v>4408098</v>
      </c>
      <c r="F616" s="20" t="str">
        <f aca="false">IF($E616="","Unmatched","Matched")</f>
        <v>Matched</v>
      </c>
    </row>
    <row r="617" customFormat="false" ht="15" hidden="false" customHeight="false" outlineLevel="0" collapsed="false">
      <c r="A617" s="20" t="s">
        <v>734</v>
      </c>
      <c r="B617" s="20" t="n">
        <v>2026</v>
      </c>
      <c r="C617" s="21" t="n">
        <v>347</v>
      </c>
      <c r="D617" s="22" t="n">
        <v>15612.2</v>
      </c>
      <c r="E617" s="20" t="n">
        <f aca="false">IFERROR(INDEX('Catalog'!$A:$A,MATCH($A617,'Catalog'!$B:$B,0)),IFERROR(INDEX('Catalog'!$A:$A,MATCH(TRIM(SUBSTITUTE($A617,CHAR(160)," ")),'Catalog'!$C:$C,0)),""))</f>
        <v>4408099</v>
      </c>
      <c r="F617" s="20" t="str">
        <f aca="false">IF($E617="","Unmatched","Matched")</f>
        <v>Matched</v>
      </c>
    </row>
    <row r="618" customFormat="false" ht="15" hidden="false" customHeight="false" outlineLevel="0" collapsed="false">
      <c r="A618" s="20" t="s">
        <v>342</v>
      </c>
      <c r="B618" s="20" t="n">
        <v>2026</v>
      </c>
      <c r="C618" s="21" t="n">
        <v>1</v>
      </c>
      <c r="D618" s="22" t="n">
        <v>102.8</v>
      </c>
      <c r="E618" s="20" t="n">
        <f aca="false">IFERROR(INDEX('Catalog'!$A:$A,MATCH($A618,'Catalog'!$B:$B,0)),IFERROR(INDEX('Catalog'!$A:$A,MATCH(TRIM(SUBSTITUTE($A618,CHAR(160)," ")),'Catalog'!$C:$C,0)),""))</f>
        <v>4408113</v>
      </c>
      <c r="F618" s="20" t="str">
        <f aca="false">IF($E618="","Unmatched","Matched")</f>
        <v>Matched</v>
      </c>
    </row>
    <row r="619" customFormat="false" ht="15" hidden="false" customHeight="false" outlineLevel="0" collapsed="false">
      <c r="A619" s="20" t="s">
        <v>341</v>
      </c>
      <c r="B619" s="20" t="n">
        <v>2026</v>
      </c>
      <c r="C619" s="21" t="n">
        <v>6</v>
      </c>
      <c r="D619" s="22" t="n">
        <v>660.6</v>
      </c>
      <c r="E619" s="20" t="n">
        <f aca="false">IFERROR(INDEX('Catalog'!$A:$A,MATCH($A619,'Catalog'!$B:$B,0)),IFERROR(INDEX('Catalog'!$A:$A,MATCH(TRIM(SUBSTITUTE($A619,CHAR(160)," ")),'Catalog'!$C:$C,0)),""))</f>
        <v>4408114</v>
      </c>
      <c r="F619" s="20" t="str">
        <f aca="false">IF($E619="","Unmatched","Matched")</f>
        <v>Matched</v>
      </c>
    </row>
    <row r="620" customFormat="false" ht="15" hidden="false" customHeight="false" outlineLevel="0" collapsed="false">
      <c r="A620" s="20" t="s">
        <v>340</v>
      </c>
      <c r="B620" s="20" t="n">
        <v>2026</v>
      </c>
      <c r="C620" s="21" t="n">
        <v>10</v>
      </c>
      <c r="D620" s="22" t="n">
        <v>1108.4</v>
      </c>
      <c r="E620" s="20" t="n">
        <f aca="false">IFERROR(INDEX('Catalog'!$A:$A,MATCH($A620,'Catalog'!$B:$B,0)),IFERROR(INDEX('Catalog'!$A:$A,MATCH(TRIM(SUBSTITUTE($A620,CHAR(160)," ")),'Catalog'!$C:$C,0)),""))</f>
        <v>4408115</v>
      </c>
      <c r="F620" s="20" t="str">
        <f aca="false">IF($E620="","Unmatched","Matched")</f>
        <v>Matched</v>
      </c>
    </row>
    <row r="621" customFormat="false" ht="15" hidden="false" customHeight="false" outlineLevel="0" collapsed="false">
      <c r="A621" s="20" t="s">
        <v>343</v>
      </c>
      <c r="B621" s="20" t="n">
        <v>2026</v>
      </c>
      <c r="C621" s="21" t="n">
        <v>9</v>
      </c>
      <c r="D621" s="22" t="n">
        <v>990.9</v>
      </c>
      <c r="E621" s="20" t="n">
        <f aca="false">IFERROR(INDEX('Catalog'!$A:$A,MATCH($A621,'Catalog'!$B:$B,0)),IFERROR(INDEX('Catalog'!$A:$A,MATCH(TRIM(SUBSTITUTE($A621,CHAR(160)," ")),'Catalog'!$C:$C,0)),""))</f>
        <v>4408116</v>
      </c>
      <c r="F621" s="20" t="str">
        <f aca="false">IF($E621="","Unmatched","Matched")</f>
        <v>Matched</v>
      </c>
    </row>
    <row r="622" customFormat="false" ht="15" hidden="false" customHeight="false" outlineLevel="0" collapsed="false">
      <c r="A622" s="20" t="s">
        <v>298</v>
      </c>
      <c r="B622" s="20" t="n">
        <v>2026</v>
      </c>
      <c r="C622" s="21" t="n">
        <v>1</v>
      </c>
      <c r="D622" s="22" t="n">
        <v>140.6</v>
      </c>
      <c r="E622" s="20" t="n">
        <f aca="false">IFERROR(INDEX('Catalog'!$A:$A,MATCH($A622,'Catalog'!$B:$B,0)),IFERROR(INDEX('Catalog'!$A:$A,MATCH(TRIM(SUBSTITUTE($A622,CHAR(160)," ")),'Catalog'!$C:$C,0)),""))</f>
        <v>4408119</v>
      </c>
      <c r="F622" s="20" t="str">
        <f aca="false">IF($E622="","Unmatched","Matched")</f>
        <v>Matched</v>
      </c>
    </row>
    <row r="623" customFormat="false" ht="15" hidden="false" customHeight="false" outlineLevel="0" collapsed="false">
      <c r="A623" s="20" t="s">
        <v>300</v>
      </c>
      <c r="B623" s="20" t="n">
        <v>2026</v>
      </c>
      <c r="C623" s="21" t="n">
        <v>1</v>
      </c>
      <c r="D623" s="22" t="n">
        <v>112.5</v>
      </c>
      <c r="E623" s="20" t="n">
        <f aca="false">IFERROR(INDEX('Catalog'!$A:$A,MATCH($A623,'Catalog'!$B:$B,0)),IFERROR(INDEX('Catalog'!$A:$A,MATCH(TRIM(SUBSTITUTE($A623,CHAR(160)," ")),'Catalog'!$C:$C,0)),""))</f>
        <v>4408120</v>
      </c>
      <c r="F623" s="20" t="str">
        <f aca="false">IF($E623="","Unmatched","Matched")</f>
        <v>Matched</v>
      </c>
    </row>
    <row r="624" customFormat="false" ht="15" hidden="false" customHeight="false" outlineLevel="0" collapsed="false">
      <c r="A624" s="20" t="s">
        <v>380</v>
      </c>
      <c r="B624" s="20" t="n">
        <v>2026</v>
      </c>
      <c r="C624" s="21" t="n">
        <v>-1</v>
      </c>
      <c r="D624" s="22" t="n">
        <v>-140.6</v>
      </c>
      <c r="E624" s="20" t="n">
        <f aca="false">IFERROR(INDEX('Catalog'!$A:$A,MATCH($A624,'Catalog'!$B:$B,0)),IFERROR(INDEX('Catalog'!$A:$A,MATCH(TRIM(SUBSTITUTE($A624,CHAR(160)," ")),'Catalog'!$C:$C,0)),""))</f>
        <v>4408130</v>
      </c>
      <c r="F624" s="20" t="str">
        <f aca="false">IF($E624="","Unmatched","Matched")</f>
        <v>Matched</v>
      </c>
    </row>
    <row r="625" customFormat="false" ht="15" hidden="false" customHeight="false" outlineLevel="0" collapsed="false">
      <c r="A625" s="20" t="s">
        <v>379</v>
      </c>
      <c r="B625" s="20" t="n">
        <v>2026</v>
      </c>
      <c r="C625" s="21" t="n">
        <v>1</v>
      </c>
      <c r="D625" s="22" t="n">
        <v>140.6</v>
      </c>
      <c r="E625" s="20" t="n">
        <f aca="false">IFERROR(INDEX('Catalog'!$A:$A,MATCH($A625,'Catalog'!$B:$B,0)),IFERROR(INDEX('Catalog'!$A:$A,MATCH(TRIM(SUBSTITUTE($A625,CHAR(160)," ")),'Catalog'!$C:$C,0)),""))</f>
        <v>4408131</v>
      </c>
      <c r="F625" s="20" t="str">
        <f aca="false">IF($E625="","Unmatched","Matched")</f>
        <v>Matched</v>
      </c>
    </row>
    <row r="626" customFormat="false" ht="15" hidden="false" customHeight="false" outlineLevel="0" collapsed="false">
      <c r="A626" s="20" t="s">
        <v>344</v>
      </c>
      <c r="B626" s="20" t="n">
        <v>2026</v>
      </c>
      <c r="C626" s="21" t="n">
        <v>18</v>
      </c>
      <c r="D626" s="22" t="n">
        <v>1981.8</v>
      </c>
      <c r="E626" s="20" t="n">
        <f aca="false">IFERROR(INDEX('Catalog'!$A:$A,MATCH($A626,'Catalog'!$B:$B,0)),IFERROR(INDEX('Catalog'!$A:$A,MATCH(TRIM(SUBSTITUTE($A626,CHAR(160)," ")),'Catalog'!$C:$C,0)),""))</f>
        <v>4408132</v>
      </c>
      <c r="F626" s="20" t="str">
        <f aca="false">IF($E626="","Unmatched","Matched")</f>
        <v>Matched</v>
      </c>
    </row>
    <row r="627" customFormat="false" ht="15" hidden="false" customHeight="false" outlineLevel="0" collapsed="false">
      <c r="A627" s="20" t="s">
        <v>304</v>
      </c>
      <c r="B627" s="20" t="n">
        <v>2026</v>
      </c>
      <c r="C627" s="21" t="n">
        <v>8</v>
      </c>
      <c r="D627" s="22" t="n">
        <v>1093</v>
      </c>
      <c r="E627" s="20" t="n">
        <f aca="false">IFERROR(INDEX('Catalog'!$A:$A,MATCH($A627,'Catalog'!$B:$B,0)),IFERROR(INDEX('Catalog'!$A:$A,MATCH(TRIM(SUBSTITUTE($A627,CHAR(160)," ")),'Catalog'!$C:$C,0)),""))</f>
        <v>4408134</v>
      </c>
      <c r="F627" s="20" t="str">
        <f aca="false">IF($E627="","Unmatched","Matched")</f>
        <v>Matched</v>
      </c>
    </row>
    <row r="628" customFormat="false" ht="15" hidden="false" customHeight="false" outlineLevel="0" collapsed="false">
      <c r="A628" s="20" t="s">
        <v>303</v>
      </c>
      <c r="B628" s="20" t="n">
        <v>2026</v>
      </c>
      <c r="C628" s="21" t="n">
        <v>8</v>
      </c>
      <c r="D628" s="22" t="n">
        <v>1113.6</v>
      </c>
      <c r="E628" s="20" t="n">
        <f aca="false">IFERROR(INDEX('Catalog'!$A:$A,MATCH($A628,'Catalog'!$B:$B,0)),IFERROR(INDEX('Catalog'!$A:$A,MATCH(TRIM(SUBSTITUTE($A628,CHAR(160)," ")),'Catalog'!$C:$C,0)),""))</f>
        <v>4408135</v>
      </c>
      <c r="F628" s="20" t="str">
        <f aca="false">IF($E628="","Unmatched","Matched")</f>
        <v>Matched</v>
      </c>
    </row>
    <row r="629" customFormat="false" ht="15" hidden="false" customHeight="false" outlineLevel="0" collapsed="false">
      <c r="A629" s="20" t="s">
        <v>345</v>
      </c>
      <c r="B629" s="20" t="n">
        <v>2026</v>
      </c>
      <c r="C629" s="21" t="n">
        <v>1</v>
      </c>
      <c r="D629" s="22" t="n">
        <v>135.9</v>
      </c>
      <c r="E629" s="20" t="n">
        <f aca="false">IFERROR(INDEX('Catalog'!$A:$A,MATCH($A629,'Catalog'!$B:$B,0)),IFERROR(INDEX('Catalog'!$A:$A,MATCH(TRIM(SUBSTITUTE($A629,CHAR(160)," ")),'Catalog'!$C:$C,0)),""))</f>
        <v>4408147</v>
      </c>
      <c r="F629" s="20" t="str">
        <f aca="false">IF($E629="","Unmatched","Matched")</f>
        <v>Matched</v>
      </c>
    </row>
    <row r="630" customFormat="false" ht="15" hidden="false" customHeight="false" outlineLevel="0" collapsed="false">
      <c r="A630" s="20" t="s">
        <v>349</v>
      </c>
      <c r="B630" s="20" t="n">
        <v>2026</v>
      </c>
      <c r="C630" s="21" t="n">
        <v>1</v>
      </c>
      <c r="D630" s="22" t="n">
        <v>135.9</v>
      </c>
      <c r="E630" s="20" t="n">
        <f aca="false">IFERROR(INDEX('Catalog'!$A:$A,MATCH($A630,'Catalog'!$B:$B,0)),IFERROR(INDEX('Catalog'!$A:$A,MATCH(TRIM(SUBSTITUTE($A630,CHAR(160)," ")),'Catalog'!$C:$C,0)),""))</f>
        <v>4408149</v>
      </c>
      <c r="F630" s="20" t="str">
        <f aca="false">IF($E630="","Unmatched","Matched")</f>
        <v>Matched</v>
      </c>
    </row>
    <row r="631" customFormat="false" ht="15" hidden="false" customHeight="false" outlineLevel="0" collapsed="false">
      <c r="A631" s="20" t="s">
        <v>356</v>
      </c>
      <c r="B631" s="20" t="n">
        <v>2026</v>
      </c>
      <c r="C631" s="21" t="n">
        <v>0</v>
      </c>
      <c r="D631" s="22" t="n">
        <v>31.4</v>
      </c>
      <c r="E631" s="20" t="n">
        <f aca="false">IFERROR(INDEX('Catalog'!$A:$A,MATCH($A631,'Catalog'!$B:$B,0)),IFERROR(INDEX('Catalog'!$A:$A,MATCH(TRIM(SUBSTITUTE($A631,CHAR(160)," ")),'Catalog'!$C:$C,0)),""))</f>
        <v>4408151</v>
      </c>
      <c r="F631" s="20" t="str">
        <f aca="false">IF($E631="","Unmatched","Matched")</f>
        <v>Matched</v>
      </c>
    </row>
    <row r="632" customFormat="false" ht="15" hidden="false" customHeight="false" outlineLevel="0" collapsed="false">
      <c r="A632" s="20" t="s">
        <v>355</v>
      </c>
      <c r="B632" s="20" t="n">
        <v>2026</v>
      </c>
      <c r="C632" s="21" t="n">
        <v>6</v>
      </c>
      <c r="D632" s="22" t="n">
        <v>920.9</v>
      </c>
      <c r="E632" s="20" t="n">
        <f aca="false">IFERROR(INDEX('Catalog'!$A:$A,MATCH($A632,'Catalog'!$B:$B,0)),IFERROR(INDEX('Catalog'!$A:$A,MATCH(TRIM(SUBSTITUTE($A632,CHAR(160)," ")),'Catalog'!$C:$C,0)),""))</f>
        <v>4408152</v>
      </c>
      <c r="F632" s="20" t="str">
        <f aca="false">IF($E632="","Unmatched","Matched")</f>
        <v>Matched</v>
      </c>
    </row>
    <row r="633" customFormat="false" ht="15" hidden="false" customHeight="false" outlineLevel="0" collapsed="false">
      <c r="A633" s="20" t="s">
        <v>358</v>
      </c>
      <c r="B633" s="20" t="n">
        <v>2026</v>
      </c>
      <c r="C633" s="21" t="n">
        <v>11</v>
      </c>
      <c r="D633" s="22" t="n">
        <v>1726.7</v>
      </c>
      <c r="E633" s="20" t="n">
        <f aca="false">IFERROR(INDEX('Catalog'!$A:$A,MATCH($A633,'Catalog'!$B:$B,0)),IFERROR(INDEX('Catalog'!$A:$A,MATCH(TRIM(SUBSTITUTE($A633,CHAR(160)," ")),'Catalog'!$C:$C,0)),""))</f>
        <v>4408153</v>
      </c>
      <c r="F633" s="20" t="str">
        <f aca="false">IF($E633="","Unmatched","Matched")</f>
        <v>Matched</v>
      </c>
    </row>
    <row r="634" customFormat="false" ht="15" hidden="false" customHeight="false" outlineLevel="0" collapsed="false">
      <c r="A634" s="20" t="s">
        <v>359</v>
      </c>
      <c r="B634" s="20" t="n">
        <v>2026</v>
      </c>
      <c r="C634" s="21" t="n">
        <v>5</v>
      </c>
      <c r="D634" s="22" t="n">
        <v>763.9</v>
      </c>
      <c r="E634" s="20" t="n">
        <f aca="false">IFERROR(INDEX('Catalog'!$A:$A,MATCH($A634,'Catalog'!$B:$B,0)),IFERROR(INDEX('Catalog'!$A:$A,MATCH(TRIM(SUBSTITUTE($A634,CHAR(160)," ")),'Catalog'!$C:$C,0)),""))</f>
        <v>4408154</v>
      </c>
      <c r="F634" s="20" t="str">
        <f aca="false">IF($E634="","Unmatched","Matched")</f>
        <v>Matched</v>
      </c>
    </row>
    <row r="635" customFormat="false" ht="15" hidden="false" customHeight="false" outlineLevel="0" collapsed="false">
      <c r="A635" s="20" t="s">
        <v>373</v>
      </c>
      <c r="B635" s="20" t="n">
        <v>2026</v>
      </c>
      <c r="C635" s="21" t="n">
        <v>1</v>
      </c>
      <c r="D635" s="22" t="n">
        <v>157</v>
      </c>
      <c r="E635" s="20" t="n">
        <f aca="false">IFERROR(INDEX('Catalog'!$A:$A,MATCH($A635,'Catalog'!$B:$B,0)),IFERROR(INDEX('Catalog'!$A:$A,MATCH(TRIM(SUBSTITUTE($A635,CHAR(160)," ")),'Catalog'!$C:$C,0)),""))</f>
        <v>4408179</v>
      </c>
      <c r="F635" s="20" t="str">
        <f aca="false">IF($E635="","Unmatched","Matched")</f>
        <v>Matched</v>
      </c>
    </row>
    <row r="636" customFormat="false" ht="15" hidden="false" customHeight="false" outlineLevel="0" collapsed="false">
      <c r="A636" s="20" t="s">
        <v>374</v>
      </c>
      <c r="B636" s="20" t="n">
        <v>2026</v>
      </c>
      <c r="C636" s="21" t="n">
        <v>1</v>
      </c>
      <c r="D636" s="22" t="n">
        <v>157</v>
      </c>
      <c r="E636" s="20" t="n">
        <f aca="false">IFERROR(INDEX('Catalog'!$A:$A,MATCH($A636,'Catalog'!$B:$B,0)),IFERROR(INDEX('Catalog'!$A:$A,MATCH(TRIM(SUBSTITUTE($A636,CHAR(160)," ")),'Catalog'!$C:$C,0)),""))</f>
        <v>4408180</v>
      </c>
      <c r="F636" s="20" t="str">
        <f aca="false">IF($E636="","Unmatched","Matched")</f>
        <v>Matched</v>
      </c>
    </row>
    <row r="637" customFormat="false" ht="15" hidden="false" customHeight="false" outlineLevel="0" collapsed="false">
      <c r="A637" s="20" t="s">
        <v>407</v>
      </c>
      <c r="B637" s="20" t="n">
        <v>2026</v>
      </c>
      <c r="C637" s="21" t="n">
        <v>33</v>
      </c>
      <c r="D637" s="22" t="n">
        <v>3735.7</v>
      </c>
      <c r="E637" s="20" t="n">
        <f aca="false">IFERROR(INDEX('Catalog'!$A:$A,MATCH($A637,'Catalog'!$B:$B,0)),IFERROR(INDEX('Catalog'!$A:$A,MATCH(TRIM(SUBSTITUTE($A637,CHAR(160)," ")),'Catalog'!$C:$C,0)),""))</f>
        <v>4408190</v>
      </c>
      <c r="F637" s="20" t="str">
        <f aca="false">IF($E637="","Unmatched","Matched")</f>
        <v>Matched</v>
      </c>
    </row>
    <row r="638" customFormat="false" ht="15" hidden="false" customHeight="false" outlineLevel="0" collapsed="false">
      <c r="A638" s="20" t="s">
        <v>305</v>
      </c>
      <c r="B638" s="20" t="n">
        <v>2026</v>
      </c>
      <c r="C638" s="21" t="n">
        <v>55</v>
      </c>
      <c r="D638" s="22" t="n">
        <v>6254.8</v>
      </c>
      <c r="E638" s="20" t="n">
        <f aca="false">IFERROR(INDEX('Catalog'!$A:$A,MATCH($A638,'Catalog'!$B:$B,0)),IFERROR(INDEX('Catalog'!$A:$A,MATCH(TRIM(SUBSTITUTE($A638,CHAR(160)," ")),'Catalog'!$C:$C,0)),""))</f>
        <v>4408192</v>
      </c>
      <c r="F638" s="20" t="str">
        <f aca="false">IF($E638="","Unmatched","Matched")</f>
        <v>Matched</v>
      </c>
    </row>
    <row r="639" customFormat="false" ht="15" hidden="false" customHeight="false" outlineLevel="0" collapsed="false">
      <c r="A639" s="20" t="s">
        <v>375</v>
      </c>
      <c r="B639" s="20" t="n">
        <v>2026</v>
      </c>
      <c r="C639" s="21" t="n">
        <v>3</v>
      </c>
      <c r="D639" s="22" t="n">
        <v>774.8</v>
      </c>
      <c r="E639" s="20" t="n">
        <f aca="false">IFERROR(INDEX('Catalog'!$A:$A,MATCH($A639,'Catalog'!$B:$B,0)),IFERROR(INDEX('Catalog'!$A:$A,MATCH(TRIM(SUBSTITUTE($A639,CHAR(160)," ")),'Catalog'!$C:$C,0)),""))</f>
        <v>4408203</v>
      </c>
      <c r="F639" s="20" t="str">
        <f aca="false">IF($E639="","Unmatched","Matched")</f>
        <v>Matched</v>
      </c>
    </row>
    <row r="640" customFormat="false" ht="15" hidden="false" customHeight="false" outlineLevel="0" collapsed="false">
      <c r="A640" s="20" t="s">
        <v>402</v>
      </c>
      <c r="B640" s="20" t="n">
        <v>2026</v>
      </c>
      <c r="C640" s="21" t="n">
        <v>802</v>
      </c>
      <c r="D640" s="22" t="n">
        <v>69090.9</v>
      </c>
      <c r="E640" s="20" t="n">
        <f aca="false">IFERROR(INDEX('Catalog'!$A:$A,MATCH($A640,'Catalog'!$B:$B,0)),IFERROR(INDEX('Catalog'!$A:$A,MATCH(TRIM(SUBSTITUTE($A640,CHAR(160)," ")),'Catalog'!$C:$C,0)),""))</f>
        <v>4408205</v>
      </c>
      <c r="F640" s="20" t="str">
        <f aca="false">IF($E640="","Unmatched","Matched")</f>
        <v>Matched</v>
      </c>
    </row>
    <row r="641" customFormat="false" ht="15" hidden="false" customHeight="false" outlineLevel="0" collapsed="false">
      <c r="A641" s="20" t="s">
        <v>403</v>
      </c>
      <c r="B641" s="20" t="n">
        <v>2026</v>
      </c>
      <c r="C641" s="21" t="n">
        <v>161</v>
      </c>
      <c r="D641" s="22" t="n">
        <v>10810.9</v>
      </c>
      <c r="E641" s="20" t="n">
        <f aca="false">IFERROR(INDEX('Catalog'!$A:$A,MATCH($A641,'Catalog'!$B:$B,0)),IFERROR(INDEX('Catalog'!$A:$A,MATCH(TRIM(SUBSTITUTE($A641,CHAR(160)," ")),'Catalog'!$C:$C,0)),""))</f>
        <v>4408206</v>
      </c>
      <c r="F641" s="20" t="str">
        <f aca="false">IF($E641="","Unmatched","Matched")</f>
        <v>Matched</v>
      </c>
    </row>
    <row r="642" customFormat="false" ht="15" hidden="false" customHeight="false" outlineLevel="0" collapsed="false">
      <c r="A642" s="20" t="s">
        <v>884</v>
      </c>
      <c r="B642" s="20" t="n">
        <v>2026</v>
      </c>
      <c r="C642" s="21" t="n">
        <v>801</v>
      </c>
      <c r="D642" s="22" t="n">
        <v>26891.9</v>
      </c>
      <c r="E642" s="20" t="n">
        <f aca="false">IFERROR(INDEX('Catalog'!$A:$A,MATCH($A642,'Catalog'!$B:$B,0)),IFERROR(INDEX('Catalog'!$A:$A,MATCH(TRIM(SUBSTITUTE($A642,CHAR(160)," ")),'Catalog'!$C:$C,0)),""))</f>
        <v>4408207</v>
      </c>
      <c r="F642" s="20" t="str">
        <f aca="false">IF($E642="","Unmatched","Matched")</f>
        <v>Matched</v>
      </c>
    </row>
    <row r="643" customFormat="false" ht="15" hidden="false" customHeight="false" outlineLevel="0" collapsed="false">
      <c r="A643" s="20" t="s">
        <v>576</v>
      </c>
      <c r="B643" s="20" t="n">
        <v>2026</v>
      </c>
      <c r="C643" s="21" t="n">
        <v>314</v>
      </c>
      <c r="D643" s="22" t="n">
        <v>11799.5</v>
      </c>
      <c r="E643" s="20" t="n">
        <f aca="false">IFERROR(INDEX('Catalog'!$A:$A,MATCH($A643,'Catalog'!$B:$B,0)),IFERROR(INDEX('Catalog'!$A:$A,MATCH(TRIM(SUBSTITUTE($A643,CHAR(160)," ")),'Catalog'!$C:$C,0)),""))</f>
        <v>4408208</v>
      </c>
      <c r="F643" s="20" t="str">
        <f aca="false">IF($E643="","Unmatched","Matched")</f>
        <v>Matched</v>
      </c>
    </row>
    <row r="644" customFormat="false" ht="15" hidden="false" customHeight="false" outlineLevel="0" collapsed="false">
      <c r="A644" s="20" t="s">
        <v>410</v>
      </c>
      <c r="B644" s="20" t="n">
        <v>2026</v>
      </c>
      <c r="C644" s="21" t="n">
        <v>8</v>
      </c>
      <c r="D644" s="22" t="n">
        <v>858.9</v>
      </c>
      <c r="E644" s="20" t="n">
        <f aca="false">IFERROR(INDEX('Catalog'!$A:$A,MATCH($A644,'Catalog'!$B:$B,0)),IFERROR(INDEX('Catalog'!$A:$A,MATCH(TRIM(SUBSTITUTE($A644,CHAR(160)," ")),'Catalog'!$C:$C,0)),""))</f>
        <v>4408217</v>
      </c>
      <c r="F644" s="20" t="str">
        <f aca="false">IF($E644="","Unmatched","Matched")</f>
        <v>Matched</v>
      </c>
    </row>
    <row r="645" customFormat="false" ht="15" hidden="false" customHeight="false" outlineLevel="0" collapsed="false">
      <c r="A645" s="20" t="s">
        <v>316</v>
      </c>
      <c r="B645" s="20" t="n">
        <v>2026</v>
      </c>
      <c r="C645" s="21" t="n">
        <v>52</v>
      </c>
      <c r="D645" s="22" t="n">
        <v>5965.9</v>
      </c>
      <c r="E645" s="20" t="n">
        <f aca="false">IFERROR(INDEX('Catalog'!$A:$A,MATCH($A645,'Catalog'!$B:$B,0)),IFERROR(INDEX('Catalog'!$A:$A,MATCH(TRIM(SUBSTITUTE($A645,CHAR(160)," ")),'Catalog'!$C:$C,0)),""))</f>
        <v>4408218</v>
      </c>
      <c r="F645" s="20" t="str">
        <f aca="false">IF($E645="","Unmatched","Matched")</f>
        <v>Matched</v>
      </c>
    </row>
    <row r="646" customFormat="false" ht="15" hidden="false" customHeight="false" outlineLevel="0" collapsed="false">
      <c r="A646" s="20" t="s">
        <v>631</v>
      </c>
      <c r="B646" s="20" t="n">
        <v>2026</v>
      </c>
      <c r="C646" s="21" t="n">
        <v>337</v>
      </c>
      <c r="D646" s="22" t="n">
        <v>4572.7</v>
      </c>
      <c r="E646" s="20" t="n">
        <f aca="false">IFERROR(INDEX('Catalog'!$A:$A,MATCH($A646,'Catalog'!$B:$B,0)),IFERROR(INDEX('Catalog'!$A:$A,MATCH(TRIM(SUBSTITUTE($A646,CHAR(160)," ")),'Catalog'!$C:$C,0)),""))</f>
        <v>4409000</v>
      </c>
      <c r="F646" s="20" t="str">
        <f aca="false">IF($E646="","Unmatched","Matched")</f>
        <v>Matched</v>
      </c>
    </row>
    <row r="647" customFormat="false" ht="15" hidden="false" customHeight="false" outlineLevel="0" collapsed="false">
      <c r="A647" s="20" t="s">
        <v>630</v>
      </c>
      <c r="B647" s="20" t="n">
        <v>2026</v>
      </c>
      <c r="C647" s="21" t="n">
        <v>140</v>
      </c>
      <c r="D647" s="22" t="n">
        <v>1798.7</v>
      </c>
      <c r="E647" s="20" t="n">
        <f aca="false">IFERROR(INDEX('Catalog'!$A:$A,MATCH($A647,'Catalog'!$B:$B,0)),IFERROR(INDEX('Catalog'!$A:$A,MATCH(TRIM(SUBSTITUTE($A647,CHAR(160)," ")),'Catalog'!$C:$C,0)),""))</f>
        <v>4409001</v>
      </c>
      <c r="F647" s="20" t="str">
        <f aca="false">IF($E647="","Unmatched","Matched")</f>
        <v>Matched</v>
      </c>
    </row>
    <row r="648" customFormat="false" ht="15" hidden="false" customHeight="false" outlineLevel="0" collapsed="false">
      <c r="A648" s="20" t="s">
        <v>783</v>
      </c>
      <c r="B648" s="20" t="n">
        <v>2026</v>
      </c>
      <c r="C648" s="21" t="n">
        <v>-4</v>
      </c>
      <c r="D648" s="22" t="n">
        <v>-113.3</v>
      </c>
      <c r="E648" s="20" t="n">
        <f aca="false">IFERROR(INDEX('Catalog'!$A:$A,MATCH($A648,'Catalog'!$B:$B,0)),IFERROR(INDEX('Catalog'!$A:$A,MATCH(TRIM(SUBSTITUTE($A648,CHAR(160)," ")),'Catalog'!$C:$C,0)),""))</f>
        <v>4409002</v>
      </c>
      <c r="F648" s="20" t="str">
        <f aca="false">IF($E648="","Unmatched","Matched")</f>
        <v>Matched</v>
      </c>
    </row>
    <row r="649" customFormat="false" ht="15" hidden="false" customHeight="false" outlineLevel="0" collapsed="false">
      <c r="A649" s="20" t="s">
        <v>443</v>
      </c>
      <c r="B649" s="20" t="n">
        <v>2026</v>
      </c>
      <c r="C649" s="21" t="n">
        <v>278</v>
      </c>
      <c r="D649" s="22" t="n">
        <v>6368.9</v>
      </c>
      <c r="E649" s="20" t="n">
        <f aca="false">IFERROR(INDEX('Catalog'!$A:$A,MATCH($A649,'Catalog'!$B:$B,0)),IFERROR(INDEX('Catalog'!$A:$A,MATCH(TRIM(SUBSTITUTE($A649,CHAR(160)," ")),'Catalog'!$C:$C,0)),""))</f>
        <v>4409004</v>
      </c>
      <c r="F649" s="20" t="str">
        <f aca="false">IF($E649="","Unmatched","Matched")</f>
        <v>Matched</v>
      </c>
    </row>
    <row r="650" customFormat="false" ht="15" hidden="false" customHeight="false" outlineLevel="0" collapsed="false">
      <c r="A650" s="20" t="s">
        <v>647</v>
      </c>
      <c r="B650" s="20" t="n">
        <v>2026</v>
      </c>
      <c r="C650" s="21" t="n">
        <v>164</v>
      </c>
      <c r="D650" s="22" t="n">
        <v>4670.1</v>
      </c>
      <c r="E650" s="20" t="n">
        <f aca="false">IFERROR(INDEX('Catalog'!$A:$A,MATCH($A650,'Catalog'!$B:$B,0)),IFERROR(INDEX('Catalog'!$A:$A,MATCH(TRIM(SUBSTITUTE($A650,CHAR(160)," ")),'Catalog'!$C:$C,0)),""))</f>
        <v>4411000</v>
      </c>
      <c r="F650" s="20" t="str">
        <f aca="false">IF($E650="","Unmatched","Matched")</f>
        <v>Matched</v>
      </c>
    </row>
    <row r="651" customFormat="false" ht="15" hidden="false" customHeight="false" outlineLevel="0" collapsed="false">
      <c r="A651" s="20" t="s">
        <v>625</v>
      </c>
      <c r="B651" s="20" t="n">
        <v>2026</v>
      </c>
      <c r="C651" s="21" t="n">
        <v>136</v>
      </c>
      <c r="D651" s="22" t="n">
        <v>3638.9</v>
      </c>
      <c r="E651" s="20" t="n">
        <f aca="false">IFERROR(INDEX('Catalog'!$A:$A,MATCH($A651,'Catalog'!$B:$B,0)),IFERROR(INDEX('Catalog'!$A:$A,MATCH(TRIM(SUBSTITUTE($A651,CHAR(160)," ")),'Catalog'!$C:$C,0)),""))</f>
        <v>4411001</v>
      </c>
      <c r="F651" s="20" t="str">
        <f aca="false">IF($E651="","Unmatched","Matched")</f>
        <v>Matched</v>
      </c>
    </row>
    <row r="652" customFormat="false" ht="15" hidden="false" customHeight="false" outlineLevel="0" collapsed="false">
      <c r="A652" s="20" t="s">
        <v>645</v>
      </c>
      <c r="B652" s="20" t="n">
        <v>2026</v>
      </c>
      <c r="C652" s="21" t="n">
        <v>36</v>
      </c>
      <c r="D652" s="22" t="n">
        <v>1677.4</v>
      </c>
      <c r="E652" s="20" t="n">
        <f aca="false">IFERROR(INDEX('Catalog'!$A:$A,MATCH($A652,'Catalog'!$B:$B,0)),IFERROR(INDEX('Catalog'!$A:$A,MATCH(TRIM(SUBSTITUTE($A652,CHAR(160)," ")),'Catalog'!$C:$C,0)),""))</f>
        <v>4411015</v>
      </c>
      <c r="F652" s="20" t="str">
        <f aca="false">IF($E652="","Unmatched","Matched")</f>
        <v>Matched</v>
      </c>
    </row>
    <row r="653" customFormat="false" ht="15" hidden="false" customHeight="false" outlineLevel="0" collapsed="false">
      <c r="A653" s="20" t="s">
        <v>494</v>
      </c>
      <c r="B653" s="20" t="n">
        <v>2026</v>
      </c>
      <c r="C653" s="21" t="n">
        <v>3</v>
      </c>
      <c r="D653" s="22" t="n">
        <v>355.6</v>
      </c>
      <c r="E653" s="20" t="n">
        <f aca="false">IFERROR(INDEX('Catalog'!$A:$A,MATCH($A653,'Catalog'!$B:$B,0)),IFERROR(INDEX('Catalog'!$A:$A,MATCH(TRIM(SUBSTITUTE($A653,CHAR(160)," ")),'Catalog'!$C:$C,0)),""))</f>
        <v>4413018</v>
      </c>
      <c r="F653" s="20" t="str">
        <f aca="false">IF($E653="","Unmatched","Matched")</f>
        <v>Matched</v>
      </c>
    </row>
    <row r="654" customFormat="false" ht="15" hidden="false" customHeight="false" outlineLevel="0" collapsed="false">
      <c r="A654" s="20" t="s">
        <v>495</v>
      </c>
      <c r="B654" s="20" t="n">
        <v>2026</v>
      </c>
      <c r="C654" s="21" t="n">
        <v>-1</v>
      </c>
      <c r="D654" s="22" t="n">
        <v>-71.1</v>
      </c>
      <c r="E654" s="20" t="n">
        <f aca="false">IFERROR(INDEX('Catalog'!$A:$A,MATCH($A654,'Catalog'!$B:$B,0)),IFERROR(INDEX('Catalog'!$A:$A,MATCH(TRIM(SUBSTITUTE($A654,CHAR(160)," ")),'Catalog'!$C:$C,0)),""))</f>
        <v>4413019</v>
      </c>
      <c r="F654" s="20" t="str">
        <f aca="false">IF($E654="","Unmatched","Matched")</f>
        <v>Matched</v>
      </c>
    </row>
    <row r="655" customFormat="false" ht="15" hidden="false" customHeight="false" outlineLevel="0" collapsed="false">
      <c r="A655" s="20" t="s">
        <v>496</v>
      </c>
      <c r="B655" s="20" t="n">
        <v>2026</v>
      </c>
      <c r="C655" s="21" t="n">
        <v>0</v>
      </c>
      <c r="D655" s="22" t="n">
        <v>23.7</v>
      </c>
      <c r="E655" s="20" t="n">
        <f aca="false">IFERROR(INDEX('Catalog'!$A:$A,MATCH($A655,'Catalog'!$B:$B,0)),IFERROR(INDEX('Catalog'!$A:$A,MATCH(TRIM(SUBSTITUTE($A655,CHAR(160)," ")),'Catalog'!$C:$C,0)),""))</f>
        <v>4413020</v>
      </c>
      <c r="F655" s="20" t="str">
        <f aca="false">IF($E655="","Unmatched","Matched")</f>
        <v>Matched</v>
      </c>
    </row>
    <row r="656" customFormat="false" ht="15" hidden="false" customHeight="false" outlineLevel="0" collapsed="false">
      <c r="A656" s="20" t="s">
        <v>497</v>
      </c>
      <c r="B656" s="20" t="n">
        <v>2026</v>
      </c>
      <c r="C656" s="21" t="n">
        <v>-1</v>
      </c>
      <c r="D656" s="22" t="n">
        <v>-94.8</v>
      </c>
      <c r="E656" s="20" t="n">
        <f aca="false">IFERROR(INDEX('Catalog'!$A:$A,MATCH($A656,'Catalog'!$B:$B,0)),IFERROR(INDEX('Catalog'!$A:$A,MATCH(TRIM(SUBSTITUTE($A656,CHAR(160)," ")),'Catalog'!$C:$C,0)),""))</f>
        <v>4413021</v>
      </c>
      <c r="F656" s="20" t="str">
        <f aca="false">IF($E656="","Unmatched","Matched")</f>
        <v>Matched</v>
      </c>
    </row>
    <row r="657" customFormat="false" ht="15" hidden="false" customHeight="false" outlineLevel="0" collapsed="false">
      <c r="A657" s="20" t="s">
        <v>498</v>
      </c>
      <c r="B657" s="20" t="n">
        <v>2026</v>
      </c>
      <c r="C657" s="21" t="n">
        <v>2</v>
      </c>
      <c r="D657" s="22" t="n">
        <v>237.1</v>
      </c>
      <c r="E657" s="20" t="n">
        <f aca="false">IFERROR(INDEX('Catalog'!$A:$A,MATCH($A657,'Catalog'!$B:$B,0)),IFERROR(INDEX('Catalog'!$A:$A,MATCH(TRIM(SUBSTITUTE($A657,CHAR(160)," ")),'Catalog'!$C:$C,0)),""))</f>
        <v>4413022</v>
      </c>
      <c r="F657" s="20" t="str">
        <f aca="false">IF($E657="","Unmatched","Matched")</f>
        <v>Matched</v>
      </c>
    </row>
    <row r="658" customFormat="false" ht="15" hidden="false" customHeight="false" outlineLevel="0" collapsed="false">
      <c r="A658" s="20" t="s">
        <v>619</v>
      </c>
      <c r="B658" s="20" t="n">
        <v>2026</v>
      </c>
      <c r="C658" s="21" t="n">
        <v>443</v>
      </c>
      <c r="D658" s="22" t="n">
        <v>7781.1</v>
      </c>
      <c r="E658" s="20" t="n">
        <f aca="false">IFERROR(INDEX('Catalog'!$A:$A,MATCH($A658,'Catalog'!$B:$B,0)),IFERROR(INDEX('Catalog'!$A:$A,MATCH(TRIM(SUBSTITUTE($A658,CHAR(160)," ")),'Catalog'!$C:$C,0)),""))</f>
        <v>4413033</v>
      </c>
      <c r="F658" s="20" t="str">
        <f aca="false">IF($E658="","Unmatched","Matched")</f>
        <v>Matched</v>
      </c>
    </row>
    <row r="659" customFormat="false" ht="15" hidden="false" customHeight="false" outlineLevel="0" collapsed="false">
      <c r="A659" s="20" t="s">
        <v>620</v>
      </c>
      <c r="B659" s="20" t="n">
        <v>2026</v>
      </c>
      <c r="C659" s="21" t="n">
        <v>59</v>
      </c>
      <c r="D659" s="22" t="n">
        <v>1206.8</v>
      </c>
      <c r="E659" s="20" t="n">
        <f aca="false">IFERROR(INDEX('Catalog'!$A:$A,MATCH($A659,'Catalog'!$B:$B,0)),IFERROR(INDEX('Catalog'!$A:$A,MATCH(TRIM(SUBSTITUTE($A659,CHAR(160)," ")),'Catalog'!$C:$C,0)),""))</f>
        <v>4413034</v>
      </c>
      <c r="F659" s="20" t="str">
        <f aca="false">IF($E659="","Unmatched","Matched")</f>
        <v>Matched</v>
      </c>
    </row>
    <row r="660" customFormat="false" ht="15" hidden="false" customHeight="false" outlineLevel="0" collapsed="false">
      <c r="A660" s="20" t="s">
        <v>808</v>
      </c>
      <c r="B660" s="20" t="n">
        <v>2026</v>
      </c>
      <c r="C660" s="21" t="n">
        <v>94</v>
      </c>
      <c r="D660" s="22" t="n">
        <v>4206.8</v>
      </c>
      <c r="E660" s="20" t="n">
        <f aca="false">IFERROR(INDEX('Catalog'!$A:$A,MATCH($A660,'Catalog'!$B:$B,0)),IFERROR(INDEX('Catalog'!$A:$A,MATCH(TRIM(SUBSTITUTE($A660,CHAR(160)," ")),'Catalog'!$C:$C,0)),""))</f>
        <v>4413041</v>
      </c>
      <c r="F660" s="20" t="str">
        <f aca="false">IF($E660="","Unmatched","Matched")</f>
        <v>Matched</v>
      </c>
    </row>
    <row r="661" customFormat="false" ht="15" hidden="false" customHeight="false" outlineLevel="0" collapsed="false">
      <c r="A661" s="20" t="s">
        <v>809</v>
      </c>
      <c r="B661" s="20" t="n">
        <v>2026</v>
      </c>
      <c r="C661" s="21" t="n">
        <v>49</v>
      </c>
      <c r="D661" s="22" t="n">
        <v>2253.6</v>
      </c>
      <c r="E661" s="20" t="n">
        <f aca="false">IFERROR(INDEX('Catalog'!$A:$A,MATCH($A661,'Catalog'!$B:$B,0)),IFERROR(INDEX('Catalog'!$A:$A,MATCH(TRIM(SUBSTITUTE($A661,CHAR(160)," ")),'Catalog'!$C:$C,0)),""))</f>
        <v>4413042</v>
      </c>
      <c r="F661" s="20" t="str">
        <f aca="false">IF($E661="","Unmatched","Matched")</f>
        <v>Matched</v>
      </c>
    </row>
    <row r="662" customFormat="false" ht="15" hidden="false" customHeight="false" outlineLevel="0" collapsed="false">
      <c r="A662" s="20" t="s">
        <v>807</v>
      </c>
      <c r="B662" s="20" t="n">
        <v>2026</v>
      </c>
      <c r="C662" s="21" t="n">
        <v>118</v>
      </c>
      <c r="D662" s="22" t="n">
        <v>5341.8</v>
      </c>
      <c r="E662" s="20" t="n">
        <f aca="false">IFERROR(INDEX('Catalog'!$A:$A,MATCH($A662,'Catalog'!$B:$B,0)),IFERROR(INDEX('Catalog'!$A:$A,MATCH(TRIM(SUBSTITUTE($A662,CHAR(160)," ")),'Catalog'!$C:$C,0)),""))</f>
        <v>4413043</v>
      </c>
      <c r="F662" s="20" t="str">
        <f aca="false">IF($E662="","Unmatched","Matched")</f>
        <v>Matched</v>
      </c>
    </row>
    <row r="663" customFormat="false" ht="15" hidden="false" customHeight="false" outlineLevel="0" collapsed="false">
      <c r="A663" s="20" t="s">
        <v>810</v>
      </c>
      <c r="B663" s="20" t="n">
        <v>2026</v>
      </c>
      <c r="C663" s="21" t="n">
        <v>70</v>
      </c>
      <c r="D663" s="22" t="n">
        <v>3183.1</v>
      </c>
      <c r="E663" s="20" t="n">
        <f aca="false">IFERROR(INDEX('Catalog'!$A:$A,MATCH($A663,'Catalog'!$B:$B,0)),IFERROR(INDEX('Catalog'!$A:$A,MATCH(TRIM(SUBSTITUTE($A663,CHAR(160)," ")),'Catalog'!$C:$C,0)),""))</f>
        <v>4413044</v>
      </c>
      <c r="F663" s="20" t="str">
        <f aca="false">IF($E663="","Unmatched","Matched")</f>
        <v>Matched</v>
      </c>
    </row>
    <row r="664" customFormat="false" ht="15" hidden="false" customHeight="false" outlineLevel="0" collapsed="false">
      <c r="A664" s="20" t="s">
        <v>812</v>
      </c>
      <c r="B664" s="20" t="n">
        <v>2026</v>
      </c>
      <c r="C664" s="21" t="n">
        <v>17</v>
      </c>
      <c r="D664" s="22" t="n">
        <v>785.9</v>
      </c>
      <c r="E664" s="20" t="n">
        <f aca="false">IFERROR(INDEX('Catalog'!$A:$A,MATCH($A664,'Catalog'!$B:$B,0)),IFERROR(INDEX('Catalog'!$A:$A,MATCH(TRIM(SUBSTITUTE($A664,CHAR(160)," ")),'Catalog'!$C:$C,0)),""))</f>
        <v>4413046</v>
      </c>
      <c r="F664" s="20" t="str">
        <f aca="false">IF($E664="","Unmatched","Matched")</f>
        <v>Matched</v>
      </c>
    </row>
    <row r="665" customFormat="false" ht="15" hidden="false" customHeight="false" outlineLevel="0" collapsed="false">
      <c r="A665" s="20" t="s">
        <v>820</v>
      </c>
      <c r="B665" s="20" t="n">
        <v>2026</v>
      </c>
      <c r="C665" s="21" t="n">
        <v>50</v>
      </c>
      <c r="D665" s="22" t="n">
        <v>1515.2</v>
      </c>
      <c r="E665" s="20" t="n">
        <f aca="false">IFERROR(INDEX('Catalog'!$A:$A,MATCH($A665,'Catalog'!$B:$B,0)),IFERROR(INDEX('Catalog'!$A:$A,MATCH(TRIM(SUBSTITUTE($A665,CHAR(160)," ")),'Catalog'!$C:$C,0)),""))</f>
        <v>4413047</v>
      </c>
      <c r="F665" s="20" t="str">
        <f aca="false">IF($E665="","Unmatched","Matched")</f>
        <v>Matched</v>
      </c>
    </row>
    <row r="666" customFormat="false" ht="15" hidden="false" customHeight="false" outlineLevel="0" collapsed="false">
      <c r="A666" s="20" t="s">
        <v>818</v>
      </c>
      <c r="B666" s="20" t="n">
        <v>2026</v>
      </c>
      <c r="C666" s="21" t="n">
        <v>134</v>
      </c>
      <c r="D666" s="22" t="n">
        <v>3963.4</v>
      </c>
      <c r="E666" s="20" t="n">
        <f aca="false">IFERROR(INDEX('Catalog'!$A:$A,MATCH($A666,'Catalog'!$B:$B,0)),IFERROR(INDEX('Catalog'!$A:$A,MATCH(TRIM(SUBSTITUTE($A666,CHAR(160)," ")),'Catalog'!$C:$C,0)),""))</f>
        <v>4413048</v>
      </c>
      <c r="F666" s="20" t="str">
        <f aca="false">IF($E666="","Unmatched","Matched")</f>
        <v>Matched</v>
      </c>
    </row>
    <row r="667" customFormat="false" ht="15" hidden="false" customHeight="false" outlineLevel="0" collapsed="false">
      <c r="A667" s="20" t="s">
        <v>819</v>
      </c>
      <c r="B667" s="20" t="n">
        <v>2026</v>
      </c>
      <c r="C667" s="21" t="n">
        <v>134</v>
      </c>
      <c r="D667" s="22" t="n">
        <v>3959.1</v>
      </c>
      <c r="E667" s="20" t="n">
        <f aca="false">IFERROR(INDEX('Catalog'!$A:$A,MATCH($A667,'Catalog'!$B:$B,0)),IFERROR(INDEX('Catalog'!$A:$A,MATCH(TRIM(SUBSTITUTE($A667,CHAR(160)," ")),'Catalog'!$C:$C,0)),""))</f>
        <v>4413049</v>
      </c>
      <c r="F667" s="20" t="str">
        <f aca="false">IF($E667="","Unmatched","Matched")</f>
        <v>Matched</v>
      </c>
    </row>
    <row r="668" customFormat="false" ht="15" hidden="false" customHeight="false" outlineLevel="0" collapsed="false">
      <c r="A668" s="20" t="s">
        <v>821</v>
      </c>
      <c r="B668" s="20" t="n">
        <v>2026</v>
      </c>
      <c r="C668" s="21" t="n">
        <v>92</v>
      </c>
      <c r="D668" s="22" t="n">
        <v>2764.5</v>
      </c>
      <c r="E668" s="20" t="n">
        <f aca="false">IFERROR(INDEX('Catalog'!$A:$A,MATCH($A668,'Catalog'!$B:$B,0)),IFERROR(INDEX('Catalog'!$A:$A,MATCH(TRIM(SUBSTITUTE($A668,CHAR(160)," ")),'Catalog'!$C:$C,0)),""))</f>
        <v>4413050</v>
      </c>
      <c r="F668" s="20" t="str">
        <f aca="false">IF($E668="","Unmatched","Matched")</f>
        <v>Matched</v>
      </c>
    </row>
    <row r="669" customFormat="false" ht="15" hidden="false" customHeight="false" outlineLevel="0" collapsed="false">
      <c r="A669" s="20" t="s">
        <v>823</v>
      </c>
      <c r="B669" s="20" t="n">
        <v>2026</v>
      </c>
      <c r="C669" s="21" t="n">
        <v>37</v>
      </c>
      <c r="D669" s="22" t="n">
        <v>1088.2</v>
      </c>
      <c r="E669" s="20" t="n">
        <f aca="false">IFERROR(INDEX('Catalog'!$A:$A,MATCH($A669,'Catalog'!$B:$B,0)),IFERROR(INDEX('Catalog'!$A:$A,MATCH(TRIM(SUBSTITUTE($A669,CHAR(160)," ")),'Catalog'!$C:$C,0)),""))</f>
        <v>4413051</v>
      </c>
      <c r="F669" s="20" t="str">
        <f aca="false">IF($E669="","Unmatched","Matched")</f>
        <v>Matched</v>
      </c>
    </row>
    <row r="670" customFormat="false" ht="15" hidden="false" customHeight="false" outlineLevel="0" collapsed="false">
      <c r="A670" s="20" t="s">
        <v>831</v>
      </c>
      <c r="B670" s="20" t="n">
        <v>2026</v>
      </c>
      <c r="C670" s="21" t="n">
        <v>125</v>
      </c>
      <c r="D670" s="22" t="n">
        <v>3763.2</v>
      </c>
      <c r="E670" s="20" t="n">
        <f aca="false">IFERROR(INDEX('Catalog'!$A:$A,MATCH($A670,'Catalog'!$B:$B,0)),IFERROR(INDEX('Catalog'!$A:$A,MATCH(TRIM(SUBSTITUTE($A670,CHAR(160)," ")),'Catalog'!$C:$C,0)),""))</f>
        <v>4413052</v>
      </c>
      <c r="F670" s="20" t="str">
        <f aca="false">IF($E670="","Unmatched","Matched")</f>
        <v>Matched</v>
      </c>
    </row>
    <row r="671" customFormat="false" ht="15" hidden="false" customHeight="false" outlineLevel="0" collapsed="false">
      <c r="A671" s="20" t="s">
        <v>829</v>
      </c>
      <c r="B671" s="20" t="n">
        <v>2026</v>
      </c>
      <c r="C671" s="21" t="n">
        <v>294</v>
      </c>
      <c r="D671" s="22" t="n">
        <v>8812.2</v>
      </c>
      <c r="E671" s="20" t="n">
        <f aca="false">IFERROR(INDEX('Catalog'!$A:$A,MATCH($A671,'Catalog'!$B:$B,0)),IFERROR(INDEX('Catalog'!$A:$A,MATCH(TRIM(SUBSTITUTE($A671,CHAR(160)," ")),'Catalog'!$C:$C,0)),""))</f>
        <v>4413053</v>
      </c>
      <c r="F671" s="20" t="str">
        <f aca="false">IF($E671="","Unmatched","Matched")</f>
        <v>Matched</v>
      </c>
    </row>
    <row r="672" customFormat="false" ht="15" hidden="false" customHeight="false" outlineLevel="0" collapsed="false">
      <c r="A672" s="20" t="s">
        <v>830</v>
      </c>
      <c r="B672" s="20" t="n">
        <v>2026</v>
      </c>
      <c r="C672" s="21" t="n">
        <v>294</v>
      </c>
      <c r="D672" s="22" t="n">
        <v>8792.9</v>
      </c>
      <c r="E672" s="20" t="n">
        <f aca="false">IFERROR(INDEX('Catalog'!$A:$A,MATCH($A672,'Catalog'!$B:$B,0)),IFERROR(INDEX('Catalog'!$A:$A,MATCH(TRIM(SUBSTITUTE($A672,CHAR(160)," ")),'Catalog'!$C:$C,0)),""))</f>
        <v>4413054</v>
      </c>
      <c r="F672" s="20" t="str">
        <f aca="false">IF($E672="","Unmatched","Matched")</f>
        <v>Matched</v>
      </c>
    </row>
    <row r="673" customFormat="false" ht="15" hidden="false" customHeight="false" outlineLevel="0" collapsed="false">
      <c r="A673" s="20" t="s">
        <v>832</v>
      </c>
      <c r="B673" s="20" t="n">
        <v>2026</v>
      </c>
      <c r="C673" s="21" t="n">
        <v>160</v>
      </c>
      <c r="D673" s="22" t="n">
        <v>4767.1</v>
      </c>
      <c r="E673" s="20" t="n">
        <f aca="false">IFERROR(INDEX('Catalog'!$A:$A,MATCH($A673,'Catalog'!$B:$B,0)),IFERROR(INDEX('Catalog'!$A:$A,MATCH(TRIM(SUBSTITUTE($A673,CHAR(160)," ")),'Catalog'!$C:$C,0)),""))</f>
        <v>4413055</v>
      </c>
      <c r="F673" s="20" t="str">
        <f aca="false">IF($E673="","Unmatched","Matched")</f>
        <v>Matched</v>
      </c>
    </row>
    <row r="674" customFormat="false" ht="15" hidden="false" customHeight="false" outlineLevel="0" collapsed="false">
      <c r="A674" s="20" t="s">
        <v>479</v>
      </c>
      <c r="B674" s="20" t="n">
        <v>2026</v>
      </c>
      <c r="C674" s="21" t="n">
        <v>35</v>
      </c>
      <c r="D674" s="22" t="n">
        <v>788.8</v>
      </c>
      <c r="E674" s="20" t="n">
        <f aca="false">IFERROR(INDEX('Catalog'!$A:$A,MATCH($A674,'Catalog'!$B:$B,0)),IFERROR(INDEX('Catalog'!$A:$A,MATCH(TRIM(SUBSTITUTE($A674,CHAR(160)," ")),'Catalog'!$C:$C,0)),""))</f>
        <v>4413056</v>
      </c>
      <c r="F674" s="20" t="str">
        <f aca="false">IF($E674="","Unmatched","Matched")</f>
        <v>Matched</v>
      </c>
    </row>
    <row r="675" customFormat="false" ht="15" hidden="false" customHeight="false" outlineLevel="0" collapsed="false">
      <c r="A675" s="20" t="s">
        <v>624</v>
      </c>
      <c r="B675" s="20" t="n">
        <v>2026</v>
      </c>
      <c r="C675" s="21" t="n">
        <v>83</v>
      </c>
      <c r="D675" s="22" t="n">
        <v>2495.4</v>
      </c>
      <c r="E675" s="20" t="n">
        <f aca="false">IFERROR(INDEX('Catalog'!$A:$A,MATCH($A675,'Catalog'!$B:$B,0)),IFERROR(INDEX('Catalog'!$A:$A,MATCH(TRIM(SUBSTITUTE($A675,CHAR(160)," ")),'Catalog'!$C:$C,0)),""))</f>
        <v>4413058</v>
      </c>
      <c r="F675" s="20" t="str">
        <f aca="false">IF($E675="","Unmatched","Matched")</f>
        <v>Matched</v>
      </c>
    </row>
    <row r="676" customFormat="false" ht="15" hidden="false" customHeight="false" outlineLevel="0" collapsed="false">
      <c r="A676" s="20" t="s">
        <v>629</v>
      </c>
      <c r="B676" s="20" t="n">
        <v>2026</v>
      </c>
      <c r="C676" s="21" t="n">
        <v>663</v>
      </c>
      <c r="D676" s="22" t="n">
        <v>9084.2</v>
      </c>
      <c r="E676" s="20" t="n">
        <f aca="false">IFERROR(INDEX('Catalog'!$A:$A,MATCH($A676,'Catalog'!$B:$B,0)),IFERROR(INDEX('Catalog'!$A:$A,MATCH(TRIM(SUBSTITUTE($A676,CHAR(160)," ")),'Catalog'!$C:$C,0)),""))</f>
        <v>4413059</v>
      </c>
      <c r="F676" s="20" t="str">
        <f aca="false">IF($E676="","Unmatched","Matched")</f>
        <v>Matched</v>
      </c>
    </row>
    <row r="677" customFormat="false" ht="15" hidden="false" customHeight="false" outlineLevel="0" collapsed="false">
      <c r="A677" s="20" t="s">
        <v>627</v>
      </c>
      <c r="B677" s="20" t="n">
        <v>2026</v>
      </c>
      <c r="C677" s="21" t="n">
        <v>438</v>
      </c>
      <c r="D677" s="22" t="n">
        <v>5988.1</v>
      </c>
      <c r="E677" s="20" t="n">
        <f aca="false">IFERROR(INDEX('Catalog'!$A:$A,MATCH($A677,'Catalog'!$B:$B,0)),IFERROR(INDEX('Catalog'!$A:$A,MATCH(TRIM(SUBSTITUTE($A677,CHAR(160)," ")),'Catalog'!$C:$C,0)),""))</f>
        <v>4413060</v>
      </c>
      <c r="F677" s="20" t="str">
        <f aca="false">IF($E677="","Unmatched","Matched")</f>
        <v>Matched</v>
      </c>
    </row>
    <row r="678" customFormat="false" ht="15" hidden="false" customHeight="false" outlineLevel="0" collapsed="false">
      <c r="A678" s="20" t="s">
        <v>628</v>
      </c>
      <c r="B678" s="20" t="n">
        <v>2026</v>
      </c>
      <c r="C678" s="21" t="n">
        <v>46</v>
      </c>
      <c r="D678" s="22" t="n">
        <v>913.3</v>
      </c>
      <c r="E678" s="20" t="n">
        <f aca="false">IFERROR(INDEX('Catalog'!$A:$A,MATCH($A678,'Catalog'!$B:$B,0)),IFERROR(INDEX('Catalog'!$A:$A,MATCH(TRIM(SUBSTITUTE($A678,CHAR(160)," ")),'Catalog'!$C:$C,0)),""))</f>
        <v>4413061</v>
      </c>
      <c r="F678" s="20" t="str">
        <f aca="false">IF($E678="","Unmatched","Matched")</f>
        <v>Matched</v>
      </c>
    </row>
    <row r="679" customFormat="false" ht="15" hidden="false" customHeight="false" outlineLevel="0" collapsed="false">
      <c r="A679" s="20" t="s">
        <v>634</v>
      </c>
      <c r="B679" s="20" t="n">
        <v>2026</v>
      </c>
      <c r="C679" s="21" t="n">
        <v>185</v>
      </c>
      <c r="D679" s="22" t="n">
        <v>2821.7</v>
      </c>
      <c r="E679" s="20" t="n">
        <f aca="false">IFERROR(INDEX('Catalog'!$A:$A,MATCH($A679,'Catalog'!$B:$B,0)),IFERROR(INDEX('Catalog'!$A:$A,MATCH(TRIM(SUBSTITUTE($A679,CHAR(160)," ")),'Catalog'!$C:$C,0)),""))</f>
        <v>4413063</v>
      </c>
      <c r="F679" s="20" t="str">
        <f aca="false">IF($E679="","Unmatched","Matched")</f>
        <v>Matched</v>
      </c>
    </row>
    <row r="680" customFormat="false" ht="15" hidden="false" customHeight="false" outlineLevel="0" collapsed="false">
      <c r="A680" s="20" t="s">
        <v>638</v>
      </c>
      <c r="B680" s="20" t="n">
        <v>2026</v>
      </c>
      <c r="C680" s="21" t="n">
        <v>68</v>
      </c>
      <c r="D680" s="22" t="n">
        <v>1349.9</v>
      </c>
      <c r="E680" s="20" t="n">
        <f aca="false">IFERROR(INDEX('Catalog'!$A:$A,MATCH($A680,'Catalog'!$B:$B,0)),IFERROR(INDEX('Catalog'!$A:$A,MATCH(TRIM(SUBSTITUTE($A680,CHAR(160)," ")),'Catalog'!$C:$C,0)),""))</f>
        <v>4413066</v>
      </c>
      <c r="F680" s="20" t="str">
        <f aca="false">IF($E680="","Unmatched","Matched")</f>
        <v>Matched</v>
      </c>
    </row>
    <row r="681" customFormat="false" ht="15" hidden="false" customHeight="false" outlineLevel="0" collapsed="false">
      <c r="A681" s="20" t="s">
        <v>163</v>
      </c>
      <c r="B681" s="20" t="n">
        <v>2026</v>
      </c>
      <c r="C681" s="21" t="n">
        <v>7</v>
      </c>
      <c r="D681" s="22" t="n">
        <v>834.9</v>
      </c>
      <c r="E681" s="20" t="n">
        <f aca="false">IFERROR(INDEX('Catalog'!$A:$A,MATCH($A681,'Catalog'!$B:$B,0)),IFERROR(INDEX('Catalog'!$A:$A,MATCH(TRIM(SUBSTITUTE($A681,CHAR(160)," ")),'Catalog'!$C:$C,0)),""))</f>
        <v>4413072</v>
      </c>
      <c r="F681" s="20" t="str">
        <f aca="false">IF($E681="","Unmatched","Matched")</f>
        <v>Matched</v>
      </c>
    </row>
    <row r="682" customFormat="false" ht="15" hidden="false" customHeight="false" outlineLevel="0" collapsed="false">
      <c r="A682" s="20" t="s">
        <v>164</v>
      </c>
      <c r="B682" s="20" t="n">
        <v>2026</v>
      </c>
      <c r="C682" s="21" t="n">
        <v>6</v>
      </c>
      <c r="D682" s="22" t="n">
        <v>742.2</v>
      </c>
      <c r="E682" s="20" t="n">
        <f aca="false">IFERROR(INDEX('Catalog'!$A:$A,MATCH($A682,'Catalog'!$B:$B,0)),IFERROR(INDEX('Catalog'!$A:$A,MATCH(TRIM(SUBSTITUTE($A682,CHAR(160)," ")),'Catalog'!$C:$C,0)),""))</f>
        <v>4413073</v>
      </c>
      <c r="F682" s="20" t="str">
        <f aca="false">IF($E682="","Unmatched","Matched")</f>
        <v>Matched</v>
      </c>
    </row>
    <row r="683" customFormat="false" ht="15" hidden="false" customHeight="false" outlineLevel="0" collapsed="false">
      <c r="A683" s="20" t="s">
        <v>162</v>
      </c>
      <c r="B683" s="20" t="n">
        <v>2026</v>
      </c>
      <c r="C683" s="21" t="n">
        <v>6</v>
      </c>
      <c r="D683" s="22" t="n">
        <v>649.4</v>
      </c>
      <c r="E683" s="20" t="n">
        <f aca="false">IFERROR(INDEX('Catalog'!$A:$A,MATCH($A683,'Catalog'!$B:$B,0)),IFERROR(INDEX('Catalog'!$A:$A,MATCH(TRIM(SUBSTITUTE($A683,CHAR(160)," ")),'Catalog'!$C:$C,0)),""))</f>
        <v>4413074</v>
      </c>
      <c r="F683" s="20" t="str">
        <f aca="false">IF($E683="","Unmatched","Matched")</f>
        <v>Matched</v>
      </c>
    </row>
    <row r="684" customFormat="false" ht="15" hidden="false" customHeight="false" outlineLevel="0" collapsed="false">
      <c r="A684" s="20" t="s">
        <v>168</v>
      </c>
      <c r="B684" s="20" t="n">
        <v>2026</v>
      </c>
      <c r="C684" s="21" t="n">
        <v>3</v>
      </c>
      <c r="D684" s="22" t="n">
        <v>398.6</v>
      </c>
      <c r="E684" s="20" t="n">
        <f aca="false">IFERROR(INDEX('Catalog'!$A:$A,MATCH($A684,'Catalog'!$B:$B,0)),IFERROR(INDEX('Catalog'!$A:$A,MATCH(TRIM(SUBSTITUTE($A684,CHAR(160)," ")),'Catalog'!$C:$C,0)),""))</f>
        <v>4413076</v>
      </c>
      <c r="F684" s="20" t="str">
        <f aca="false">IF($E684="","Unmatched","Matched")</f>
        <v>Matched</v>
      </c>
    </row>
    <row r="685" customFormat="false" ht="15" hidden="false" customHeight="false" outlineLevel="0" collapsed="false">
      <c r="A685" s="20" t="s">
        <v>169</v>
      </c>
      <c r="B685" s="20" t="n">
        <v>2026</v>
      </c>
      <c r="C685" s="21" t="n">
        <v>1</v>
      </c>
      <c r="D685" s="22" t="n">
        <v>135.9</v>
      </c>
      <c r="E685" s="20" t="n">
        <f aca="false">IFERROR(INDEX('Catalog'!$A:$A,MATCH($A685,'Catalog'!$B:$B,0)),IFERROR(INDEX('Catalog'!$A:$A,MATCH(TRIM(SUBSTITUTE($A685,CHAR(160)," ")),'Catalog'!$C:$C,0)),""))</f>
        <v>4413077</v>
      </c>
      <c r="F685" s="20" t="str">
        <f aca="false">IF($E685="","Unmatched","Matched")</f>
        <v>Matched</v>
      </c>
    </row>
    <row r="686" customFormat="false" ht="15" hidden="false" customHeight="false" outlineLevel="0" collapsed="false">
      <c r="A686" s="20" t="s">
        <v>171</v>
      </c>
      <c r="B686" s="20" t="n">
        <v>2026</v>
      </c>
      <c r="C686" s="21" t="n">
        <v>2</v>
      </c>
      <c r="D686" s="22" t="n">
        <v>262.7</v>
      </c>
      <c r="E686" s="20" t="n">
        <f aca="false">IFERROR(INDEX('Catalog'!$A:$A,MATCH($A686,'Catalog'!$B:$B,0)),IFERROR(INDEX('Catalog'!$A:$A,MATCH(TRIM(SUBSTITUTE($A686,CHAR(160)," ")),'Catalog'!$C:$C,0)),""))</f>
        <v>4413079</v>
      </c>
      <c r="F686" s="20" t="str">
        <f aca="false">IF($E686="","Unmatched","Matched")</f>
        <v>Matched</v>
      </c>
    </row>
    <row r="687" customFormat="false" ht="15" hidden="false" customHeight="false" outlineLevel="0" collapsed="false">
      <c r="A687" s="20" t="s">
        <v>176</v>
      </c>
      <c r="B687" s="20" t="n">
        <v>2026</v>
      </c>
      <c r="C687" s="21" t="n">
        <v>2</v>
      </c>
      <c r="D687" s="22" t="n">
        <v>349.9</v>
      </c>
      <c r="E687" s="20" t="n">
        <f aca="false">IFERROR(INDEX('Catalog'!$A:$A,MATCH($A687,'Catalog'!$B:$B,0)),IFERROR(INDEX('Catalog'!$A:$A,MATCH(TRIM(SUBSTITUTE($A687,CHAR(160)," ")),'Catalog'!$C:$C,0)),""))</f>
        <v>4413089</v>
      </c>
      <c r="F687" s="20" t="str">
        <f aca="false">IF($E687="","Unmatched","Matched")</f>
        <v>Matched</v>
      </c>
    </row>
    <row r="688" customFormat="false" ht="15" hidden="false" customHeight="false" outlineLevel="0" collapsed="false">
      <c r="A688" s="20" t="s">
        <v>195</v>
      </c>
      <c r="B688" s="20" t="n">
        <v>2026</v>
      </c>
      <c r="C688" s="21" t="n">
        <v>240</v>
      </c>
      <c r="D688" s="22" t="n">
        <v>7170.2</v>
      </c>
      <c r="E688" s="20" t="n">
        <f aca="false">IFERROR(INDEX('Catalog'!$A:$A,MATCH($A688,'Catalog'!$B:$B,0)),IFERROR(INDEX('Catalog'!$A:$A,MATCH(TRIM(SUBSTITUTE($A688,CHAR(160)," ")),'Catalog'!$C:$C,0)),""))</f>
        <v>4413092</v>
      </c>
      <c r="F688" s="20" t="str">
        <f aca="false">IF($E688="","Unmatched","Matched")</f>
        <v>Matched</v>
      </c>
    </row>
    <row r="689" customFormat="false" ht="15" hidden="false" customHeight="false" outlineLevel="0" collapsed="false">
      <c r="A689" s="20" t="s">
        <v>196</v>
      </c>
      <c r="B689" s="20" t="n">
        <v>2026</v>
      </c>
      <c r="C689" s="21" t="n">
        <v>185</v>
      </c>
      <c r="D689" s="22" t="n">
        <v>5513.1</v>
      </c>
      <c r="E689" s="20" t="n">
        <f aca="false">IFERROR(INDEX('Catalog'!$A:$A,MATCH($A689,'Catalog'!$B:$B,0)),IFERROR(INDEX('Catalog'!$A:$A,MATCH(TRIM(SUBSTITUTE($A689,CHAR(160)," ")),'Catalog'!$C:$C,0)),""))</f>
        <v>4413093</v>
      </c>
      <c r="F689" s="20" t="str">
        <f aca="false">IF($E689="","Unmatched","Matched")</f>
        <v>Matched</v>
      </c>
    </row>
    <row r="690" customFormat="false" ht="15" hidden="false" customHeight="false" outlineLevel="0" collapsed="false">
      <c r="A690" s="20" t="s">
        <v>197</v>
      </c>
      <c r="B690" s="20" t="n">
        <v>2026</v>
      </c>
      <c r="C690" s="21" t="n">
        <v>72</v>
      </c>
      <c r="D690" s="22" t="n">
        <v>2154.1</v>
      </c>
      <c r="E690" s="20" t="n">
        <f aca="false">IFERROR(INDEX('Catalog'!$A:$A,MATCH($A690,'Catalog'!$B:$B,0)),IFERROR(INDEX('Catalog'!$A:$A,MATCH(TRIM(SUBSTITUTE($A690,CHAR(160)," ")),'Catalog'!$C:$C,0)),""))</f>
        <v>4413094</v>
      </c>
      <c r="F690" s="20" t="str">
        <f aca="false">IF($E690="","Unmatched","Matched")</f>
        <v>Matched</v>
      </c>
    </row>
    <row r="691" customFormat="false" ht="15" hidden="false" customHeight="false" outlineLevel="0" collapsed="false">
      <c r="A691" s="20" t="s">
        <v>198</v>
      </c>
      <c r="B691" s="20" t="n">
        <v>2026</v>
      </c>
      <c r="C691" s="21" t="n">
        <v>173</v>
      </c>
      <c r="D691" s="22" t="n">
        <v>5164.4</v>
      </c>
      <c r="E691" s="20" t="n">
        <f aca="false">IFERROR(INDEX('Catalog'!$A:$A,MATCH($A691,'Catalog'!$B:$B,0)),IFERROR(INDEX('Catalog'!$A:$A,MATCH(TRIM(SUBSTITUTE($A691,CHAR(160)," ")),'Catalog'!$C:$C,0)),""))</f>
        <v>4413095</v>
      </c>
      <c r="F691" s="20" t="str">
        <f aca="false">IF($E691="","Unmatched","Matched")</f>
        <v>Matched</v>
      </c>
    </row>
    <row r="692" customFormat="false" ht="15" hidden="false" customHeight="false" outlineLevel="0" collapsed="false">
      <c r="A692" s="20" t="s">
        <v>199</v>
      </c>
      <c r="B692" s="20" t="n">
        <v>2026</v>
      </c>
      <c r="C692" s="21" t="n">
        <v>81</v>
      </c>
      <c r="D692" s="22" t="n">
        <v>2415.6</v>
      </c>
      <c r="E692" s="20" t="n">
        <f aca="false">IFERROR(INDEX('Catalog'!$A:$A,MATCH($A692,'Catalog'!$B:$B,0)),IFERROR(INDEX('Catalog'!$A:$A,MATCH(TRIM(SUBSTITUTE($A692,CHAR(160)," ")),'Catalog'!$C:$C,0)),""))</f>
        <v>4413096</v>
      </c>
      <c r="F692" s="20" t="str">
        <f aca="false">IF($E692="","Unmatched","Matched")</f>
        <v>Matched</v>
      </c>
    </row>
    <row r="693" customFormat="false" ht="15" hidden="false" customHeight="false" outlineLevel="0" collapsed="false">
      <c r="A693" s="20" t="s">
        <v>207</v>
      </c>
      <c r="B693" s="20" t="n">
        <v>2026</v>
      </c>
      <c r="C693" s="21" t="n">
        <v>103</v>
      </c>
      <c r="D693" s="22" t="n">
        <v>3118.6</v>
      </c>
      <c r="E693" s="20" t="n">
        <f aca="false">IFERROR(INDEX('Catalog'!$A:$A,MATCH($A693,'Catalog'!$B:$B,0)),IFERROR(INDEX('Catalog'!$A:$A,MATCH(TRIM(SUBSTITUTE($A693,CHAR(160)," ")),'Catalog'!$C:$C,0)),""))</f>
        <v>4413097</v>
      </c>
      <c r="F693" s="20" t="str">
        <f aca="false">IF($E693="","Unmatched","Matched")</f>
        <v>Matched</v>
      </c>
    </row>
    <row r="694" customFormat="false" ht="15" hidden="false" customHeight="false" outlineLevel="0" collapsed="false">
      <c r="A694" s="20" t="s">
        <v>205</v>
      </c>
      <c r="B694" s="20" t="n">
        <v>2026</v>
      </c>
      <c r="C694" s="21" t="n">
        <v>284</v>
      </c>
      <c r="D694" s="22" t="n">
        <v>8558.2</v>
      </c>
      <c r="E694" s="20" t="n">
        <f aca="false">IFERROR(INDEX('Catalog'!$A:$A,MATCH($A694,'Catalog'!$B:$B,0)),IFERROR(INDEX('Catalog'!$A:$A,MATCH(TRIM(SUBSTITUTE($A694,CHAR(160)," ")),'Catalog'!$C:$C,0)),""))</f>
        <v>4413098</v>
      </c>
      <c r="F694" s="20" t="str">
        <f aca="false">IF($E694="","Unmatched","Matched")</f>
        <v>Matched</v>
      </c>
    </row>
    <row r="695" customFormat="false" ht="15" hidden="false" customHeight="false" outlineLevel="0" collapsed="false">
      <c r="A695" s="20" t="s">
        <v>206</v>
      </c>
      <c r="B695" s="20" t="n">
        <v>2026</v>
      </c>
      <c r="C695" s="21" t="n">
        <v>241</v>
      </c>
      <c r="D695" s="22" t="n">
        <v>7267.8</v>
      </c>
      <c r="E695" s="20" t="n">
        <f aca="false">IFERROR(INDEX('Catalog'!$A:$A,MATCH($A695,'Catalog'!$B:$B,0)),IFERROR(INDEX('Catalog'!$A:$A,MATCH(TRIM(SUBSTITUTE($A695,CHAR(160)," ")),'Catalog'!$C:$C,0)),""))</f>
        <v>4413099</v>
      </c>
      <c r="F695" s="20" t="str">
        <f aca="false">IF($E695="","Unmatched","Matched")</f>
        <v>Matched</v>
      </c>
    </row>
    <row r="696" customFormat="false" ht="15" hidden="false" customHeight="false" outlineLevel="0" collapsed="false">
      <c r="A696" s="20" t="s">
        <v>208</v>
      </c>
      <c r="B696" s="20" t="n">
        <v>2026</v>
      </c>
      <c r="C696" s="21" t="n">
        <v>260</v>
      </c>
      <c r="D696" s="22" t="n">
        <v>7867.9</v>
      </c>
      <c r="E696" s="20" t="n">
        <f aca="false">IFERROR(INDEX('Catalog'!$A:$A,MATCH($A696,'Catalog'!$B:$B,0)),IFERROR(INDEX('Catalog'!$A:$A,MATCH(TRIM(SUBSTITUTE($A696,CHAR(160)," ")),'Catalog'!$C:$C,0)),""))</f>
        <v>4413100</v>
      </c>
      <c r="F696" s="20" t="str">
        <f aca="false">IF($E696="","Unmatched","Matched")</f>
        <v>Matched</v>
      </c>
    </row>
    <row r="697" customFormat="false" ht="15" hidden="false" customHeight="false" outlineLevel="0" collapsed="false">
      <c r="A697" s="20" t="s">
        <v>211</v>
      </c>
      <c r="B697" s="20" t="n">
        <v>2026</v>
      </c>
      <c r="C697" s="21" t="n">
        <v>28</v>
      </c>
      <c r="D697" s="22" t="n">
        <v>1008.7</v>
      </c>
      <c r="E697" s="20" t="n">
        <f aca="false">IFERROR(INDEX('Catalog'!$A:$A,MATCH($A697,'Catalog'!$B:$B,0)),IFERROR(INDEX('Catalog'!$A:$A,MATCH(TRIM(SUBSTITUTE($A697,CHAR(160)," ")),'Catalog'!$C:$C,0)),""))</f>
        <v>4413101</v>
      </c>
      <c r="F697" s="20" t="str">
        <f aca="false">IF($E697="","Unmatched","Matched")</f>
        <v>Matched</v>
      </c>
    </row>
    <row r="698" customFormat="false" ht="15" hidden="false" customHeight="false" outlineLevel="0" collapsed="false">
      <c r="A698" s="20" t="s">
        <v>209</v>
      </c>
      <c r="B698" s="20" t="n">
        <v>2026</v>
      </c>
      <c r="C698" s="21" t="n">
        <v>90</v>
      </c>
      <c r="D698" s="22" t="n">
        <v>3242.9</v>
      </c>
      <c r="E698" s="20" t="n">
        <f aca="false">IFERROR(INDEX('Catalog'!$A:$A,MATCH($A698,'Catalog'!$B:$B,0)),IFERROR(INDEX('Catalog'!$A:$A,MATCH(TRIM(SUBSTITUTE($A698,CHAR(160)," ")),'Catalog'!$C:$C,0)),""))</f>
        <v>4413102</v>
      </c>
      <c r="F698" s="20" t="str">
        <f aca="false">IF($E698="","Unmatched","Matched")</f>
        <v>Matched</v>
      </c>
    </row>
    <row r="699" customFormat="false" ht="15" hidden="false" customHeight="false" outlineLevel="0" collapsed="false">
      <c r="A699" s="20" t="s">
        <v>210</v>
      </c>
      <c r="B699" s="20" t="n">
        <v>2026</v>
      </c>
      <c r="C699" s="21" t="n">
        <v>67</v>
      </c>
      <c r="D699" s="22" t="n">
        <v>2369.5</v>
      </c>
      <c r="E699" s="20" t="n">
        <f aca="false">IFERROR(INDEX('Catalog'!$A:$A,MATCH($A699,'Catalog'!$B:$B,0)),IFERROR(INDEX('Catalog'!$A:$A,MATCH(TRIM(SUBSTITUTE($A699,CHAR(160)," ")),'Catalog'!$C:$C,0)),""))</f>
        <v>4413103</v>
      </c>
      <c r="F699" s="20" t="str">
        <f aca="false">IF($E699="","Unmatched","Matched")</f>
        <v>Matched</v>
      </c>
    </row>
    <row r="700" customFormat="false" ht="15" hidden="false" customHeight="false" outlineLevel="0" collapsed="false">
      <c r="A700" s="20" t="s">
        <v>212</v>
      </c>
      <c r="B700" s="20" t="n">
        <v>2026</v>
      </c>
      <c r="C700" s="21" t="n">
        <v>67</v>
      </c>
      <c r="D700" s="22" t="n">
        <v>2438.9</v>
      </c>
      <c r="E700" s="20" t="n">
        <f aca="false">IFERROR(INDEX('Catalog'!$A:$A,MATCH($A700,'Catalog'!$B:$B,0)),IFERROR(INDEX('Catalog'!$A:$A,MATCH(TRIM(SUBSTITUTE($A700,CHAR(160)," ")),'Catalog'!$C:$C,0)),""))</f>
        <v>4413104</v>
      </c>
      <c r="F700" s="20" t="str">
        <f aca="false">IF($E700="","Unmatched","Matched")</f>
        <v>Matched</v>
      </c>
    </row>
    <row r="701" customFormat="false" ht="15" hidden="false" customHeight="false" outlineLevel="0" collapsed="false">
      <c r="A701" s="20" t="s">
        <v>213</v>
      </c>
      <c r="B701" s="20" t="n">
        <v>2026</v>
      </c>
      <c r="C701" s="21" t="n">
        <v>31</v>
      </c>
      <c r="D701" s="22" t="n">
        <v>1131.1</v>
      </c>
      <c r="E701" s="20" t="n">
        <f aca="false">IFERROR(INDEX('Catalog'!$A:$A,MATCH($A701,'Catalog'!$B:$B,0)),IFERROR(INDEX('Catalog'!$A:$A,MATCH(TRIM(SUBSTITUTE($A701,CHAR(160)," ")),'Catalog'!$C:$C,0)),""))</f>
        <v>4413105</v>
      </c>
      <c r="F701" s="20" t="str">
        <f aca="false">IF($E701="","Unmatched","Matched")</f>
        <v>Matched</v>
      </c>
    </row>
    <row r="702" customFormat="false" ht="15" hidden="false" customHeight="false" outlineLevel="0" collapsed="false">
      <c r="A702" s="20" t="s">
        <v>221</v>
      </c>
      <c r="B702" s="20" t="n">
        <v>2026</v>
      </c>
      <c r="C702" s="21" t="n">
        <v>1</v>
      </c>
      <c r="D702" s="22" t="n">
        <v>56.7</v>
      </c>
      <c r="E702" s="20" t="n">
        <f aca="false">IFERROR(INDEX('Catalog'!$A:$A,MATCH($A702,'Catalog'!$B:$B,0)),IFERROR(INDEX('Catalog'!$A:$A,MATCH(TRIM(SUBSTITUTE($A702,CHAR(160)," ")),'Catalog'!$C:$C,0)),""))</f>
        <v>4413106</v>
      </c>
      <c r="F702" s="20" t="str">
        <f aca="false">IF($E702="","Unmatched","Matched")</f>
        <v>Matched</v>
      </c>
    </row>
    <row r="703" customFormat="false" ht="15" hidden="false" customHeight="false" outlineLevel="0" collapsed="false">
      <c r="A703" s="20" t="s">
        <v>219</v>
      </c>
      <c r="B703" s="20" t="n">
        <v>2026</v>
      </c>
      <c r="C703" s="21" t="n">
        <v>3</v>
      </c>
      <c r="D703" s="22" t="n">
        <v>170</v>
      </c>
      <c r="E703" s="20" t="n">
        <f aca="false">IFERROR(INDEX('Catalog'!$A:$A,MATCH($A703,'Catalog'!$B:$B,0)),IFERROR(INDEX('Catalog'!$A:$A,MATCH(TRIM(SUBSTITUTE($A703,CHAR(160)," ")),'Catalog'!$C:$C,0)),""))</f>
        <v>4413107</v>
      </c>
      <c r="F703" s="20" t="str">
        <f aca="false">IF($E703="","Unmatched","Matched")</f>
        <v>Matched</v>
      </c>
    </row>
    <row r="704" customFormat="false" ht="15" hidden="false" customHeight="false" outlineLevel="0" collapsed="false">
      <c r="A704" s="20" t="s">
        <v>220</v>
      </c>
      <c r="B704" s="20" t="n">
        <v>2026</v>
      </c>
      <c r="C704" s="21" t="n">
        <v>2</v>
      </c>
      <c r="D704" s="22" t="n">
        <v>113.3</v>
      </c>
      <c r="E704" s="20" t="n">
        <f aca="false">IFERROR(INDEX('Catalog'!$A:$A,MATCH($A704,'Catalog'!$B:$B,0)),IFERROR(INDEX('Catalog'!$A:$A,MATCH(TRIM(SUBSTITUTE($A704,CHAR(160)," ")),'Catalog'!$C:$C,0)),""))</f>
        <v>4413108</v>
      </c>
      <c r="F704" s="20" t="str">
        <f aca="false">IF($E704="","Unmatched","Matched")</f>
        <v>Matched</v>
      </c>
    </row>
    <row r="705" customFormat="false" ht="15" hidden="false" customHeight="false" outlineLevel="0" collapsed="false">
      <c r="A705" s="20" t="s">
        <v>222</v>
      </c>
      <c r="B705" s="20" t="n">
        <v>2026</v>
      </c>
      <c r="C705" s="21" t="n">
        <v>1</v>
      </c>
      <c r="D705" s="22" t="n">
        <v>56.7</v>
      </c>
      <c r="E705" s="20" t="n">
        <f aca="false">IFERROR(INDEX('Catalog'!$A:$A,MATCH($A705,'Catalog'!$B:$B,0)),IFERROR(INDEX('Catalog'!$A:$A,MATCH(TRIM(SUBSTITUTE($A705,CHAR(160)," ")),'Catalog'!$C:$C,0)),""))</f>
        <v>4413109</v>
      </c>
      <c r="F705" s="20" t="str">
        <f aca="false">IF($E705="","Unmatched","Matched")</f>
        <v>Matched</v>
      </c>
    </row>
    <row r="706" customFormat="false" ht="15" hidden="false" customHeight="false" outlineLevel="0" collapsed="false">
      <c r="A706" s="20" t="s">
        <v>874</v>
      </c>
      <c r="B706" s="20" t="n">
        <v>2026</v>
      </c>
      <c r="C706" s="21" t="n">
        <v>6</v>
      </c>
      <c r="D706" s="22" t="n">
        <v>194.6</v>
      </c>
      <c r="E706" s="20" t="n">
        <f aca="false">IFERROR(INDEX('Catalog'!$A:$A,MATCH($A706,'Catalog'!$B:$B,0)),IFERROR(INDEX('Catalog'!$A:$A,MATCH(TRIM(SUBSTITUTE($A706,CHAR(160)," ")),'Catalog'!$C:$C,0)),""))</f>
        <v>4413111</v>
      </c>
      <c r="F706" s="20" t="str">
        <f aca="false">IF($E706="","Unmatched","Matched")</f>
        <v>Matched</v>
      </c>
    </row>
    <row r="707" customFormat="false" ht="15" hidden="false" customHeight="false" outlineLevel="0" collapsed="false">
      <c r="A707" s="20" t="s">
        <v>872</v>
      </c>
      <c r="B707" s="20" t="n">
        <v>2026</v>
      </c>
      <c r="C707" s="21" t="n">
        <v>23</v>
      </c>
      <c r="D707" s="22" t="n">
        <v>798</v>
      </c>
      <c r="E707" s="20" t="n">
        <f aca="false">IFERROR(INDEX('Catalog'!$A:$A,MATCH($A707,'Catalog'!$B:$B,0)),IFERROR(INDEX('Catalog'!$A:$A,MATCH(TRIM(SUBSTITUTE($A707,CHAR(160)," ")),'Catalog'!$C:$C,0)),""))</f>
        <v>4413112</v>
      </c>
      <c r="F707" s="20" t="str">
        <f aca="false">IF($E707="","Unmatched","Matched")</f>
        <v>Matched</v>
      </c>
    </row>
    <row r="708" customFormat="false" ht="15" hidden="false" customHeight="false" outlineLevel="0" collapsed="false">
      <c r="A708" s="20" t="s">
        <v>873</v>
      </c>
      <c r="B708" s="20" t="n">
        <v>2026</v>
      </c>
      <c r="C708" s="21" t="n">
        <v>7</v>
      </c>
      <c r="D708" s="22" t="n">
        <v>242.6</v>
      </c>
      <c r="E708" s="20" t="n">
        <f aca="false">IFERROR(INDEX('Catalog'!$A:$A,MATCH($A708,'Catalog'!$B:$B,0)),IFERROR(INDEX('Catalog'!$A:$A,MATCH(TRIM(SUBSTITUTE($A708,CHAR(160)," ")),'Catalog'!$C:$C,0)),""))</f>
        <v>4413113</v>
      </c>
      <c r="F708" s="20" t="str">
        <f aca="false">IF($E708="","Unmatched","Matched")</f>
        <v>Matched</v>
      </c>
    </row>
    <row r="709" customFormat="false" ht="15" hidden="false" customHeight="false" outlineLevel="0" collapsed="false">
      <c r="A709" s="20" t="s">
        <v>875</v>
      </c>
      <c r="B709" s="20" t="n">
        <v>2026</v>
      </c>
      <c r="C709" s="21" t="n">
        <v>12</v>
      </c>
      <c r="D709" s="22" t="n">
        <v>416.9</v>
      </c>
      <c r="E709" s="20" t="n">
        <f aca="false">IFERROR(INDEX('Catalog'!$A:$A,MATCH($A709,'Catalog'!$B:$B,0)),IFERROR(INDEX('Catalog'!$A:$A,MATCH(TRIM(SUBSTITUTE($A709,CHAR(160)," ")),'Catalog'!$C:$C,0)),""))</f>
        <v>4413114</v>
      </c>
      <c r="F709" s="20" t="str">
        <f aca="false">IF($E709="","Unmatched","Matched")</f>
        <v>Matched</v>
      </c>
    </row>
    <row r="710" customFormat="false" ht="15" hidden="false" customHeight="false" outlineLevel="0" collapsed="false">
      <c r="A710" s="20" t="s">
        <v>876</v>
      </c>
      <c r="B710" s="20" t="n">
        <v>2026</v>
      </c>
      <c r="C710" s="21" t="n">
        <v>5</v>
      </c>
      <c r="D710" s="22" t="n">
        <v>175.5</v>
      </c>
      <c r="E710" s="20" t="n">
        <f aca="false">IFERROR(INDEX('Catalog'!$A:$A,MATCH($A710,'Catalog'!$B:$B,0)),IFERROR(INDEX('Catalog'!$A:$A,MATCH(TRIM(SUBSTITUTE($A710,CHAR(160)," ")),'Catalog'!$C:$C,0)),""))</f>
        <v>4413115</v>
      </c>
      <c r="F710" s="20" t="str">
        <f aca="false">IF($E710="","Unmatched","Matched")</f>
        <v>Matched</v>
      </c>
    </row>
    <row r="711" customFormat="false" ht="15" hidden="false" customHeight="false" outlineLevel="0" collapsed="false">
      <c r="A711" s="20" t="s">
        <v>522</v>
      </c>
      <c r="B711" s="20" t="n">
        <v>2026</v>
      </c>
      <c r="C711" s="21" t="n">
        <v>-1</v>
      </c>
      <c r="D711" s="22" t="n">
        <v>-88.8</v>
      </c>
      <c r="E711" s="20" t="n">
        <f aca="false">IFERROR(INDEX('Catalog'!$A:$A,MATCH($A711,'Catalog'!$B:$B,0)),IFERROR(INDEX('Catalog'!$A:$A,MATCH(TRIM(SUBSTITUTE($A711,CHAR(160)," ")),'Catalog'!$C:$C,0)),""))</f>
        <v>4413116</v>
      </c>
      <c r="F711" s="20" t="str">
        <f aca="false">IF($E711="","Unmatched","Matched")</f>
        <v>Matched</v>
      </c>
    </row>
    <row r="712" customFormat="false" ht="15" hidden="false" customHeight="false" outlineLevel="0" collapsed="false">
      <c r="A712" s="20" t="s">
        <v>520</v>
      </c>
      <c r="B712" s="20" t="n">
        <v>2026</v>
      </c>
      <c r="C712" s="21" t="n">
        <v>4</v>
      </c>
      <c r="D712" s="22" t="n">
        <v>444.1</v>
      </c>
      <c r="E712" s="20" t="n">
        <f aca="false">IFERROR(INDEX('Catalog'!$A:$A,MATCH($A712,'Catalog'!$B:$B,0)),IFERROR(INDEX('Catalog'!$A:$A,MATCH(TRIM(SUBSTITUTE($A712,CHAR(160)," ")),'Catalog'!$C:$C,0)),""))</f>
        <v>4413117</v>
      </c>
      <c r="F712" s="20" t="str">
        <f aca="false">IF($E712="","Unmatched","Matched")</f>
        <v>Matched</v>
      </c>
    </row>
    <row r="713" customFormat="false" ht="15" hidden="false" customHeight="false" outlineLevel="0" collapsed="false">
      <c r="A713" s="20" t="s">
        <v>521</v>
      </c>
      <c r="B713" s="20" t="n">
        <v>2026</v>
      </c>
      <c r="C713" s="21" t="n">
        <v>1</v>
      </c>
      <c r="D713" s="22" t="n">
        <v>111</v>
      </c>
      <c r="E713" s="20" t="n">
        <f aca="false">IFERROR(INDEX('Catalog'!$A:$A,MATCH($A713,'Catalog'!$B:$B,0)),IFERROR(INDEX('Catalog'!$A:$A,MATCH(TRIM(SUBSTITUTE($A713,CHAR(160)," ")),'Catalog'!$C:$C,0)),""))</f>
        <v>4413118</v>
      </c>
      <c r="F713" s="20" t="str">
        <f aca="false">IF($E713="","Unmatched","Matched")</f>
        <v>Matched</v>
      </c>
    </row>
    <row r="714" customFormat="false" ht="15" hidden="false" customHeight="false" outlineLevel="0" collapsed="false">
      <c r="A714" s="20" t="s">
        <v>523</v>
      </c>
      <c r="B714" s="20" t="n">
        <v>2026</v>
      </c>
      <c r="C714" s="21" t="n">
        <v>1</v>
      </c>
      <c r="D714" s="22" t="n">
        <v>111</v>
      </c>
      <c r="E714" s="20" t="n">
        <f aca="false">IFERROR(INDEX('Catalog'!$A:$A,MATCH($A714,'Catalog'!$B:$B,0)),IFERROR(INDEX('Catalog'!$A:$A,MATCH(TRIM(SUBSTITUTE($A714,CHAR(160)," ")),'Catalog'!$C:$C,0)),""))</f>
        <v>4413119</v>
      </c>
      <c r="F714" s="20" t="str">
        <f aca="false">IF($E714="","Unmatched","Matched")</f>
        <v>Matched</v>
      </c>
    </row>
    <row r="715" customFormat="false" ht="15" hidden="false" customHeight="false" outlineLevel="0" collapsed="false">
      <c r="A715" s="20" t="s">
        <v>525</v>
      </c>
      <c r="B715" s="20" t="n">
        <v>2026</v>
      </c>
      <c r="C715" s="21" t="n">
        <v>3</v>
      </c>
      <c r="D715" s="22" t="n">
        <v>241.7</v>
      </c>
      <c r="E715" s="20" t="n">
        <f aca="false">IFERROR(INDEX('Catalog'!$A:$A,MATCH($A715,'Catalog'!$B:$B,0)),IFERROR(INDEX('Catalog'!$A:$A,MATCH(TRIM(SUBSTITUTE($A715,CHAR(160)," ")),'Catalog'!$C:$C,0)),""))</f>
        <v>4413122</v>
      </c>
      <c r="F715" s="20" t="str">
        <f aca="false">IF($E715="","Unmatched","Matched")</f>
        <v>Matched</v>
      </c>
    </row>
    <row r="716" customFormat="false" ht="15" hidden="false" customHeight="false" outlineLevel="0" collapsed="false">
      <c r="A716" s="20" t="s">
        <v>526</v>
      </c>
      <c r="B716" s="20" t="n">
        <v>2026</v>
      </c>
      <c r="C716" s="21" t="n">
        <v>-1</v>
      </c>
      <c r="D716" s="22" t="n">
        <v>-80.3</v>
      </c>
      <c r="E716" s="20" t="n">
        <f aca="false">IFERROR(INDEX('Catalog'!$A:$A,MATCH($A716,'Catalog'!$B:$B,0)),IFERROR(INDEX('Catalog'!$A:$A,MATCH(TRIM(SUBSTITUTE($A716,CHAR(160)," ")),'Catalog'!$C:$C,0)),""))</f>
        <v>4413123</v>
      </c>
      <c r="F716" s="20" t="str">
        <f aca="false">IF($E716="","Unmatched","Matched")</f>
        <v>Matched</v>
      </c>
    </row>
    <row r="717" customFormat="false" ht="15" hidden="false" customHeight="false" outlineLevel="0" collapsed="false">
      <c r="A717" s="20" t="s">
        <v>528</v>
      </c>
      <c r="B717" s="20" t="n">
        <v>2026</v>
      </c>
      <c r="C717" s="21" t="n">
        <v>1</v>
      </c>
      <c r="D717" s="22" t="n">
        <v>84.3</v>
      </c>
      <c r="E717" s="20" t="n">
        <f aca="false">IFERROR(INDEX('Catalog'!$A:$A,MATCH($A717,'Catalog'!$B:$B,0)),IFERROR(INDEX('Catalog'!$A:$A,MATCH(TRIM(SUBSTITUTE($A717,CHAR(160)," ")),'Catalog'!$C:$C,0)),""))</f>
        <v>4413124</v>
      </c>
      <c r="F717" s="20" t="str">
        <f aca="false">IF($E717="","Unmatched","Matched")</f>
        <v>Matched</v>
      </c>
    </row>
    <row r="718" customFormat="false" ht="15" hidden="false" customHeight="false" outlineLevel="0" collapsed="false">
      <c r="A718" s="20" t="s">
        <v>452</v>
      </c>
      <c r="B718" s="20" t="n">
        <v>2026</v>
      </c>
      <c r="C718" s="21" t="n">
        <v>5</v>
      </c>
      <c r="D718" s="22" t="n">
        <v>820.1</v>
      </c>
      <c r="E718" s="20" t="n">
        <f aca="false">IFERROR(INDEX('Catalog'!$A:$A,MATCH($A718,'Catalog'!$B:$B,0)),IFERROR(INDEX('Catalog'!$A:$A,MATCH(TRIM(SUBSTITUTE($A718,CHAR(160)," ")),'Catalog'!$C:$C,0)),""))</f>
        <v>4413126</v>
      </c>
      <c r="F718" s="20" t="str">
        <f aca="false">IF($E718="","Unmatched","Matched")</f>
        <v>Matched</v>
      </c>
    </row>
    <row r="719" customFormat="false" ht="15" hidden="false" customHeight="false" outlineLevel="0" collapsed="false">
      <c r="A719" s="20" t="s">
        <v>450</v>
      </c>
      <c r="B719" s="20" t="n">
        <v>2026</v>
      </c>
      <c r="C719" s="21" t="n">
        <v>16</v>
      </c>
      <c r="D719" s="22" t="n">
        <v>2547.6</v>
      </c>
      <c r="E719" s="20" t="n">
        <f aca="false">IFERROR(INDEX('Catalog'!$A:$A,MATCH($A719,'Catalog'!$B:$B,0)),IFERROR(INDEX('Catalog'!$A:$A,MATCH(TRIM(SUBSTITUTE($A719,CHAR(160)," ")),'Catalog'!$C:$C,0)),""))</f>
        <v>4413127</v>
      </c>
      <c r="F719" s="20" t="str">
        <f aca="false">IF($E719="","Unmatched","Matched")</f>
        <v>Matched</v>
      </c>
    </row>
    <row r="720" customFormat="false" ht="15" hidden="false" customHeight="false" outlineLevel="0" collapsed="false">
      <c r="A720" s="20" t="s">
        <v>451</v>
      </c>
      <c r="B720" s="20" t="n">
        <v>2026</v>
      </c>
      <c r="C720" s="21" t="n">
        <v>7</v>
      </c>
      <c r="D720" s="22" t="n">
        <v>1060.5</v>
      </c>
      <c r="E720" s="20" t="n">
        <f aca="false">IFERROR(INDEX('Catalog'!$A:$A,MATCH($A720,'Catalog'!$B:$B,0)),IFERROR(INDEX('Catalog'!$A:$A,MATCH(TRIM(SUBSTITUTE($A720,CHAR(160)," ")),'Catalog'!$C:$C,0)),""))</f>
        <v>4413128</v>
      </c>
      <c r="F720" s="20" t="str">
        <f aca="false">IF($E720="","Unmatched","Matched")</f>
        <v>Matched</v>
      </c>
    </row>
    <row r="721" customFormat="false" ht="15" hidden="false" customHeight="false" outlineLevel="0" collapsed="false">
      <c r="A721" s="20" t="s">
        <v>453</v>
      </c>
      <c r="B721" s="20" t="n">
        <v>2026</v>
      </c>
      <c r="C721" s="21" t="n">
        <v>2</v>
      </c>
      <c r="D721" s="22" t="n">
        <v>320.8</v>
      </c>
      <c r="E721" s="20" t="n">
        <f aca="false">IFERROR(INDEX('Catalog'!$A:$A,MATCH($A721,'Catalog'!$B:$B,0)),IFERROR(INDEX('Catalog'!$A:$A,MATCH(TRIM(SUBSTITUTE($A721,CHAR(160)," ")),'Catalog'!$C:$C,0)),""))</f>
        <v>4413129</v>
      </c>
      <c r="F721" s="20" t="str">
        <f aca="false">IF($E721="","Unmatched","Matched")</f>
        <v>Matched</v>
      </c>
    </row>
    <row r="722" customFormat="false" ht="15" hidden="false" customHeight="false" outlineLevel="0" collapsed="false">
      <c r="A722" s="20" t="s">
        <v>449</v>
      </c>
      <c r="B722" s="20" t="n">
        <v>2026</v>
      </c>
      <c r="C722" s="21" t="n">
        <v>2</v>
      </c>
      <c r="D722" s="22" t="n">
        <v>371.8</v>
      </c>
      <c r="E722" s="20" t="n">
        <f aca="false">IFERROR(INDEX('Catalog'!$A:$A,MATCH($A722,'Catalog'!$B:$B,0)),IFERROR(INDEX('Catalog'!$A:$A,MATCH(TRIM(SUBSTITUTE($A722,CHAR(160)," ")),'Catalog'!$C:$C,0)),""))</f>
        <v>4413130</v>
      </c>
      <c r="F722" s="20" t="str">
        <f aca="false">IF($E722="","Unmatched","Matched")</f>
        <v>Matched</v>
      </c>
    </row>
    <row r="723" customFormat="false" ht="15" hidden="false" customHeight="false" outlineLevel="0" collapsed="false">
      <c r="A723" s="20" t="s">
        <v>456</v>
      </c>
      <c r="B723" s="20" t="n">
        <v>2026</v>
      </c>
      <c r="C723" s="21" t="n">
        <v>9</v>
      </c>
      <c r="D723" s="22" t="n">
        <v>1869.7</v>
      </c>
      <c r="E723" s="20" t="n">
        <f aca="false">IFERROR(INDEX('Catalog'!$A:$A,MATCH($A723,'Catalog'!$B:$B,0)),IFERROR(INDEX('Catalog'!$A:$A,MATCH(TRIM(SUBSTITUTE($A723,CHAR(160)," ")),'Catalog'!$C:$C,0)),""))</f>
        <v>4413131</v>
      </c>
      <c r="F723" s="20" t="str">
        <f aca="false">IF($E723="","Unmatched","Matched")</f>
        <v>Matched</v>
      </c>
    </row>
    <row r="724" customFormat="false" ht="15" hidden="false" customHeight="false" outlineLevel="0" collapsed="false">
      <c r="A724" s="20" t="s">
        <v>454</v>
      </c>
      <c r="B724" s="20" t="n">
        <v>2026</v>
      </c>
      <c r="C724" s="21" t="n">
        <v>20</v>
      </c>
      <c r="D724" s="22" t="n">
        <v>4146.3</v>
      </c>
      <c r="E724" s="20" t="n">
        <f aca="false">IFERROR(INDEX('Catalog'!$A:$A,MATCH($A724,'Catalog'!$B:$B,0)),IFERROR(INDEX('Catalog'!$A:$A,MATCH(TRIM(SUBSTITUTE($A724,CHAR(160)," ")),'Catalog'!$C:$C,0)),""))</f>
        <v>4413132</v>
      </c>
      <c r="F724" s="20" t="str">
        <f aca="false">IF($E724="","Unmatched","Matched")</f>
        <v>Matched</v>
      </c>
    </row>
    <row r="725" customFormat="false" ht="15" hidden="false" customHeight="false" outlineLevel="0" collapsed="false">
      <c r="A725" s="20" t="s">
        <v>455</v>
      </c>
      <c r="B725" s="20" t="n">
        <v>2026</v>
      </c>
      <c r="C725" s="21" t="n">
        <v>17</v>
      </c>
      <c r="D725" s="22" t="n">
        <v>3514.6</v>
      </c>
      <c r="E725" s="20" t="n">
        <f aca="false">IFERROR(INDEX('Catalog'!$A:$A,MATCH($A725,'Catalog'!$B:$B,0)),IFERROR(INDEX('Catalog'!$A:$A,MATCH(TRIM(SUBSTITUTE($A725,CHAR(160)," ")),'Catalog'!$C:$C,0)),""))</f>
        <v>4413133</v>
      </c>
      <c r="F725" s="20" t="str">
        <f aca="false">IF($E725="","Unmatched","Matched")</f>
        <v>Matched</v>
      </c>
    </row>
    <row r="726" customFormat="false" ht="15" hidden="false" customHeight="false" outlineLevel="0" collapsed="false">
      <c r="A726" s="20" t="s">
        <v>457</v>
      </c>
      <c r="B726" s="20" t="n">
        <v>2026</v>
      </c>
      <c r="C726" s="21" t="n">
        <v>14</v>
      </c>
      <c r="D726" s="22" t="n">
        <v>2910</v>
      </c>
      <c r="E726" s="20" t="n">
        <f aca="false">IFERROR(INDEX('Catalog'!$A:$A,MATCH($A726,'Catalog'!$B:$B,0)),IFERROR(INDEX('Catalog'!$A:$A,MATCH(TRIM(SUBSTITUTE($A726,CHAR(160)," ")),'Catalog'!$C:$C,0)),""))</f>
        <v>4413134</v>
      </c>
      <c r="F726" s="20" t="str">
        <f aca="false">IF($E726="","Unmatched","Matched")</f>
        <v>Matched</v>
      </c>
    </row>
    <row r="727" customFormat="false" ht="15" hidden="false" customHeight="false" outlineLevel="0" collapsed="false">
      <c r="A727" s="20" t="s">
        <v>595</v>
      </c>
      <c r="B727" s="20" t="n">
        <v>2026</v>
      </c>
      <c r="C727" s="21" t="n">
        <v>136</v>
      </c>
      <c r="D727" s="22" t="n">
        <v>7468.9</v>
      </c>
      <c r="E727" s="20" t="n">
        <f aca="false">IFERROR(INDEX('Catalog'!$A:$A,MATCH($A727,'Catalog'!$B:$B,0)),IFERROR(INDEX('Catalog'!$A:$A,MATCH(TRIM(SUBSTITUTE($A727,CHAR(160)," ")),'Catalog'!$C:$C,0)),""))</f>
        <v>4413135</v>
      </c>
      <c r="F727" s="20" t="str">
        <f aca="false">IF($E727="","Unmatched","Matched")</f>
        <v>Matched</v>
      </c>
    </row>
    <row r="728" customFormat="false" ht="15" hidden="false" customHeight="false" outlineLevel="0" collapsed="false">
      <c r="A728" s="20" t="s">
        <v>596</v>
      </c>
      <c r="B728" s="20" t="n">
        <v>2026</v>
      </c>
      <c r="C728" s="21" t="n">
        <v>104</v>
      </c>
      <c r="D728" s="22" t="n">
        <v>5678.2</v>
      </c>
      <c r="E728" s="20" t="n">
        <f aca="false">IFERROR(INDEX('Catalog'!$A:$A,MATCH($A728,'Catalog'!$B:$B,0)),IFERROR(INDEX('Catalog'!$A:$A,MATCH(TRIM(SUBSTITUTE($A728,CHAR(160)," ")),'Catalog'!$C:$C,0)),""))</f>
        <v>4413136</v>
      </c>
      <c r="F728" s="20" t="str">
        <f aca="false">IF($E728="","Unmatched","Matched")</f>
        <v>Matched</v>
      </c>
    </row>
    <row r="729" customFormat="false" ht="15" hidden="false" customHeight="false" outlineLevel="0" collapsed="false">
      <c r="A729" s="20" t="s">
        <v>597</v>
      </c>
      <c r="B729" s="20" t="n">
        <v>2026</v>
      </c>
      <c r="C729" s="21" t="n">
        <v>37</v>
      </c>
      <c r="D729" s="22" t="n">
        <v>1939.5</v>
      </c>
      <c r="E729" s="20" t="n">
        <f aca="false">IFERROR(INDEX('Catalog'!$A:$A,MATCH($A729,'Catalog'!$B:$B,0)),IFERROR(INDEX('Catalog'!$A:$A,MATCH(TRIM(SUBSTITUTE($A729,CHAR(160)," ")),'Catalog'!$C:$C,0)),""))</f>
        <v>4413137</v>
      </c>
      <c r="F729" s="20" t="str">
        <f aca="false">IF($E729="","Unmatched","Matched")</f>
        <v>Matched</v>
      </c>
    </row>
    <row r="730" customFormat="false" ht="15" hidden="false" customHeight="false" outlineLevel="0" collapsed="false">
      <c r="A730" s="20" t="s">
        <v>598</v>
      </c>
      <c r="B730" s="20" t="n">
        <v>2026</v>
      </c>
      <c r="C730" s="21" t="n">
        <v>66</v>
      </c>
      <c r="D730" s="22" t="n">
        <v>3615.5</v>
      </c>
      <c r="E730" s="20" t="n">
        <f aca="false">IFERROR(INDEX('Catalog'!$A:$A,MATCH($A730,'Catalog'!$B:$B,0)),IFERROR(INDEX('Catalog'!$A:$A,MATCH(TRIM(SUBSTITUTE($A730,CHAR(160)," ")),'Catalog'!$C:$C,0)),""))</f>
        <v>4413138</v>
      </c>
      <c r="F730" s="20" t="str">
        <f aca="false">IF($E730="","Unmatched","Matched")</f>
        <v>Matched</v>
      </c>
    </row>
    <row r="731" customFormat="false" ht="15" hidden="false" customHeight="false" outlineLevel="0" collapsed="false">
      <c r="A731" s="20" t="s">
        <v>555</v>
      </c>
      <c r="B731" s="20" t="n">
        <v>2026</v>
      </c>
      <c r="C731" s="21" t="n">
        <v>97</v>
      </c>
      <c r="D731" s="22" t="n">
        <v>2909.9</v>
      </c>
      <c r="E731" s="20" t="n">
        <f aca="false">IFERROR(INDEX('Catalog'!$A:$A,MATCH($A731,'Catalog'!$B:$B,0)),IFERROR(INDEX('Catalog'!$A:$A,MATCH(TRIM(SUBSTITUTE($A731,CHAR(160)," ")),'Catalog'!$C:$C,0)),""))</f>
        <v>4413139</v>
      </c>
      <c r="F731" s="20" t="str">
        <f aca="false">IF($E731="","Unmatched","Matched")</f>
        <v>Matched</v>
      </c>
    </row>
    <row r="732" customFormat="false" ht="15" hidden="false" customHeight="false" outlineLevel="0" collapsed="false">
      <c r="A732" s="20" t="s">
        <v>556</v>
      </c>
      <c r="B732" s="20" t="n">
        <v>2026</v>
      </c>
      <c r="C732" s="21" t="n">
        <v>109</v>
      </c>
      <c r="D732" s="22" t="n">
        <v>3234</v>
      </c>
      <c r="E732" s="20" t="n">
        <f aca="false">IFERROR(INDEX('Catalog'!$A:$A,MATCH($A732,'Catalog'!$B:$B,0)),IFERROR(INDEX('Catalog'!$A:$A,MATCH(TRIM(SUBSTITUTE($A732,CHAR(160)," ")),'Catalog'!$C:$C,0)),""))</f>
        <v>4413140</v>
      </c>
      <c r="F732" s="20" t="str">
        <f aca="false">IF($E732="","Unmatched","Matched")</f>
        <v>Matched</v>
      </c>
    </row>
    <row r="733" customFormat="false" ht="15" hidden="false" customHeight="false" outlineLevel="0" collapsed="false">
      <c r="A733" s="20" t="s">
        <v>557</v>
      </c>
      <c r="B733" s="20" t="n">
        <v>2026</v>
      </c>
      <c r="C733" s="21" t="n">
        <v>64</v>
      </c>
      <c r="D733" s="22" t="n">
        <v>1701.8</v>
      </c>
      <c r="E733" s="20" t="n">
        <f aca="false">IFERROR(INDEX('Catalog'!$A:$A,MATCH($A733,'Catalog'!$B:$B,0)),IFERROR(INDEX('Catalog'!$A:$A,MATCH(TRIM(SUBSTITUTE($A733,CHAR(160)," ")),'Catalog'!$C:$C,0)),""))</f>
        <v>4413141</v>
      </c>
      <c r="F733" s="20" t="str">
        <f aca="false">IF($E733="","Unmatched","Matched")</f>
        <v>Matched</v>
      </c>
    </row>
    <row r="734" customFormat="false" ht="15" hidden="false" customHeight="false" outlineLevel="0" collapsed="false">
      <c r="A734" s="20" t="s">
        <v>558</v>
      </c>
      <c r="B734" s="20" t="n">
        <v>2026</v>
      </c>
      <c r="C734" s="21" t="n">
        <v>32</v>
      </c>
      <c r="D734" s="22" t="n">
        <v>953.5</v>
      </c>
      <c r="E734" s="20" t="n">
        <f aca="false">IFERROR(INDEX('Catalog'!$A:$A,MATCH($A734,'Catalog'!$B:$B,0)),IFERROR(INDEX('Catalog'!$A:$A,MATCH(TRIM(SUBSTITUTE($A734,CHAR(160)," ")),'Catalog'!$C:$C,0)),""))</f>
        <v>4413142</v>
      </c>
      <c r="F734" s="20" t="str">
        <f aca="false">IF($E734="","Unmatched","Matched")</f>
        <v>Matched</v>
      </c>
    </row>
    <row r="735" customFormat="false" ht="15" hidden="false" customHeight="false" outlineLevel="0" collapsed="false">
      <c r="A735" s="20" t="s">
        <v>559</v>
      </c>
      <c r="B735" s="20" t="n">
        <v>2026</v>
      </c>
      <c r="C735" s="21" t="n">
        <v>23</v>
      </c>
      <c r="D735" s="22" t="n">
        <v>691.9</v>
      </c>
      <c r="E735" s="20" t="n">
        <f aca="false">IFERROR(INDEX('Catalog'!$A:$A,MATCH($A735,'Catalog'!$B:$B,0)),IFERROR(INDEX('Catalog'!$A:$A,MATCH(TRIM(SUBSTITUTE($A735,CHAR(160)," ")),'Catalog'!$C:$C,0)),""))</f>
        <v>4413143</v>
      </c>
      <c r="F735" s="20" t="str">
        <f aca="false">IF($E735="","Unmatched","Matched")</f>
        <v>Matched</v>
      </c>
    </row>
    <row r="736" customFormat="false" ht="15" hidden="false" customHeight="false" outlineLevel="0" collapsed="false">
      <c r="A736" s="20" t="s">
        <v>560</v>
      </c>
      <c r="B736" s="20" t="n">
        <v>2026</v>
      </c>
      <c r="C736" s="21" t="n">
        <v>5</v>
      </c>
      <c r="D736" s="22" t="n">
        <v>146.2</v>
      </c>
      <c r="E736" s="20" t="n">
        <f aca="false">IFERROR(INDEX('Catalog'!$A:$A,MATCH($A736,'Catalog'!$B:$B,0)),IFERROR(INDEX('Catalog'!$A:$A,MATCH(TRIM(SUBSTITUTE($A736,CHAR(160)," ")),'Catalog'!$C:$C,0)),""))</f>
        <v>4413144</v>
      </c>
      <c r="F736" s="20" t="str">
        <f aca="false">IF($E736="","Unmatched","Matched")</f>
        <v>Matched</v>
      </c>
    </row>
    <row r="737" customFormat="false" ht="15" hidden="false" customHeight="false" outlineLevel="0" collapsed="false">
      <c r="A737" s="20" t="s">
        <v>441</v>
      </c>
      <c r="B737" s="20" t="n">
        <v>2026</v>
      </c>
      <c r="C737" s="21" t="n">
        <v>95</v>
      </c>
      <c r="D737" s="22" t="n">
        <v>1292.3</v>
      </c>
      <c r="E737" s="20" t="n">
        <f aca="false">IFERROR(INDEX('Catalog'!$A:$A,MATCH($A737,'Catalog'!$B:$B,0)),IFERROR(INDEX('Catalog'!$A:$A,MATCH(TRIM(SUBSTITUTE($A737,CHAR(160)," ")),'Catalog'!$C:$C,0)),""))</f>
        <v>4413149</v>
      </c>
      <c r="F737" s="20" t="str">
        <f aca="false">IF($E737="","Unmatched","Matched")</f>
        <v>Matched</v>
      </c>
    </row>
    <row r="738" customFormat="false" ht="15" hidden="false" customHeight="false" outlineLevel="0" collapsed="false">
      <c r="A738" s="20" t="s">
        <v>650</v>
      </c>
      <c r="B738" s="20" t="n">
        <v>2026</v>
      </c>
      <c r="C738" s="21" t="n">
        <v>73</v>
      </c>
      <c r="D738" s="22" t="n">
        <v>2097.1</v>
      </c>
      <c r="E738" s="20" t="n">
        <f aca="false">IFERROR(INDEX('Catalog'!$A:$A,MATCH($A738,'Catalog'!$B:$B,0)),IFERROR(INDEX('Catalog'!$A:$A,MATCH(TRIM(SUBSTITUTE($A738,CHAR(160)," ")),'Catalog'!$C:$C,0)),""))</f>
        <v>4413150</v>
      </c>
      <c r="F738" s="20" t="str">
        <f aca="false">IF($E738="","Unmatched","Matched")</f>
        <v>Matched</v>
      </c>
    </row>
    <row r="739" customFormat="false" ht="15" hidden="false" customHeight="false" outlineLevel="0" collapsed="false">
      <c r="A739" s="20" t="s">
        <v>499</v>
      </c>
      <c r="B739" s="20" t="n">
        <v>2026</v>
      </c>
      <c r="C739" s="21" t="n">
        <v>-2</v>
      </c>
      <c r="D739" s="22" t="n">
        <v>-184.3</v>
      </c>
      <c r="E739" s="20" t="n">
        <f aca="false">IFERROR(INDEX('Catalog'!$A:$A,MATCH($A739,'Catalog'!$B:$B,0)),IFERROR(INDEX('Catalog'!$A:$A,MATCH(TRIM(SUBSTITUTE($A739,CHAR(160)," ")),'Catalog'!$C:$C,0)),""))</f>
        <v>4413153</v>
      </c>
      <c r="F739" s="20" t="str">
        <f aca="false">IF($E739="","Unmatched","Matched")</f>
        <v>Matched</v>
      </c>
    </row>
    <row r="740" customFormat="false" ht="15" hidden="false" customHeight="false" outlineLevel="0" collapsed="false">
      <c r="A740" s="20" t="s">
        <v>500</v>
      </c>
      <c r="B740" s="20" t="n">
        <v>2026</v>
      </c>
      <c r="C740" s="21" t="n">
        <v>3</v>
      </c>
      <c r="D740" s="22" t="n">
        <v>281.1</v>
      </c>
      <c r="E740" s="20" t="n">
        <f aca="false">IFERROR(INDEX('Catalog'!$A:$A,MATCH($A740,'Catalog'!$B:$B,0)),IFERROR(INDEX('Catalog'!$A:$A,MATCH(TRIM(SUBSTITUTE($A740,CHAR(160)," ")),'Catalog'!$C:$C,0)),""))</f>
        <v>4413154</v>
      </c>
      <c r="F740" s="20" t="str">
        <f aca="false">IF($E740="","Unmatched","Matched")</f>
        <v>Matched</v>
      </c>
    </row>
    <row r="741" customFormat="false" ht="15" hidden="false" customHeight="false" outlineLevel="0" collapsed="false">
      <c r="A741" s="20" t="s">
        <v>501</v>
      </c>
      <c r="B741" s="20" t="n">
        <v>2026</v>
      </c>
      <c r="C741" s="21" t="n">
        <v>2</v>
      </c>
      <c r="D741" s="22" t="n">
        <v>187.4</v>
      </c>
      <c r="E741" s="20" t="n">
        <f aca="false">IFERROR(INDEX('Catalog'!$A:$A,MATCH($A741,'Catalog'!$B:$B,0)),IFERROR(INDEX('Catalog'!$A:$A,MATCH(TRIM(SUBSTITUTE($A741,CHAR(160)," ")),'Catalog'!$C:$C,0)),""))</f>
        <v>4413155</v>
      </c>
      <c r="F741" s="20" t="str">
        <f aca="false">IF($E741="","Unmatched","Matched")</f>
        <v>Matched</v>
      </c>
    </row>
    <row r="742" customFormat="false" ht="15" hidden="false" customHeight="false" outlineLevel="0" collapsed="false">
      <c r="A742" s="20" t="s">
        <v>502</v>
      </c>
      <c r="B742" s="20" t="n">
        <v>2026</v>
      </c>
      <c r="C742" s="21" t="n">
        <v>16</v>
      </c>
      <c r="D742" s="22" t="n">
        <v>1554</v>
      </c>
      <c r="E742" s="20" t="n">
        <f aca="false">IFERROR(INDEX('Catalog'!$A:$A,MATCH($A742,'Catalog'!$B:$B,0)),IFERROR(INDEX('Catalog'!$A:$A,MATCH(TRIM(SUBSTITUTE($A742,CHAR(160)," ")),'Catalog'!$C:$C,0)),""))</f>
        <v>4413156</v>
      </c>
      <c r="F742" s="20" t="str">
        <f aca="false">IF($E742="","Unmatched","Matched")</f>
        <v>Matched</v>
      </c>
    </row>
    <row r="743" customFormat="false" ht="15" hidden="false" customHeight="false" outlineLevel="0" collapsed="false">
      <c r="A743" s="20" t="s">
        <v>503</v>
      </c>
      <c r="B743" s="20" t="n">
        <v>2026</v>
      </c>
      <c r="C743" s="21" t="n">
        <v>18</v>
      </c>
      <c r="D743" s="22" t="n">
        <v>1770</v>
      </c>
      <c r="E743" s="20" t="n">
        <f aca="false">IFERROR(INDEX('Catalog'!$A:$A,MATCH($A743,'Catalog'!$B:$B,0)),IFERROR(INDEX('Catalog'!$A:$A,MATCH(TRIM(SUBSTITUTE($A743,CHAR(160)," ")),'Catalog'!$C:$C,0)),""))</f>
        <v>4413157</v>
      </c>
      <c r="F743" s="20" t="str">
        <f aca="false">IF($E743="","Unmatched","Matched")</f>
        <v>Matched</v>
      </c>
    </row>
    <row r="744" customFormat="false" ht="15" hidden="false" customHeight="false" outlineLevel="0" collapsed="false">
      <c r="A744" s="20" t="s">
        <v>504</v>
      </c>
      <c r="B744" s="20" t="n">
        <v>2026</v>
      </c>
      <c r="C744" s="21" t="n">
        <v>19</v>
      </c>
      <c r="D744" s="22" t="n">
        <v>1761.4</v>
      </c>
      <c r="E744" s="20" t="n">
        <f aca="false">IFERROR(INDEX('Catalog'!$A:$A,MATCH($A744,'Catalog'!$B:$B,0)),IFERROR(INDEX('Catalog'!$A:$A,MATCH(TRIM(SUBSTITUTE($A744,CHAR(160)," ")),'Catalog'!$C:$C,0)),""))</f>
        <v>4413158</v>
      </c>
      <c r="F744" s="20" t="str">
        <f aca="false">IF($E744="","Unmatched","Matched")</f>
        <v>Matched</v>
      </c>
    </row>
    <row r="745" customFormat="false" ht="15" hidden="false" customHeight="false" outlineLevel="0" collapsed="false">
      <c r="A745" s="20" t="s">
        <v>815</v>
      </c>
      <c r="B745" s="20" t="n">
        <v>2026</v>
      </c>
      <c r="C745" s="21" t="n">
        <v>12</v>
      </c>
      <c r="D745" s="22" t="n">
        <v>796.2</v>
      </c>
      <c r="E745" s="20" t="n">
        <f aca="false">IFERROR(INDEX('Catalog'!$A:$A,MATCH($A745,'Catalog'!$B:$B,0)),IFERROR(INDEX('Catalog'!$A:$A,MATCH(TRIM(SUBSTITUTE($A745,CHAR(160)," ")),'Catalog'!$C:$C,0)),""))</f>
        <v>4413159</v>
      </c>
      <c r="F745" s="20" t="str">
        <f aca="false">IF($E745="","Unmatched","Matched")</f>
        <v>Matched</v>
      </c>
    </row>
    <row r="746" customFormat="false" ht="15" hidden="false" customHeight="false" outlineLevel="0" collapsed="false">
      <c r="A746" s="20" t="s">
        <v>814</v>
      </c>
      <c r="B746" s="20" t="n">
        <v>2026</v>
      </c>
      <c r="C746" s="21" t="n">
        <v>28</v>
      </c>
      <c r="D746" s="22" t="n">
        <v>1897</v>
      </c>
      <c r="E746" s="20" t="n">
        <f aca="false">IFERROR(INDEX('Catalog'!$A:$A,MATCH($A746,'Catalog'!$B:$B,0)),IFERROR(INDEX('Catalog'!$A:$A,MATCH(TRIM(SUBSTITUTE($A746,CHAR(160)," ")),'Catalog'!$C:$C,0)),""))</f>
        <v>4413160</v>
      </c>
      <c r="F746" s="20" t="str">
        <f aca="false">IF($E746="","Unmatched","Matched")</f>
        <v>Matched</v>
      </c>
    </row>
    <row r="747" customFormat="false" ht="15" hidden="false" customHeight="false" outlineLevel="0" collapsed="false">
      <c r="A747" s="20" t="s">
        <v>813</v>
      </c>
      <c r="B747" s="20" t="n">
        <v>2026</v>
      </c>
      <c r="C747" s="21" t="n">
        <v>59</v>
      </c>
      <c r="D747" s="22" t="n">
        <v>3859.5</v>
      </c>
      <c r="E747" s="20" t="n">
        <f aca="false">IFERROR(INDEX('Catalog'!$A:$A,MATCH($A747,'Catalog'!$B:$B,0)),IFERROR(INDEX('Catalog'!$A:$A,MATCH(TRIM(SUBSTITUTE($A747,CHAR(160)," ")),'Catalog'!$C:$C,0)),""))</f>
        <v>4413161</v>
      </c>
      <c r="F747" s="20" t="str">
        <f aca="false">IF($E747="","Unmatched","Matched")</f>
        <v>Matched</v>
      </c>
    </row>
    <row r="748" customFormat="false" ht="15" hidden="false" customHeight="false" outlineLevel="0" collapsed="false">
      <c r="A748" s="20" t="s">
        <v>816</v>
      </c>
      <c r="B748" s="20" t="n">
        <v>2026</v>
      </c>
      <c r="C748" s="21" t="n">
        <v>24</v>
      </c>
      <c r="D748" s="22" t="n">
        <v>1601.9</v>
      </c>
      <c r="E748" s="20" t="n">
        <f aca="false">IFERROR(INDEX('Catalog'!$A:$A,MATCH($A748,'Catalog'!$B:$B,0)),IFERROR(INDEX('Catalog'!$A:$A,MATCH(TRIM(SUBSTITUTE($A748,CHAR(160)," ")),'Catalog'!$C:$C,0)),""))</f>
        <v>4413162</v>
      </c>
      <c r="F748" s="20" t="str">
        <f aca="false">IF($E748="","Unmatched","Matched")</f>
        <v>Matched</v>
      </c>
    </row>
    <row r="749" customFormat="false" ht="15" hidden="false" customHeight="false" outlineLevel="0" collapsed="false">
      <c r="A749" s="20" t="s">
        <v>448</v>
      </c>
      <c r="B749" s="20" t="n">
        <v>2026</v>
      </c>
      <c r="C749" s="21" t="n">
        <v>1</v>
      </c>
      <c r="D749" s="22" t="n">
        <v>168.5</v>
      </c>
      <c r="E749" s="20" t="n">
        <f aca="false">IFERROR(INDEX('Catalog'!$A:$A,MATCH($A749,'Catalog'!$B:$B,0)),IFERROR(INDEX('Catalog'!$A:$A,MATCH(TRIM(SUBSTITUTE($A749,CHAR(160)," ")),'Catalog'!$C:$C,0)),""))</f>
        <v>4413165</v>
      </c>
      <c r="F749" s="20" t="str">
        <f aca="false">IF($E749="","Unmatched","Matched")</f>
        <v>Matched</v>
      </c>
    </row>
    <row r="750" customFormat="false" ht="15" hidden="false" customHeight="false" outlineLevel="0" collapsed="false">
      <c r="A750" s="20" t="s">
        <v>600</v>
      </c>
      <c r="B750" s="20" t="n">
        <v>2026</v>
      </c>
      <c r="C750" s="21" t="n">
        <v>1</v>
      </c>
      <c r="D750" s="22" t="n">
        <v>94.6</v>
      </c>
      <c r="E750" s="20" t="n">
        <f aca="false">IFERROR(INDEX('Catalog'!$A:$A,MATCH($A750,'Catalog'!$B:$B,0)),IFERROR(INDEX('Catalog'!$A:$A,MATCH(TRIM(SUBSTITUTE($A750,CHAR(160)," ")),'Catalog'!$C:$C,0)),""))</f>
        <v>4413175</v>
      </c>
      <c r="F750" s="20" t="str">
        <f aca="false">IF($E750="","Unmatched","Matched")</f>
        <v>Matched</v>
      </c>
    </row>
    <row r="751" customFormat="false" ht="15" hidden="false" customHeight="false" outlineLevel="0" collapsed="false">
      <c r="A751" s="20" t="s">
        <v>599</v>
      </c>
      <c r="B751" s="20" t="n">
        <v>2026</v>
      </c>
      <c r="C751" s="21" t="n">
        <v>1</v>
      </c>
      <c r="D751" s="22" t="n">
        <v>94.6</v>
      </c>
      <c r="E751" s="20" t="n">
        <f aca="false">IFERROR(INDEX('Catalog'!$A:$A,MATCH($A751,'Catalog'!$B:$B,0)),IFERROR(INDEX('Catalog'!$A:$A,MATCH(TRIM(SUBSTITUTE($A751,CHAR(160)," ")),'Catalog'!$C:$C,0)),""))</f>
        <v>4413176</v>
      </c>
      <c r="F751" s="20" t="str">
        <f aca="false">IF($E751="","Unmatched","Matched")</f>
        <v>Matched</v>
      </c>
    </row>
    <row r="752" customFormat="false" ht="15" hidden="false" customHeight="false" outlineLevel="0" collapsed="false">
      <c r="A752" s="20" t="s">
        <v>602</v>
      </c>
      <c r="B752" s="20" t="n">
        <v>2026</v>
      </c>
      <c r="C752" s="21" t="n">
        <v>2</v>
      </c>
      <c r="D752" s="22" t="n">
        <v>189.3</v>
      </c>
      <c r="E752" s="20" t="n">
        <f aca="false">IFERROR(INDEX('Catalog'!$A:$A,MATCH($A752,'Catalog'!$B:$B,0)),IFERROR(INDEX('Catalog'!$A:$A,MATCH(TRIM(SUBSTITUTE($A752,CHAR(160)," ")),'Catalog'!$C:$C,0)),""))</f>
        <v>4413177</v>
      </c>
      <c r="F752" s="20" t="str">
        <f aca="false">IF($E752="","Unmatched","Matched")</f>
        <v>Matched</v>
      </c>
    </row>
    <row r="753" customFormat="false" ht="15" hidden="false" customHeight="false" outlineLevel="0" collapsed="false">
      <c r="A753" s="20" t="s">
        <v>238</v>
      </c>
      <c r="B753" s="20" t="n">
        <v>2026</v>
      </c>
      <c r="C753" s="21" t="n">
        <v>2</v>
      </c>
      <c r="D753" s="22" t="n">
        <v>210.8</v>
      </c>
      <c r="E753" s="20" t="n">
        <f aca="false">IFERROR(INDEX('Catalog'!$A:$A,MATCH($A753,'Catalog'!$B:$B,0)),IFERROR(INDEX('Catalog'!$A:$A,MATCH(TRIM(SUBSTITUTE($A753,CHAR(160)," ")),'Catalog'!$C:$C,0)),""))</f>
        <v>4413183</v>
      </c>
      <c r="F753" s="20" t="str">
        <f aca="false">IF($E753="","Unmatched","Matched")</f>
        <v>Matched</v>
      </c>
    </row>
    <row r="754" customFormat="false" ht="15" hidden="false" customHeight="false" outlineLevel="0" collapsed="false">
      <c r="A754" s="20" t="s">
        <v>237</v>
      </c>
      <c r="B754" s="20" t="n">
        <v>2026</v>
      </c>
      <c r="C754" s="21" t="n">
        <v>1</v>
      </c>
      <c r="D754" s="22" t="n">
        <v>105.4</v>
      </c>
      <c r="E754" s="20" t="n">
        <f aca="false">IFERROR(INDEX('Catalog'!$A:$A,MATCH($A754,'Catalog'!$B:$B,0)),IFERROR(INDEX('Catalog'!$A:$A,MATCH(TRIM(SUBSTITUTE($A754,CHAR(160)," ")),'Catalog'!$C:$C,0)),""))</f>
        <v>4413184</v>
      </c>
      <c r="F754" s="20" t="str">
        <f aca="false">IF($E754="","Unmatched","Matched")</f>
        <v>Matched</v>
      </c>
    </row>
    <row r="755" customFormat="false" ht="15" hidden="false" customHeight="false" outlineLevel="0" collapsed="false">
      <c r="A755" s="20" t="s">
        <v>239</v>
      </c>
      <c r="B755" s="20" t="n">
        <v>2026</v>
      </c>
      <c r="C755" s="21" t="n">
        <v>2</v>
      </c>
      <c r="D755" s="22" t="n">
        <v>210.8</v>
      </c>
      <c r="E755" s="20" t="n">
        <f aca="false">IFERROR(INDEX('Catalog'!$A:$A,MATCH($A755,'Catalog'!$B:$B,0)),IFERROR(INDEX('Catalog'!$A:$A,MATCH(TRIM(SUBSTITUTE($A755,CHAR(160)," ")),'Catalog'!$C:$C,0)),""))</f>
        <v>4413185</v>
      </c>
      <c r="F755" s="20" t="str">
        <f aca="false">IF($E755="","Unmatched","Matched")</f>
        <v>Matched</v>
      </c>
    </row>
    <row r="756" customFormat="false" ht="15" hidden="false" customHeight="false" outlineLevel="0" collapsed="false">
      <c r="A756" s="20" t="s">
        <v>469</v>
      </c>
      <c r="B756" s="20" t="n">
        <v>2026</v>
      </c>
      <c r="C756" s="21" t="n">
        <v>4</v>
      </c>
      <c r="D756" s="22" t="n">
        <v>806</v>
      </c>
      <c r="E756" s="20" t="n">
        <f aca="false">IFERROR(INDEX('Catalog'!$A:$A,MATCH($A756,'Catalog'!$B:$B,0)),IFERROR(INDEX('Catalog'!$A:$A,MATCH(TRIM(SUBSTITUTE($A756,CHAR(160)," ")),'Catalog'!$C:$C,0)),""))</f>
        <v>4413195</v>
      </c>
      <c r="F756" s="20" t="str">
        <f aca="false">IF($E756="","Unmatched","Matched")</f>
        <v>Matched</v>
      </c>
    </row>
    <row r="757" customFormat="false" ht="15" hidden="false" customHeight="false" outlineLevel="0" collapsed="false">
      <c r="A757" s="20" t="s">
        <v>468</v>
      </c>
      <c r="B757" s="20" t="n">
        <v>2026</v>
      </c>
      <c r="C757" s="21" t="n">
        <v>11</v>
      </c>
      <c r="D757" s="22" t="n">
        <v>2216.5</v>
      </c>
      <c r="E757" s="20" t="n">
        <f aca="false">IFERROR(INDEX('Catalog'!$A:$A,MATCH($A757,'Catalog'!$B:$B,0)),IFERROR(INDEX('Catalog'!$A:$A,MATCH(TRIM(SUBSTITUTE($A757,CHAR(160)," ")),'Catalog'!$C:$C,0)),""))</f>
        <v>4413196</v>
      </c>
      <c r="F757" s="20" t="str">
        <f aca="false">IF($E757="","Unmatched","Matched")</f>
        <v>Matched</v>
      </c>
    </row>
    <row r="758" customFormat="false" ht="15" hidden="false" customHeight="false" outlineLevel="0" collapsed="false">
      <c r="A758" s="20" t="s">
        <v>467</v>
      </c>
      <c r="B758" s="20" t="n">
        <v>2026</v>
      </c>
      <c r="C758" s="21" t="n">
        <v>27</v>
      </c>
      <c r="D758" s="22" t="n">
        <v>5346.4</v>
      </c>
      <c r="E758" s="20" t="n">
        <f aca="false">IFERROR(INDEX('Catalog'!$A:$A,MATCH($A758,'Catalog'!$B:$B,0)),IFERROR(INDEX('Catalog'!$A:$A,MATCH(TRIM(SUBSTITUTE($A758,CHAR(160)," ")),'Catalog'!$C:$C,0)),""))</f>
        <v>4413197</v>
      </c>
      <c r="F758" s="20" t="str">
        <f aca="false">IF($E758="","Unmatched","Matched")</f>
        <v>Matched</v>
      </c>
    </row>
    <row r="759" customFormat="false" ht="15" hidden="false" customHeight="false" outlineLevel="0" collapsed="false">
      <c r="A759" s="20" t="s">
        <v>470</v>
      </c>
      <c r="B759" s="20" t="n">
        <v>2026</v>
      </c>
      <c r="C759" s="21" t="n">
        <v>14</v>
      </c>
      <c r="D759" s="22" t="n">
        <v>2793.2</v>
      </c>
      <c r="E759" s="20" t="n">
        <f aca="false">IFERROR(INDEX('Catalog'!$A:$A,MATCH($A759,'Catalog'!$B:$B,0)),IFERROR(INDEX('Catalog'!$A:$A,MATCH(TRIM(SUBSTITUTE($A759,CHAR(160)," ")),'Catalog'!$C:$C,0)),""))</f>
        <v>4413198</v>
      </c>
      <c r="F759" s="20" t="str">
        <f aca="false">IF($E759="","Unmatched","Matched")</f>
        <v>Matched</v>
      </c>
    </row>
    <row r="760" customFormat="false" ht="15" hidden="false" customHeight="false" outlineLevel="0" collapsed="false">
      <c r="A760" s="20" t="s">
        <v>471</v>
      </c>
      <c r="B760" s="20" t="n">
        <v>2026</v>
      </c>
      <c r="C760" s="21" t="n">
        <v>7</v>
      </c>
      <c r="D760" s="22" t="n">
        <v>1410.5</v>
      </c>
      <c r="E760" s="20" t="n">
        <f aca="false">IFERROR(INDEX('Catalog'!$A:$A,MATCH($A760,'Catalog'!$B:$B,0)),IFERROR(INDEX('Catalog'!$A:$A,MATCH(TRIM(SUBSTITUTE($A760,CHAR(160)," ")),'Catalog'!$C:$C,0)),""))</f>
        <v>4413204</v>
      </c>
      <c r="F760" s="20" t="str">
        <f aca="false">IF($E760="","Unmatched","Matched")</f>
        <v>Matched</v>
      </c>
    </row>
    <row r="761" customFormat="false" ht="15" hidden="false" customHeight="false" outlineLevel="0" collapsed="false">
      <c r="A761" s="20" t="s">
        <v>586</v>
      </c>
      <c r="B761" s="20" t="n">
        <v>2026</v>
      </c>
      <c r="C761" s="21" t="n">
        <v>1</v>
      </c>
      <c r="D761" s="22" t="n">
        <v>94.5</v>
      </c>
      <c r="E761" s="20" t="n">
        <f aca="false">IFERROR(INDEX('Catalog'!$A:$A,MATCH($A761,'Catalog'!$B:$B,0)),IFERROR(INDEX('Catalog'!$A:$A,MATCH(TRIM(SUBSTITUTE($A761,CHAR(160)," ")),'Catalog'!$C:$C,0)),""))</f>
        <v>4413210</v>
      </c>
      <c r="F761" s="20" t="str">
        <f aca="false">IF($E761="","Unmatched","Matched")</f>
        <v>Matched</v>
      </c>
    </row>
    <row r="762" customFormat="false" ht="15" hidden="false" customHeight="false" outlineLevel="0" collapsed="false">
      <c r="A762" s="20" t="s">
        <v>258</v>
      </c>
      <c r="B762" s="20" t="n">
        <v>2026</v>
      </c>
      <c r="C762" s="21" t="n">
        <v>1</v>
      </c>
      <c r="D762" s="22" t="n">
        <v>118.6</v>
      </c>
      <c r="E762" s="20" t="n">
        <f aca="false">IFERROR(INDEX('Catalog'!$A:$A,MATCH($A762,'Catalog'!$B:$B,0)),IFERROR(INDEX('Catalog'!$A:$A,MATCH(TRIM(SUBSTITUTE($A762,CHAR(160)," ")),'Catalog'!$C:$C,0)),""))</f>
        <v>4413224</v>
      </c>
      <c r="F762" s="20" t="str">
        <f aca="false">IF($E762="","Unmatched","Matched")</f>
        <v>Matched</v>
      </c>
    </row>
    <row r="763" customFormat="false" ht="15" hidden="false" customHeight="false" outlineLevel="0" collapsed="false">
      <c r="A763" s="20" t="s">
        <v>254</v>
      </c>
      <c r="B763" s="20" t="n">
        <v>2026</v>
      </c>
      <c r="C763" s="21" t="n">
        <v>1</v>
      </c>
      <c r="D763" s="22" t="n">
        <v>118.6</v>
      </c>
      <c r="E763" s="20" t="n">
        <f aca="false">IFERROR(INDEX('Catalog'!$A:$A,MATCH($A763,'Catalog'!$B:$B,0)),IFERROR(INDEX('Catalog'!$A:$A,MATCH(TRIM(SUBSTITUTE($A763,CHAR(160)," ")),'Catalog'!$C:$C,0)),""))</f>
        <v>4413260</v>
      </c>
      <c r="F763" s="20" t="str">
        <f aca="false">IF($E763="","Unmatched","Matched")</f>
        <v>Matched</v>
      </c>
    </row>
    <row r="764" customFormat="false" ht="15" hidden="false" customHeight="false" outlineLevel="0" collapsed="false">
      <c r="A764" s="20" t="s">
        <v>483</v>
      </c>
      <c r="B764" s="20" t="n">
        <v>2026</v>
      </c>
      <c r="C764" s="21" t="n">
        <v>4</v>
      </c>
      <c r="D764" s="22" t="n">
        <v>182.9</v>
      </c>
      <c r="E764" s="20" t="n">
        <f aca="false">IFERROR(INDEX('Catalog'!$A:$A,MATCH($A764,'Catalog'!$B:$B,0)),IFERROR(INDEX('Catalog'!$A:$A,MATCH(TRIM(SUBSTITUTE($A764,CHAR(160)," ")),'Catalog'!$C:$C,0)),""))</f>
        <v>4413276</v>
      </c>
      <c r="F764" s="20" t="str">
        <f aca="false">IF($E764="","Unmatched","Matched")</f>
        <v>Matched</v>
      </c>
    </row>
    <row r="765" customFormat="false" ht="15" hidden="false" customHeight="false" outlineLevel="0" collapsed="false">
      <c r="A765" s="20" t="s">
        <v>484</v>
      </c>
      <c r="B765" s="20" t="n">
        <v>2026</v>
      </c>
      <c r="C765" s="21" t="n">
        <v>2</v>
      </c>
      <c r="D765" s="22" t="n">
        <v>75.7</v>
      </c>
      <c r="E765" s="20" t="n">
        <f aca="false">IFERROR(INDEX('Catalog'!$A:$A,MATCH($A765,'Catalog'!$B:$B,0)),IFERROR(INDEX('Catalog'!$A:$A,MATCH(TRIM(SUBSTITUTE($A765,CHAR(160)," ")),'Catalog'!$C:$C,0)),""))</f>
        <v>4413277</v>
      </c>
      <c r="F765" s="20" t="str">
        <f aca="false">IF($E765="","Unmatched","Matched")</f>
        <v>Matched</v>
      </c>
    </row>
    <row r="766" customFormat="false" ht="15" hidden="false" customHeight="false" outlineLevel="0" collapsed="false">
      <c r="A766" s="20" t="s">
        <v>485</v>
      </c>
      <c r="B766" s="20" t="n">
        <v>2026</v>
      </c>
      <c r="C766" s="21" t="n">
        <v>1</v>
      </c>
      <c r="D766" s="22" t="n">
        <v>34.8</v>
      </c>
      <c r="E766" s="20" t="n">
        <f aca="false">IFERROR(INDEX('Catalog'!$A:$A,MATCH($A766,'Catalog'!$B:$B,0)),IFERROR(INDEX('Catalog'!$A:$A,MATCH(TRIM(SUBSTITUTE($A766,CHAR(160)," ")),'Catalog'!$C:$C,0)),""))</f>
        <v>4413278</v>
      </c>
      <c r="F766" s="20" t="str">
        <f aca="false">IF($E766="","Unmatched","Matched")</f>
        <v>Matched</v>
      </c>
    </row>
    <row r="767" customFormat="false" ht="15" hidden="false" customHeight="false" outlineLevel="0" collapsed="false">
      <c r="A767" s="20" t="s">
        <v>188</v>
      </c>
      <c r="B767" s="20" t="n">
        <v>2026</v>
      </c>
      <c r="C767" s="21" t="n">
        <v>2</v>
      </c>
      <c r="D767" s="22" t="n">
        <v>406.8</v>
      </c>
      <c r="E767" s="20" t="n">
        <f aca="false">IFERROR(INDEX('Catalog'!$A:$A,MATCH($A767,'Catalog'!$B:$B,0)),IFERROR(INDEX('Catalog'!$A:$A,MATCH(TRIM(SUBSTITUTE($A767,CHAR(160)," ")),'Catalog'!$C:$C,0)),""))</f>
        <v>4413284</v>
      </c>
      <c r="F767" s="20" t="str">
        <f aca="false">IF($E767="","Unmatched","Matched")</f>
        <v>Matched</v>
      </c>
    </row>
    <row r="768" customFormat="false" ht="15" hidden="false" customHeight="false" outlineLevel="0" collapsed="false">
      <c r="A768" s="20" t="s">
        <v>253</v>
      </c>
      <c r="B768" s="20" t="n">
        <v>2026</v>
      </c>
      <c r="C768" s="21" t="n">
        <v>3</v>
      </c>
      <c r="D768" s="22" t="n">
        <v>312</v>
      </c>
      <c r="E768" s="20" t="n">
        <f aca="false">IFERROR(INDEX('Catalog'!$A:$A,MATCH($A768,'Catalog'!$B:$B,0)),IFERROR(INDEX('Catalog'!$A:$A,MATCH(TRIM(SUBSTITUTE($A768,CHAR(160)," ")),'Catalog'!$C:$C,0)),""))</f>
        <v>4413286</v>
      </c>
      <c r="F768" s="20" t="str">
        <f aca="false">IF($E768="","Unmatched","Matched")</f>
        <v>Matched</v>
      </c>
    </row>
    <row r="769" customFormat="false" ht="15" hidden="false" customHeight="false" outlineLevel="0" collapsed="false">
      <c r="A769" s="20" t="s">
        <v>646</v>
      </c>
      <c r="B769" s="20" t="n">
        <v>2026</v>
      </c>
      <c r="C769" s="21" t="n">
        <v>81</v>
      </c>
      <c r="D769" s="22" t="n">
        <v>2522.8</v>
      </c>
      <c r="E769" s="20" t="n">
        <f aca="false">IFERROR(INDEX('Catalog'!$A:$A,MATCH($A769,'Catalog'!$B:$B,0)),IFERROR(INDEX('Catalog'!$A:$A,MATCH(TRIM(SUBSTITUTE($A769,CHAR(160)," ")),'Catalog'!$C:$C,0)),""))</f>
        <v>4413307</v>
      </c>
      <c r="F769" s="20" t="str">
        <f aca="false">IF($E769="","Unmatched","Matched")</f>
        <v>Matched</v>
      </c>
    </row>
    <row r="770" customFormat="false" ht="15" hidden="false" customHeight="false" outlineLevel="0" collapsed="false">
      <c r="A770" s="20" t="s">
        <v>834</v>
      </c>
      <c r="B770" s="20" t="n">
        <v>2026</v>
      </c>
      <c r="C770" s="21" t="n">
        <v>335</v>
      </c>
      <c r="D770" s="22" t="n">
        <v>11099</v>
      </c>
      <c r="E770" s="20" t="n">
        <f aca="false">IFERROR(INDEX('Catalog'!$A:$A,MATCH($A770,'Catalog'!$B:$B,0)),IFERROR(INDEX('Catalog'!$A:$A,MATCH(TRIM(SUBSTITUTE($A770,CHAR(160)," ")),'Catalog'!$C:$C,0)),""))</f>
        <v>4413326</v>
      </c>
      <c r="F770" s="20" t="str">
        <f aca="false">IF($E770="","Unmatched","Matched")</f>
        <v>Matched</v>
      </c>
    </row>
    <row r="771" customFormat="false" ht="15" hidden="false" customHeight="false" outlineLevel="0" collapsed="false">
      <c r="A771" s="20" t="s">
        <v>225</v>
      </c>
      <c r="B771" s="20" t="n">
        <v>2026</v>
      </c>
      <c r="C771" s="21" t="n">
        <v>73</v>
      </c>
      <c r="D771" s="22" t="n">
        <v>7022.6</v>
      </c>
      <c r="E771" s="20" t="n">
        <f aca="false">IFERROR(INDEX('Catalog'!$A:$A,MATCH($A771,'Catalog'!$B:$B,0)),IFERROR(INDEX('Catalog'!$A:$A,MATCH(TRIM(SUBSTITUTE($A771,CHAR(160)," ")),'Catalog'!$C:$C,0)),""))</f>
        <v>4413328</v>
      </c>
      <c r="F771" s="20" t="str">
        <f aca="false">IF($E771="","Unmatched","Matched")</f>
        <v>Matched</v>
      </c>
    </row>
    <row r="772" customFormat="false" ht="15" hidden="false" customHeight="false" outlineLevel="0" collapsed="false">
      <c r="A772" s="20" t="s">
        <v>226</v>
      </c>
      <c r="B772" s="20" t="n">
        <v>2026</v>
      </c>
      <c r="C772" s="21" t="n">
        <v>496</v>
      </c>
      <c r="D772" s="22" t="n">
        <v>33520.5</v>
      </c>
      <c r="E772" s="20" t="n">
        <f aca="false">IFERROR(INDEX('Catalog'!$A:$A,MATCH($A772,'Catalog'!$B:$B,0)),IFERROR(INDEX('Catalog'!$A:$A,MATCH(TRIM(SUBSTITUTE($A772,CHAR(160)," ")),'Catalog'!$C:$C,0)),""))</f>
        <v>4413329</v>
      </c>
      <c r="F772" s="20" t="str">
        <f aca="false">IF($E772="","Unmatched","Matched")</f>
        <v>Matched</v>
      </c>
    </row>
    <row r="773" customFormat="false" ht="15" hidden="false" customHeight="false" outlineLevel="0" collapsed="false">
      <c r="A773" s="20" t="s">
        <v>877</v>
      </c>
      <c r="B773" s="20" t="n">
        <v>2026</v>
      </c>
      <c r="C773" s="21" t="n">
        <v>22</v>
      </c>
      <c r="D773" s="22" t="n">
        <v>1335.3</v>
      </c>
      <c r="E773" s="20" t="n">
        <f aca="false">IFERROR(INDEX('Catalog'!$A:$A,MATCH($A773,'Catalog'!$B:$B,0)),IFERROR(INDEX('Catalog'!$A:$A,MATCH(TRIM(SUBSTITUTE($A773,CHAR(160)," ")),'Catalog'!$C:$C,0)),""))</f>
        <v>4413330</v>
      </c>
      <c r="F773" s="20" t="str">
        <f aca="false">IF($E773="","Unmatched","Matched")</f>
        <v>Matched</v>
      </c>
    </row>
    <row r="774" customFormat="false" ht="15" hidden="false" customHeight="false" outlineLevel="0" collapsed="false">
      <c r="A774" s="20" t="s">
        <v>577</v>
      </c>
      <c r="B774" s="20" t="n">
        <v>2026</v>
      </c>
      <c r="C774" s="21" t="n">
        <v>158</v>
      </c>
      <c r="D774" s="22" t="n">
        <v>5971.7</v>
      </c>
      <c r="E774" s="20" t="n">
        <f aca="false">IFERROR(INDEX('Catalog'!$A:$A,MATCH($A774,'Catalog'!$B:$B,0)),IFERROR(INDEX('Catalog'!$A:$A,MATCH(TRIM(SUBSTITUTE($A774,CHAR(160)," ")),'Catalog'!$C:$C,0)),""))</f>
        <v>4413331</v>
      </c>
      <c r="F774" s="20" t="str">
        <f aca="false">IF($E774="","Unmatched","Matched")</f>
        <v>Matched</v>
      </c>
    </row>
    <row r="775" customFormat="false" ht="15" hidden="false" customHeight="false" outlineLevel="0" collapsed="false">
      <c r="A775" s="20" t="s">
        <v>194</v>
      </c>
      <c r="B775" s="20" t="n">
        <v>2026</v>
      </c>
      <c r="C775" s="21" t="n">
        <v>7</v>
      </c>
      <c r="D775" s="22" t="n">
        <v>195.6</v>
      </c>
      <c r="E775" s="20" t="n">
        <f aca="false">IFERROR(INDEX('Catalog'!$A:$A,MATCH($A775,'Catalog'!$B:$B,0)),IFERROR(INDEX('Catalog'!$A:$A,MATCH(TRIM(SUBSTITUTE($A775,CHAR(160)," ")),'Catalog'!$C:$C,0)),""))</f>
        <v>4413332</v>
      </c>
      <c r="F775" s="20" t="str">
        <f aca="false">IF($E775="","Unmatched","Matched")</f>
        <v>Matched</v>
      </c>
    </row>
    <row r="776" customFormat="false" ht="15" hidden="false" customHeight="false" outlineLevel="0" collapsed="false">
      <c r="A776" s="20" t="s">
        <v>633</v>
      </c>
      <c r="B776" s="20" t="n">
        <v>2026</v>
      </c>
      <c r="C776" s="21" t="n">
        <v>20</v>
      </c>
      <c r="D776" s="22" t="n">
        <v>1261.5</v>
      </c>
      <c r="E776" s="20" t="n">
        <f aca="false">IFERROR(INDEX('Catalog'!$A:$A,MATCH($A776,'Catalog'!$B:$B,0)),IFERROR(INDEX('Catalog'!$A:$A,MATCH(TRIM(SUBSTITUTE($A776,CHAR(160)," ")),'Catalog'!$C:$C,0)),""))</f>
        <v>4413340</v>
      </c>
      <c r="F776" s="20" t="str">
        <f aca="false">IF($E776="","Unmatched","Matched")</f>
        <v>Matched</v>
      </c>
    </row>
    <row r="777" customFormat="false" ht="15" hidden="false" customHeight="false" outlineLevel="0" collapsed="false">
      <c r="A777" s="20" t="s">
        <v>436</v>
      </c>
      <c r="B777" s="20" t="n">
        <v>2026</v>
      </c>
      <c r="C777" s="21" t="n">
        <v>425</v>
      </c>
      <c r="D777" s="22" t="n">
        <v>15119.6</v>
      </c>
      <c r="E777" s="20" t="n">
        <f aca="false">IFERROR(INDEX('Catalog'!$A:$A,MATCH($A777,'Catalog'!$B:$B,0)),IFERROR(INDEX('Catalog'!$A:$A,MATCH(TRIM(SUBSTITUTE($A777,CHAR(160)," ")),'Catalog'!$C:$C,0)),""))</f>
        <v>4414000</v>
      </c>
      <c r="F777" s="20" t="str">
        <f aca="false">IF($E777="","Unmatched","Matched")</f>
        <v>Matched</v>
      </c>
    </row>
    <row r="778" customFormat="false" ht="15" hidden="false" customHeight="false" outlineLevel="0" collapsed="false">
      <c r="A778" s="20" t="s">
        <v>690</v>
      </c>
      <c r="B778" s="20" t="n">
        <v>2026</v>
      </c>
      <c r="C778" s="21" t="n">
        <v>60</v>
      </c>
      <c r="D778" s="22" t="n">
        <v>5920.6</v>
      </c>
      <c r="E778" s="20" t="n">
        <f aca="false">IFERROR(INDEX('Catalog'!$A:$A,MATCH($A778,'Catalog'!$B:$B,0)),IFERROR(INDEX('Catalog'!$A:$A,MATCH(TRIM(SUBSTITUTE($A778,CHAR(160)," ")),'Catalog'!$C:$C,0)),""))</f>
        <v>4415000</v>
      </c>
      <c r="F778" s="20" t="str">
        <f aca="false">IF($E778="","Unmatched","Matched")</f>
        <v>Matched</v>
      </c>
    </row>
    <row r="779" customFormat="false" ht="15" hidden="false" customHeight="false" outlineLevel="0" collapsed="false">
      <c r="A779" s="20" t="s">
        <v>691</v>
      </c>
      <c r="B779" s="20" t="n">
        <v>2026</v>
      </c>
      <c r="C779" s="21" t="n">
        <v>39</v>
      </c>
      <c r="D779" s="22" t="n">
        <v>3768.8</v>
      </c>
      <c r="E779" s="20" t="n">
        <f aca="false">IFERROR(INDEX('Catalog'!$A:$A,MATCH($A779,'Catalog'!$B:$B,0)),IFERROR(INDEX('Catalog'!$A:$A,MATCH(TRIM(SUBSTITUTE($A779,CHAR(160)," ")),'Catalog'!$C:$C,0)),""))</f>
        <v>4415001</v>
      </c>
      <c r="F779" s="20" t="str">
        <f aca="false">IF($E779="","Unmatched","Matched")</f>
        <v>Matched</v>
      </c>
    </row>
    <row r="780" customFormat="false" ht="15" hidden="false" customHeight="false" outlineLevel="0" collapsed="false">
      <c r="A780" s="20" t="s">
        <v>692</v>
      </c>
      <c r="B780" s="20" t="n">
        <v>2026</v>
      </c>
      <c r="C780" s="21" t="n">
        <v>28</v>
      </c>
      <c r="D780" s="22" t="n">
        <v>2810.4</v>
      </c>
      <c r="E780" s="20" t="n">
        <f aca="false">IFERROR(INDEX('Catalog'!$A:$A,MATCH($A780,'Catalog'!$B:$B,0)),IFERROR(INDEX('Catalog'!$A:$A,MATCH(TRIM(SUBSTITUTE($A780,CHAR(160)," ")),'Catalog'!$C:$C,0)),""))</f>
        <v>4415002</v>
      </c>
      <c r="F780" s="20" t="str">
        <f aca="false">IF($E780="","Unmatched","Matched")</f>
        <v>Matched</v>
      </c>
    </row>
    <row r="781" customFormat="false" ht="15" hidden="false" customHeight="false" outlineLevel="0" collapsed="false">
      <c r="A781" s="20" t="s">
        <v>693</v>
      </c>
      <c r="B781" s="20" t="n">
        <v>2026</v>
      </c>
      <c r="C781" s="21" t="n">
        <v>28</v>
      </c>
      <c r="D781" s="22" t="n">
        <v>2804.5</v>
      </c>
      <c r="E781" s="20" t="n">
        <f aca="false">IFERROR(INDEX('Catalog'!$A:$A,MATCH($A781,'Catalog'!$B:$B,0)),IFERROR(INDEX('Catalog'!$A:$A,MATCH(TRIM(SUBSTITUTE($A781,CHAR(160)," ")),'Catalog'!$C:$C,0)),""))</f>
        <v>4415003</v>
      </c>
      <c r="F781" s="20" t="str">
        <f aca="false">IF($E781="","Unmatched","Matched")</f>
        <v>Matched</v>
      </c>
    </row>
    <row r="782" customFormat="false" ht="15" hidden="false" customHeight="false" outlineLevel="0" collapsed="false">
      <c r="A782" s="20" t="s">
        <v>695</v>
      </c>
      <c r="B782" s="20" t="n">
        <v>2026</v>
      </c>
      <c r="C782" s="21" t="n">
        <v>2</v>
      </c>
      <c r="D782" s="22" t="n">
        <v>206.1</v>
      </c>
      <c r="E782" s="20" t="n">
        <f aca="false">IFERROR(INDEX('Catalog'!$A:$A,MATCH($A782,'Catalog'!$B:$B,0)),IFERROR(INDEX('Catalog'!$A:$A,MATCH(TRIM(SUBSTITUTE($A782,CHAR(160)," ")),'Catalog'!$C:$C,0)),""))</f>
        <v>4415004</v>
      </c>
      <c r="F782" s="20" t="str">
        <f aca="false">IF($E782="","Unmatched","Matched")</f>
        <v>Matched</v>
      </c>
    </row>
    <row r="783" customFormat="false" ht="15" hidden="false" customHeight="false" outlineLevel="0" collapsed="false">
      <c r="A783" s="20" t="s">
        <v>718</v>
      </c>
      <c r="B783" s="20" t="n">
        <v>2026</v>
      </c>
      <c r="C783" s="21" t="n">
        <v>32</v>
      </c>
      <c r="D783" s="22" t="n">
        <v>3194.4</v>
      </c>
      <c r="E783" s="20" t="n">
        <f aca="false">IFERROR(INDEX('Catalog'!$A:$A,MATCH($A783,'Catalog'!$B:$B,0)),IFERROR(INDEX('Catalog'!$A:$A,MATCH(TRIM(SUBSTITUTE($A783,CHAR(160)," ")),'Catalog'!$C:$C,0)),""))</f>
        <v>4415005</v>
      </c>
      <c r="F783" s="20" t="str">
        <f aca="false">IF($E783="","Unmatched","Matched")</f>
        <v>Matched</v>
      </c>
    </row>
    <row r="784" customFormat="false" ht="15" hidden="false" customHeight="false" outlineLevel="0" collapsed="false">
      <c r="A784" s="20" t="s">
        <v>719</v>
      </c>
      <c r="B784" s="20" t="n">
        <v>2026</v>
      </c>
      <c r="C784" s="21" t="n">
        <v>45</v>
      </c>
      <c r="D784" s="22" t="n">
        <v>4351.2</v>
      </c>
      <c r="E784" s="20" t="n">
        <f aca="false">IFERROR(INDEX('Catalog'!$A:$A,MATCH($A784,'Catalog'!$B:$B,0)),IFERROR(INDEX('Catalog'!$A:$A,MATCH(TRIM(SUBSTITUTE($A784,CHAR(160)," ")),'Catalog'!$C:$C,0)),""))</f>
        <v>4415006</v>
      </c>
      <c r="F784" s="20" t="str">
        <f aca="false">IF($E784="","Unmatched","Matched")</f>
        <v>Matched</v>
      </c>
    </row>
    <row r="785" customFormat="false" ht="15" hidden="false" customHeight="false" outlineLevel="0" collapsed="false">
      <c r="A785" s="20" t="s">
        <v>720</v>
      </c>
      <c r="B785" s="20" t="n">
        <v>2026</v>
      </c>
      <c r="C785" s="21" t="n">
        <v>13</v>
      </c>
      <c r="D785" s="22" t="n">
        <v>1308.9</v>
      </c>
      <c r="E785" s="20" t="n">
        <f aca="false">IFERROR(INDEX('Catalog'!$A:$A,MATCH($A785,'Catalog'!$B:$B,0)),IFERROR(INDEX('Catalog'!$A:$A,MATCH(TRIM(SUBSTITUTE($A785,CHAR(160)," ")),'Catalog'!$C:$C,0)),""))</f>
        <v>4415007</v>
      </c>
      <c r="F785" s="20" t="str">
        <f aca="false">IF($E785="","Unmatched","Matched")</f>
        <v>Matched</v>
      </c>
    </row>
    <row r="786" customFormat="false" ht="15" hidden="false" customHeight="false" outlineLevel="0" collapsed="false">
      <c r="A786" s="20" t="s">
        <v>721</v>
      </c>
      <c r="B786" s="20" t="n">
        <v>2026</v>
      </c>
      <c r="C786" s="21" t="n">
        <v>19</v>
      </c>
      <c r="D786" s="22" t="n">
        <v>1880.3</v>
      </c>
      <c r="E786" s="20" t="n">
        <f aca="false">IFERROR(INDEX('Catalog'!$A:$A,MATCH($A786,'Catalog'!$B:$B,0)),IFERROR(INDEX('Catalog'!$A:$A,MATCH(TRIM(SUBSTITUTE($A786,CHAR(160)," ")),'Catalog'!$C:$C,0)),""))</f>
        <v>4415008</v>
      </c>
      <c r="F786" s="20" t="str">
        <f aca="false">IF($E786="","Unmatched","Matched")</f>
        <v>Matched</v>
      </c>
    </row>
    <row r="787" customFormat="false" ht="15" hidden="false" customHeight="false" outlineLevel="0" collapsed="false">
      <c r="A787" s="20" t="s">
        <v>791</v>
      </c>
      <c r="B787" s="20" t="n">
        <v>2026</v>
      </c>
      <c r="C787" s="21" t="n">
        <v>2</v>
      </c>
      <c r="D787" s="22" t="n">
        <v>425.5</v>
      </c>
      <c r="E787" s="20" t="n">
        <f aca="false">IFERROR(INDEX('Catalog'!$A:$A,MATCH($A787,'Catalog'!$B:$B,0)),IFERROR(INDEX('Catalog'!$A:$A,MATCH(TRIM(SUBSTITUTE($A787,CHAR(160)," ")),'Catalog'!$C:$C,0)),""))</f>
        <v>4415013</v>
      </c>
      <c r="F787" s="20" t="str">
        <f aca="false">IF($E787="","Unmatched","Matched")</f>
        <v>Matched</v>
      </c>
    </row>
    <row r="788" customFormat="false" ht="15" hidden="false" customHeight="false" outlineLevel="0" collapsed="false">
      <c r="A788" s="20" t="s">
        <v>806</v>
      </c>
      <c r="B788" s="20" t="n">
        <v>2026</v>
      </c>
      <c r="C788" s="21" t="n">
        <v>9</v>
      </c>
      <c r="D788" s="22" t="n">
        <v>1094.9</v>
      </c>
      <c r="E788" s="20" t="n">
        <f aca="false">IFERROR(INDEX('Catalog'!$A:$A,MATCH($A788,'Catalog'!$B:$B,0)),IFERROR(INDEX('Catalog'!$A:$A,MATCH(TRIM(SUBSTITUTE($A788,CHAR(160)," ")),'Catalog'!$C:$C,0)),""))</f>
        <v>4415019</v>
      </c>
      <c r="F788" s="20" t="str">
        <f aca="false">IF($E788="","Unmatched","Matched")</f>
        <v>Matched</v>
      </c>
    </row>
    <row r="789" customFormat="false" ht="15" hidden="false" customHeight="false" outlineLevel="0" collapsed="false">
      <c r="A789" s="20" t="s">
        <v>885</v>
      </c>
      <c r="B789" s="20" t="n">
        <v>2026</v>
      </c>
      <c r="C789" s="21" t="n">
        <v>199</v>
      </c>
      <c r="D789" s="22" t="n">
        <v>8065</v>
      </c>
      <c r="E789" s="20" t="n">
        <f aca="false">IFERROR(INDEX('Catalog'!$A:$A,MATCH($A789,'Catalog'!$B:$B,0)),IFERROR(INDEX('Catalog'!$A:$A,MATCH(TRIM(SUBSTITUTE($A789,CHAR(160)," ")),'Catalog'!$C:$C,0)),""))</f>
        <v>4415026</v>
      </c>
      <c r="F789" s="20" t="str">
        <f aca="false">IF($E789="","Unmatched","Matched")</f>
        <v>Matched</v>
      </c>
    </row>
    <row r="790" customFormat="false" ht="15" hidden="false" customHeight="false" outlineLevel="0" collapsed="false">
      <c r="A790" s="20" t="s">
        <v>886</v>
      </c>
      <c r="B790" s="20" t="n">
        <v>2026</v>
      </c>
      <c r="C790" s="21" t="n">
        <v>280</v>
      </c>
      <c r="D790" s="22" t="n">
        <v>11920.6</v>
      </c>
      <c r="E790" s="20" t="n">
        <f aca="false">IFERROR(INDEX('Catalog'!$A:$A,MATCH($A790,'Catalog'!$B:$B,0)),IFERROR(INDEX('Catalog'!$A:$A,MATCH(TRIM(SUBSTITUTE($A790,CHAR(160)," ")),'Catalog'!$C:$C,0)),""))</f>
        <v>4415027</v>
      </c>
      <c r="F790" s="20" t="str">
        <f aca="false">IF($E790="","Unmatched","Matched")</f>
        <v>Matched</v>
      </c>
    </row>
    <row r="791" customFormat="false" ht="15" hidden="false" customHeight="false" outlineLevel="0" collapsed="false">
      <c r="A791" s="20" t="s">
        <v>724</v>
      </c>
      <c r="B791" s="20" t="n">
        <v>2026</v>
      </c>
      <c r="C791" s="21" t="n">
        <v>451</v>
      </c>
      <c r="D791" s="22" t="n">
        <v>17531.8</v>
      </c>
      <c r="E791" s="20" t="n">
        <f aca="false">IFERROR(INDEX('Catalog'!$A:$A,MATCH($A791,'Catalog'!$B:$B,0)),IFERROR(INDEX('Catalog'!$A:$A,MATCH(TRIM(SUBSTITUTE($A791,CHAR(160)," ")),'Catalog'!$C:$C,0)),""))</f>
        <v>4415028</v>
      </c>
      <c r="F791" s="20" t="str">
        <f aca="false">IF($E791="","Unmatched","Matched")</f>
        <v>Matched</v>
      </c>
    </row>
    <row r="792" customFormat="false" ht="15" hidden="false" customHeight="false" outlineLevel="0" collapsed="false">
      <c r="A792" s="20" t="s">
        <v>749</v>
      </c>
      <c r="B792" s="20" t="n">
        <v>2026</v>
      </c>
      <c r="C792" s="21" t="n">
        <v>3</v>
      </c>
      <c r="D792" s="22" t="n">
        <v>209.7</v>
      </c>
      <c r="E792" s="20" t="n">
        <f aca="false">IFERROR(INDEX('Catalog'!$A:$A,MATCH($A792,'Catalog'!$B:$B,0)),IFERROR(INDEX('Catalog'!$A:$A,MATCH(TRIM(SUBSTITUTE($A792,CHAR(160)," ")),'Catalog'!$C:$C,0)),""))</f>
        <v>4415067</v>
      </c>
      <c r="F792" s="20" t="str">
        <f aca="false">IF($E792="","Unmatched","Matched")</f>
        <v>Matched</v>
      </c>
    </row>
    <row r="793" customFormat="false" ht="15" hidden="false" customHeight="false" outlineLevel="0" collapsed="false">
      <c r="A793" s="20" t="s">
        <v>757</v>
      </c>
      <c r="B793" s="20" t="n">
        <v>2026</v>
      </c>
      <c r="C793" s="21" t="n">
        <v>5</v>
      </c>
      <c r="D793" s="22" t="n">
        <v>354.3</v>
      </c>
      <c r="E793" s="20" t="n">
        <f aca="false">IFERROR(INDEX('Catalog'!$A:$A,MATCH($A793,'Catalog'!$B:$B,0)),IFERROR(INDEX('Catalog'!$A:$A,MATCH(TRIM(SUBSTITUTE($A793,CHAR(160)," ")),'Catalog'!$C:$C,0)),""))</f>
        <v>4415069</v>
      </c>
      <c r="F793" s="20" t="str">
        <f aca="false">IF($E793="","Unmatched","Matched")</f>
        <v>Matched</v>
      </c>
    </row>
    <row r="794" customFormat="false" ht="15" hidden="false" customHeight="false" outlineLevel="0" collapsed="false">
      <c r="A794" s="20" t="s">
        <v>756</v>
      </c>
      <c r="B794" s="20" t="n">
        <v>2026</v>
      </c>
      <c r="C794" s="21" t="n">
        <v>1</v>
      </c>
      <c r="D794" s="22" t="n">
        <v>70.9</v>
      </c>
      <c r="E794" s="20" t="n">
        <f aca="false">IFERROR(INDEX('Catalog'!$A:$A,MATCH($A794,'Catalog'!$B:$B,0)),IFERROR(INDEX('Catalog'!$A:$A,MATCH(TRIM(SUBSTITUTE($A794,CHAR(160)," ")),'Catalog'!$C:$C,0)),""))</f>
        <v>4415071</v>
      </c>
      <c r="F794" s="20" t="str">
        <f aca="false">IF($E794="","Unmatched","Matched")</f>
        <v>Matched</v>
      </c>
    </row>
    <row r="795" customFormat="false" ht="15" hidden="false" customHeight="false" outlineLevel="0" collapsed="false">
      <c r="A795" s="20" t="s">
        <v>752</v>
      </c>
      <c r="B795" s="20" t="n">
        <v>2026</v>
      </c>
      <c r="C795" s="21" t="n">
        <v>36</v>
      </c>
      <c r="D795" s="22" t="n">
        <v>2425.4</v>
      </c>
      <c r="E795" s="20" t="n">
        <f aca="false">IFERROR(INDEX('Catalog'!$A:$A,MATCH($A795,'Catalog'!$B:$B,0)),IFERROR(INDEX('Catalog'!$A:$A,MATCH(TRIM(SUBSTITUTE($A795,CHAR(160)," ")),'Catalog'!$C:$C,0)),""))</f>
        <v>4415072</v>
      </c>
      <c r="F795" s="20" t="str">
        <f aca="false">IF($E795="","Unmatched","Matched")</f>
        <v>Matched</v>
      </c>
    </row>
    <row r="796" customFormat="false" ht="15" hidden="false" customHeight="false" outlineLevel="0" collapsed="false">
      <c r="A796" s="20" t="s">
        <v>751</v>
      </c>
      <c r="B796" s="20" t="n">
        <v>2026</v>
      </c>
      <c r="C796" s="21" t="n">
        <v>33</v>
      </c>
      <c r="D796" s="22" t="n">
        <v>2239.7</v>
      </c>
      <c r="E796" s="20" t="n">
        <f aca="false">IFERROR(INDEX('Catalog'!$A:$A,MATCH($A796,'Catalog'!$B:$B,0)),IFERROR(INDEX('Catalog'!$A:$A,MATCH(TRIM(SUBSTITUTE($A796,CHAR(160)," ")),'Catalog'!$C:$C,0)),""))</f>
        <v>4415073</v>
      </c>
      <c r="F796" s="20" t="str">
        <f aca="false">IF($E796="","Unmatched","Matched")</f>
        <v>Matched</v>
      </c>
    </row>
    <row r="797" customFormat="false" ht="15" hidden="false" customHeight="false" outlineLevel="0" collapsed="false">
      <c r="A797" s="20" t="s">
        <v>755</v>
      </c>
      <c r="B797" s="20" t="n">
        <v>2026</v>
      </c>
      <c r="C797" s="21" t="n">
        <v>63</v>
      </c>
      <c r="D797" s="22" t="n">
        <v>4281.1</v>
      </c>
      <c r="E797" s="20" t="n">
        <f aca="false">IFERROR(INDEX('Catalog'!$A:$A,MATCH($A797,'Catalog'!$B:$B,0)),IFERROR(INDEX('Catalog'!$A:$A,MATCH(TRIM(SUBSTITUTE($A797,CHAR(160)," ")),'Catalog'!$C:$C,0)),""))</f>
        <v>4415074</v>
      </c>
      <c r="F797" s="20" t="str">
        <f aca="false">IF($E797="","Unmatched","Matched")</f>
        <v>Matched</v>
      </c>
    </row>
    <row r="798" customFormat="false" ht="15" hidden="false" customHeight="false" outlineLevel="0" collapsed="false">
      <c r="A798" s="20" t="s">
        <v>754</v>
      </c>
      <c r="B798" s="20" t="n">
        <v>2026</v>
      </c>
      <c r="C798" s="21" t="n">
        <v>38</v>
      </c>
      <c r="D798" s="22" t="n">
        <v>2578.7</v>
      </c>
      <c r="E798" s="20" t="n">
        <f aca="false">IFERROR(INDEX('Catalog'!$A:$A,MATCH($A798,'Catalog'!$B:$B,0)),IFERROR(INDEX('Catalog'!$A:$A,MATCH(TRIM(SUBSTITUTE($A798,CHAR(160)," ")),'Catalog'!$C:$C,0)),""))</f>
        <v>4415075</v>
      </c>
      <c r="F798" s="20" t="str">
        <f aca="false">IF($E798="","Unmatched","Matched")</f>
        <v>Matched</v>
      </c>
    </row>
    <row r="799" customFormat="false" ht="15" hidden="false" customHeight="false" outlineLevel="0" collapsed="false">
      <c r="A799" s="20" t="s">
        <v>653</v>
      </c>
      <c r="B799" s="20" t="n">
        <v>2026</v>
      </c>
      <c r="C799" s="21" t="n">
        <v>119</v>
      </c>
      <c r="D799" s="22" t="n">
        <v>1128.9</v>
      </c>
      <c r="E799" s="20" t="n">
        <f aca="false">IFERROR(INDEX('Catalog'!$A:$A,MATCH($A799,'Catalog'!$B:$B,0)),IFERROR(INDEX('Catalog'!$A:$A,MATCH(TRIM(SUBSTITUTE($A799,CHAR(160)," ")),'Catalog'!$C:$C,0)),""))</f>
        <v>4415080</v>
      </c>
      <c r="F799" s="20" t="str">
        <f aca="false">IF($E799="","Unmatched","Matched")</f>
        <v>Matched</v>
      </c>
    </row>
    <row r="800" customFormat="false" ht="15" hidden="false" customHeight="false" outlineLevel="0" collapsed="false">
      <c r="A800" s="20" t="s">
        <v>714</v>
      </c>
      <c r="B800" s="20" t="n">
        <v>2026</v>
      </c>
      <c r="C800" s="21" t="n">
        <v>-2</v>
      </c>
      <c r="D800" s="22" t="n">
        <v>-194</v>
      </c>
      <c r="E800" s="20" t="n">
        <f aca="false">IFERROR(INDEX('Catalog'!$A:$A,MATCH($A800,'Catalog'!$B:$B,0)),IFERROR(INDEX('Catalog'!$A:$A,MATCH(TRIM(SUBSTITUTE($A800,CHAR(160)," ")),'Catalog'!$C:$C,0)),""))</f>
        <v>4415091</v>
      </c>
      <c r="F800" s="20" t="str">
        <f aca="false">IF($E800="","Unmatched","Matched")</f>
        <v>Matched</v>
      </c>
    </row>
    <row r="801" customFormat="false" ht="15" hidden="false" customHeight="false" outlineLevel="0" collapsed="false">
      <c r="A801" s="20" t="s">
        <v>609</v>
      </c>
      <c r="B801" s="20" t="n">
        <v>2026</v>
      </c>
      <c r="C801" s="21" t="n">
        <v>74</v>
      </c>
      <c r="D801" s="22" t="n">
        <v>6186</v>
      </c>
      <c r="E801" s="20" t="n">
        <f aca="false">IFERROR(INDEX('Catalog'!$A:$A,MATCH($A801,'Catalog'!$B:$B,0)),IFERROR(INDEX('Catalog'!$A:$A,MATCH(TRIM(SUBSTITUTE($A801,CHAR(160)," ")),'Catalog'!$C:$C,0)),""))</f>
        <v>4416000</v>
      </c>
      <c r="F801" s="20" t="str">
        <f aca="false">IF($E801="","Unmatched","Matched")</f>
        <v>Matched</v>
      </c>
    </row>
    <row r="802" customFormat="false" ht="15" hidden="false" customHeight="false" outlineLevel="0" collapsed="false">
      <c r="A802" s="20" t="s">
        <v>610</v>
      </c>
      <c r="B802" s="20" t="n">
        <v>2026</v>
      </c>
      <c r="C802" s="21" t="n">
        <v>90</v>
      </c>
      <c r="D802" s="22" t="n">
        <v>7849.8</v>
      </c>
      <c r="E802" s="20" t="n">
        <f aca="false">IFERROR(INDEX('Catalog'!$A:$A,MATCH($A802,'Catalog'!$B:$B,0)),IFERROR(INDEX('Catalog'!$A:$A,MATCH(TRIM(SUBSTITUTE($A802,CHAR(160)," ")),'Catalog'!$C:$C,0)),""))</f>
        <v>4416001</v>
      </c>
      <c r="F802" s="20" t="str">
        <f aca="false">IF($E802="","Unmatched","Matched")</f>
        <v>Matched</v>
      </c>
    </row>
    <row r="803" customFormat="false" ht="15" hidden="false" customHeight="false" outlineLevel="0" collapsed="false">
      <c r="A803" s="20" t="s">
        <v>611</v>
      </c>
      <c r="B803" s="20" t="n">
        <v>2026</v>
      </c>
      <c r="C803" s="21" t="n">
        <v>18</v>
      </c>
      <c r="D803" s="22" t="n">
        <v>1513.6</v>
      </c>
      <c r="E803" s="20" t="n">
        <f aca="false">IFERROR(INDEX('Catalog'!$A:$A,MATCH($A803,'Catalog'!$B:$B,0)),IFERROR(INDEX('Catalog'!$A:$A,MATCH(TRIM(SUBSTITUTE($A803,CHAR(160)," ")),'Catalog'!$C:$C,0)),""))</f>
        <v>4416002</v>
      </c>
      <c r="F803" s="20" t="str">
        <f aca="false">IF($E803="","Unmatched","Matched")</f>
        <v>Matched</v>
      </c>
    </row>
    <row r="804" customFormat="false" ht="15" hidden="false" customHeight="false" outlineLevel="0" collapsed="false">
      <c r="A804" s="20" t="s">
        <v>613</v>
      </c>
      <c r="B804" s="20" t="n">
        <v>2026</v>
      </c>
      <c r="C804" s="21" t="n">
        <v>75</v>
      </c>
      <c r="D804" s="22" t="n">
        <v>4255.9</v>
      </c>
      <c r="E804" s="20" t="n">
        <f aca="false">IFERROR(INDEX('Catalog'!$A:$A,MATCH($A804,'Catalog'!$B:$B,0)),IFERROR(INDEX('Catalog'!$A:$A,MATCH(TRIM(SUBSTITUTE($A804,CHAR(160)," ")),'Catalog'!$C:$C,0)),""))</f>
        <v>4416003</v>
      </c>
      <c r="F804" s="20" t="str">
        <f aca="false">IF($E804="","Unmatched","Matched")</f>
        <v>Matched</v>
      </c>
    </row>
    <row r="805" customFormat="false" ht="15" hidden="false" customHeight="false" outlineLevel="0" collapsed="false">
      <c r="A805" s="20" t="s">
        <v>614</v>
      </c>
      <c r="B805" s="20" t="n">
        <v>2026</v>
      </c>
      <c r="C805" s="21" t="n">
        <v>70</v>
      </c>
      <c r="D805" s="22" t="n">
        <v>3998.7</v>
      </c>
      <c r="E805" s="20" t="n">
        <f aca="false">IFERROR(INDEX('Catalog'!$A:$A,MATCH($A805,'Catalog'!$B:$B,0)),IFERROR(INDEX('Catalog'!$A:$A,MATCH(TRIM(SUBSTITUTE($A805,CHAR(160)," ")),'Catalog'!$C:$C,0)),""))</f>
        <v>4416005</v>
      </c>
      <c r="F805" s="20" t="str">
        <f aca="false">IF($E805="","Unmatched","Matched")</f>
        <v>Matched</v>
      </c>
    </row>
    <row r="806" customFormat="false" ht="15" hidden="false" customHeight="false" outlineLevel="0" collapsed="false">
      <c r="A806" s="20" t="s">
        <v>615</v>
      </c>
      <c r="B806" s="20" t="n">
        <v>2026</v>
      </c>
      <c r="C806" s="21" t="n">
        <v>-1</v>
      </c>
      <c r="D806" s="22" t="n">
        <v>-58.4</v>
      </c>
      <c r="E806" s="20" t="n">
        <f aca="false">IFERROR(INDEX('Catalog'!$A:$A,MATCH($A806,'Catalog'!$B:$B,0)),IFERROR(INDEX('Catalog'!$A:$A,MATCH(TRIM(SUBSTITUTE($A806,CHAR(160)," ")),'Catalog'!$C:$C,0)),""))</f>
        <v>4416006</v>
      </c>
      <c r="F806" s="20" t="str">
        <f aca="false">IF($E806="","Unmatched","Matched")</f>
        <v>Matched</v>
      </c>
    </row>
    <row r="807" customFormat="false" ht="15" hidden="false" customHeight="false" outlineLevel="0" collapsed="false">
      <c r="A807" s="20" t="s">
        <v>651</v>
      </c>
      <c r="B807" s="20" t="n">
        <v>2026</v>
      </c>
      <c r="C807" s="21" t="n">
        <v>146</v>
      </c>
      <c r="D807" s="22" t="n">
        <v>3606.2</v>
      </c>
      <c r="E807" s="20" t="n">
        <f aca="false">IFERROR(INDEX('Catalog'!$A:$A,MATCH($A807,'Catalog'!$B:$B,0)),IFERROR(INDEX('Catalog'!$A:$A,MATCH(TRIM(SUBSTITUTE($A807,CHAR(160)," ")),'Catalog'!$C:$C,0)),""))</f>
        <v>4417000</v>
      </c>
      <c r="F807" s="20" t="str">
        <f aca="false">IF($E807="","Unmatched","Matched")</f>
        <v>Matched</v>
      </c>
    </row>
    <row r="808" customFormat="false" ht="15" hidden="false" customHeight="false" outlineLevel="0" collapsed="false">
      <c r="A808" s="20" t="s">
        <v>762</v>
      </c>
      <c r="B808" s="20" t="n">
        <v>2026</v>
      </c>
      <c r="C808" s="21" t="n">
        <v>87</v>
      </c>
      <c r="D808" s="22" t="n">
        <v>4203.4</v>
      </c>
      <c r="E808" s="20" t="n">
        <f aca="false">IFERROR(INDEX('Catalog'!$A:$A,MATCH($A808,'Catalog'!$B:$B,0)),IFERROR(INDEX('Catalog'!$A:$A,MATCH(TRIM(SUBSTITUTE($A808,CHAR(160)," ")),'Catalog'!$C:$C,0)),""))</f>
        <v>4418000</v>
      </c>
      <c r="F808" s="20" t="str">
        <f aca="false">IF($E808="","Unmatched","Matched")</f>
        <v>Matched</v>
      </c>
    </row>
    <row r="809" customFormat="false" ht="15" hidden="false" customHeight="false" outlineLevel="0" collapsed="false">
      <c r="A809" s="20" t="s">
        <v>763</v>
      </c>
      <c r="B809" s="20" t="n">
        <v>2026</v>
      </c>
      <c r="C809" s="21" t="n">
        <v>55</v>
      </c>
      <c r="D809" s="22" t="n">
        <v>2656.9</v>
      </c>
      <c r="E809" s="20" t="n">
        <f aca="false">IFERROR(INDEX('Catalog'!$A:$A,MATCH($A809,'Catalog'!$B:$B,0)),IFERROR(INDEX('Catalog'!$A:$A,MATCH(TRIM(SUBSTITUTE($A809,CHAR(160)," ")),'Catalog'!$C:$C,0)),""))</f>
        <v>4418001</v>
      </c>
      <c r="F809" s="20" t="str">
        <f aca="false">IF($E809="","Unmatched","Matched")</f>
        <v>Matched</v>
      </c>
    </row>
    <row r="810" customFormat="false" ht="15" hidden="false" customHeight="false" outlineLevel="0" collapsed="false">
      <c r="A810" s="20" t="s">
        <v>764</v>
      </c>
      <c r="B810" s="20" t="n">
        <v>2026</v>
      </c>
      <c r="C810" s="21" t="n">
        <v>37</v>
      </c>
      <c r="D810" s="22" t="n">
        <v>1803.2</v>
      </c>
      <c r="E810" s="20" t="n">
        <f aca="false">IFERROR(INDEX('Catalog'!$A:$A,MATCH($A810,'Catalog'!$B:$B,0)),IFERROR(INDEX('Catalog'!$A:$A,MATCH(TRIM(SUBSTITUTE($A810,CHAR(160)," ")),'Catalog'!$C:$C,0)),""))</f>
        <v>4418002</v>
      </c>
      <c r="F810" s="20" t="str">
        <f aca="false">IF($E810="","Unmatched","Matched")</f>
        <v>Matched</v>
      </c>
    </row>
    <row r="811" customFormat="false" ht="15" hidden="false" customHeight="false" outlineLevel="0" collapsed="false">
      <c r="A811" s="20" t="s">
        <v>765</v>
      </c>
      <c r="B811" s="20" t="n">
        <v>2026</v>
      </c>
      <c r="C811" s="21" t="n">
        <v>48</v>
      </c>
      <c r="D811" s="22" t="n">
        <v>2337.3</v>
      </c>
      <c r="E811" s="20" t="n">
        <f aca="false">IFERROR(INDEX('Catalog'!$A:$A,MATCH($A811,'Catalog'!$B:$B,0)),IFERROR(INDEX('Catalog'!$A:$A,MATCH(TRIM(SUBSTITUTE($A811,CHAR(160)," ")),'Catalog'!$C:$C,0)),""))</f>
        <v>4418003</v>
      </c>
      <c r="F811" s="20" t="str">
        <f aca="false">IF($E811="","Unmatched","Matched")</f>
        <v>Matched</v>
      </c>
    </row>
    <row r="812" customFormat="false" ht="15" hidden="false" customHeight="false" outlineLevel="0" collapsed="false">
      <c r="A812" s="20" t="s">
        <v>772</v>
      </c>
      <c r="B812" s="20" t="n">
        <v>2026</v>
      </c>
      <c r="C812" s="21" t="n">
        <v>1</v>
      </c>
      <c r="D812" s="22" t="n">
        <v>66.5</v>
      </c>
      <c r="E812" s="20" t="n">
        <f aca="false">IFERROR(INDEX('Catalog'!$A:$A,MATCH($A812,'Catalog'!$B:$B,0)),IFERROR(INDEX('Catalog'!$A:$A,MATCH(TRIM(SUBSTITUTE($A812,CHAR(160)," ")),'Catalog'!$C:$C,0)),""))</f>
        <v>4418006</v>
      </c>
      <c r="F812" s="20" t="str">
        <f aca="false">IF($E812="","Unmatched","Matched")</f>
        <v>Matched</v>
      </c>
    </row>
    <row r="813" customFormat="false" ht="15" hidden="false" customHeight="false" outlineLevel="0" collapsed="false">
      <c r="A813" s="20" t="s">
        <v>649</v>
      </c>
      <c r="B813" s="20" t="n">
        <v>2026</v>
      </c>
      <c r="C813" s="21" t="n">
        <v>534</v>
      </c>
      <c r="D813" s="22" t="n">
        <v>7485</v>
      </c>
      <c r="E813" s="20" t="n">
        <f aca="false">IFERROR(INDEX('Catalog'!$A:$A,MATCH($A813,'Catalog'!$B:$B,0)),IFERROR(INDEX('Catalog'!$A:$A,MATCH(TRIM(SUBSTITUTE($A813,CHAR(160)," ")),'Catalog'!$C:$C,0)),""))</f>
        <v>4419006</v>
      </c>
      <c r="F813" s="20" t="str">
        <f aca="false">IF($E813="","Unmatched","Matched")</f>
        <v>Matched</v>
      </c>
    </row>
    <row r="814" customFormat="false" ht="15" hidden="false" customHeight="false" outlineLevel="0" collapsed="false">
      <c r="A814" s="20" t="s">
        <v>780</v>
      </c>
      <c r="B814" s="20" t="n">
        <v>2026</v>
      </c>
      <c r="C814" s="21" t="n">
        <v>-4</v>
      </c>
      <c r="D814" s="22" t="n">
        <v>-132.5</v>
      </c>
      <c r="E814" s="20" t="n">
        <f aca="false">IFERROR(INDEX('Catalog'!$A:$A,MATCH($A814,'Catalog'!$B:$B,0)),IFERROR(INDEX('Catalog'!$A:$A,MATCH(TRIM(SUBSTITUTE($A814,CHAR(160)," ")),'Catalog'!$C:$C,0)),""))</f>
        <v>4419010</v>
      </c>
      <c r="F814" s="20" t="str">
        <f aca="false">IF($E814="","Unmatched","Matched")</f>
        <v>Matched</v>
      </c>
    </row>
    <row r="815" customFormat="false" ht="15" hidden="false" customHeight="false" outlineLevel="0" collapsed="false">
      <c r="A815" s="20" t="s">
        <v>850</v>
      </c>
      <c r="B815" s="20" t="n">
        <v>2026</v>
      </c>
      <c r="C815" s="21" t="n">
        <v>319</v>
      </c>
      <c r="D815" s="22" t="n">
        <v>3921.1</v>
      </c>
      <c r="E815" s="20" t="n">
        <f aca="false">IFERROR(INDEX('Catalog'!$A:$A,MATCH($A815,'Catalog'!$B:$B,0)),IFERROR(INDEX('Catalog'!$A:$A,MATCH(TRIM(SUBSTITUTE($A815,CHAR(160)," ")),'Catalog'!$C:$C,0)),""))</f>
        <v>4420000</v>
      </c>
      <c r="F815" s="20" t="str">
        <f aca="false">IF($E815="","Unmatched","Matched")</f>
        <v>Matched</v>
      </c>
    </row>
    <row r="816" customFormat="false" ht="15" hidden="false" customHeight="false" outlineLevel="0" collapsed="false">
      <c r="A816" s="20" t="s">
        <v>852</v>
      </c>
      <c r="B816" s="20" t="n">
        <v>2026</v>
      </c>
      <c r="C816" s="21" t="n">
        <v>89</v>
      </c>
      <c r="D816" s="22" t="n">
        <v>971.3</v>
      </c>
      <c r="E816" s="20" t="n">
        <f aca="false">IFERROR(INDEX('Catalog'!$A:$A,MATCH($A816,'Catalog'!$B:$B,0)),IFERROR(INDEX('Catalog'!$A:$A,MATCH(TRIM(SUBSTITUTE($A816,CHAR(160)," ")),'Catalog'!$C:$C,0)),""))</f>
        <v>4420001</v>
      </c>
      <c r="F816" s="20" t="str">
        <f aca="false">IF($E816="","Unmatched","Matched")</f>
        <v>Matched</v>
      </c>
    </row>
    <row r="817" customFormat="false" ht="15" hidden="false" customHeight="false" outlineLevel="0" collapsed="false">
      <c r="A817" s="20" t="s">
        <v>853</v>
      </c>
      <c r="B817" s="20" t="n">
        <v>2026</v>
      </c>
      <c r="C817" s="21" t="n">
        <v>386</v>
      </c>
      <c r="D817" s="22" t="n">
        <v>5636.2</v>
      </c>
      <c r="E817" s="20" t="n">
        <f aca="false">IFERROR(INDEX('Catalog'!$A:$A,MATCH($A817,'Catalog'!$B:$B,0)),IFERROR(INDEX('Catalog'!$A:$A,MATCH(TRIM(SUBSTITUTE($A817,CHAR(160)," ")),'Catalog'!$C:$C,0)),""))</f>
        <v>4420002</v>
      </c>
      <c r="F817" s="20" t="str">
        <f aca="false">IF($E817="","Unmatched","Matched")</f>
        <v>Matched</v>
      </c>
    </row>
    <row r="818" customFormat="false" ht="15" hidden="false" customHeight="false" outlineLevel="0" collapsed="false">
      <c r="A818" s="20" t="s">
        <v>854</v>
      </c>
      <c r="B818" s="20" t="n">
        <v>2026</v>
      </c>
      <c r="C818" s="21" t="n">
        <v>208</v>
      </c>
      <c r="D818" s="22" t="n">
        <v>2953.3</v>
      </c>
      <c r="E818" s="20" t="n">
        <f aca="false">IFERROR(INDEX('Catalog'!$A:$A,MATCH($A818,'Catalog'!$B:$B,0)),IFERROR(INDEX('Catalog'!$A:$A,MATCH(TRIM(SUBSTITUTE($A818,CHAR(160)," ")),'Catalog'!$C:$C,0)),""))</f>
        <v>4420003</v>
      </c>
      <c r="F818" s="20" t="str">
        <f aca="false">IF($E818="","Unmatched","Matched")</f>
        <v>Matched</v>
      </c>
    </row>
    <row r="819" customFormat="false" ht="15" hidden="false" customHeight="false" outlineLevel="0" collapsed="false">
      <c r="A819" s="20" t="s">
        <v>857</v>
      </c>
      <c r="B819" s="20" t="n">
        <v>2026</v>
      </c>
      <c r="C819" s="21" t="n">
        <v>1</v>
      </c>
      <c r="D819" s="22" t="n">
        <v>36.9</v>
      </c>
      <c r="E819" s="20" t="n">
        <f aca="false">IFERROR(INDEX('Catalog'!$A:$A,MATCH($A819,'Catalog'!$B:$B,0)),IFERROR(INDEX('Catalog'!$A:$A,MATCH(TRIM(SUBSTITUTE($A819,CHAR(160)," ")),'Catalog'!$C:$C,0)),""))</f>
        <v>4420004</v>
      </c>
      <c r="F819" s="20" t="str">
        <f aca="false">IF($E819="","Unmatched","Matched")</f>
        <v>Matched</v>
      </c>
    </row>
    <row r="820" customFormat="false" ht="15" hidden="false" customHeight="false" outlineLevel="0" collapsed="false">
      <c r="A820" s="20" t="s">
        <v>864</v>
      </c>
      <c r="B820" s="20" t="n">
        <v>2026</v>
      </c>
      <c r="C820" s="21" t="n">
        <v>0</v>
      </c>
      <c r="D820" s="22" t="n">
        <v>3.3</v>
      </c>
      <c r="E820" s="20" t="n">
        <f aca="false">IFERROR(INDEX('Catalog'!$A:$A,MATCH($A820,'Catalog'!$B:$B,0)),IFERROR(INDEX('Catalog'!$A:$A,MATCH(TRIM(SUBSTITUTE($A820,CHAR(160)," ")),'Catalog'!$C:$C,0)),""))</f>
        <v>4420005</v>
      </c>
      <c r="F820" s="20" t="str">
        <f aca="false">IF($E820="","Unmatched","Matched")</f>
        <v>Matched</v>
      </c>
    </row>
    <row r="821" customFormat="false" ht="15" hidden="false" customHeight="false" outlineLevel="0" collapsed="false">
      <c r="A821" s="20" t="s">
        <v>859</v>
      </c>
      <c r="B821" s="20" t="n">
        <v>2026</v>
      </c>
      <c r="C821" s="21" t="n">
        <v>-1</v>
      </c>
      <c r="D821" s="22" t="n">
        <v>-36.5</v>
      </c>
      <c r="E821" s="20" t="n">
        <f aca="false">IFERROR(INDEX('Catalog'!$A:$A,MATCH($A821,'Catalog'!$B:$B,0)),IFERROR(INDEX('Catalog'!$A:$A,MATCH(TRIM(SUBSTITUTE($A821,CHAR(160)," ")),'Catalog'!$C:$C,0)),""))</f>
        <v>4420008</v>
      </c>
      <c r="F821" s="20" t="str">
        <f aca="false">IF($E821="","Unmatched","Matched")</f>
        <v>Matched</v>
      </c>
    </row>
    <row r="822" customFormat="false" ht="15" hidden="false" customHeight="false" outlineLevel="0" collapsed="false">
      <c r="A822" s="20" t="s">
        <v>860</v>
      </c>
      <c r="B822" s="20" t="n">
        <v>2026</v>
      </c>
      <c r="C822" s="21" t="n">
        <v>-1</v>
      </c>
      <c r="D822" s="22" t="n">
        <v>-36.5</v>
      </c>
      <c r="E822" s="20" t="n">
        <f aca="false">IFERROR(INDEX('Catalog'!$A:$A,MATCH($A822,'Catalog'!$B:$B,0)),IFERROR(INDEX('Catalog'!$A:$A,MATCH(TRIM(SUBSTITUTE($A822,CHAR(160)," ")),'Catalog'!$C:$C,0)),""))</f>
        <v>4420009</v>
      </c>
      <c r="F822" s="20" t="str">
        <f aca="false">IF($E822="","Unmatched","Matched")</f>
        <v>Matched</v>
      </c>
    </row>
    <row r="823" customFormat="false" ht="15" hidden="false" customHeight="false" outlineLevel="0" collapsed="false">
      <c r="A823" s="20" t="s">
        <v>856</v>
      </c>
      <c r="B823" s="20" t="n">
        <v>2026</v>
      </c>
      <c r="C823" s="21" t="n">
        <v>-1</v>
      </c>
      <c r="D823" s="22" t="n">
        <v>-36.5</v>
      </c>
      <c r="E823" s="20" t="n">
        <f aca="false">IFERROR(INDEX('Catalog'!$A:$A,MATCH($A823,'Catalog'!$B:$B,0)),IFERROR(INDEX('Catalog'!$A:$A,MATCH(TRIM(SUBSTITUTE($A823,CHAR(160)," ")),'Catalog'!$C:$C,0)),""))</f>
        <v>4420012</v>
      </c>
      <c r="F823" s="20" t="str">
        <f aca="false">IF($E823="","Unmatched","Matched")</f>
        <v>Matched</v>
      </c>
    </row>
    <row r="824" customFormat="false" ht="15" hidden="false" customHeight="false" outlineLevel="0" collapsed="false">
      <c r="A824" s="20" t="s">
        <v>160</v>
      </c>
      <c r="B824" s="20" t="n">
        <v>2026</v>
      </c>
      <c r="C824" s="21" t="n">
        <v>41</v>
      </c>
      <c r="D824" s="22" t="n">
        <v>2103.5</v>
      </c>
      <c r="E824" s="20" t="n">
        <f aca="false">IFERROR(INDEX('Catalog'!$A:$A,MATCH($A824,'Catalog'!$B:$B,0)),IFERROR(INDEX('Catalog'!$A:$A,MATCH(TRIM(SUBSTITUTE($A824,CHAR(160)," ")),'Catalog'!$C:$C,0)),""))</f>
        <v>4420016</v>
      </c>
      <c r="F824" s="20" t="str">
        <f aca="false">IF($E824="","Unmatched","Matched")</f>
        <v>Matched</v>
      </c>
    </row>
    <row r="825" customFormat="false" ht="15" hidden="false" customHeight="false" outlineLevel="0" collapsed="false">
      <c r="A825" s="20" t="s">
        <v>161</v>
      </c>
      <c r="B825" s="20" t="n">
        <v>2026</v>
      </c>
      <c r="C825" s="21" t="n">
        <v>23</v>
      </c>
      <c r="D825" s="22" t="n">
        <v>2107.1</v>
      </c>
      <c r="E825" s="20" t="n">
        <f aca="false">IFERROR(INDEX('Catalog'!$A:$A,MATCH($A825,'Catalog'!$B:$B,0)),IFERROR(INDEX('Catalog'!$A:$A,MATCH(TRIM(SUBSTITUTE($A825,CHAR(160)," ")),'Catalog'!$C:$C,0)),""))</f>
        <v>4420017</v>
      </c>
      <c r="F825" s="20" t="str">
        <f aca="false">IF($E825="","Unmatched","Matched")</f>
        <v>Matched</v>
      </c>
    </row>
    <row r="826" customFormat="false" ht="15" hidden="false" customHeight="false" outlineLevel="0" collapsed="false">
      <c r="A826" s="20" t="s">
        <v>480</v>
      </c>
      <c r="B826" s="20" t="n">
        <v>2026</v>
      </c>
      <c r="C826" s="21" t="n">
        <v>78</v>
      </c>
      <c r="D826" s="22" t="n">
        <v>1779.9</v>
      </c>
      <c r="E826" s="20" t="n">
        <f aca="false">IFERROR(INDEX('Catalog'!$A:$A,MATCH($A826,'Catalog'!$B:$B,0)),IFERROR(INDEX('Catalog'!$A:$A,MATCH(TRIM(SUBSTITUTE($A826,CHAR(160)," ")),'Catalog'!$C:$C,0)),""))</f>
        <v>4420022</v>
      </c>
      <c r="F826" s="20" t="str">
        <f aca="false">IF($E826="","Unmatched","Matched")</f>
        <v>Matched</v>
      </c>
    </row>
    <row r="827" customFormat="false" ht="15" hidden="false" customHeight="false" outlineLevel="0" collapsed="false">
      <c r="A827" s="20" t="s">
        <v>481</v>
      </c>
      <c r="B827" s="20" t="n">
        <v>2026</v>
      </c>
      <c r="C827" s="21" t="n">
        <v>-1</v>
      </c>
      <c r="D827" s="22" t="n">
        <v>-21.9</v>
      </c>
      <c r="E827" s="20" t="n">
        <f aca="false">IFERROR(INDEX('Catalog'!$A:$A,MATCH($A827,'Catalog'!$B:$B,0)),IFERROR(INDEX('Catalog'!$A:$A,MATCH(TRIM(SUBSTITUTE($A827,CHAR(160)," ")),'Catalog'!$C:$C,0)),""))</f>
        <v>4420023</v>
      </c>
      <c r="F827" s="20" t="str">
        <f aca="false">IF($E827="","Unmatched","Matched")</f>
        <v>Matched</v>
      </c>
    </row>
    <row r="828" customFormat="false" ht="15" hidden="false" customHeight="false" outlineLevel="0" collapsed="false">
      <c r="A828" s="20" t="s">
        <v>487</v>
      </c>
      <c r="B828" s="20" t="n">
        <v>2026</v>
      </c>
      <c r="C828" s="21" t="n">
        <v>32</v>
      </c>
      <c r="D828" s="22" t="n">
        <v>657.5</v>
      </c>
      <c r="E828" s="20" t="n">
        <f aca="false">IFERROR(INDEX('Catalog'!$A:$A,MATCH($A828,'Catalog'!$B:$B,0)),IFERROR(INDEX('Catalog'!$A:$A,MATCH(TRIM(SUBSTITUTE($A828,CHAR(160)," ")),'Catalog'!$C:$C,0)),""))</f>
        <v>4420024</v>
      </c>
      <c r="F828" s="20" t="str">
        <f aca="false">IF($E828="","Unmatched","Matched")</f>
        <v>Matched</v>
      </c>
    </row>
    <row r="829" customFormat="false" ht="15" hidden="false" customHeight="false" outlineLevel="0" collapsed="false">
      <c r="A829" s="20" t="s">
        <v>482</v>
      </c>
      <c r="B829" s="20" t="n">
        <v>2026</v>
      </c>
      <c r="C829" s="21" t="n">
        <v>11</v>
      </c>
      <c r="D829" s="22" t="n">
        <v>243.3</v>
      </c>
      <c r="E829" s="20" t="n">
        <f aca="false">IFERROR(INDEX('Catalog'!$A:$A,MATCH($A829,'Catalog'!$B:$B,0)),IFERROR(INDEX('Catalog'!$A:$A,MATCH(TRIM(SUBSTITUTE($A829,CHAR(160)," ")),'Catalog'!$C:$C,0)),""))</f>
        <v>4420025</v>
      </c>
      <c r="F829" s="20" t="str">
        <f aca="false">IF($E829="","Unmatched","Matched")</f>
        <v>Matched</v>
      </c>
    </row>
    <row r="830" customFormat="false" ht="15" hidden="false" customHeight="false" outlineLevel="0" collapsed="false">
      <c r="A830" s="20" t="s">
        <v>632</v>
      </c>
      <c r="B830" s="20" t="n">
        <v>2026</v>
      </c>
      <c r="C830" s="21" t="n">
        <v>1072</v>
      </c>
      <c r="D830" s="22" t="n">
        <v>19015.4</v>
      </c>
      <c r="E830" s="20" t="n">
        <f aca="false">IFERROR(INDEX('Catalog'!$A:$A,MATCH($A830,'Catalog'!$B:$B,0)),IFERROR(INDEX('Catalog'!$A:$A,MATCH(TRIM(SUBSTITUTE($A830,CHAR(160)," ")),'Catalog'!$C:$C,0)),""))</f>
        <v>4421000</v>
      </c>
      <c r="F830" s="20" t="str">
        <f aca="false">IF($E830="","Unmatched","Matched")</f>
        <v>Matched</v>
      </c>
    </row>
    <row r="831" customFormat="false" ht="15" hidden="false" customHeight="false" outlineLevel="0" collapsed="false">
      <c r="A831" s="20" t="s">
        <v>623</v>
      </c>
      <c r="B831" s="20" t="n">
        <v>2026</v>
      </c>
      <c r="C831" s="21" t="n">
        <v>92</v>
      </c>
      <c r="D831" s="22" t="n">
        <v>5406.7</v>
      </c>
      <c r="E831" s="20" t="n">
        <f aca="false">IFERROR(INDEX('Catalog'!$A:$A,MATCH($A831,'Catalog'!$B:$B,0)),IFERROR(INDEX('Catalog'!$A:$A,MATCH(TRIM(SUBSTITUTE($A831,CHAR(160)," ")),'Catalog'!$C:$C,0)),""))</f>
        <v>4421001</v>
      </c>
      <c r="F831" s="20" t="str">
        <f aca="false">IF($E831="","Unmatched","Matched")</f>
        <v>Matched</v>
      </c>
    </row>
    <row r="832" customFormat="false" ht="15" hidden="false" customHeight="false" outlineLevel="0" collapsed="false">
      <c r="A832" s="20" t="s">
        <v>914</v>
      </c>
      <c r="B832" s="20" t="n">
        <v>2026</v>
      </c>
      <c r="C832" s="21" t="n">
        <v>124</v>
      </c>
      <c r="D832" s="22" t="n">
        <v>2627.7</v>
      </c>
      <c r="E832" s="20" t="n">
        <f aca="false">IFERROR(INDEX('Catalog'!$A:$A,MATCH($A832,'Catalog'!$B:$B,0)),IFERROR(INDEX('Catalog'!$A:$A,MATCH(TRIM(SUBSTITUTE($A832,CHAR(160)," ")),'Catalog'!$C:$C,0)),""))</f>
        <v>4422000</v>
      </c>
      <c r="F832" s="20" t="str">
        <f aca="false">IF($E832="","Unmatched","Matched")</f>
        <v>Matched</v>
      </c>
    </row>
    <row r="833" customFormat="false" ht="15" hidden="false" customHeight="false" outlineLevel="0" collapsed="false">
      <c r="A833" s="20" t="s">
        <v>476</v>
      </c>
      <c r="B833" s="20" t="n">
        <v>2026</v>
      </c>
      <c r="C833" s="21" t="n">
        <v>5</v>
      </c>
      <c r="D833" s="22" t="n">
        <v>959.2</v>
      </c>
      <c r="E833" s="20" t="n">
        <f aca="false">IFERROR(INDEX('Catalog'!$A:$A,MATCH($A833,'Catalog'!$B:$B,0)),IFERROR(INDEX('Catalog'!$A:$A,MATCH(TRIM(SUBSTITUTE($A833,CHAR(160)," ")),'Catalog'!$C:$C,0)),""))</f>
        <v>4422004</v>
      </c>
      <c r="F833" s="20" t="str">
        <f aca="false">IF($E833="","Unmatched","Matched")</f>
        <v>Matched</v>
      </c>
    </row>
    <row r="834" customFormat="false" ht="15" hidden="false" customHeight="false" outlineLevel="0" collapsed="false">
      <c r="A834" s="20" t="s">
        <v>475</v>
      </c>
      <c r="B834" s="20" t="n">
        <v>2026</v>
      </c>
      <c r="C834" s="21" t="n">
        <v>15</v>
      </c>
      <c r="D834" s="22" t="n">
        <v>2852.4</v>
      </c>
      <c r="E834" s="20" t="n">
        <f aca="false">IFERROR(INDEX('Catalog'!$A:$A,MATCH($A834,'Catalog'!$B:$B,0)),IFERROR(INDEX('Catalog'!$A:$A,MATCH(TRIM(SUBSTITUTE($A834,CHAR(160)," ")),'Catalog'!$C:$C,0)),""))</f>
        <v>4422005</v>
      </c>
      <c r="F834" s="20" t="str">
        <f aca="false">IF($E834="","Unmatched","Matched")</f>
        <v>Matched</v>
      </c>
    </row>
    <row r="835" customFormat="false" ht="15" hidden="false" customHeight="false" outlineLevel="0" collapsed="false">
      <c r="A835" s="20" t="s">
        <v>474</v>
      </c>
      <c r="B835" s="20" t="n">
        <v>2026</v>
      </c>
      <c r="C835" s="21" t="n">
        <v>25</v>
      </c>
      <c r="D835" s="22" t="n">
        <v>4518.4</v>
      </c>
      <c r="E835" s="20" t="n">
        <f aca="false">IFERROR(INDEX('Catalog'!$A:$A,MATCH($A835,'Catalog'!$B:$B,0)),IFERROR(INDEX('Catalog'!$A:$A,MATCH(TRIM(SUBSTITUTE($A835,CHAR(160)," ")),'Catalog'!$C:$C,0)),""))</f>
        <v>4422006</v>
      </c>
      <c r="F835" s="20" t="str">
        <f aca="false">IF($E835="","Unmatched","Matched")</f>
        <v>Matched</v>
      </c>
    </row>
    <row r="836" customFormat="false" ht="15" hidden="false" customHeight="false" outlineLevel="0" collapsed="false">
      <c r="A836" s="20" t="s">
        <v>477</v>
      </c>
      <c r="B836" s="20" t="n">
        <v>2026</v>
      </c>
      <c r="C836" s="21" t="n">
        <v>19</v>
      </c>
      <c r="D836" s="22" t="n">
        <v>3534.2</v>
      </c>
      <c r="E836" s="20" t="n">
        <f aca="false">IFERROR(INDEX('Catalog'!$A:$A,MATCH($A836,'Catalog'!$B:$B,0)),IFERROR(INDEX('Catalog'!$A:$A,MATCH(TRIM(SUBSTITUTE($A836,CHAR(160)," ")),'Catalog'!$C:$C,0)),""))</f>
        <v>4422007</v>
      </c>
      <c r="F836" s="20" t="str">
        <f aca="false">IF($E836="","Unmatched","Matched")</f>
        <v>Matched</v>
      </c>
    </row>
    <row r="837" customFormat="false" ht="15" hidden="false" customHeight="false" outlineLevel="0" collapsed="false">
      <c r="A837" s="20" t="s">
        <v>478</v>
      </c>
      <c r="B837" s="20" t="n">
        <v>2026</v>
      </c>
      <c r="C837" s="21" t="n">
        <v>3</v>
      </c>
      <c r="D837" s="22" t="n">
        <v>568</v>
      </c>
      <c r="E837" s="20" t="n">
        <f aca="false">IFERROR(INDEX('Catalog'!$A:$A,MATCH($A837,'Catalog'!$B:$B,0)),IFERROR(INDEX('Catalog'!$A:$A,MATCH(TRIM(SUBSTITUTE($A837,CHAR(160)," ")),'Catalog'!$C:$C,0)),""))</f>
        <v>4422009</v>
      </c>
      <c r="F837" s="20" t="str">
        <f aca="false">IF($E837="","Unmatched","Matched")</f>
        <v>Matched</v>
      </c>
    </row>
    <row r="838" customFormat="false" ht="15" hidden="false" customHeight="false" outlineLevel="0" collapsed="false">
      <c r="A838" s="20" t="s">
        <v>696</v>
      </c>
      <c r="B838" s="20" t="n">
        <v>2026</v>
      </c>
      <c r="C838" s="21" t="n">
        <v>336</v>
      </c>
      <c r="D838" s="22" t="n">
        <v>26201.4</v>
      </c>
      <c r="E838" s="20" t="n">
        <f aca="false">IFERROR(INDEX('Catalog'!$A:$A,MATCH($A838,'Catalog'!$B:$B,0)),IFERROR(INDEX('Catalog'!$A:$A,MATCH(TRIM(SUBSTITUTE($A838,CHAR(160)," ")),'Catalog'!$C:$C,0)),""))</f>
        <v>4415158</v>
      </c>
      <c r="F838" s="20" t="str">
        <f aca="false">IF($E838="","Unmatched","Matched")</f>
        <v>Matched</v>
      </c>
    </row>
    <row r="839" customFormat="false" ht="15" hidden="false" customHeight="false" outlineLevel="0" collapsed="false">
      <c r="A839" s="20" t="s">
        <v>707</v>
      </c>
      <c r="B839" s="20" t="n">
        <v>2026</v>
      </c>
      <c r="C839" s="21" t="n">
        <v>105</v>
      </c>
      <c r="D839" s="22" t="n">
        <v>12242</v>
      </c>
      <c r="E839" s="20" t="n">
        <f aca="false">IFERROR(INDEX('Catalog'!$A:$A,MATCH($A839,'Catalog'!$B:$B,0)),IFERROR(INDEX('Catalog'!$A:$A,MATCH(TRIM(SUBSTITUTE($A839,CHAR(160)," ")),'Catalog'!$C:$C,0)),""))</f>
        <v>4415159</v>
      </c>
      <c r="F839" s="20" t="str">
        <f aca="false">IF($E839="","Unmatched","Matched")</f>
        <v>Matched</v>
      </c>
    </row>
    <row r="840" customFormat="false" ht="15" hidden="false" customHeight="false" outlineLevel="0" collapsed="false">
      <c r="A840" s="20" t="s">
        <v>283</v>
      </c>
      <c r="B840" s="20" t="n">
        <v>2026</v>
      </c>
      <c r="C840" s="21" t="n">
        <v>-1</v>
      </c>
      <c r="D840" s="22" t="n">
        <v>-52.8</v>
      </c>
      <c r="E840" s="20" t="n">
        <f aca="false">IFERROR(INDEX('Catalog'!$A:$A,MATCH($A840,'Catalog'!$B:$B,0)),IFERROR(INDEX('Catalog'!$A:$A,MATCH(TRIM(SUBSTITUTE($A840,CHAR(160)," ")),'Catalog'!$C:$C,0)),""))</f>
        <v>4403028</v>
      </c>
      <c r="F840" s="20" t="str">
        <f aca="false">IF($E840="","Unmatched","Matched")</f>
        <v>Matched</v>
      </c>
    </row>
    <row r="841" customFormat="false" ht="15" hidden="false" customHeight="false" outlineLevel="0" collapsed="false">
      <c r="A841" s="20" t="s">
        <v>284</v>
      </c>
      <c r="B841" s="20" t="n">
        <v>2026</v>
      </c>
      <c r="C841" s="21" t="n">
        <v>2</v>
      </c>
      <c r="D841" s="22" t="n">
        <v>134.9</v>
      </c>
      <c r="E841" s="20" t="n">
        <f aca="false">IFERROR(INDEX('Catalog'!$A:$A,MATCH($A841,'Catalog'!$B:$B,0)),IFERROR(INDEX('Catalog'!$A:$A,MATCH(TRIM(SUBSTITUTE($A841,CHAR(160)," ")),'Catalog'!$C:$C,0)),""))</f>
        <v>4403029</v>
      </c>
      <c r="F841" s="20" t="str">
        <f aca="false">IF($E841="","Unmatched","Matched")</f>
        <v>Matched</v>
      </c>
    </row>
    <row r="842" customFormat="false" ht="15" hidden="false" customHeight="false" outlineLevel="0" collapsed="false">
      <c r="A842" s="20" t="s">
        <v>285</v>
      </c>
      <c r="B842" s="20" t="n">
        <v>2026</v>
      </c>
      <c r="C842" s="21" t="n">
        <v>-3</v>
      </c>
      <c r="D842" s="22" t="n">
        <v>-164.4</v>
      </c>
      <c r="E842" s="20" t="n">
        <f aca="false">IFERROR(INDEX('Catalog'!$A:$A,MATCH($A842,'Catalog'!$B:$B,0)),IFERROR(INDEX('Catalog'!$A:$A,MATCH(TRIM(SUBSTITUTE($A842,CHAR(160)," ")),'Catalog'!$C:$C,0)),""))</f>
        <v>4403030</v>
      </c>
      <c r="F842" s="20" t="str">
        <f aca="false">IF($E842="","Unmatched","Matched")</f>
        <v>Matched</v>
      </c>
    </row>
    <row r="843" customFormat="false" ht="15" hidden="false" customHeight="false" outlineLevel="0" collapsed="false">
      <c r="A843" s="20" t="s">
        <v>224</v>
      </c>
      <c r="B843" s="20" t="n">
        <v>2026</v>
      </c>
      <c r="C843" s="21" t="n">
        <v>5</v>
      </c>
      <c r="D843" s="22" t="n">
        <v>392.1</v>
      </c>
      <c r="E843" s="20" t="n">
        <f aca="false">IFERROR(INDEX('Catalog'!$A:$A,MATCH($A843,'Catalog'!$B:$B,0)),IFERROR(INDEX('Catalog'!$A:$A,MATCH(TRIM(SUBSTITUTE($A843,CHAR(160)," ")),'Catalog'!$C:$C,0)),""))</f>
        <v>4420026</v>
      </c>
      <c r="F843" s="20" t="str">
        <f aca="false">IF($E843="","Unmatched","Matched")</f>
        <v>Matched</v>
      </c>
    </row>
    <row r="844" customFormat="false" ht="15" hidden="false" customHeight="false" outlineLevel="0" collapsed="false">
      <c r="A844" s="20" t="s">
        <v>313</v>
      </c>
      <c r="B844" s="20" t="n">
        <v>2026</v>
      </c>
      <c r="C844" s="21" t="n">
        <v>5</v>
      </c>
      <c r="D844" s="22" t="n">
        <v>554.4</v>
      </c>
      <c r="E844" s="20" t="n">
        <f aca="false">IFERROR(INDEX('Catalog'!$A:$A,MATCH($A844,'Catalog'!$B:$B,0)),IFERROR(INDEX('Catalog'!$A:$A,MATCH(TRIM(SUBSTITUTE($A844,CHAR(160)," ")),'Catalog'!$C:$C,0)),""))</f>
        <v>4408219</v>
      </c>
      <c r="F844" s="20" t="str">
        <f aca="false">IF($E844="","Unmatched","Matched")</f>
        <v>Matched</v>
      </c>
    </row>
    <row r="845" customFormat="false" ht="15" hidden="false" customHeight="false" outlineLevel="0" collapsed="false">
      <c r="A845" s="20" t="s">
        <v>312</v>
      </c>
      <c r="B845" s="20" t="n">
        <v>2026</v>
      </c>
      <c r="C845" s="21" t="n">
        <v>27</v>
      </c>
      <c r="D845" s="22" t="n">
        <v>3009.4</v>
      </c>
      <c r="E845" s="20" t="n">
        <f aca="false">IFERROR(INDEX('Catalog'!$A:$A,MATCH($A845,'Catalog'!$B:$B,0)),IFERROR(INDEX('Catalog'!$A:$A,MATCH(TRIM(SUBSTITUTE($A845,CHAR(160)," ")),'Catalog'!$C:$C,0)),""))</f>
        <v>4408220</v>
      </c>
      <c r="F845" s="20" t="str">
        <f aca="false">IF($E845="","Unmatched","Matched")</f>
        <v>Matched</v>
      </c>
    </row>
    <row r="846" customFormat="false" ht="15" hidden="false" customHeight="false" outlineLevel="0" collapsed="false">
      <c r="A846" s="20" t="s">
        <v>311</v>
      </c>
      <c r="B846" s="20" t="n">
        <v>2026</v>
      </c>
      <c r="C846" s="21" t="n">
        <v>43</v>
      </c>
      <c r="D846" s="22" t="n">
        <v>4953.8</v>
      </c>
      <c r="E846" s="20" t="n">
        <f aca="false">IFERROR(INDEX('Catalog'!$A:$A,MATCH($A846,'Catalog'!$B:$B,0)),IFERROR(INDEX('Catalog'!$A:$A,MATCH(TRIM(SUBSTITUTE($A846,CHAR(160)," ")),'Catalog'!$C:$C,0)),""))</f>
        <v>4408221</v>
      </c>
      <c r="F846" s="20" t="str">
        <f aca="false">IF($E846="","Unmatched","Matched")</f>
        <v>Matched</v>
      </c>
    </row>
    <row r="847" customFormat="false" ht="15" hidden="false" customHeight="false" outlineLevel="0" collapsed="false">
      <c r="A847" s="20" t="s">
        <v>314</v>
      </c>
      <c r="B847" s="20" t="n">
        <v>2026</v>
      </c>
      <c r="C847" s="21" t="n">
        <v>35</v>
      </c>
      <c r="D847" s="22" t="n">
        <v>3813.7</v>
      </c>
      <c r="E847" s="20" t="n">
        <f aca="false">IFERROR(INDEX('Catalog'!$A:$A,MATCH($A847,'Catalog'!$B:$B,0)),IFERROR(INDEX('Catalog'!$A:$A,MATCH(TRIM(SUBSTITUTE($A847,CHAR(160)," ")),'Catalog'!$C:$C,0)),""))</f>
        <v>4408222</v>
      </c>
      <c r="F847" s="20" t="str">
        <f aca="false">IF($E847="","Unmatched","Matched")</f>
        <v>Matched</v>
      </c>
    </row>
    <row r="848" customFormat="false" ht="15" hidden="false" customHeight="false" outlineLevel="0" collapsed="false">
      <c r="A848" s="20" t="s">
        <v>315</v>
      </c>
      <c r="B848" s="20" t="n">
        <v>2026</v>
      </c>
      <c r="C848" s="21" t="n">
        <v>22</v>
      </c>
      <c r="D848" s="22" t="n">
        <v>2494.1</v>
      </c>
      <c r="E848" s="20" t="n">
        <f aca="false">IFERROR(INDEX('Catalog'!$A:$A,MATCH($A848,'Catalog'!$B:$B,0)),IFERROR(INDEX('Catalog'!$A:$A,MATCH(TRIM(SUBSTITUTE($A848,CHAR(160)," ")),'Catalog'!$C:$C,0)),""))</f>
        <v>4408223</v>
      </c>
      <c r="F848" s="20" t="str">
        <f aca="false">IF($E848="","Unmatched","Matched")</f>
        <v>Matched</v>
      </c>
    </row>
    <row r="849" customFormat="false" ht="15" hidden="false" customHeight="false" outlineLevel="0" collapsed="false">
      <c r="A849" s="20" t="s">
        <v>418</v>
      </c>
      <c r="B849" s="20" t="n">
        <v>2026</v>
      </c>
      <c r="C849" s="21" t="n">
        <v>-1</v>
      </c>
      <c r="D849" s="22" t="n">
        <v>-92.8</v>
      </c>
      <c r="E849" s="20" t="n">
        <f aca="false">IFERROR(INDEX('Catalog'!$A:$A,MATCH($A849,'Catalog'!$B:$B,0)),IFERROR(INDEX('Catalog'!$A:$A,MATCH(TRIM(SUBSTITUTE($A849,CHAR(160)," ")),'Catalog'!$C:$C,0)),""))</f>
        <v>4408229</v>
      </c>
      <c r="F849" s="20" t="str">
        <f aca="false">IF($E849="","Unmatched","Matched")</f>
        <v>Matched</v>
      </c>
    </row>
    <row r="850" customFormat="false" ht="15" hidden="false" customHeight="false" outlineLevel="0" collapsed="false">
      <c r="A850" s="20" t="s">
        <v>795</v>
      </c>
      <c r="B850" s="20" t="n">
        <v>2026</v>
      </c>
      <c r="C850" s="21" t="n">
        <v>5</v>
      </c>
      <c r="D850" s="22" t="n">
        <v>639.6</v>
      </c>
      <c r="E850" s="20" t="n">
        <f aca="false">IFERROR(INDEX('Catalog'!$A:$A,MATCH($A850,'Catalog'!$B:$B,0)),IFERROR(INDEX('Catalog'!$A:$A,MATCH(TRIM(SUBSTITUTE($A850,CHAR(160)," ")),'Catalog'!$C:$C,0)),""))</f>
        <v>4413337</v>
      </c>
      <c r="F850" s="20" t="str">
        <f aca="false">IF($E850="","Unmatched","Matched")</f>
        <v>Matched</v>
      </c>
    </row>
    <row r="851" customFormat="false" ht="15" hidden="false" customHeight="false" outlineLevel="0" collapsed="false">
      <c r="A851" s="20" t="s">
        <v>554</v>
      </c>
      <c r="B851" s="20" t="n">
        <v>2026</v>
      </c>
      <c r="C851" s="21" t="n">
        <v>-2</v>
      </c>
      <c r="D851" s="22" t="n">
        <v>-283.5</v>
      </c>
      <c r="E851" s="20" t="n">
        <f aca="false">IFERROR(INDEX('Catalog'!$A:$A,MATCH($A851,'Catalog'!$B:$B,0)),IFERROR(INDEX('Catalog'!$A:$A,MATCH(TRIM(SUBSTITUTE($A851,CHAR(160)," ")),'Catalog'!$C:$C,0)),""))</f>
        <v>4413339</v>
      </c>
      <c r="F851" s="20" t="str">
        <f aca="false">IF($E851="","Unmatched","Matched")</f>
        <v>Matched</v>
      </c>
    </row>
    <row r="852" customFormat="false" ht="15" hidden="false" customHeight="false" outlineLevel="0" collapsed="false">
      <c r="A852" s="20" t="s">
        <v>792</v>
      </c>
      <c r="B852" s="20" t="n">
        <v>2026</v>
      </c>
      <c r="C852" s="21" t="n">
        <v>2</v>
      </c>
      <c r="D852" s="22" t="n">
        <v>255.8</v>
      </c>
      <c r="E852" s="20" t="n">
        <f aca="false">IFERROR(INDEX('Catalog'!$A:$A,MATCH($A852,'Catalog'!$B:$B,0)),IFERROR(INDEX('Catalog'!$A:$A,MATCH(TRIM(SUBSTITUTE($A852,CHAR(160)," ")),'Catalog'!$C:$C,0)),""))</f>
        <v>4413347</v>
      </c>
      <c r="F852" s="20" t="str">
        <f aca="false">IF($E852="","Unmatched","Matched")</f>
        <v>Matched</v>
      </c>
    </row>
    <row r="853" customFormat="false" ht="15" hidden="false" customHeight="false" outlineLevel="0" collapsed="false">
      <c r="A853" s="20" t="s">
        <v>383</v>
      </c>
      <c r="B853" s="20" t="n">
        <v>2026</v>
      </c>
      <c r="C853" s="21" t="n">
        <v>17</v>
      </c>
      <c r="D853" s="22" t="n">
        <v>2074.7</v>
      </c>
      <c r="E853" s="20" t="n">
        <f aca="false">IFERROR(INDEX('Catalog'!$A:$A,MATCH($A853,'Catalog'!$B:$B,0)),IFERROR(INDEX('Catalog'!$A:$A,MATCH(TRIM(SUBSTITUTE($A853,CHAR(160)," ")),'Catalog'!$C:$C,0)),""))</f>
        <v>4408230</v>
      </c>
      <c r="F853" s="20" t="str">
        <f aca="false">IF($E853="","Unmatched","Matched")</f>
        <v>Matched</v>
      </c>
    </row>
    <row r="854" customFormat="false" ht="15" hidden="false" customHeight="false" outlineLevel="0" collapsed="false">
      <c r="A854" s="20" t="s">
        <v>384</v>
      </c>
      <c r="B854" s="20" t="n">
        <v>2026</v>
      </c>
      <c r="C854" s="21" t="n">
        <v>12</v>
      </c>
      <c r="D854" s="22" t="n">
        <v>1475.9</v>
      </c>
      <c r="E854" s="20" t="n">
        <f aca="false">IFERROR(INDEX('Catalog'!$A:$A,MATCH($A854,'Catalog'!$B:$B,0)),IFERROR(INDEX('Catalog'!$A:$A,MATCH(TRIM(SUBSTITUTE($A854,CHAR(160)," ")),'Catalog'!$C:$C,0)),""))</f>
        <v>4408231</v>
      </c>
      <c r="F854" s="20" t="str">
        <f aca="false">IF($E854="","Unmatched","Matched")</f>
        <v>Matched</v>
      </c>
    </row>
    <row r="855" customFormat="false" ht="15" hidden="false" customHeight="false" outlineLevel="0" collapsed="false">
      <c r="A855" s="20" t="s">
        <v>385</v>
      </c>
      <c r="B855" s="20" t="n">
        <v>2026</v>
      </c>
      <c r="C855" s="21" t="n">
        <v>4</v>
      </c>
      <c r="D855" s="22" t="n">
        <v>489.2</v>
      </c>
      <c r="E855" s="20" t="n">
        <f aca="false">IFERROR(INDEX('Catalog'!$A:$A,MATCH($A855,'Catalog'!$B:$B,0)),IFERROR(INDEX('Catalog'!$A:$A,MATCH(TRIM(SUBSTITUTE($A855,CHAR(160)," ")),'Catalog'!$C:$C,0)),""))</f>
        <v>4408232</v>
      </c>
      <c r="F855" s="20" t="str">
        <f aca="false">IF($E855="","Unmatched","Matched")</f>
        <v>Matched</v>
      </c>
    </row>
    <row r="856" customFormat="false" ht="15" hidden="false" customHeight="false" outlineLevel="0" collapsed="false">
      <c r="A856" s="20" t="s">
        <v>307</v>
      </c>
      <c r="B856" s="20" t="n">
        <v>2026</v>
      </c>
      <c r="C856" s="21" t="n">
        <v>0</v>
      </c>
      <c r="D856" s="22" t="n">
        <v>-37.1</v>
      </c>
      <c r="E856" s="20" t="n">
        <f aca="false">IFERROR(INDEX('Catalog'!$A:$A,MATCH($A856,'Catalog'!$B:$B,0)),IFERROR(INDEX('Catalog'!$A:$A,MATCH(TRIM(SUBSTITUTE($A856,CHAR(160)," ")),'Catalog'!$C:$C,0)),""))</f>
        <v>4408234</v>
      </c>
      <c r="F856" s="20" t="str">
        <f aca="false">IF($E856="","Unmatched","Matched")</f>
        <v>Matched</v>
      </c>
    </row>
    <row r="857" customFormat="false" ht="15" hidden="false" customHeight="false" outlineLevel="0" collapsed="false">
      <c r="A857" s="20" t="s">
        <v>308</v>
      </c>
      <c r="B857" s="20" t="n">
        <v>2026</v>
      </c>
      <c r="C857" s="21" t="n">
        <v>1</v>
      </c>
      <c r="D857" s="22" t="n">
        <v>111</v>
      </c>
      <c r="E857" s="20" t="n">
        <f aca="false">IFERROR(INDEX('Catalog'!$A:$A,MATCH($A857,'Catalog'!$B:$B,0)),IFERROR(INDEX('Catalog'!$A:$A,MATCH(TRIM(SUBSTITUTE($A857,CHAR(160)," ")),'Catalog'!$C:$C,0)),""))</f>
        <v>4408235</v>
      </c>
      <c r="F857" s="20" t="str">
        <f aca="false">IF($E857="","Unmatched","Matched")</f>
        <v>Matched</v>
      </c>
    </row>
    <row r="858" customFormat="false" ht="15" hidden="false" customHeight="false" outlineLevel="0" collapsed="false">
      <c r="A858" s="20" t="s">
        <v>302</v>
      </c>
      <c r="B858" s="20" t="n">
        <v>2026</v>
      </c>
      <c r="C858" s="21" t="n">
        <v>3</v>
      </c>
      <c r="D858" s="22" t="n">
        <v>520.1</v>
      </c>
      <c r="E858" s="20" t="n">
        <f aca="false">IFERROR(INDEX('Catalog'!$A:$A,MATCH($A858,'Catalog'!$B:$B,0)),IFERROR(INDEX('Catalog'!$A:$A,MATCH(TRIM(SUBSTITUTE($A858,CHAR(160)," ")),'Catalog'!$C:$C,0)),""))</f>
        <v>4408245</v>
      </c>
      <c r="F858" s="20" t="str">
        <f aca="false">IF($E858="","Unmatched","Matched")</f>
        <v>Matched</v>
      </c>
    </row>
    <row r="859" customFormat="false" ht="15" hidden="false" customHeight="false" outlineLevel="0" collapsed="false">
      <c r="A859" s="20" t="s">
        <v>422</v>
      </c>
      <c r="B859" s="20" t="n">
        <v>2026</v>
      </c>
      <c r="C859" s="21" t="n">
        <v>8</v>
      </c>
      <c r="D859" s="22" t="n">
        <v>136.1</v>
      </c>
      <c r="E859" s="20" t="n">
        <f aca="false">IFERROR(INDEX('Catalog'!$A:$A,MATCH($A859,'Catalog'!$B:$B,0)),IFERROR(INDEX('Catalog'!$A:$A,MATCH(TRIM(SUBSTITUTE($A859,CHAR(160)," ")),'Catalog'!$C:$C,0)),""))</f>
        <v>4409010</v>
      </c>
      <c r="F859" s="20" t="str">
        <f aca="false">IF($E859="","Unmatched","Matched")</f>
        <v>Matched</v>
      </c>
    </row>
    <row r="860" customFormat="false" ht="15" hidden="false" customHeight="false" outlineLevel="0" collapsed="false">
      <c r="A860" s="20" t="s">
        <v>419</v>
      </c>
      <c r="B860" s="20" t="n">
        <v>2026</v>
      </c>
      <c r="C860" s="21" t="n">
        <v>56</v>
      </c>
      <c r="D860" s="22" t="n">
        <v>966.2</v>
      </c>
      <c r="E860" s="20" t="n">
        <f aca="false">IFERROR(INDEX('Catalog'!$A:$A,MATCH($A860,'Catalog'!$B:$B,0)),IFERROR(INDEX('Catalog'!$A:$A,MATCH(TRIM(SUBSTITUTE($A860,CHAR(160)," ")),'Catalog'!$C:$C,0)),""))</f>
        <v>4409011</v>
      </c>
      <c r="F860" s="20" t="str">
        <f aca="false">IF($E860="","Unmatched","Matched")</f>
        <v>Matched</v>
      </c>
    </row>
    <row r="861" customFormat="false" ht="15" hidden="false" customHeight="false" outlineLevel="0" collapsed="false">
      <c r="A861" s="20" t="s">
        <v>421</v>
      </c>
      <c r="B861" s="20" t="n">
        <v>2026</v>
      </c>
      <c r="C861" s="21" t="n">
        <v>35</v>
      </c>
      <c r="D861" s="22" t="n">
        <v>600.7</v>
      </c>
      <c r="E861" s="20" t="n">
        <f aca="false">IFERROR(INDEX('Catalog'!$A:$A,MATCH($A861,'Catalog'!$B:$B,0)),IFERROR(INDEX('Catalog'!$A:$A,MATCH(TRIM(SUBSTITUTE($A861,CHAR(160)," ")),'Catalog'!$C:$C,0)),""))</f>
        <v>4409012</v>
      </c>
      <c r="F861" s="20" t="str">
        <f aca="false">IF($E861="","Unmatched","Matched")</f>
        <v>Matched</v>
      </c>
    </row>
    <row r="862" customFormat="false" ht="15" hidden="false" customHeight="false" outlineLevel="0" collapsed="false">
      <c r="A862" s="20" t="s">
        <v>420</v>
      </c>
      <c r="B862" s="20" t="n">
        <v>2026</v>
      </c>
      <c r="C862" s="21" t="n">
        <v>26</v>
      </c>
      <c r="D862" s="22" t="n">
        <v>449.7</v>
      </c>
      <c r="E862" s="20" t="n">
        <f aca="false">IFERROR(INDEX('Catalog'!$A:$A,MATCH($A862,'Catalog'!$B:$B,0)),IFERROR(INDEX('Catalog'!$A:$A,MATCH(TRIM(SUBSTITUTE($A862,CHAR(160)," ")),'Catalog'!$C:$C,0)),""))</f>
        <v>4409013</v>
      </c>
      <c r="F862" s="20" t="str">
        <f aca="false">IF($E862="","Unmatched","Matched")</f>
        <v>Matched</v>
      </c>
    </row>
    <row r="863" customFormat="false" ht="15" hidden="false" customHeight="false" outlineLevel="0" collapsed="false">
      <c r="A863" s="20" t="s">
        <v>430</v>
      </c>
      <c r="B863" s="20" t="n">
        <v>2026</v>
      </c>
      <c r="C863" s="21" t="n">
        <v>63</v>
      </c>
      <c r="D863" s="22" t="n">
        <v>2401</v>
      </c>
      <c r="E863" s="20" t="n">
        <f aca="false">IFERROR(INDEX('Catalog'!$A:$A,MATCH($A863,'Catalog'!$B:$B,0)),IFERROR(INDEX('Catalog'!$A:$A,MATCH(TRIM(SUBSTITUTE($A863,CHAR(160)," ")),'Catalog'!$C:$C,0)),""))</f>
        <v>4409014</v>
      </c>
      <c r="F863" s="20" t="str">
        <f aca="false">IF($E863="","Unmatched","Matched")</f>
        <v>Matched</v>
      </c>
    </row>
    <row r="864" customFormat="false" ht="15" hidden="false" customHeight="false" outlineLevel="0" collapsed="false">
      <c r="A864" s="20" t="s">
        <v>428</v>
      </c>
      <c r="B864" s="20" t="n">
        <v>2026</v>
      </c>
      <c r="C864" s="21" t="n">
        <v>117</v>
      </c>
      <c r="D864" s="22" t="n">
        <v>4205</v>
      </c>
      <c r="E864" s="20" t="n">
        <f aca="false">IFERROR(INDEX('Catalog'!$A:$A,MATCH($A864,'Catalog'!$B:$B,0)),IFERROR(INDEX('Catalog'!$A:$A,MATCH(TRIM(SUBSTITUTE($A864,CHAR(160)," ")),'Catalog'!$C:$C,0)),""))</f>
        <v>4409015</v>
      </c>
      <c r="F864" s="20" t="str">
        <f aca="false">IF($E864="","Unmatched","Matched")</f>
        <v>Matched</v>
      </c>
    </row>
    <row r="865" customFormat="false" ht="15" hidden="false" customHeight="false" outlineLevel="0" collapsed="false">
      <c r="A865" s="20" t="s">
        <v>429</v>
      </c>
      <c r="B865" s="20" t="n">
        <v>2026</v>
      </c>
      <c r="C865" s="21" t="n">
        <v>278</v>
      </c>
      <c r="D865" s="22" t="n">
        <v>9297.7</v>
      </c>
      <c r="E865" s="20" t="n">
        <f aca="false">IFERROR(INDEX('Catalog'!$A:$A,MATCH($A865,'Catalog'!$B:$B,0)),IFERROR(INDEX('Catalog'!$A:$A,MATCH(TRIM(SUBSTITUTE($A865,CHAR(160)," ")),'Catalog'!$C:$C,0)),""))</f>
        <v>4409016</v>
      </c>
      <c r="F865" s="20" t="str">
        <f aca="false">IF($E865="","Unmatched","Matched")</f>
        <v>Matched</v>
      </c>
    </row>
    <row r="866" customFormat="false" ht="15" hidden="false" customHeight="false" outlineLevel="0" collapsed="false">
      <c r="A866" s="20" t="s">
        <v>427</v>
      </c>
      <c r="B866" s="20" t="n">
        <v>2026</v>
      </c>
      <c r="C866" s="21" t="n">
        <v>180</v>
      </c>
      <c r="D866" s="22" t="n">
        <v>6434.5</v>
      </c>
      <c r="E866" s="20" t="n">
        <f aca="false">IFERROR(INDEX('Catalog'!$A:$A,MATCH($A866,'Catalog'!$B:$B,0)),IFERROR(INDEX('Catalog'!$A:$A,MATCH(TRIM(SUBSTITUTE($A866,CHAR(160)," ")),'Catalog'!$C:$C,0)),""))</f>
        <v>4409017</v>
      </c>
      <c r="F866" s="20" t="str">
        <f aca="false">IF($E866="","Unmatched","Matched")</f>
        <v>Matched</v>
      </c>
    </row>
    <row r="867" customFormat="false" ht="15" hidden="false" customHeight="false" outlineLevel="0" collapsed="false">
      <c r="A867" s="20" t="s">
        <v>612</v>
      </c>
      <c r="B867" s="20" t="n">
        <v>2026</v>
      </c>
      <c r="C867" s="21" t="n">
        <v>56</v>
      </c>
      <c r="D867" s="22" t="n">
        <v>4681</v>
      </c>
      <c r="E867" s="20" t="n">
        <f aca="false">IFERROR(INDEX('Catalog'!$A:$A,MATCH($A867,'Catalog'!$B:$B,0)),IFERROR(INDEX('Catalog'!$A:$A,MATCH(TRIM(SUBSTITUTE($A867,CHAR(160)," ")),'Catalog'!$C:$C,0)),""))</f>
        <v>4411016</v>
      </c>
      <c r="F867" s="20" t="str">
        <f aca="false">IF($E867="","Unmatched","Matched")</f>
        <v>Matched</v>
      </c>
    </row>
    <row r="868" customFormat="false" ht="15" hidden="false" customHeight="false" outlineLevel="0" collapsed="false">
      <c r="A868" s="20" t="s">
        <v>491</v>
      </c>
      <c r="B868" s="20" t="n">
        <v>2026</v>
      </c>
      <c r="C868" s="21" t="n">
        <v>255</v>
      </c>
      <c r="D868" s="22" t="n">
        <v>16329.2</v>
      </c>
      <c r="E868" s="20" t="n">
        <f aca="false">IFERROR(INDEX('Catalog'!$A:$A,MATCH($A868,'Catalog'!$B:$B,0)),IFERROR(INDEX('Catalog'!$A:$A,MATCH(TRIM(SUBSTITUTE($A868,CHAR(160)," ")),'Catalog'!$C:$C,0)),""))</f>
        <v>4413348</v>
      </c>
      <c r="F868" s="20" t="str">
        <f aca="false">IF($E868="","Unmatched","Matched")</f>
        <v>Matched</v>
      </c>
    </row>
    <row r="869" customFormat="false" ht="15" hidden="false" customHeight="false" outlineLevel="0" collapsed="false">
      <c r="A869" s="20" t="s">
        <v>570</v>
      </c>
      <c r="B869" s="20" t="n">
        <v>2026</v>
      </c>
      <c r="C869" s="21" t="n">
        <v>129</v>
      </c>
      <c r="D869" s="22" t="n">
        <v>3857.9</v>
      </c>
      <c r="E869" s="20" t="n">
        <f aca="false">IFERROR(INDEX('Catalog'!$A:$A,MATCH($A869,'Catalog'!$B:$B,0)),IFERROR(INDEX('Catalog'!$A:$A,MATCH(TRIM(SUBSTITUTE($A869,CHAR(160)," ")),'Catalog'!$C:$C,0)),""))</f>
        <v>4413364</v>
      </c>
      <c r="F869" s="20" t="str">
        <f aca="false">IF($E869="","Unmatched","Matched")</f>
        <v>Matched</v>
      </c>
    </row>
    <row r="870" customFormat="false" ht="15" hidden="false" customHeight="false" outlineLevel="0" collapsed="false">
      <c r="A870" s="20" t="s">
        <v>569</v>
      </c>
      <c r="B870" s="20" t="n">
        <v>2026</v>
      </c>
      <c r="C870" s="21" t="n">
        <v>84</v>
      </c>
      <c r="D870" s="22" t="n">
        <v>2415.6</v>
      </c>
      <c r="E870" s="20" t="n">
        <f aca="false">IFERROR(INDEX('Catalog'!$A:$A,MATCH($A870,'Catalog'!$B:$B,0)),IFERROR(INDEX('Catalog'!$A:$A,MATCH(TRIM(SUBSTITUTE($A870,CHAR(160)," ")),'Catalog'!$C:$C,0)),""))</f>
        <v>4413365</v>
      </c>
      <c r="F870" s="20" t="str">
        <f aca="false">IF($E870="","Unmatched","Matched")</f>
        <v>Matched</v>
      </c>
    </row>
    <row r="871" customFormat="false" ht="15" hidden="false" customHeight="false" outlineLevel="0" collapsed="false">
      <c r="A871" s="20" t="s">
        <v>571</v>
      </c>
      <c r="B871" s="20" t="n">
        <v>2026</v>
      </c>
      <c r="C871" s="21" t="n">
        <v>81</v>
      </c>
      <c r="D871" s="22" t="n">
        <v>2418.5</v>
      </c>
      <c r="E871" s="20" t="n">
        <f aca="false">IFERROR(INDEX('Catalog'!$A:$A,MATCH($A871,'Catalog'!$B:$B,0)),IFERROR(INDEX('Catalog'!$A:$A,MATCH(TRIM(SUBSTITUTE($A871,CHAR(160)," ")),'Catalog'!$C:$C,0)),""))</f>
        <v>4413366</v>
      </c>
      <c r="F871" s="20" t="str">
        <f aca="false">IF($E871="","Unmatched","Matched")</f>
        <v>Matched</v>
      </c>
    </row>
    <row r="872" customFormat="false" ht="15" hidden="false" customHeight="false" outlineLevel="0" collapsed="false">
      <c r="A872" s="20" t="s">
        <v>572</v>
      </c>
      <c r="B872" s="20" t="n">
        <v>2026</v>
      </c>
      <c r="C872" s="21" t="n">
        <v>35</v>
      </c>
      <c r="D872" s="22" t="n">
        <v>1052.2</v>
      </c>
      <c r="E872" s="20" t="n">
        <f aca="false">IFERROR(INDEX('Catalog'!$A:$A,MATCH($A872,'Catalog'!$B:$B,0)),IFERROR(INDEX('Catalog'!$A:$A,MATCH(TRIM(SUBSTITUTE($A872,CHAR(160)," ")),'Catalog'!$C:$C,0)),""))</f>
        <v>4413367</v>
      </c>
      <c r="F872" s="20" t="str">
        <f aca="false">IF($E872="","Unmatched","Matched")</f>
        <v>Matched</v>
      </c>
    </row>
    <row r="873" customFormat="false" ht="15" hidden="false" customHeight="false" outlineLevel="0" collapsed="false">
      <c r="A873" s="20" t="s">
        <v>573</v>
      </c>
      <c r="B873" s="20" t="n">
        <v>2026</v>
      </c>
      <c r="C873" s="21" t="n">
        <v>10</v>
      </c>
      <c r="D873" s="22" t="n">
        <v>303.8</v>
      </c>
      <c r="E873" s="20" t="n">
        <f aca="false">IFERROR(INDEX('Catalog'!$A:$A,MATCH($A873,'Catalog'!$B:$B,0)),IFERROR(INDEX('Catalog'!$A:$A,MATCH(TRIM(SUBSTITUTE($A873,CHAR(160)," ")),'Catalog'!$C:$C,0)),""))</f>
        <v>4413368</v>
      </c>
      <c r="F873" s="20" t="str">
        <f aca="false">IF($E873="","Unmatched","Matched")</f>
        <v>Matched</v>
      </c>
    </row>
    <row r="874" customFormat="false" ht="15" hidden="false" customHeight="false" outlineLevel="0" collapsed="false">
      <c r="A874" s="20" t="s">
        <v>574</v>
      </c>
      <c r="B874" s="20" t="n">
        <v>2026</v>
      </c>
      <c r="C874" s="21" t="n">
        <v>7</v>
      </c>
      <c r="D874" s="22" t="n">
        <v>203.9</v>
      </c>
      <c r="E874" s="20" t="n">
        <f aca="false">IFERROR(INDEX('Catalog'!$A:$A,MATCH($A874,'Catalog'!$B:$B,0)),IFERROR(INDEX('Catalog'!$A:$A,MATCH(TRIM(SUBSTITUTE($A874,CHAR(160)," ")),'Catalog'!$C:$C,0)),""))</f>
        <v>4413369</v>
      </c>
      <c r="F874" s="20" t="str">
        <f aca="false">IF($E874="","Unmatched","Matched")</f>
        <v>Matched</v>
      </c>
    </row>
    <row r="875" customFormat="false" ht="15" hidden="false" customHeight="false" outlineLevel="0" collapsed="false">
      <c r="A875" s="20" t="s">
        <v>636</v>
      </c>
      <c r="B875" s="20" t="n">
        <v>2026</v>
      </c>
      <c r="C875" s="21" t="n">
        <v>179</v>
      </c>
      <c r="D875" s="22" t="n">
        <v>6891.8</v>
      </c>
      <c r="E875" s="20" t="n">
        <f aca="false">IFERROR(INDEX('Catalog'!$A:$A,MATCH($A875,'Catalog'!$B:$B,0)),IFERROR(INDEX('Catalog'!$A:$A,MATCH(TRIM(SUBSTITUTE($A875,CHAR(160)," ")),'Catalog'!$C:$C,0)),""))</f>
        <v>4413370</v>
      </c>
      <c r="F875" s="20" t="str">
        <f aca="false">IF($E875="","Unmatched","Matched")</f>
        <v>Matched</v>
      </c>
    </row>
    <row r="876" customFormat="false" ht="15" hidden="false" customHeight="false" outlineLevel="0" collapsed="false">
      <c r="A876" s="20" t="s">
        <v>637</v>
      </c>
      <c r="B876" s="20" t="n">
        <v>2026</v>
      </c>
      <c r="C876" s="21" t="n">
        <v>54</v>
      </c>
      <c r="D876" s="22" t="n">
        <v>1543.7</v>
      </c>
      <c r="E876" s="20" t="n">
        <f aca="false">IFERROR(INDEX('Catalog'!$A:$A,MATCH($A876,'Catalog'!$B:$B,0)),IFERROR(INDEX('Catalog'!$A:$A,MATCH(TRIM(SUBSTITUTE($A876,CHAR(160)," ")),'Catalog'!$C:$C,0)),""))</f>
        <v>4413371</v>
      </c>
      <c r="F876" s="20" t="str">
        <f aca="false">IF($E876="","Unmatched","Matched")</f>
        <v>Matched</v>
      </c>
    </row>
    <row r="877" customFormat="false" ht="15" hidden="false" customHeight="false" outlineLevel="0" collapsed="false">
      <c r="A877" s="20" t="s">
        <v>490</v>
      </c>
      <c r="B877" s="20" t="n">
        <v>2026</v>
      </c>
      <c r="C877" s="21" t="n">
        <v>123</v>
      </c>
      <c r="D877" s="22" t="n">
        <v>7913.5</v>
      </c>
      <c r="E877" s="20" t="n">
        <f aca="false">IFERROR(INDEX('Catalog'!$A:$A,MATCH($A877,'Catalog'!$B:$B,0)),IFERROR(INDEX('Catalog'!$A:$A,MATCH(TRIM(SUBSTITUTE($A877,CHAR(160)," ")),'Catalog'!$C:$C,0)),""))</f>
        <v>4413372</v>
      </c>
      <c r="F877" s="20" t="str">
        <f aca="false">IF($E877="","Unmatched","Matched")</f>
        <v>Matched</v>
      </c>
    </row>
    <row r="878" customFormat="false" ht="15" hidden="false" customHeight="false" outlineLevel="0" collapsed="false">
      <c r="A878" s="20" t="s">
        <v>216</v>
      </c>
      <c r="B878" s="20" t="n">
        <v>2026</v>
      </c>
      <c r="C878" s="21" t="n">
        <v>42</v>
      </c>
      <c r="D878" s="22" t="n">
        <v>1533</v>
      </c>
      <c r="E878" s="20" t="n">
        <f aca="false">IFERROR(INDEX('Catalog'!$A:$A,MATCH($A878,'Catalog'!$B:$B,0)),IFERROR(INDEX('Catalog'!$A:$A,MATCH(TRIM(SUBSTITUTE($A878,CHAR(160)," ")),'Catalog'!$C:$C,0)),""))</f>
        <v>4413394</v>
      </c>
      <c r="F878" s="20" t="str">
        <f aca="false">IF($E878="","Unmatched","Matched")</f>
        <v>Matched</v>
      </c>
    </row>
    <row r="879" customFormat="false" ht="15" hidden="false" customHeight="false" outlineLevel="0" collapsed="false">
      <c r="A879" s="20" t="s">
        <v>215</v>
      </c>
      <c r="B879" s="20" t="n">
        <v>2026</v>
      </c>
      <c r="C879" s="21" t="n">
        <v>98</v>
      </c>
      <c r="D879" s="22" t="n">
        <v>3532.9</v>
      </c>
      <c r="E879" s="20" t="n">
        <f aca="false">IFERROR(INDEX('Catalog'!$A:$A,MATCH($A879,'Catalog'!$B:$B,0)),IFERROR(INDEX('Catalog'!$A:$A,MATCH(TRIM(SUBSTITUTE($A879,CHAR(160)," ")),'Catalog'!$C:$C,0)),""))</f>
        <v>4413395</v>
      </c>
      <c r="F879" s="20" t="str">
        <f aca="false">IF($E879="","Unmatched","Matched")</f>
        <v>Matched</v>
      </c>
    </row>
    <row r="880" customFormat="false" ht="15" hidden="false" customHeight="false" outlineLevel="0" collapsed="false">
      <c r="A880" s="20" t="s">
        <v>214</v>
      </c>
      <c r="B880" s="20" t="n">
        <v>2026</v>
      </c>
      <c r="C880" s="21" t="n">
        <v>120</v>
      </c>
      <c r="D880" s="22" t="n">
        <v>4398.4</v>
      </c>
      <c r="E880" s="20" t="n">
        <f aca="false">IFERROR(INDEX('Catalog'!$A:$A,MATCH($A880,'Catalog'!$B:$B,0)),IFERROR(INDEX('Catalog'!$A:$A,MATCH(TRIM(SUBSTITUTE($A880,CHAR(160)," ")),'Catalog'!$C:$C,0)),""))</f>
        <v>4413396</v>
      </c>
      <c r="F880" s="20" t="str">
        <f aca="false">IF($E880="","Unmatched","Matched")</f>
        <v>Matched</v>
      </c>
    </row>
    <row r="881" customFormat="false" ht="15" hidden="false" customHeight="false" outlineLevel="0" collapsed="false">
      <c r="A881" s="20" t="s">
        <v>217</v>
      </c>
      <c r="B881" s="20" t="n">
        <v>2026</v>
      </c>
      <c r="C881" s="21" t="n">
        <v>94</v>
      </c>
      <c r="D881" s="22" t="n">
        <v>3412.6</v>
      </c>
      <c r="E881" s="20" t="n">
        <f aca="false">IFERROR(INDEX('Catalog'!$A:$A,MATCH($A881,'Catalog'!$B:$B,0)),IFERROR(INDEX('Catalog'!$A:$A,MATCH(TRIM(SUBSTITUTE($A881,CHAR(160)," ")),'Catalog'!$C:$C,0)),""))</f>
        <v>4413397</v>
      </c>
      <c r="F881" s="20" t="str">
        <f aca="false">IF($E881="","Unmatched","Matched")</f>
        <v>Matched</v>
      </c>
    </row>
    <row r="882" customFormat="false" ht="15" hidden="false" customHeight="false" outlineLevel="0" collapsed="false">
      <c r="A882" s="20" t="s">
        <v>218</v>
      </c>
      <c r="B882" s="20" t="n">
        <v>2026</v>
      </c>
      <c r="C882" s="21" t="n">
        <v>55</v>
      </c>
      <c r="D882" s="22" t="n">
        <v>2035</v>
      </c>
      <c r="E882" s="20" t="n">
        <f aca="false">IFERROR(INDEX('Catalog'!$A:$A,MATCH($A882,'Catalog'!$B:$B,0)),IFERROR(INDEX('Catalog'!$A:$A,MATCH(TRIM(SUBSTITUTE($A882,CHAR(160)," ")),'Catalog'!$C:$C,0)),""))</f>
        <v>4413398</v>
      </c>
      <c r="F882" s="20" t="str">
        <f aca="false">IF($E882="","Unmatched","Matched")</f>
        <v>Matched</v>
      </c>
    </row>
    <row r="883" customFormat="false" ht="15" hidden="false" customHeight="false" outlineLevel="0" collapsed="false">
      <c r="A883" s="20" t="s">
        <v>666</v>
      </c>
      <c r="B883" s="20" t="n">
        <v>2026</v>
      </c>
      <c r="C883" s="21" t="n">
        <v>1</v>
      </c>
      <c r="D883" s="22" t="n">
        <v>36.5</v>
      </c>
      <c r="E883" s="20" t="n">
        <f aca="false">IFERROR(INDEX('Catalog'!$A:$A,MATCH($A883,'Catalog'!$B:$B,0)),IFERROR(INDEX('Catalog'!$A:$A,MATCH(TRIM(SUBSTITUTE($A883,CHAR(160)," ")),'Catalog'!$C:$C,0)),""))</f>
        <v>4413399</v>
      </c>
      <c r="F883" s="20" t="str">
        <f aca="false">IF($E883="","Unmatched","Matched")</f>
        <v>Matched</v>
      </c>
    </row>
    <row r="884" customFormat="false" ht="15" hidden="false" customHeight="false" outlineLevel="0" collapsed="false">
      <c r="A884" s="20" t="s">
        <v>683</v>
      </c>
      <c r="B884" s="20" t="n">
        <v>2026</v>
      </c>
      <c r="C884" s="21" t="n">
        <v>221</v>
      </c>
      <c r="D884" s="22" t="n">
        <v>4346.2</v>
      </c>
      <c r="E884" s="20" t="n">
        <f aca="false">IFERROR(INDEX('Catalog'!$A:$A,MATCH($A884,'Catalog'!$B:$B,0)),IFERROR(INDEX('Catalog'!$A:$A,MATCH(TRIM(SUBSTITUTE($A884,CHAR(160)," ")),'Catalog'!$C:$C,0)),""))</f>
        <v>4415160</v>
      </c>
      <c r="F884" s="20" t="str">
        <f aca="false">IF($E884="","Unmatched","Matched")</f>
        <v>Matched</v>
      </c>
    </row>
    <row r="885" customFormat="false" ht="15" hidden="false" customHeight="false" outlineLevel="0" collapsed="false">
      <c r="A885" s="20" t="s">
        <v>682</v>
      </c>
      <c r="B885" s="20" t="n">
        <v>2026</v>
      </c>
      <c r="C885" s="21" t="n">
        <v>352</v>
      </c>
      <c r="D885" s="22" t="n">
        <v>6911.7</v>
      </c>
      <c r="E885" s="20" t="n">
        <f aca="false">IFERROR(INDEX('Catalog'!$A:$A,MATCH($A885,'Catalog'!$B:$B,0)),IFERROR(INDEX('Catalog'!$A:$A,MATCH(TRIM(SUBSTITUTE($A885,CHAR(160)," ")),'Catalog'!$C:$C,0)),""))</f>
        <v>4415161</v>
      </c>
      <c r="F885" s="20" t="str">
        <f aca="false">IF($E885="","Unmatched","Matched")</f>
        <v>Matched</v>
      </c>
    </row>
    <row r="886" customFormat="false" ht="15" hidden="false" customHeight="false" outlineLevel="0" collapsed="false">
      <c r="A886" s="20" t="s">
        <v>681</v>
      </c>
      <c r="B886" s="20" t="n">
        <v>2026</v>
      </c>
      <c r="C886" s="21" t="n">
        <v>301</v>
      </c>
      <c r="D886" s="22" t="n">
        <v>5909.1</v>
      </c>
      <c r="E886" s="20" t="n">
        <f aca="false">IFERROR(INDEX('Catalog'!$A:$A,MATCH($A886,'Catalog'!$B:$B,0)),IFERROR(INDEX('Catalog'!$A:$A,MATCH(TRIM(SUBSTITUTE($A886,CHAR(160)," ")),'Catalog'!$C:$C,0)),""))</f>
        <v>4415162</v>
      </c>
      <c r="F886" s="20" t="str">
        <f aca="false">IF($E886="","Unmatched","Matched")</f>
        <v>Matched</v>
      </c>
    </row>
    <row r="887" customFormat="false" ht="15" hidden="false" customHeight="false" outlineLevel="0" collapsed="false">
      <c r="A887" s="20" t="s">
        <v>684</v>
      </c>
      <c r="B887" s="20" t="n">
        <v>2026</v>
      </c>
      <c r="C887" s="21" t="n">
        <v>154</v>
      </c>
      <c r="D887" s="22" t="n">
        <v>3046.2</v>
      </c>
      <c r="E887" s="20" t="n">
        <f aca="false">IFERROR(INDEX('Catalog'!$A:$A,MATCH($A887,'Catalog'!$B:$B,0)),IFERROR(INDEX('Catalog'!$A:$A,MATCH(TRIM(SUBSTITUTE($A887,CHAR(160)," ")),'Catalog'!$C:$C,0)),""))</f>
        <v>4415163</v>
      </c>
      <c r="F887" s="20" t="str">
        <f aca="false">IF($E887="","Unmatched","Matched")</f>
        <v>Matched</v>
      </c>
    </row>
    <row r="888" customFormat="false" ht="15" hidden="false" customHeight="false" outlineLevel="0" collapsed="false">
      <c r="A888" s="20" t="s">
        <v>621</v>
      </c>
      <c r="B888" s="20" t="n">
        <v>2026</v>
      </c>
      <c r="C888" s="21" t="n">
        <v>110</v>
      </c>
      <c r="D888" s="22" t="n">
        <v>2439.4</v>
      </c>
      <c r="E888" s="20" t="n">
        <f aca="false">IFERROR(INDEX('Catalog'!$A:$A,MATCH($A888,'Catalog'!$B:$B,0)),IFERROR(INDEX('Catalog'!$A:$A,MATCH(TRIM(SUBSTITUTE($A888,CHAR(160)," ")),'Catalog'!$C:$C,0)),""))</f>
        <v>4415297</v>
      </c>
      <c r="F888" s="20" t="str">
        <f aca="false">IF($E888="","Unmatched","Matched")</f>
        <v>Matched</v>
      </c>
    </row>
    <row r="889" customFormat="false" ht="15" hidden="false" customHeight="false" outlineLevel="0" collapsed="false">
      <c r="A889" s="20" t="s">
        <v>851</v>
      </c>
      <c r="B889" s="20" t="n">
        <v>2026</v>
      </c>
      <c r="C889" s="21" t="n">
        <v>9</v>
      </c>
      <c r="D889" s="22" t="n">
        <v>112.5</v>
      </c>
      <c r="E889" s="20" t="n">
        <f aca="false">IFERROR(INDEX('Catalog'!$A:$A,MATCH($A889,'Catalog'!$B:$B,0)),IFERROR(INDEX('Catalog'!$A:$A,MATCH(TRIM(SUBSTITUTE($A889,CHAR(160)," ")),'Catalog'!$C:$C,0)),""))</f>
        <v>4420027</v>
      </c>
      <c r="F889" s="20" t="str">
        <f aca="false">IF($E889="","Unmatched","Matched")</f>
        <v>Matched</v>
      </c>
    </row>
    <row r="890" customFormat="false" ht="15" hidden="false" customHeight="false" outlineLevel="0" collapsed="false">
      <c r="A890" s="20" t="s">
        <v>849</v>
      </c>
      <c r="B890" s="20" t="n">
        <v>2026</v>
      </c>
      <c r="C890" s="21" t="n">
        <v>1</v>
      </c>
      <c r="D890" s="22" t="n">
        <v>35.1</v>
      </c>
      <c r="E890" s="20" t="n">
        <f aca="false">IFERROR(INDEX('Catalog'!$A:$A,MATCH($A890,'Catalog'!$B:$B,0)),IFERROR(INDEX('Catalog'!$A:$A,MATCH(TRIM(SUBSTITUTE($A890,CHAR(160)," ")),'Catalog'!$C:$C,0)),""))</f>
        <v>4420028</v>
      </c>
      <c r="F890" s="20" t="str">
        <f aca="false">IF($E890="","Unmatched","Matched")</f>
        <v>Matched</v>
      </c>
    </row>
    <row r="891" customFormat="false" ht="15" hidden="false" customHeight="false" outlineLevel="0" collapsed="false">
      <c r="A891" s="20" t="s">
        <v>868</v>
      </c>
      <c r="B891" s="20" t="n">
        <v>2026</v>
      </c>
      <c r="C891" s="21" t="n">
        <v>1</v>
      </c>
      <c r="D891" s="22" t="n">
        <v>35.1</v>
      </c>
      <c r="E891" s="20" t="n">
        <f aca="false">IFERROR(INDEX('Catalog'!$A:$A,MATCH($A891,'Catalog'!$B:$B,0)),IFERROR(INDEX('Catalog'!$A:$A,MATCH(TRIM(SUBSTITUTE($A891,CHAR(160)," ")),'Catalog'!$C:$C,0)),""))</f>
        <v>4420030</v>
      </c>
      <c r="F891" s="20" t="str">
        <f aca="false">IF($E891="","Unmatched","Matched")</f>
        <v>Matched</v>
      </c>
    </row>
    <row r="892" customFormat="false" ht="15" hidden="false" customHeight="false" outlineLevel="0" collapsed="false">
      <c r="A892" s="20" t="s">
        <v>869</v>
      </c>
      <c r="B892" s="20" t="n">
        <v>2026</v>
      </c>
      <c r="C892" s="21" t="n">
        <v>3</v>
      </c>
      <c r="D892" s="22" t="n">
        <v>105.3</v>
      </c>
      <c r="E892" s="20" t="n">
        <f aca="false">IFERROR(INDEX('Catalog'!$A:$A,MATCH($A892,'Catalog'!$B:$B,0)),IFERROR(INDEX('Catalog'!$A:$A,MATCH(TRIM(SUBSTITUTE($A892,CHAR(160)," ")),'Catalog'!$C:$C,0)),""))</f>
        <v>4420031</v>
      </c>
      <c r="F892" s="20" t="str">
        <f aca="false">IF($E892="","Unmatched","Matched")</f>
        <v>Matched</v>
      </c>
    </row>
    <row r="893" customFormat="false" ht="15" hidden="false" customHeight="false" outlineLevel="0" collapsed="false">
      <c r="A893" s="20" t="s">
        <v>870</v>
      </c>
      <c r="B893" s="20" t="n">
        <v>2026</v>
      </c>
      <c r="C893" s="21" t="n">
        <v>1</v>
      </c>
      <c r="D893" s="22" t="n">
        <v>35.1</v>
      </c>
      <c r="E893" s="20" t="n">
        <f aca="false">IFERROR(INDEX('Catalog'!$A:$A,MATCH($A893,'Catalog'!$B:$B,0)),IFERROR(INDEX('Catalog'!$A:$A,MATCH(TRIM(SUBSTITUTE($A893,CHAR(160)," ")),'Catalog'!$C:$C,0)),""))</f>
        <v>4420032</v>
      </c>
      <c r="F893" s="20" t="str">
        <f aca="false">IF($E893="","Unmatched","Matched")</f>
        <v>Matched</v>
      </c>
    </row>
    <row r="894" customFormat="false" ht="15" hidden="false" customHeight="false" outlineLevel="0" collapsed="false">
      <c r="A894" s="20" t="s">
        <v>635</v>
      </c>
      <c r="B894" s="20" t="n">
        <v>2026</v>
      </c>
      <c r="C894" s="21" t="n">
        <v>77</v>
      </c>
      <c r="D894" s="22" t="n">
        <v>2765</v>
      </c>
      <c r="E894" s="20" t="n">
        <f aca="false">IFERROR(INDEX('Catalog'!$A:$A,MATCH($A894,'Catalog'!$B:$B,0)),IFERROR(INDEX('Catalog'!$A:$A,MATCH(TRIM(SUBSTITUTE($A894,CHAR(160)," ")),'Catalog'!$C:$C,0)),""))</f>
        <v>4421003</v>
      </c>
      <c r="F894" s="20" t="str">
        <f aca="false">IF($E894="","Unmatched","Matched")</f>
        <v>Matched</v>
      </c>
    </row>
    <row r="895" customFormat="false" ht="15" hidden="false" customHeight="false" outlineLevel="0" collapsed="false">
      <c r="A895" s="20" t="s">
        <v>915</v>
      </c>
      <c r="B895" s="20" t="n">
        <v>2026</v>
      </c>
      <c r="C895" s="21" t="n">
        <v>851</v>
      </c>
      <c r="D895" s="22" t="n">
        <v>9467.1</v>
      </c>
      <c r="E895" s="20" t="n">
        <f aca="false">IFERROR(INDEX('Catalog'!$A:$A,MATCH($A895,'Catalog'!$B:$B,0)),IFERROR(INDEX('Catalog'!$A:$A,MATCH(TRIM(SUBSTITUTE($A895,CHAR(160)," ")),'Catalog'!$C:$C,0)),""))</f>
        <v>4422023</v>
      </c>
      <c r="F895" s="20" t="str">
        <f aca="false">IF($E895="","Unmatched","Matched")</f>
        <v>Matched</v>
      </c>
    </row>
    <row r="896" customFormat="false" ht="15" hidden="false" customHeight="false" outlineLevel="0" collapsed="false">
      <c r="A896" s="20" t="s">
        <v>916</v>
      </c>
      <c r="B896" s="20" t="n">
        <v>2026</v>
      </c>
      <c r="C896" s="21" t="n">
        <v>513</v>
      </c>
      <c r="D896" s="22" t="n">
        <v>5672.9</v>
      </c>
      <c r="E896" s="20" t="n">
        <f aca="false">IFERROR(INDEX('Catalog'!$A:$A,MATCH($A896,'Catalog'!$B:$B,0)),IFERROR(INDEX('Catalog'!$A:$A,MATCH(TRIM(SUBSTITUTE($A896,CHAR(160)," ")),'Catalog'!$C:$C,0)),""))</f>
        <v>4422024</v>
      </c>
      <c r="F896" s="20" t="str">
        <f aca="false">IF($E896="","Unmatched","Matched")</f>
        <v>Matched</v>
      </c>
    </row>
    <row r="897" customFormat="false" ht="15" hidden="false" customHeight="false" outlineLevel="0" collapsed="false">
      <c r="A897" s="20" t="s">
        <v>917</v>
      </c>
      <c r="B897" s="20" t="n">
        <v>2026</v>
      </c>
      <c r="C897" s="21" t="n">
        <v>180</v>
      </c>
      <c r="D897" s="22" t="n">
        <v>2001.6</v>
      </c>
      <c r="E897" s="20" t="n">
        <f aca="false">IFERROR(INDEX('Catalog'!$A:$A,MATCH($A897,'Catalog'!$B:$B,0)),IFERROR(INDEX('Catalog'!$A:$A,MATCH(TRIM(SUBSTITUTE($A897,CHAR(160)," ")),'Catalog'!$C:$C,0)),""))</f>
        <v>4422025</v>
      </c>
      <c r="F897" s="20" t="str">
        <f aca="false">IF($E897="","Unmatched","Matched")</f>
        <v>Matched</v>
      </c>
    </row>
    <row r="898" customFormat="false" ht="15" hidden="false" customHeight="false" outlineLevel="0" collapsed="false">
      <c r="A898" s="20" t="s">
        <v>918</v>
      </c>
      <c r="B898" s="20" t="n">
        <v>2026</v>
      </c>
      <c r="C898" s="21" t="n">
        <v>192</v>
      </c>
      <c r="D898" s="22" t="n">
        <v>2138.5</v>
      </c>
      <c r="E898" s="20" t="n">
        <f aca="false">IFERROR(INDEX('Catalog'!$A:$A,MATCH($A898,'Catalog'!$B:$B,0)),IFERROR(INDEX('Catalog'!$A:$A,MATCH(TRIM(SUBSTITUTE($A898,CHAR(160)," ")),'Catalog'!$C:$C,0)),""))</f>
        <v>4422026</v>
      </c>
      <c r="F898" s="20" t="str">
        <f aca="false">IF($E898="","Unmatched","Matched")</f>
        <v>Matched</v>
      </c>
    </row>
    <row r="899" customFormat="false" ht="15" hidden="false" customHeight="false" outlineLevel="0" collapsed="false">
      <c r="A899" s="20" t="s">
        <v>889</v>
      </c>
      <c r="B899" s="20" t="n">
        <v>2026</v>
      </c>
      <c r="C899" s="21" t="n">
        <v>13</v>
      </c>
      <c r="D899" s="22" t="n">
        <v>1167.8</v>
      </c>
      <c r="E899" s="20" t="n">
        <f aca="false">IFERROR(INDEX('Catalog'!$A:$A,MATCH($A899,'Catalog'!$B:$B,0)),IFERROR(INDEX('Catalog'!$A:$A,MATCH(TRIM(SUBSTITUTE($A899,CHAR(160)," ")),'Catalog'!$C:$C,0)),""))</f>
        <v>4408247</v>
      </c>
      <c r="F899" s="20" t="str">
        <f aca="false">IF($E899="","Unmatched","Matched")</f>
        <v>Matched</v>
      </c>
    </row>
    <row r="900" customFormat="false" ht="15" hidden="false" customHeight="false" outlineLevel="0" collapsed="false">
      <c r="A900" s="20" t="s">
        <v>888</v>
      </c>
      <c r="B900" s="20" t="n">
        <v>2026</v>
      </c>
      <c r="C900" s="21" t="n">
        <v>15</v>
      </c>
      <c r="D900" s="22" t="n">
        <v>1342.6</v>
      </c>
      <c r="E900" s="20" t="n">
        <f aca="false">IFERROR(INDEX('Catalog'!$A:$A,MATCH($A900,'Catalog'!$B:$B,0)),IFERROR(INDEX('Catalog'!$A:$A,MATCH(TRIM(SUBSTITUTE($A900,CHAR(160)," ")),'Catalog'!$C:$C,0)),""))</f>
        <v>4408248</v>
      </c>
      <c r="F900" s="20" t="str">
        <f aca="false">IF($E900="","Unmatched","Matched")</f>
        <v>Matched</v>
      </c>
    </row>
    <row r="901" customFormat="false" ht="15" hidden="false" customHeight="false" outlineLevel="0" collapsed="false">
      <c r="A901" s="20" t="s">
        <v>887</v>
      </c>
      <c r="B901" s="20" t="n">
        <v>2026</v>
      </c>
      <c r="C901" s="21" t="n">
        <v>19</v>
      </c>
      <c r="D901" s="22" t="n">
        <v>1740</v>
      </c>
      <c r="E901" s="20" t="n">
        <f aca="false">IFERROR(INDEX('Catalog'!$A:$A,MATCH($A901,'Catalog'!$B:$B,0)),IFERROR(INDEX('Catalog'!$A:$A,MATCH(TRIM(SUBSTITUTE($A901,CHAR(160)," ")),'Catalog'!$C:$C,0)),""))</f>
        <v>4408249</v>
      </c>
      <c r="F901" s="20" t="str">
        <f aca="false">IF($E901="","Unmatched","Matched")</f>
        <v>Matched</v>
      </c>
    </row>
    <row r="902" customFormat="false" ht="15" hidden="false" customHeight="false" outlineLevel="0" collapsed="false">
      <c r="A902" s="20" t="s">
        <v>890</v>
      </c>
      <c r="B902" s="20" t="n">
        <v>2026</v>
      </c>
      <c r="C902" s="21" t="n">
        <v>10</v>
      </c>
      <c r="D902" s="22" t="n">
        <v>899.2</v>
      </c>
      <c r="E902" s="20" t="n">
        <f aca="false">IFERROR(INDEX('Catalog'!$A:$A,MATCH($A902,'Catalog'!$B:$B,0)),IFERROR(INDEX('Catalog'!$A:$A,MATCH(TRIM(SUBSTITUTE($A902,CHAR(160)," ")),'Catalog'!$C:$C,0)),""))</f>
        <v>4408250</v>
      </c>
      <c r="F902" s="20" t="str">
        <f aca="false">IF($E902="","Unmatched","Matched")</f>
        <v>Matched</v>
      </c>
    </row>
    <row r="903" customFormat="false" ht="15" hidden="false" customHeight="false" outlineLevel="0" collapsed="false">
      <c r="A903" s="20" t="s">
        <v>578</v>
      </c>
      <c r="B903" s="20" t="n">
        <v>2026</v>
      </c>
      <c r="C903" s="21" t="n">
        <v>3</v>
      </c>
      <c r="D903" s="22" t="n">
        <v>281</v>
      </c>
      <c r="E903" s="20" t="n">
        <f aca="false">IFERROR(INDEX('Catalog'!$A:$A,MATCH($A903,'Catalog'!$B:$B,0)),IFERROR(INDEX('Catalog'!$A:$A,MATCH(TRIM(SUBSTITUTE($A903,CHAR(160)," ")),'Catalog'!$C:$C,0)),""))</f>
        <v>4413405</v>
      </c>
      <c r="F903" s="20" t="str">
        <f aca="false">IF($E903="","Unmatched","Matched")</f>
        <v>Matched</v>
      </c>
    </row>
    <row r="904" customFormat="false" ht="15" hidden="false" customHeight="false" outlineLevel="0" collapsed="false">
      <c r="A904" s="20" t="s">
        <v>908</v>
      </c>
      <c r="B904" s="20" t="n">
        <v>2026</v>
      </c>
      <c r="C904" s="21" t="n">
        <v>7</v>
      </c>
      <c r="D904" s="22" t="n">
        <v>655.7</v>
      </c>
      <c r="E904" s="20" t="n">
        <f aca="false">IFERROR(INDEX('Catalog'!$A:$A,MATCH($A904,'Catalog'!$B:$B,0)),IFERROR(INDEX('Catalog'!$A:$A,MATCH(TRIM(SUBSTITUTE($A904,CHAR(160)," ")),'Catalog'!$C:$C,0)),""))</f>
        <v>4413406</v>
      </c>
      <c r="F904" s="20" t="str">
        <f aca="false">IF($E904="","Unmatched","Matched")</f>
        <v>Matched</v>
      </c>
    </row>
    <row r="905" customFormat="false" ht="15" hidden="false" customHeight="false" outlineLevel="0" collapsed="false">
      <c r="A905" s="20" t="s">
        <v>907</v>
      </c>
      <c r="B905" s="20" t="n">
        <v>2026</v>
      </c>
      <c r="C905" s="21" t="n">
        <v>7</v>
      </c>
      <c r="D905" s="22" t="n">
        <v>661.9</v>
      </c>
      <c r="E905" s="20" t="n">
        <f aca="false">IFERROR(INDEX('Catalog'!$A:$A,MATCH($A905,'Catalog'!$B:$B,0)),IFERROR(INDEX('Catalog'!$A:$A,MATCH(TRIM(SUBSTITUTE($A905,CHAR(160)," ")),'Catalog'!$C:$C,0)),""))</f>
        <v>4413407</v>
      </c>
      <c r="F905" s="20" t="str">
        <f aca="false">IF($E905="","Unmatched","Matched")</f>
        <v>Matched</v>
      </c>
    </row>
    <row r="906" customFormat="false" ht="15" hidden="false" customHeight="false" outlineLevel="0" collapsed="false">
      <c r="A906" s="20" t="s">
        <v>909</v>
      </c>
      <c r="B906" s="20" t="n">
        <v>2026</v>
      </c>
      <c r="C906" s="21" t="n">
        <v>3</v>
      </c>
      <c r="D906" s="22" t="n">
        <v>281</v>
      </c>
      <c r="E906" s="20" t="n">
        <f aca="false">IFERROR(INDEX('Catalog'!$A:$A,MATCH($A906,'Catalog'!$B:$B,0)),IFERROR(INDEX('Catalog'!$A:$A,MATCH(TRIM(SUBSTITUTE($A906,CHAR(160)," ")),'Catalog'!$C:$C,0)),""))</f>
        <v>4413408</v>
      </c>
      <c r="F906" s="20" t="str">
        <f aca="false">IF($E906="","Unmatched","Matched")</f>
        <v>Matched</v>
      </c>
    </row>
    <row r="907" customFormat="false" ht="15" hidden="false" customHeight="false" outlineLevel="0" collapsed="false">
      <c r="A907" s="20" t="s">
        <v>901</v>
      </c>
      <c r="B907" s="20" t="n">
        <v>2026</v>
      </c>
      <c r="C907" s="21" t="n">
        <v>4</v>
      </c>
      <c r="D907" s="22" t="n">
        <v>656.1</v>
      </c>
      <c r="E907" s="20" t="n">
        <f aca="false">IFERROR(INDEX('Catalog'!$A:$A,MATCH($A907,'Catalog'!$B:$B,0)),IFERROR(INDEX('Catalog'!$A:$A,MATCH(TRIM(SUBSTITUTE($A907,CHAR(160)," ")),'Catalog'!$C:$C,0)),""))</f>
        <v>4413415</v>
      </c>
      <c r="F907" s="20" t="str">
        <f aca="false">IF($E907="","Unmatched","Matched")</f>
        <v>Matched</v>
      </c>
    </row>
    <row r="908" customFormat="false" ht="15" hidden="false" customHeight="false" outlineLevel="0" collapsed="false">
      <c r="A908" s="20" t="s">
        <v>900</v>
      </c>
      <c r="B908" s="20" t="n">
        <v>2026</v>
      </c>
      <c r="C908" s="21" t="n">
        <v>5</v>
      </c>
      <c r="D908" s="22" t="n">
        <v>820.1</v>
      </c>
      <c r="E908" s="20" t="n">
        <f aca="false">IFERROR(INDEX('Catalog'!$A:$A,MATCH($A908,'Catalog'!$B:$B,0)),IFERROR(INDEX('Catalog'!$A:$A,MATCH(TRIM(SUBSTITUTE($A908,CHAR(160)," ")),'Catalog'!$C:$C,0)),""))</f>
        <v>4413416</v>
      </c>
      <c r="F908" s="20" t="str">
        <f aca="false">IF($E908="","Unmatched","Matched")</f>
        <v>Matched</v>
      </c>
    </row>
    <row r="909" customFormat="false" ht="15" hidden="false" customHeight="false" outlineLevel="0" collapsed="false">
      <c r="A909" s="20" t="s">
        <v>899</v>
      </c>
      <c r="B909" s="20" t="n">
        <v>2026</v>
      </c>
      <c r="C909" s="21" t="n">
        <v>4</v>
      </c>
      <c r="D909" s="22" t="n">
        <v>678.3</v>
      </c>
      <c r="E909" s="20" t="n">
        <f aca="false">IFERROR(INDEX('Catalog'!$A:$A,MATCH($A909,'Catalog'!$B:$B,0)),IFERROR(INDEX('Catalog'!$A:$A,MATCH(TRIM(SUBSTITUTE($A909,CHAR(160)," ")),'Catalog'!$C:$C,0)),""))</f>
        <v>4413417</v>
      </c>
      <c r="F909" s="20" t="str">
        <f aca="false">IF($E909="","Unmatched","Matched")</f>
        <v>Matched</v>
      </c>
    </row>
    <row r="910" customFormat="false" ht="15" hidden="false" customHeight="false" outlineLevel="0" collapsed="false">
      <c r="A910" s="20" t="s">
        <v>902</v>
      </c>
      <c r="B910" s="20" t="n">
        <v>2026</v>
      </c>
      <c r="C910" s="21" t="n">
        <v>4</v>
      </c>
      <c r="D910" s="22" t="n">
        <v>612.4</v>
      </c>
      <c r="E910" s="20" t="n">
        <f aca="false">IFERROR(INDEX('Catalog'!$A:$A,MATCH($A910,'Catalog'!$B:$B,0)),IFERROR(INDEX('Catalog'!$A:$A,MATCH(TRIM(SUBSTITUTE($A910,CHAR(160)," ")),'Catalog'!$C:$C,0)),""))</f>
        <v>4413418</v>
      </c>
      <c r="F910" s="20" t="str">
        <f aca="false">IF($E910="","Unmatched","Matched")</f>
        <v>Matched</v>
      </c>
    </row>
    <row r="911" customFormat="false" ht="15" hidden="false" customHeight="false" outlineLevel="0" collapsed="false">
      <c r="A911" s="20" t="s">
        <v>893</v>
      </c>
      <c r="B911" s="20" t="n">
        <v>2026</v>
      </c>
      <c r="C911" s="21" t="n">
        <v>1</v>
      </c>
      <c r="D911" s="22" t="n">
        <v>93.7</v>
      </c>
      <c r="E911" s="20" t="n">
        <f aca="false">IFERROR(INDEX('Catalog'!$A:$A,MATCH($A911,'Catalog'!$B:$B,0)),IFERROR(INDEX('Catalog'!$A:$A,MATCH(TRIM(SUBSTITUTE($A911,CHAR(160)," ")),'Catalog'!$C:$C,0)),""))</f>
        <v>4413420</v>
      </c>
      <c r="F911" s="20" t="str">
        <f aca="false">IF($E911="","Unmatched","Matched")</f>
        <v>Matched</v>
      </c>
    </row>
    <row r="912" customFormat="false" ht="15" hidden="false" customHeight="false" outlineLevel="0" collapsed="false">
      <c r="A912" s="20" t="s">
        <v>892</v>
      </c>
      <c r="B912" s="20" t="n">
        <v>2026</v>
      </c>
      <c r="C912" s="21" t="n">
        <v>3</v>
      </c>
      <c r="D912" s="22" t="n">
        <v>299.1</v>
      </c>
      <c r="E912" s="20" t="n">
        <f aca="false">IFERROR(INDEX('Catalog'!$A:$A,MATCH($A912,'Catalog'!$B:$B,0)),IFERROR(INDEX('Catalog'!$A:$A,MATCH(TRIM(SUBSTITUTE($A912,CHAR(160)," ")),'Catalog'!$C:$C,0)),""))</f>
        <v>4413421</v>
      </c>
      <c r="F912" s="20" t="str">
        <f aca="false">IF($E912="","Unmatched","Matched")</f>
        <v>Matched</v>
      </c>
    </row>
    <row r="913" customFormat="false" ht="15" hidden="false" customHeight="false" outlineLevel="0" collapsed="false">
      <c r="A913" s="20" t="s">
        <v>891</v>
      </c>
      <c r="B913" s="20" t="n">
        <v>2026</v>
      </c>
      <c r="C913" s="21" t="n">
        <v>3</v>
      </c>
      <c r="D913" s="22" t="n">
        <v>281</v>
      </c>
      <c r="E913" s="20" t="n">
        <f aca="false">IFERROR(INDEX('Catalog'!$A:$A,MATCH($A913,'Catalog'!$B:$B,0)),IFERROR(INDEX('Catalog'!$A:$A,MATCH(TRIM(SUBSTITUTE($A913,CHAR(160)," ")),'Catalog'!$C:$C,0)),""))</f>
        <v>4413422</v>
      </c>
      <c r="F913" s="20" t="str">
        <f aca="false">IF($E913="","Unmatched","Matched")</f>
        <v>Matched</v>
      </c>
    </row>
    <row r="914" customFormat="false" ht="15" hidden="false" customHeight="false" outlineLevel="0" collapsed="false">
      <c r="A914" s="20" t="s">
        <v>894</v>
      </c>
      <c r="B914" s="20" t="n">
        <v>2026</v>
      </c>
      <c r="C914" s="21" t="n">
        <v>1</v>
      </c>
      <c r="D914" s="22" t="n">
        <v>111.8</v>
      </c>
      <c r="E914" s="20" t="n">
        <f aca="false">IFERROR(INDEX('Catalog'!$A:$A,MATCH($A914,'Catalog'!$B:$B,0)),IFERROR(INDEX('Catalog'!$A:$A,MATCH(TRIM(SUBSTITUTE($A914,CHAR(160)," ")),'Catalog'!$C:$C,0)),""))</f>
        <v>4413423</v>
      </c>
      <c r="F914" s="20" t="str">
        <f aca="false">IF($E914="","Unmatched","Matched")</f>
        <v>Matched</v>
      </c>
    </row>
    <row r="915" customFormat="false" ht="15" hidden="false" customHeight="false" outlineLevel="0" collapsed="false">
      <c r="A915" s="20" t="s">
        <v>897</v>
      </c>
      <c r="B915" s="20" t="n">
        <v>2026</v>
      </c>
      <c r="C915" s="21" t="n">
        <v>4</v>
      </c>
      <c r="D915" s="22" t="n">
        <v>349.7</v>
      </c>
      <c r="E915" s="20" t="n">
        <f aca="false">IFERROR(INDEX('Catalog'!$A:$A,MATCH($A915,'Catalog'!$B:$B,0)),IFERROR(INDEX('Catalog'!$A:$A,MATCH(TRIM(SUBSTITUTE($A915,CHAR(160)," ")),'Catalog'!$C:$C,0)),""))</f>
        <v>4413424</v>
      </c>
      <c r="F915" s="20" t="str">
        <f aca="false">IF($E915="","Unmatched","Matched")</f>
        <v>Matched</v>
      </c>
    </row>
    <row r="916" customFormat="false" ht="15" hidden="false" customHeight="false" outlineLevel="0" collapsed="false">
      <c r="A916" s="20" t="s">
        <v>896</v>
      </c>
      <c r="B916" s="20" t="n">
        <v>2026</v>
      </c>
      <c r="C916" s="21" t="n">
        <v>10</v>
      </c>
      <c r="D916" s="22" t="n">
        <v>911.7</v>
      </c>
      <c r="E916" s="20" t="n">
        <f aca="false">IFERROR(INDEX('Catalog'!$A:$A,MATCH($A916,'Catalog'!$B:$B,0)),IFERROR(INDEX('Catalog'!$A:$A,MATCH(TRIM(SUBSTITUTE($A916,CHAR(160)," ")),'Catalog'!$C:$C,0)),""))</f>
        <v>4413425</v>
      </c>
      <c r="F916" s="20" t="str">
        <f aca="false">IF($E916="","Unmatched","Matched")</f>
        <v>Matched</v>
      </c>
    </row>
    <row r="917" customFormat="false" ht="15" hidden="false" customHeight="false" outlineLevel="0" collapsed="false">
      <c r="A917" s="20" t="s">
        <v>895</v>
      </c>
      <c r="B917" s="20" t="n">
        <v>2026</v>
      </c>
      <c r="C917" s="21" t="n">
        <v>4</v>
      </c>
      <c r="D917" s="22" t="n">
        <v>362.2</v>
      </c>
      <c r="E917" s="20" t="n">
        <f aca="false">IFERROR(INDEX('Catalog'!$A:$A,MATCH($A917,'Catalog'!$B:$B,0)),IFERROR(INDEX('Catalog'!$A:$A,MATCH(TRIM(SUBSTITUTE($A917,CHAR(160)," ")),'Catalog'!$C:$C,0)),""))</f>
        <v>4413426</v>
      </c>
      <c r="F917" s="20" t="str">
        <f aca="false">IF($E917="","Unmatched","Matched")</f>
        <v>Matched</v>
      </c>
    </row>
    <row r="918" customFormat="false" ht="15" hidden="false" customHeight="false" outlineLevel="0" collapsed="false">
      <c r="A918" s="20" t="s">
        <v>898</v>
      </c>
      <c r="B918" s="20" t="n">
        <v>2026</v>
      </c>
      <c r="C918" s="21" t="n">
        <v>4</v>
      </c>
      <c r="D918" s="22" t="n">
        <v>362.2</v>
      </c>
      <c r="E918" s="20" t="n">
        <f aca="false">IFERROR(INDEX('Catalog'!$A:$A,MATCH($A918,'Catalog'!$B:$B,0)),IFERROR(INDEX('Catalog'!$A:$A,MATCH(TRIM(SUBSTITUTE($A918,CHAR(160)," ")),'Catalog'!$C:$C,0)),""))</f>
        <v>4413427</v>
      </c>
      <c r="F918" s="20" t="str">
        <f aca="false">IF($E918="","Unmatched","Matched")</f>
        <v>Matched</v>
      </c>
    </row>
    <row r="919" customFormat="false" ht="15" hidden="false" customHeight="false" outlineLevel="0" collapsed="false">
      <c r="A919" s="20" t="s">
        <v>228</v>
      </c>
      <c r="B919" s="20" t="n">
        <v>2026</v>
      </c>
      <c r="C919" s="21" t="n">
        <v>6</v>
      </c>
      <c r="D919" s="22" t="n">
        <v>834.1</v>
      </c>
      <c r="E919" s="20" t="n">
        <f aca="false">IFERROR(INDEX('Catalog'!$A:$A,MATCH($A919,'Catalog'!$B:$B,0)),IFERROR(INDEX('Catalog'!$A:$A,MATCH(TRIM(SUBSTITUTE($A919,CHAR(160)," ")),'Catalog'!$C:$C,0)),""))</f>
        <v>4413438</v>
      </c>
      <c r="F919" s="20" t="str">
        <f aca="false">IF($E919="","Unmatched","Matched")</f>
        <v>Matched</v>
      </c>
    </row>
    <row r="920" customFormat="false" ht="15" hidden="false" customHeight="false" outlineLevel="0" collapsed="false">
      <c r="A920" s="20" t="s">
        <v>905</v>
      </c>
      <c r="B920" s="20" t="n">
        <v>2026</v>
      </c>
      <c r="C920" s="21" t="n">
        <v>20</v>
      </c>
      <c r="D920" s="22" t="n">
        <v>2689.6</v>
      </c>
      <c r="E920" s="20" t="n">
        <f aca="false">IFERROR(INDEX('Catalog'!$A:$A,MATCH($A920,'Catalog'!$B:$B,0)),IFERROR(INDEX('Catalog'!$A:$A,MATCH(TRIM(SUBSTITUTE($A920,CHAR(160)," ")),'Catalog'!$C:$C,0)),""))</f>
        <v>4413439</v>
      </c>
      <c r="F920" s="20" t="str">
        <f aca="false">IF($E920="","Unmatched","Matched")</f>
        <v>Matched</v>
      </c>
    </row>
    <row r="921" customFormat="false" ht="15" hidden="false" customHeight="false" outlineLevel="0" collapsed="false">
      <c r="A921" s="20" t="s">
        <v>904</v>
      </c>
      <c r="B921" s="20" t="n">
        <v>2026</v>
      </c>
      <c r="C921" s="21" t="n">
        <v>23</v>
      </c>
      <c r="D921" s="22" t="n">
        <v>3139.4</v>
      </c>
      <c r="E921" s="20" t="n">
        <f aca="false">IFERROR(INDEX('Catalog'!$A:$A,MATCH($A921,'Catalog'!$B:$B,0)),IFERROR(INDEX('Catalog'!$A:$A,MATCH(TRIM(SUBSTITUTE($A921,CHAR(160)," ")),'Catalog'!$C:$C,0)),""))</f>
        <v>4413440</v>
      </c>
      <c r="F921" s="20" t="str">
        <f aca="false">IF($E921="","Unmatched","Matched")</f>
        <v>Matched</v>
      </c>
    </row>
    <row r="922" customFormat="false" ht="15" hidden="false" customHeight="false" outlineLevel="0" collapsed="false">
      <c r="A922" s="20" t="s">
        <v>906</v>
      </c>
      <c r="B922" s="20" t="n">
        <v>2026</v>
      </c>
      <c r="C922" s="21" t="n">
        <v>15</v>
      </c>
      <c r="D922" s="22" t="n">
        <v>2061.7</v>
      </c>
      <c r="E922" s="20" t="n">
        <f aca="false">IFERROR(INDEX('Catalog'!$A:$A,MATCH($A922,'Catalog'!$B:$B,0)),IFERROR(INDEX('Catalog'!$A:$A,MATCH(TRIM(SUBSTITUTE($A922,CHAR(160)," ")),'Catalog'!$C:$C,0)),""))</f>
        <v>4413441</v>
      </c>
      <c r="F922" s="20" t="str">
        <f aca="false">IF($E922="","Unmatched","Matched")</f>
        <v>Matched</v>
      </c>
    </row>
    <row r="923" customFormat="false" ht="15" hidden="false" customHeight="false" outlineLevel="0" collapsed="false">
      <c r="A923" s="20" t="s">
        <v>229</v>
      </c>
      <c r="B923" s="20" t="n">
        <v>2026</v>
      </c>
      <c r="C923" s="21" t="n">
        <v>5</v>
      </c>
      <c r="D923" s="22" t="n">
        <v>702.9</v>
      </c>
      <c r="E923" s="20" t="n">
        <f aca="false">IFERROR(INDEX('Catalog'!$A:$A,MATCH($A923,'Catalog'!$B:$B,0)),IFERROR(INDEX('Catalog'!$A:$A,MATCH(TRIM(SUBSTITUTE($A923,CHAR(160)," ")),'Catalog'!$C:$C,0)),""))</f>
        <v>4413442</v>
      </c>
      <c r="F923" s="20" t="str">
        <f aca="false">IF($E923="","Unmatched","Matched")</f>
        <v>Matched</v>
      </c>
    </row>
    <row r="924" customFormat="false" ht="15" hidden="false" customHeight="false" outlineLevel="0" collapsed="false">
      <c r="A924" s="20" t="s">
        <v>668</v>
      </c>
      <c r="B924" s="20" t="n">
        <v>2026</v>
      </c>
      <c r="C924" s="21" t="n">
        <v>11</v>
      </c>
      <c r="D924" s="22" t="n">
        <v>407</v>
      </c>
      <c r="E924" s="20" t="n">
        <f aca="false">IFERROR(INDEX('Catalog'!$A:$A,MATCH($A924,'Catalog'!$B:$B,0)),IFERROR(INDEX('Catalog'!$A:$A,MATCH(TRIM(SUBSTITUTE($A924,CHAR(160)," ")),'Catalog'!$C:$C,0)),""))</f>
        <v>4411017</v>
      </c>
      <c r="F924" s="20" t="str">
        <f aca="false">IF($E924="","Unmatched","Matched")</f>
        <v>Matched</v>
      </c>
    </row>
    <row r="925" customFormat="false" ht="15" hidden="false" customHeight="false" outlineLevel="0" collapsed="false">
      <c r="A925" s="20" t="s">
        <v>669</v>
      </c>
      <c r="B925" s="20" t="n">
        <v>2026</v>
      </c>
      <c r="C925" s="21" t="n">
        <v>16</v>
      </c>
      <c r="D925" s="22" t="n">
        <v>591.7</v>
      </c>
      <c r="E925" s="20" t="n">
        <f aca="false">IFERROR(INDEX('Catalog'!$A:$A,MATCH($A925,'Catalog'!$B:$B,0)),IFERROR(INDEX('Catalog'!$A:$A,MATCH(TRIM(SUBSTITUTE($A925,CHAR(160)," ")),'Catalog'!$C:$C,0)),""))</f>
        <v>4411018</v>
      </c>
      <c r="F925" s="20" t="str">
        <f aca="false">IF($E925="","Unmatched","Matched")</f>
        <v>Matched</v>
      </c>
    </row>
    <row r="926" customFormat="false" ht="15" hidden="false" customHeight="false" outlineLevel="0" collapsed="false">
      <c r="A926" s="20" t="s">
        <v>670</v>
      </c>
      <c r="B926" s="20" t="n">
        <v>2026</v>
      </c>
      <c r="C926" s="21" t="n">
        <v>10</v>
      </c>
      <c r="D926" s="22" t="n">
        <v>359.6</v>
      </c>
      <c r="E926" s="20" t="n">
        <f aca="false">IFERROR(INDEX('Catalog'!$A:$A,MATCH($A926,'Catalog'!$B:$B,0)),IFERROR(INDEX('Catalog'!$A:$A,MATCH(TRIM(SUBSTITUTE($A926,CHAR(160)," ")),'Catalog'!$C:$C,0)),""))</f>
        <v>4411019</v>
      </c>
      <c r="F926" s="20" t="str">
        <f aca="false">IF($E926="","Unmatched","Matched")</f>
        <v>Matched</v>
      </c>
    </row>
    <row r="927" customFormat="false" ht="15" hidden="false" customHeight="false" outlineLevel="0" collapsed="false">
      <c r="A927" s="20" t="s">
        <v>671</v>
      </c>
      <c r="B927" s="20" t="n">
        <v>2026</v>
      </c>
      <c r="C927" s="21" t="n">
        <v>5</v>
      </c>
      <c r="D927" s="22" t="n">
        <v>184.8</v>
      </c>
      <c r="E927" s="20" t="n">
        <f aca="false">IFERROR(INDEX('Catalog'!$A:$A,MATCH($A927,'Catalog'!$B:$B,0)),IFERROR(INDEX('Catalog'!$A:$A,MATCH(TRIM(SUBSTITUTE($A927,CHAR(160)," ")),'Catalog'!$C:$C,0)),""))</f>
        <v>4411020</v>
      </c>
      <c r="F927" s="20" t="str">
        <f aca="false">IF($E927="","Unmatched","Matched")</f>
        <v>Matched</v>
      </c>
    </row>
    <row r="928" customFormat="false" ht="15" hidden="false" customHeight="false" outlineLevel="0" collapsed="false">
      <c r="A928" s="20" t="s">
        <v>672</v>
      </c>
      <c r="B928" s="20" t="n">
        <v>2026</v>
      </c>
      <c r="C928" s="21" t="n">
        <v>13</v>
      </c>
      <c r="D928" s="22" t="n">
        <v>512</v>
      </c>
      <c r="E928" s="20" t="n">
        <f aca="false">IFERROR(INDEX('Catalog'!$A:$A,MATCH($A928,'Catalog'!$B:$B,0)),IFERROR(INDEX('Catalog'!$A:$A,MATCH(TRIM(SUBSTITUTE($A928,CHAR(160)," ")),'Catalog'!$C:$C,0)),""))</f>
        <v>4411021</v>
      </c>
      <c r="F928" s="20" t="str">
        <f aca="false">IF($E928="","Unmatched","Matched")</f>
        <v>Matched</v>
      </c>
    </row>
    <row r="929" customFormat="false" ht="15" hidden="false" customHeight="false" outlineLevel="0" collapsed="false">
      <c r="A929" s="20" t="s">
        <v>673</v>
      </c>
      <c r="B929" s="20" t="n">
        <v>2026</v>
      </c>
      <c r="C929" s="21" t="n">
        <v>27</v>
      </c>
      <c r="D929" s="22" t="n">
        <v>1063.8</v>
      </c>
      <c r="E929" s="20" t="n">
        <f aca="false">IFERROR(INDEX('Catalog'!$A:$A,MATCH($A929,'Catalog'!$B:$B,0)),IFERROR(INDEX('Catalog'!$A:$A,MATCH(TRIM(SUBSTITUTE($A929,CHAR(160)," ")),'Catalog'!$C:$C,0)),""))</f>
        <v>4411022</v>
      </c>
      <c r="F929" s="20" t="str">
        <f aca="false">IF($E929="","Unmatched","Matched")</f>
        <v>Matched</v>
      </c>
    </row>
    <row r="930" customFormat="false" ht="15" hidden="false" customHeight="false" outlineLevel="0" collapsed="false">
      <c r="A930" s="20" t="s">
        <v>674</v>
      </c>
      <c r="B930" s="20" t="n">
        <v>2026</v>
      </c>
      <c r="C930" s="21" t="n">
        <v>26</v>
      </c>
      <c r="D930" s="22" t="n">
        <v>1016</v>
      </c>
      <c r="E930" s="20" t="n">
        <f aca="false">IFERROR(INDEX('Catalog'!$A:$A,MATCH($A930,'Catalog'!$B:$B,0)),IFERROR(INDEX('Catalog'!$A:$A,MATCH(TRIM(SUBSTITUTE($A930,CHAR(160)," ")),'Catalog'!$C:$C,0)),""))</f>
        <v>4411023</v>
      </c>
      <c r="F930" s="20" t="str">
        <f aca="false">IF($E930="","Unmatched","Matched")</f>
        <v>Matched</v>
      </c>
    </row>
    <row r="931" customFormat="false" ht="15" hidden="false" customHeight="false" outlineLevel="0" collapsed="false">
      <c r="A931" s="20" t="s">
        <v>675</v>
      </c>
      <c r="B931" s="20" t="n">
        <v>2026</v>
      </c>
      <c r="C931" s="21" t="n">
        <v>5</v>
      </c>
      <c r="D931" s="22" t="n">
        <v>199</v>
      </c>
      <c r="E931" s="20" t="n">
        <f aca="false">IFERROR(INDEX('Catalog'!$A:$A,MATCH($A931,'Catalog'!$B:$B,0)),IFERROR(INDEX('Catalog'!$A:$A,MATCH(TRIM(SUBSTITUTE($A931,CHAR(160)," ")),'Catalog'!$C:$C,0)),""))</f>
        <v>4411024</v>
      </c>
      <c r="F931" s="20" t="str">
        <f aca="false">IF($E931="","Unmatched","Matched")</f>
        <v>Matched</v>
      </c>
    </row>
    <row r="932" customFormat="false" ht="15" hidden="false" customHeight="false" outlineLevel="0" collapsed="false">
      <c r="A932" s="20" t="s">
        <v>493</v>
      </c>
      <c r="B932" s="20" t="n">
        <v>2026</v>
      </c>
      <c r="C932" s="21" t="n">
        <v>39</v>
      </c>
      <c r="D932" s="22" t="n">
        <v>2191.9</v>
      </c>
      <c r="E932" s="20" t="n">
        <f aca="false">IFERROR(INDEX('Catalog'!$A:$A,MATCH($A932,'Catalog'!$B:$B,0)),IFERROR(INDEX('Catalog'!$A:$A,MATCH(TRIM(SUBSTITUTE($A932,CHAR(160)," ")),'Catalog'!$C:$C,0)),""))</f>
        <v>4413445</v>
      </c>
      <c r="F932" s="20" t="str">
        <f aca="false">IF($E932="","Unmatched","Matched")</f>
        <v>Matched</v>
      </c>
    </row>
    <row r="933" customFormat="false" ht="15" hidden="false" customHeight="false" outlineLevel="0" collapsed="false">
      <c r="A933" s="20" t="s">
        <v>516</v>
      </c>
      <c r="B933" s="20" t="n">
        <v>2026</v>
      </c>
      <c r="C933" s="21" t="n">
        <v>4</v>
      </c>
      <c r="D933" s="22" t="n">
        <v>294.2</v>
      </c>
      <c r="E933" s="20" t="n">
        <f aca="false">IFERROR(INDEX('Catalog'!$A:$A,MATCH($A933,'Catalog'!$B:$B,0)),IFERROR(INDEX('Catalog'!$A:$A,MATCH(TRIM(SUBSTITUTE($A933,CHAR(160)," ")),'Catalog'!$C:$C,0)),""))</f>
        <v>4413449</v>
      </c>
      <c r="F933" s="20" t="str">
        <f aca="false">IF($E933="","Unmatched","Matched")</f>
        <v>Matched</v>
      </c>
    </row>
    <row r="934" customFormat="false" ht="15" hidden="false" customHeight="false" outlineLevel="0" collapsed="false">
      <c r="A934" s="20" t="s">
        <v>515</v>
      </c>
      <c r="B934" s="20" t="n">
        <v>2026</v>
      </c>
      <c r="C934" s="21" t="n">
        <v>5</v>
      </c>
      <c r="D934" s="22" t="n">
        <v>367.7</v>
      </c>
      <c r="E934" s="20" t="n">
        <f aca="false">IFERROR(INDEX('Catalog'!$A:$A,MATCH($A934,'Catalog'!$B:$B,0)),IFERROR(INDEX('Catalog'!$A:$A,MATCH(TRIM(SUBSTITUTE($A934,CHAR(160)," ")),'Catalog'!$C:$C,0)),""))</f>
        <v>4413450</v>
      </c>
      <c r="F934" s="20" t="str">
        <f aca="false">IF($E934="","Unmatched","Matched")</f>
        <v>Matched</v>
      </c>
    </row>
    <row r="935" customFormat="false" ht="15" hidden="false" customHeight="false" outlineLevel="0" collapsed="false">
      <c r="A935" s="20" t="s">
        <v>486</v>
      </c>
      <c r="B935" s="20" t="n">
        <v>2026</v>
      </c>
      <c r="C935" s="21" t="n">
        <v>3</v>
      </c>
      <c r="D935" s="22" t="n">
        <v>215.7</v>
      </c>
      <c r="E935" s="20" t="n">
        <f aca="false">IFERROR(INDEX('Catalog'!$A:$A,MATCH($A935,'Catalog'!$B:$B,0)),IFERROR(INDEX('Catalog'!$A:$A,MATCH(TRIM(SUBSTITUTE($A935,CHAR(160)," ")),'Catalog'!$C:$C,0)),""))</f>
        <v>4413451</v>
      </c>
      <c r="F935" s="20" t="str">
        <f aca="false">IF($E935="","Unmatched","Matched")</f>
        <v>Matched</v>
      </c>
    </row>
    <row r="936" customFormat="false" ht="15" hidden="false" customHeight="false" outlineLevel="0" collapsed="false">
      <c r="A936" s="20" t="s">
        <v>642</v>
      </c>
      <c r="B936" s="20" t="n">
        <v>2026</v>
      </c>
      <c r="C936" s="21" t="n">
        <v>58</v>
      </c>
      <c r="D936" s="22" t="n">
        <v>2648.4</v>
      </c>
      <c r="E936" s="20" t="n">
        <f aca="false">IFERROR(INDEX('Catalog'!$A:$A,MATCH($A936,'Catalog'!$B:$B,0)),IFERROR(INDEX('Catalog'!$A:$A,MATCH(TRIM(SUBSTITUTE($A936,CHAR(160)," ")),'Catalog'!$C:$C,0)),""))</f>
        <v>4413452</v>
      </c>
      <c r="F936" s="20" t="str">
        <f aca="false">IF($E936="","Unmatched","Matched")</f>
        <v>Matched</v>
      </c>
    </row>
    <row r="937" customFormat="false" ht="15" hidden="false" customHeight="false" outlineLevel="0" collapsed="false">
      <c r="A937" s="20" t="s">
        <v>473</v>
      </c>
      <c r="B937" s="20" t="n">
        <v>2026</v>
      </c>
      <c r="C937" s="21" t="n">
        <v>737</v>
      </c>
      <c r="D937" s="22" t="n">
        <v>57737.9</v>
      </c>
      <c r="E937" s="20" t="n">
        <f aca="false">IFERROR(INDEX('Catalog'!$A:$A,MATCH($A937,'Catalog'!$B:$B,0)),IFERROR(INDEX('Catalog'!$A:$A,MATCH(TRIM(SUBSTITUTE($A937,CHAR(160)," ")),'Catalog'!$C:$C,0)),""))</f>
        <v>4413453</v>
      </c>
      <c r="F937" s="20" t="str">
        <f aca="false">IF($E937="","Unmatched","Matched")</f>
        <v>Matched</v>
      </c>
    </row>
    <row r="938" customFormat="false" ht="15" hidden="false" customHeight="false" outlineLevel="0" collapsed="false">
      <c r="A938" s="20" t="s">
        <v>607</v>
      </c>
      <c r="B938" s="20" t="n">
        <v>2026</v>
      </c>
      <c r="C938" s="21" t="n">
        <v>115</v>
      </c>
      <c r="D938" s="22" t="n">
        <v>5814.2</v>
      </c>
      <c r="E938" s="20" t="n">
        <f aca="false">IFERROR(INDEX('Catalog'!$A:$A,MATCH($A938,'Catalog'!$B:$B,0)),IFERROR(INDEX('Catalog'!$A:$A,MATCH(TRIM(SUBSTITUTE($A938,CHAR(160)," ")),'Catalog'!$C:$C,0)),""))</f>
        <v>4413455</v>
      </c>
      <c r="F938" s="20" t="str">
        <f aca="false">IF($E938="","Unmatched","Matched")</f>
        <v>Matched</v>
      </c>
    </row>
    <row r="939" customFormat="false" ht="15" hidden="false" customHeight="false" outlineLevel="0" collapsed="false">
      <c r="A939" s="20" t="s">
        <v>472</v>
      </c>
      <c r="B939" s="20" t="n">
        <v>2026</v>
      </c>
      <c r="C939" s="21" t="n">
        <v>49</v>
      </c>
      <c r="D939" s="22" t="n">
        <v>3860</v>
      </c>
      <c r="E939" s="20" t="n">
        <f aca="false">IFERROR(INDEX('Catalog'!$A:$A,MATCH($A939,'Catalog'!$B:$B,0)),IFERROR(INDEX('Catalog'!$A:$A,MATCH(TRIM(SUBSTITUTE($A939,CHAR(160)," ")),'Catalog'!$C:$C,0)),""))</f>
        <v>4413456</v>
      </c>
      <c r="F939" s="20" t="str">
        <f aca="false">IF($E939="","Unmatched","Matched")</f>
        <v>Matched</v>
      </c>
    </row>
    <row r="940" customFormat="false" ht="15" hidden="false" customHeight="false" outlineLevel="0" collapsed="false">
      <c r="A940" s="20" t="s">
        <v>824</v>
      </c>
      <c r="B940" s="20" t="n">
        <v>2026</v>
      </c>
      <c r="C940" s="21" t="n">
        <v>183</v>
      </c>
      <c r="D940" s="22" t="n">
        <v>5609.7</v>
      </c>
      <c r="E940" s="20" t="n">
        <f aca="false">IFERROR(INDEX('Catalog'!$A:$A,MATCH($A940,'Catalog'!$B:$B,0)),IFERROR(INDEX('Catalog'!$A:$A,MATCH(TRIM(SUBSTITUTE($A940,CHAR(160)," ")),'Catalog'!$C:$C,0)),""))</f>
        <v>4413490</v>
      </c>
      <c r="F940" s="20" t="str">
        <f aca="false">IF($E940="","Unmatched","Matched")</f>
        <v>Matched</v>
      </c>
    </row>
    <row r="941" customFormat="false" ht="15" hidden="false" customHeight="false" outlineLevel="0" collapsed="false">
      <c r="A941" s="20" t="s">
        <v>827</v>
      </c>
      <c r="B941" s="20" t="n">
        <v>2026</v>
      </c>
      <c r="C941" s="21" t="n">
        <v>99</v>
      </c>
      <c r="D941" s="22" t="n">
        <v>3019</v>
      </c>
      <c r="E941" s="20" t="n">
        <f aca="false">IFERROR(INDEX('Catalog'!$A:$A,MATCH($A941,'Catalog'!$B:$B,0)),IFERROR(INDEX('Catalog'!$A:$A,MATCH(TRIM(SUBSTITUTE($A941,CHAR(160)," ")),'Catalog'!$C:$C,0)),""))</f>
        <v>4413491</v>
      </c>
      <c r="F941" s="20" t="str">
        <f aca="false">IF($E941="","Unmatched","Matched")</f>
        <v>Matched</v>
      </c>
    </row>
    <row r="942" customFormat="false" ht="15" hidden="false" customHeight="false" outlineLevel="0" collapsed="false">
      <c r="A942" s="20" t="s">
        <v>825</v>
      </c>
      <c r="B942" s="20" t="n">
        <v>2026</v>
      </c>
      <c r="C942" s="21" t="n">
        <v>146</v>
      </c>
      <c r="D942" s="22" t="n">
        <v>4485.3</v>
      </c>
      <c r="E942" s="20" t="n">
        <f aca="false">IFERROR(INDEX('Catalog'!$A:$A,MATCH($A942,'Catalog'!$B:$B,0)),IFERROR(INDEX('Catalog'!$A:$A,MATCH(TRIM(SUBSTITUTE($A942,CHAR(160)," ")),'Catalog'!$C:$C,0)),""))</f>
        <v>4413492</v>
      </c>
      <c r="F942" s="20" t="str">
        <f aca="false">IF($E942="","Unmatched","Matched")</f>
        <v>Matched</v>
      </c>
    </row>
    <row r="943" customFormat="false" ht="15" hidden="false" customHeight="false" outlineLevel="0" collapsed="false">
      <c r="A943" s="20" t="s">
        <v>826</v>
      </c>
      <c r="B943" s="20" t="n">
        <v>2026</v>
      </c>
      <c r="C943" s="21" t="n">
        <v>77</v>
      </c>
      <c r="D943" s="22" t="n">
        <v>2360</v>
      </c>
      <c r="E943" s="20" t="n">
        <f aca="false">IFERROR(INDEX('Catalog'!$A:$A,MATCH($A943,'Catalog'!$B:$B,0)),IFERROR(INDEX('Catalog'!$A:$A,MATCH(TRIM(SUBSTITUTE($A943,CHAR(160)," ")),'Catalog'!$C:$C,0)),""))</f>
        <v>4413493</v>
      </c>
      <c r="F943" s="20" t="str">
        <f aca="false">IF($E943="","Unmatched","Matched")</f>
        <v>Matched</v>
      </c>
    </row>
    <row r="944" customFormat="false" ht="15" hidden="false" customHeight="false" outlineLevel="0" collapsed="false">
      <c r="A944" s="20" t="s">
        <v>828</v>
      </c>
      <c r="B944" s="20" t="n">
        <v>2026</v>
      </c>
      <c r="C944" s="21" t="n">
        <v>33</v>
      </c>
      <c r="D944" s="22" t="n">
        <v>1009.1</v>
      </c>
      <c r="E944" s="20" t="n">
        <f aca="false">IFERROR(INDEX('Catalog'!$A:$A,MATCH($A944,'Catalog'!$B:$B,0)),IFERROR(INDEX('Catalog'!$A:$A,MATCH(TRIM(SUBSTITUTE($A944,CHAR(160)," ")),'Catalog'!$C:$C,0)),""))</f>
        <v>4413494</v>
      </c>
      <c r="F944" s="20" t="str">
        <f aca="false">IF($E944="","Unmatched","Matched")</f>
        <v>Matched</v>
      </c>
    </row>
    <row r="945" customFormat="false" ht="15" hidden="false" customHeight="false" outlineLevel="0" collapsed="false">
      <c r="A945" s="20" t="s">
        <v>200</v>
      </c>
      <c r="B945" s="20" t="n">
        <v>2026</v>
      </c>
      <c r="C945" s="21" t="n">
        <v>224</v>
      </c>
      <c r="D945" s="22" t="n">
        <v>6835</v>
      </c>
      <c r="E945" s="20" t="n">
        <f aca="false">IFERROR(INDEX('Catalog'!$A:$A,MATCH($A945,'Catalog'!$B:$B,0)),IFERROR(INDEX('Catalog'!$A:$A,MATCH(TRIM(SUBSTITUTE($A945,CHAR(160)," ")),'Catalog'!$C:$C,0)),""))</f>
        <v>4413495</v>
      </c>
      <c r="F945" s="20" t="str">
        <f aca="false">IF($E945="","Unmatched","Matched")</f>
        <v>Matched</v>
      </c>
    </row>
    <row r="946" customFormat="false" ht="15" hidden="false" customHeight="false" outlineLevel="0" collapsed="false">
      <c r="A946" s="20" t="s">
        <v>203</v>
      </c>
      <c r="B946" s="20" t="n">
        <v>2026</v>
      </c>
      <c r="C946" s="21" t="n">
        <v>156</v>
      </c>
      <c r="D946" s="22" t="n">
        <v>4687.1</v>
      </c>
      <c r="E946" s="20" t="n">
        <f aca="false">IFERROR(INDEX('Catalog'!$A:$A,MATCH($A946,'Catalog'!$B:$B,0)),IFERROR(INDEX('Catalog'!$A:$A,MATCH(TRIM(SUBSTITUTE($A946,CHAR(160)," ")),'Catalog'!$C:$C,0)),""))</f>
        <v>4413496</v>
      </c>
      <c r="F946" s="20" t="str">
        <f aca="false">IF($E946="","Unmatched","Matched")</f>
        <v>Matched</v>
      </c>
    </row>
    <row r="947" customFormat="false" ht="15" hidden="false" customHeight="false" outlineLevel="0" collapsed="false">
      <c r="A947" s="20" t="s">
        <v>201</v>
      </c>
      <c r="B947" s="20" t="n">
        <v>2026</v>
      </c>
      <c r="C947" s="21" t="n">
        <v>172</v>
      </c>
      <c r="D947" s="22" t="n">
        <v>5241.1</v>
      </c>
      <c r="E947" s="20" t="n">
        <f aca="false">IFERROR(INDEX('Catalog'!$A:$A,MATCH($A947,'Catalog'!$B:$B,0)),IFERROR(INDEX('Catalog'!$A:$A,MATCH(TRIM(SUBSTITUTE($A947,CHAR(160)," ")),'Catalog'!$C:$C,0)),""))</f>
        <v>4413497</v>
      </c>
      <c r="F947" s="20" t="str">
        <f aca="false">IF($E947="","Unmatched","Matched")</f>
        <v>Matched</v>
      </c>
    </row>
    <row r="948" customFormat="false" ht="15" hidden="false" customHeight="false" outlineLevel="0" collapsed="false">
      <c r="A948" s="20" t="s">
        <v>202</v>
      </c>
      <c r="B948" s="20" t="n">
        <v>2026</v>
      </c>
      <c r="C948" s="21" t="n">
        <v>89</v>
      </c>
      <c r="D948" s="22" t="n">
        <v>2712.2</v>
      </c>
      <c r="E948" s="20" t="n">
        <f aca="false">IFERROR(INDEX('Catalog'!$A:$A,MATCH($A948,'Catalog'!$B:$B,0)),IFERROR(INDEX('Catalog'!$A:$A,MATCH(TRIM(SUBSTITUTE($A948,CHAR(160)," ")),'Catalog'!$C:$C,0)),""))</f>
        <v>4413498</v>
      </c>
      <c r="F948" s="20" t="str">
        <f aca="false">IF($E948="","Unmatched","Matched")</f>
        <v>Matched</v>
      </c>
    </row>
    <row r="949" customFormat="false" ht="15" hidden="false" customHeight="false" outlineLevel="0" collapsed="false">
      <c r="A949" s="20" t="s">
        <v>204</v>
      </c>
      <c r="B949" s="20" t="n">
        <v>2026</v>
      </c>
      <c r="C949" s="21" t="n">
        <v>58</v>
      </c>
      <c r="D949" s="22" t="n">
        <v>1758.7</v>
      </c>
      <c r="E949" s="20" t="n">
        <f aca="false">IFERROR(INDEX('Catalog'!$A:$A,MATCH($A949,'Catalog'!$B:$B,0)),IFERROR(INDEX('Catalog'!$A:$A,MATCH(TRIM(SUBSTITUTE($A949,CHAR(160)," ")),'Catalog'!$C:$C,0)),""))</f>
        <v>4413499</v>
      </c>
      <c r="F949" s="20" t="str">
        <f aca="false">IF($E949="","Unmatched","Matched")</f>
        <v>Matched</v>
      </c>
    </row>
    <row r="950" customFormat="false" ht="15" hidden="false" customHeight="false" outlineLevel="0" collapsed="false">
      <c r="A950" s="20" t="s">
        <v>564</v>
      </c>
      <c r="B950" s="20" t="n">
        <v>2026</v>
      </c>
      <c r="C950" s="21" t="n">
        <v>76</v>
      </c>
      <c r="D950" s="22" t="n">
        <v>2323</v>
      </c>
      <c r="E950" s="20" t="n">
        <f aca="false">IFERROR(INDEX('Catalog'!$A:$A,MATCH($A950,'Catalog'!$B:$B,0)),IFERROR(INDEX('Catalog'!$A:$A,MATCH(TRIM(SUBSTITUTE($A950,CHAR(160)," ")),'Catalog'!$C:$C,0)),""))</f>
        <v>4413500</v>
      </c>
      <c r="F950" s="20" t="str">
        <f aca="false">IF($E950="","Unmatched","Matched")</f>
        <v>Matched</v>
      </c>
    </row>
    <row r="951" customFormat="false" ht="15" hidden="false" customHeight="false" outlineLevel="0" collapsed="false">
      <c r="A951" s="20" t="s">
        <v>565</v>
      </c>
      <c r="B951" s="20" t="n">
        <v>2026</v>
      </c>
      <c r="C951" s="21" t="n">
        <v>112</v>
      </c>
      <c r="D951" s="22" t="n">
        <v>3420.6</v>
      </c>
      <c r="E951" s="20" t="n">
        <f aca="false">IFERROR(INDEX('Catalog'!$A:$A,MATCH($A951,'Catalog'!$B:$B,0)),IFERROR(INDEX('Catalog'!$A:$A,MATCH(TRIM(SUBSTITUTE($A951,CHAR(160)," ")),'Catalog'!$C:$C,0)),""))</f>
        <v>4413501</v>
      </c>
      <c r="F951" s="20" t="str">
        <f aca="false">IF($E951="","Unmatched","Matched")</f>
        <v>Matched</v>
      </c>
    </row>
    <row r="952" customFormat="false" ht="15" hidden="false" customHeight="false" outlineLevel="0" collapsed="false">
      <c r="A952" s="20" t="s">
        <v>566</v>
      </c>
      <c r="B952" s="20" t="n">
        <v>2026</v>
      </c>
      <c r="C952" s="21" t="n">
        <v>85</v>
      </c>
      <c r="D952" s="22" t="n">
        <v>2586.5</v>
      </c>
      <c r="E952" s="20" t="n">
        <f aca="false">IFERROR(INDEX('Catalog'!$A:$A,MATCH($A952,'Catalog'!$B:$B,0)),IFERROR(INDEX('Catalog'!$A:$A,MATCH(TRIM(SUBSTITUTE($A952,CHAR(160)," ")),'Catalog'!$C:$C,0)),""))</f>
        <v>4413502</v>
      </c>
      <c r="F952" s="20" t="str">
        <f aca="false">IF($E952="","Unmatched","Matched")</f>
        <v>Matched</v>
      </c>
    </row>
    <row r="953" customFormat="false" ht="15" hidden="false" customHeight="false" outlineLevel="0" collapsed="false">
      <c r="A953" s="20" t="s">
        <v>567</v>
      </c>
      <c r="B953" s="20" t="n">
        <v>2026</v>
      </c>
      <c r="C953" s="21" t="n">
        <v>49</v>
      </c>
      <c r="D953" s="22" t="n">
        <v>1495.1</v>
      </c>
      <c r="E953" s="20" t="n">
        <f aca="false">IFERROR(INDEX('Catalog'!$A:$A,MATCH($A953,'Catalog'!$B:$B,0)),IFERROR(INDEX('Catalog'!$A:$A,MATCH(TRIM(SUBSTITUTE($A953,CHAR(160)," ")),'Catalog'!$C:$C,0)),""))</f>
        <v>4413503</v>
      </c>
      <c r="F953" s="20" t="str">
        <f aca="false">IF($E953="","Unmatched","Matched")</f>
        <v>Matched</v>
      </c>
    </row>
    <row r="954" customFormat="false" ht="15" hidden="false" customHeight="false" outlineLevel="0" collapsed="false">
      <c r="A954" s="20" t="s">
        <v>568</v>
      </c>
      <c r="B954" s="20" t="n">
        <v>2026</v>
      </c>
      <c r="C954" s="21" t="n">
        <v>8</v>
      </c>
      <c r="D954" s="22" t="n">
        <v>236.8</v>
      </c>
      <c r="E954" s="20" t="n">
        <f aca="false">IFERROR(INDEX('Catalog'!$A:$A,MATCH($A954,'Catalog'!$B:$B,0)),IFERROR(INDEX('Catalog'!$A:$A,MATCH(TRIM(SUBSTITUTE($A954,CHAR(160)," ")),'Catalog'!$C:$C,0)),""))</f>
        <v>4413504</v>
      </c>
      <c r="F954" s="20" t="str">
        <f aca="false">IF($E954="","Unmatched","Matched")</f>
        <v>Matched</v>
      </c>
    </row>
    <row r="955" customFormat="false" ht="15" hidden="false" customHeight="false" outlineLevel="0" collapsed="false">
      <c r="A955" s="20" t="s">
        <v>760</v>
      </c>
      <c r="B955" s="20" t="n">
        <v>2026</v>
      </c>
      <c r="C955" s="21" t="n">
        <v>38</v>
      </c>
      <c r="D955" s="22" t="n">
        <v>1141.8</v>
      </c>
      <c r="E955" s="20" t="n">
        <f aca="false">IFERROR(INDEX('Catalog'!$A:$A,MATCH($A955,'Catalog'!$B:$B,0)),IFERROR(INDEX('Catalog'!$A:$A,MATCH(TRIM(SUBSTITUTE($A955,CHAR(160)," ")),'Catalog'!$C:$C,0)),""))</f>
        <v>4415029</v>
      </c>
      <c r="F955" s="20" t="str">
        <f aca="false">IF($E955="","Unmatched","Matched")</f>
        <v>Matched</v>
      </c>
    </row>
    <row r="956" customFormat="false" ht="15" hidden="false" customHeight="false" outlineLevel="0" collapsed="false">
      <c r="A956" s="20" t="s">
        <v>911</v>
      </c>
      <c r="B956" s="20" t="n">
        <v>2026</v>
      </c>
      <c r="C956" s="21" t="n">
        <v>3</v>
      </c>
      <c r="D956" s="22" t="n">
        <v>113.3</v>
      </c>
      <c r="E956" s="20" t="n">
        <f aca="false">IFERROR(INDEX('Catalog'!$A:$A,MATCH($A956,'Catalog'!$B:$B,0)),IFERROR(INDEX('Catalog'!$A:$A,MATCH(TRIM(SUBSTITUTE($A956,CHAR(160)," ")),'Catalog'!$C:$C,0)),""))</f>
        <v>4420034</v>
      </c>
      <c r="F956" s="20" t="str">
        <f aca="false">IF($E956="","Unmatched","Matched")</f>
        <v>Matched</v>
      </c>
    </row>
    <row r="957" customFormat="false" ht="15" hidden="false" customHeight="false" outlineLevel="0" collapsed="false">
      <c r="A957" s="20" t="s">
        <v>846</v>
      </c>
      <c r="B957" s="20" t="n">
        <v>2026</v>
      </c>
      <c r="C957" s="21" t="n">
        <v>3</v>
      </c>
      <c r="D957" s="22" t="n">
        <v>194.6</v>
      </c>
      <c r="E957" s="20" t="n">
        <f aca="false">IFERROR(INDEX('Catalog'!$A:$A,MATCH($A957,'Catalog'!$B:$B,0)),IFERROR(INDEX('Catalog'!$A:$A,MATCH(TRIM(SUBSTITUTE($A957,CHAR(160)," ")),'Catalog'!$C:$C,0)),""))</f>
        <v>4420035</v>
      </c>
      <c r="F957" s="20" t="str">
        <f aca="false">IF($E957="","Unmatched","Matched")</f>
        <v>Matched</v>
      </c>
    </row>
    <row r="958" customFormat="false" ht="15" hidden="false" customHeight="false" outlineLevel="0" collapsed="false">
      <c r="A958" s="20" t="s">
        <v>845</v>
      </c>
      <c r="B958" s="20" t="n">
        <v>2026</v>
      </c>
      <c r="C958" s="21" t="n">
        <v>3</v>
      </c>
      <c r="D958" s="22" t="n">
        <v>185.1</v>
      </c>
      <c r="E958" s="20" t="n">
        <f aca="false">IFERROR(INDEX('Catalog'!$A:$A,MATCH($A958,'Catalog'!$B:$B,0)),IFERROR(INDEX('Catalog'!$A:$A,MATCH(TRIM(SUBSTITUTE($A958,CHAR(160)," ")),'Catalog'!$C:$C,0)),""))</f>
        <v>4420036</v>
      </c>
      <c r="F958" s="20" t="str">
        <f aca="false">IF($E958="","Unmatched","Matched")</f>
        <v>Matched</v>
      </c>
    </row>
    <row r="959" customFormat="false" ht="15" hidden="false" customHeight="false" outlineLevel="0" collapsed="false">
      <c r="A959" s="20" t="s">
        <v>848</v>
      </c>
      <c r="B959" s="20" t="n">
        <v>2026</v>
      </c>
      <c r="C959" s="21" t="n">
        <v>2</v>
      </c>
      <c r="D959" s="22" t="n">
        <v>146.5</v>
      </c>
      <c r="E959" s="20" t="n">
        <f aca="false">IFERROR(INDEX('Catalog'!$A:$A,MATCH($A959,'Catalog'!$B:$B,0)),IFERROR(INDEX('Catalog'!$A:$A,MATCH(TRIM(SUBSTITUTE($A959,CHAR(160)," ")),'Catalog'!$C:$C,0)),""))</f>
        <v>4420037</v>
      </c>
      <c r="F959" s="20" t="str">
        <f aca="false">IF($E959="","Unmatched","Matched")</f>
        <v>Matched</v>
      </c>
    </row>
    <row r="960" customFormat="false" ht="15" hidden="false" customHeight="false" outlineLevel="0" collapsed="false">
      <c r="A960" s="20" t="s">
        <v>446</v>
      </c>
      <c r="B960" s="20" t="n">
        <v>2026</v>
      </c>
      <c r="C960" s="21" t="n">
        <v>76</v>
      </c>
      <c r="D960" s="22" t="n">
        <v>2942</v>
      </c>
      <c r="E960" s="20" t="n">
        <f aca="false">IFERROR(INDEX('Catalog'!$A:$A,MATCH($A960,'Catalog'!$B:$B,0)),IFERROR(INDEX('Catalog'!$A:$A,MATCH(TRIM(SUBSTITUTE($A960,CHAR(160)," ")),'Catalog'!$C:$C,0)),""))</f>
        <v>4421005</v>
      </c>
      <c r="F960" s="20" t="str">
        <f aca="false">IF($E960="","Unmatched","Matched")</f>
        <v>Matched</v>
      </c>
    </row>
    <row r="961" customFormat="false" ht="15" hidden="false" customHeight="false" outlineLevel="0" collapsed="false">
      <c r="A961" s="20" t="s">
        <v>445</v>
      </c>
      <c r="B961" s="20" t="n">
        <v>2026</v>
      </c>
      <c r="C961" s="21" t="n">
        <v>112</v>
      </c>
      <c r="D961" s="22" t="n">
        <v>4558.6</v>
      </c>
      <c r="E961" s="20" t="n">
        <f aca="false">IFERROR(INDEX('Catalog'!$A:$A,MATCH($A961,'Catalog'!$B:$B,0)),IFERROR(INDEX('Catalog'!$A:$A,MATCH(TRIM(SUBSTITUTE($A961,CHAR(160)," ")),'Catalog'!$C:$C,0)),""))</f>
        <v>4421006</v>
      </c>
      <c r="F961" s="20" t="str">
        <f aca="false">IF($E961="","Unmatched","Matched")</f>
        <v>Matched</v>
      </c>
    </row>
    <row r="962" customFormat="false" ht="15" hidden="false" customHeight="false" outlineLevel="0" collapsed="false">
      <c r="A962" s="20" t="s">
        <v>440</v>
      </c>
      <c r="B962" s="20" t="n">
        <v>2026</v>
      </c>
      <c r="C962" s="21" t="n">
        <v>59</v>
      </c>
      <c r="D962" s="22" t="n">
        <v>2570.8</v>
      </c>
      <c r="E962" s="20" t="n">
        <f aca="false">IFERROR(INDEX('Catalog'!$A:$A,MATCH($A962,'Catalog'!$B:$B,0)),IFERROR(INDEX('Catalog'!$A:$A,MATCH(TRIM(SUBSTITUTE($A962,CHAR(160)," ")),'Catalog'!$C:$C,0)),""))</f>
        <v>4421007</v>
      </c>
      <c r="F962" s="20" t="str">
        <f aca="false">IF($E962="","Unmatched","Matched")</f>
        <v>Matched</v>
      </c>
    </row>
    <row r="963" customFormat="false" ht="15" hidden="false" customHeight="false" outlineLevel="0" collapsed="false">
      <c r="A963" s="20" t="s">
        <v>439</v>
      </c>
      <c r="B963" s="20" t="n">
        <v>2026</v>
      </c>
      <c r="C963" s="21" t="n">
        <v>83</v>
      </c>
      <c r="D963" s="22" t="n">
        <v>3714.4</v>
      </c>
      <c r="E963" s="20" t="n">
        <f aca="false">IFERROR(INDEX('Catalog'!$A:$A,MATCH($A963,'Catalog'!$B:$B,0)),IFERROR(INDEX('Catalog'!$A:$A,MATCH(TRIM(SUBSTITUTE($A963,CHAR(160)," ")),'Catalog'!$C:$C,0)),""))</f>
        <v>4421008</v>
      </c>
      <c r="F963" s="20" t="str">
        <f aca="false">IF($E963="","Unmatched","Matched")</f>
        <v>Matched</v>
      </c>
    </row>
    <row r="964" customFormat="false" ht="15" hidden="false" customHeight="false" outlineLevel="0" collapsed="false">
      <c r="A964" s="20" t="s">
        <v>921</v>
      </c>
      <c r="B964" s="20" t="n">
        <v>2026</v>
      </c>
      <c r="C964" s="21" t="n">
        <v>745</v>
      </c>
      <c r="D964" s="22" t="n">
        <v>8337</v>
      </c>
      <c r="E964" s="20" t="n">
        <f aca="false">IFERROR(INDEX('Catalog'!$A:$A,MATCH($A964,'Catalog'!$B:$B,0)),IFERROR(INDEX('Catalog'!$A:$A,MATCH(TRIM(SUBSTITUTE($A964,CHAR(160)," ")),'Catalog'!$C:$C,0)),""))</f>
        <v>4422031</v>
      </c>
      <c r="F964" s="20" t="str">
        <f aca="false">IF($E964="","Unmatched","Matched")</f>
        <v>Matched</v>
      </c>
    </row>
    <row r="965" customFormat="false" ht="15" hidden="false" customHeight="false" outlineLevel="0" collapsed="false">
      <c r="A965" s="20" t="s">
        <v>919</v>
      </c>
      <c r="B965" s="20" t="n">
        <v>2026</v>
      </c>
      <c r="C965" s="21" t="n">
        <v>212</v>
      </c>
      <c r="D965" s="22" t="n">
        <v>2361.9</v>
      </c>
      <c r="E965" s="20" t="n">
        <f aca="false">IFERROR(INDEX('Catalog'!$A:$A,MATCH($A965,'Catalog'!$B:$B,0)),IFERROR(INDEX('Catalog'!$A:$A,MATCH(TRIM(SUBSTITUTE($A965,CHAR(160)," ")),'Catalog'!$C:$C,0)),""))</f>
        <v>4422032</v>
      </c>
      <c r="F965" s="20" t="str">
        <f aca="false">IF($E965="","Unmatched","Matched")</f>
        <v>Matched</v>
      </c>
    </row>
    <row r="966" customFormat="false" ht="15" hidden="false" customHeight="false" outlineLevel="0" collapsed="false">
      <c r="A966" s="20" t="s">
        <v>920</v>
      </c>
      <c r="B966" s="20" t="n">
        <v>2026</v>
      </c>
      <c r="C966" s="21" t="n">
        <v>124</v>
      </c>
      <c r="D966" s="22" t="n">
        <v>1388.3</v>
      </c>
      <c r="E966" s="20" t="n">
        <f aca="false">IFERROR(INDEX('Catalog'!$A:$A,MATCH($A966,'Catalog'!$B:$B,0)),IFERROR(INDEX('Catalog'!$A:$A,MATCH(TRIM(SUBSTITUTE($A966,CHAR(160)," ")),'Catalog'!$C:$C,0)),""))</f>
        <v>4422033</v>
      </c>
      <c r="F966" s="20" t="str">
        <f aca="false">IF($E966="","Unmatched","Matched")</f>
        <v>Matched</v>
      </c>
    </row>
    <row r="967" customFormat="false" ht="15" hidden="false" customHeight="false" outlineLevel="0" collapsed="false">
      <c r="A967" s="20" t="s">
        <v>922</v>
      </c>
      <c r="B967" s="20" t="n">
        <v>2026</v>
      </c>
      <c r="C967" s="21" t="n">
        <v>64</v>
      </c>
      <c r="D967" s="22" t="n">
        <v>748.7</v>
      </c>
      <c r="E967" s="20" t="n">
        <f aca="false">IFERROR(INDEX('Catalog'!$A:$A,MATCH($A967,'Catalog'!$B:$B,0)),IFERROR(INDEX('Catalog'!$A:$A,MATCH(TRIM(SUBSTITUTE($A967,CHAR(160)," ")),'Catalog'!$C:$C,0)),""))</f>
        <v>4422034</v>
      </c>
      <c r="F967" s="20" t="str">
        <f aca="false">IF($E967="","Unmatched","Matched")</f>
        <v>Matched</v>
      </c>
    </row>
    <row r="968" customFormat="false" ht="15" hidden="false" customHeight="false" outlineLevel="0" collapsed="false">
      <c r="A968" s="20" t="s">
        <v>290</v>
      </c>
      <c r="B968" s="20" t="n">
        <v>2026</v>
      </c>
      <c r="C968" s="21" t="n">
        <v>2</v>
      </c>
      <c r="D968" s="22" t="n">
        <v>184.6</v>
      </c>
      <c r="E968" s="20" t="n">
        <f aca="false">IFERROR(INDEX('Catalog'!$A:$A,MATCH($A968,'Catalog'!$B:$B,0)),IFERROR(INDEX('Catalog'!$A:$A,MATCH(TRIM(SUBSTITUTE($A968,CHAR(160)," ")),'Catalog'!$C:$C,0)),""))</f>
        <v>4403034</v>
      </c>
      <c r="F968" s="20" t="str">
        <f aca="false">IF($E968="","Unmatched","Matched")</f>
        <v>Matched</v>
      </c>
    </row>
    <row r="969" customFormat="false" ht="15" hidden="false" customHeight="false" outlineLevel="0" collapsed="false">
      <c r="A969" s="20" t="s">
        <v>291</v>
      </c>
      <c r="B969" s="20" t="n">
        <v>2026</v>
      </c>
      <c r="C969" s="21" t="n">
        <v>1</v>
      </c>
      <c r="D969" s="22" t="n">
        <v>92.3</v>
      </c>
      <c r="E969" s="20" t="n">
        <f aca="false">IFERROR(INDEX('Catalog'!$A:$A,MATCH($A969,'Catalog'!$B:$B,0)),IFERROR(INDEX('Catalog'!$A:$A,MATCH(TRIM(SUBSTITUTE($A969,CHAR(160)," ")),'Catalog'!$C:$C,0)),""))</f>
        <v>4403035</v>
      </c>
      <c r="F969" s="20" t="str">
        <f aca="false">IF($E969="","Unmatched","Matched")</f>
        <v>Matched</v>
      </c>
    </row>
    <row r="970" customFormat="false" ht="15" hidden="false" customHeight="false" outlineLevel="0" collapsed="false">
      <c r="A970" s="20" t="s">
        <v>352</v>
      </c>
      <c r="B970" s="20" t="n">
        <v>2026</v>
      </c>
      <c r="C970" s="21" t="n">
        <v>1</v>
      </c>
      <c r="D970" s="22" t="n">
        <v>166.4</v>
      </c>
      <c r="E970" s="20" t="n">
        <f aca="false">IFERROR(INDEX('Catalog'!$A:$A,MATCH($A970,'Catalog'!$B:$B,0)),IFERROR(INDEX('Catalog'!$A:$A,MATCH(TRIM(SUBSTITUTE($A970,CHAR(160)," ")),'Catalog'!$C:$C,0)),""))</f>
        <v>4408259</v>
      </c>
      <c r="F970" s="20" t="str">
        <f aca="false">IF($E970="","Unmatched","Matched")</f>
        <v>Matched</v>
      </c>
    </row>
    <row r="971" customFormat="false" ht="15" hidden="false" customHeight="false" outlineLevel="0" collapsed="false">
      <c r="A971" s="20" t="s">
        <v>351</v>
      </c>
      <c r="B971" s="20" t="n">
        <v>2026</v>
      </c>
      <c r="C971" s="21" t="n">
        <v>1</v>
      </c>
      <c r="D971" s="22" t="n">
        <v>166.4</v>
      </c>
      <c r="E971" s="20" t="n">
        <f aca="false">IFERROR(INDEX('Catalog'!$A:$A,MATCH($A971,'Catalog'!$B:$B,0)),IFERROR(INDEX('Catalog'!$A:$A,MATCH(TRIM(SUBSTITUTE($A971,CHAR(160)," ")),'Catalog'!$C:$C,0)),""))</f>
        <v>4408260</v>
      </c>
      <c r="F971" s="20" t="str">
        <f aca="false">IF($E971="","Unmatched","Matched")</f>
        <v>Matched</v>
      </c>
    </row>
    <row r="972" customFormat="false" ht="15" hidden="false" customHeight="false" outlineLevel="0" collapsed="false">
      <c r="A972" s="20" t="s">
        <v>353</v>
      </c>
      <c r="B972" s="20" t="n">
        <v>2026</v>
      </c>
      <c r="C972" s="21" t="n">
        <v>2</v>
      </c>
      <c r="D972" s="22" t="n">
        <v>332.7</v>
      </c>
      <c r="E972" s="20" t="n">
        <f aca="false">IFERROR(INDEX('Catalog'!$A:$A,MATCH($A972,'Catalog'!$B:$B,0)),IFERROR(INDEX('Catalog'!$A:$A,MATCH(TRIM(SUBSTITUTE($A972,CHAR(160)," ")),'Catalog'!$C:$C,0)),""))</f>
        <v>4408262</v>
      </c>
      <c r="F972" s="20" t="str">
        <f aca="false">IF($E972="","Unmatched","Matched")</f>
        <v>Matched</v>
      </c>
    </row>
    <row r="973" customFormat="false" ht="15" hidden="false" customHeight="false" outlineLevel="0" collapsed="false">
      <c r="A973" s="20" t="s">
        <v>603</v>
      </c>
      <c r="B973" s="20" t="n">
        <v>2026</v>
      </c>
      <c r="C973" s="21" t="n">
        <v>161</v>
      </c>
      <c r="D973" s="22" t="n">
        <v>8987</v>
      </c>
      <c r="E973" s="20" t="n">
        <f aca="false">IFERROR(INDEX('Catalog'!$A:$A,MATCH($A973,'Catalog'!$B:$B,0)),IFERROR(INDEX('Catalog'!$A:$A,MATCH(TRIM(SUBSTITUTE($A973,CHAR(160)," ")),'Catalog'!$C:$C,0)),""))</f>
        <v>4413516</v>
      </c>
      <c r="F973" s="20" t="str">
        <f aca="false">IF($E973="","Unmatched","Matched")</f>
        <v>Matched</v>
      </c>
    </row>
    <row r="974" customFormat="false" ht="15" hidden="false" customHeight="false" outlineLevel="0" collapsed="false">
      <c r="A974" s="20" t="s">
        <v>604</v>
      </c>
      <c r="B974" s="20" t="n">
        <v>2026</v>
      </c>
      <c r="C974" s="21" t="n">
        <v>115</v>
      </c>
      <c r="D974" s="22" t="n">
        <v>6429.3</v>
      </c>
      <c r="E974" s="20" t="n">
        <f aca="false">IFERROR(INDEX('Catalog'!$A:$A,MATCH($A974,'Catalog'!$B:$B,0)),IFERROR(INDEX('Catalog'!$A:$A,MATCH(TRIM(SUBSTITUTE($A974,CHAR(160)," ")),'Catalog'!$C:$C,0)),""))</f>
        <v>4413517</v>
      </c>
      <c r="F974" s="20" t="str">
        <f aca="false">IF($E974="","Unmatched","Matched")</f>
        <v>Matched</v>
      </c>
    </row>
    <row r="975" customFormat="false" ht="15" hidden="false" customHeight="false" outlineLevel="0" collapsed="false">
      <c r="A975" s="20" t="s">
        <v>606</v>
      </c>
      <c r="B975" s="20" t="n">
        <v>2026</v>
      </c>
      <c r="C975" s="21" t="n">
        <v>89</v>
      </c>
      <c r="D975" s="22" t="n">
        <v>4876.5</v>
      </c>
      <c r="E975" s="20" t="n">
        <f aca="false">IFERROR(INDEX('Catalog'!$A:$A,MATCH($A975,'Catalog'!$B:$B,0)),IFERROR(INDEX('Catalog'!$A:$A,MATCH(TRIM(SUBSTITUTE($A975,CHAR(160)," ")),'Catalog'!$C:$C,0)),""))</f>
        <v>4413518</v>
      </c>
      <c r="F975" s="20" t="str">
        <f aca="false">IF($E975="","Unmatched","Matched")</f>
        <v>Matched</v>
      </c>
    </row>
    <row r="976" customFormat="false" ht="15" hidden="false" customHeight="false" outlineLevel="0" collapsed="false">
      <c r="A976" s="20" t="s">
        <v>605</v>
      </c>
      <c r="B976" s="20" t="n">
        <v>2026</v>
      </c>
      <c r="C976" s="21" t="n">
        <v>46</v>
      </c>
      <c r="D976" s="22" t="n">
        <v>2565.2</v>
      </c>
      <c r="E976" s="20" t="n">
        <f aca="false">IFERROR(INDEX('Catalog'!$A:$A,MATCH($A976,'Catalog'!$B:$B,0)),IFERROR(INDEX('Catalog'!$A:$A,MATCH(TRIM(SUBSTITUTE($A976,CHAR(160)," ")),'Catalog'!$C:$C,0)),""))</f>
        <v>4413519</v>
      </c>
      <c r="F976" s="20" t="str">
        <f aca="false">IF($E976="","Unmatched","Matched")</f>
        <v>Matched</v>
      </c>
    </row>
    <row r="977" customFormat="false" ht="15" hidden="false" customHeight="false" outlineLevel="0" collapsed="false">
      <c r="A977" s="20" t="s">
        <v>432</v>
      </c>
      <c r="B977" s="20" t="n">
        <v>2026</v>
      </c>
      <c r="C977" s="21" t="n">
        <v>12</v>
      </c>
      <c r="D977" s="22" t="n">
        <v>230</v>
      </c>
      <c r="E977" s="20" t="n">
        <f aca="false">IFERROR(INDEX('Catalog'!$A:$A,MATCH($A977,'Catalog'!$B:$B,0)),IFERROR(INDEX('Catalog'!$A:$A,MATCH(TRIM(SUBSTITUTE($A977,CHAR(160)," ")),'Catalog'!$C:$C,0)),""))</f>
        <v>4419011</v>
      </c>
      <c r="F977" s="20" t="str">
        <f aca="false">IF($E977="","Unmatched","Matched")</f>
        <v>Matched</v>
      </c>
    </row>
    <row r="978" customFormat="false" ht="15" hidden="false" customHeight="false" outlineLevel="0" collapsed="false">
      <c r="A978" s="20" t="s">
        <v>431</v>
      </c>
      <c r="B978" s="20" t="n">
        <v>2026</v>
      </c>
      <c r="C978" s="21" t="n">
        <v>6</v>
      </c>
      <c r="D978" s="22" t="n">
        <v>115</v>
      </c>
      <c r="E978" s="20" t="n">
        <f aca="false">IFERROR(INDEX('Catalog'!$A:$A,MATCH($A978,'Catalog'!$B:$B,0)),IFERROR(INDEX('Catalog'!$A:$A,MATCH(TRIM(SUBSTITUTE($A978,CHAR(160)," ")),'Catalog'!$C:$C,0)),""))</f>
        <v>4419013</v>
      </c>
      <c r="F978" s="20" t="str">
        <f aca="false">IF($E978="","Unmatched","Matched")</f>
        <v>Matched</v>
      </c>
    </row>
    <row r="979" customFormat="false" ht="15" hidden="false" customHeight="false" outlineLevel="0" collapsed="false">
      <c r="A979" s="20" t="s">
        <v>444</v>
      </c>
      <c r="B979" s="20" t="n">
        <v>2026</v>
      </c>
      <c r="C979" s="21" t="n">
        <v>341</v>
      </c>
      <c r="D979" s="22" t="n">
        <v>6493.3</v>
      </c>
      <c r="E979" s="20" t="n">
        <f aca="false">IFERROR(INDEX('Catalog'!$A:$A,MATCH($A979,'Catalog'!$B:$B,0)),IFERROR(INDEX('Catalog'!$A:$A,MATCH(TRIM(SUBSTITUTE($A979,CHAR(160)," ")),'Catalog'!$C:$C,0)),""))</f>
        <v>4422035</v>
      </c>
      <c r="F979" s="20" t="str">
        <f aca="false">IF($E979="","Unmatched","Matched")</f>
        <v>Matched</v>
      </c>
    </row>
    <row r="980" customFormat="false" ht="15" hidden="false" customHeight="false" outlineLevel="0" collapsed="false">
      <c r="A980" s="20" t="s">
        <v>260</v>
      </c>
      <c r="B980" s="20" t="n">
        <v>2026</v>
      </c>
      <c r="C980" s="21" t="n">
        <v>20</v>
      </c>
      <c r="D980" s="22" t="n">
        <v>693.6</v>
      </c>
      <c r="E980" s="20" t="n">
        <f aca="false">IFERROR(INDEX('Catalog'!$A:$A,MATCH($A980,'Catalog'!$B:$B,0)),IFERROR(INDEX('Catalog'!$A:$A,MATCH(TRIM(SUBSTITUTE($A980,CHAR(160)," ")),'Catalog'!$C:$C,0)),""))</f>
        <v>4403040</v>
      </c>
      <c r="F980" s="20" t="str">
        <f aca="false">IF($E980="","Unmatched","Matched")</f>
        <v>Matched</v>
      </c>
    </row>
    <row r="981" customFormat="false" ht="15" hidden="false" customHeight="false" outlineLevel="0" collapsed="false">
      <c r="A981" s="20" t="s">
        <v>286</v>
      </c>
      <c r="B981" s="20" t="n">
        <v>2026</v>
      </c>
      <c r="C981" s="21" t="n">
        <v>116</v>
      </c>
      <c r="D981" s="22" t="n">
        <v>6879.5</v>
      </c>
      <c r="E981" s="20" t="n">
        <f aca="false">IFERROR(INDEX('Catalog'!$A:$A,MATCH($A981,'Catalog'!$B:$B,0)),IFERROR(INDEX('Catalog'!$A:$A,MATCH(TRIM(SUBSTITUTE($A981,CHAR(160)," ")),'Catalog'!$C:$C,0)),""))</f>
        <v>4403041</v>
      </c>
      <c r="F981" s="20" t="str">
        <f aca="false">IF($E981="","Unmatched","Matched")</f>
        <v>Matched</v>
      </c>
    </row>
    <row r="982" customFormat="false" ht="15" hidden="false" customHeight="false" outlineLevel="0" collapsed="false">
      <c r="A982" s="20" t="s">
        <v>287</v>
      </c>
      <c r="B982" s="20" t="n">
        <v>2026</v>
      </c>
      <c r="C982" s="21" t="n">
        <v>190</v>
      </c>
      <c r="D982" s="22" t="n">
        <v>11246.6</v>
      </c>
      <c r="E982" s="20" t="n">
        <f aca="false">IFERROR(INDEX('Catalog'!$A:$A,MATCH($A982,'Catalog'!$B:$B,0)),IFERROR(INDEX('Catalog'!$A:$A,MATCH(TRIM(SUBSTITUTE($A982,CHAR(160)," ")),'Catalog'!$C:$C,0)),""))</f>
        <v>4403042</v>
      </c>
      <c r="F982" s="20" t="str">
        <f aca="false">IF($E982="","Unmatched","Matched")</f>
        <v>Matched</v>
      </c>
    </row>
    <row r="983" customFormat="false" ht="15" hidden="false" customHeight="false" outlineLevel="0" collapsed="false">
      <c r="A983" s="20" t="s">
        <v>288</v>
      </c>
      <c r="B983" s="20" t="n">
        <v>2026</v>
      </c>
      <c r="C983" s="21" t="n">
        <v>150</v>
      </c>
      <c r="D983" s="22" t="n">
        <v>8894.4</v>
      </c>
      <c r="E983" s="20" t="n">
        <f aca="false">IFERROR(INDEX('Catalog'!$A:$A,MATCH($A983,'Catalog'!$B:$B,0)),IFERROR(INDEX('Catalog'!$A:$A,MATCH(TRIM(SUBSTITUTE($A983,CHAR(160)," ")),'Catalog'!$C:$C,0)),""))</f>
        <v>4403043</v>
      </c>
      <c r="F983" s="20" t="str">
        <f aca="false">IF($E983="","Unmatched","Matched")</f>
        <v>Matched</v>
      </c>
    </row>
    <row r="984" customFormat="false" ht="15" hidden="false" customHeight="false" outlineLevel="0" collapsed="false">
      <c r="A984" s="20" t="s">
        <v>279</v>
      </c>
      <c r="B984" s="20" t="n">
        <v>2026</v>
      </c>
      <c r="C984" s="21" t="n">
        <v>21</v>
      </c>
      <c r="D984" s="22" t="n">
        <v>606.4</v>
      </c>
      <c r="E984" s="20" t="n">
        <f aca="false">IFERROR(INDEX('Catalog'!$A:$A,MATCH($A984,'Catalog'!$B:$B,0)),IFERROR(INDEX('Catalog'!$A:$A,MATCH(TRIM(SUBSTITUTE($A984,CHAR(160)," ")),'Catalog'!$C:$C,0)),""))</f>
        <v>4403044</v>
      </c>
      <c r="F984" s="20" t="str">
        <f aca="false">IF($E984="","Unmatched","Matched")</f>
        <v>Matched</v>
      </c>
    </row>
    <row r="985" customFormat="false" ht="15" hidden="false" customHeight="false" outlineLevel="0" collapsed="false">
      <c r="A985" s="20" t="s">
        <v>280</v>
      </c>
      <c r="B985" s="20" t="n">
        <v>2026</v>
      </c>
      <c r="C985" s="21" t="n">
        <v>16</v>
      </c>
      <c r="D985" s="22" t="n">
        <v>454.3</v>
      </c>
      <c r="E985" s="20" t="n">
        <f aca="false">IFERROR(INDEX('Catalog'!$A:$A,MATCH($A985,'Catalog'!$B:$B,0)),IFERROR(INDEX('Catalog'!$A:$A,MATCH(TRIM(SUBSTITUTE($A985,CHAR(160)," ")),'Catalog'!$C:$C,0)),""))</f>
        <v>4403045</v>
      </c>
      <c r="F985" s="20" t="str">
        <f aca="false">IF($E985="","Unmatched","Matched")</f>
        <v>Matched</v>
      </c>
    </row>
    <row r="986" customFormat="false" ht="15" hidden="false" customHeight="false" outlineLevel="0" collapsed="false">
      <c r="A986" s="20" t="s">
        <v>733</v>
      </c>
      <c r="B986" s="20" t="n">
        <v>2026</v>
      </c>
      <c r="C986" s="21" t="n">
        <v>179</v>
      </c>
      <c r="D986" s="22" t="n">
        <v>8153</v>
      </c>
      <c r="E986" s="20" t="n">
        <f aca="false">IFERROR(INDEX('Catalog'!$A:$A,MATCH($A986,'Catalog'!$B:$B,0)),IFERROR(INDEX('Catalog'!$A:$A,MATCH(TRIM(SUBSTITUTE($A986,CHAR(160)," ")),'Catalog'!$C:$C,0)),""))</f>
        <v>4408264</v>
      </c>
      <c r="F986" s="20" t="str">
        <f aca="false">IF($E986="","Unmatched","Matched")</f>
        <v>Matched</v>
      </c>
    </row>
    <row r="987" customFormat="false" ht="15" hidden="false" customHeight="false" outlineLevel="0" collapsed="false">
      <c r="A987" s="20" t="s">
        <v>317</v>
      </c>
      <c r="B987" s="20" t="n">
        <v>2026</v>
      </c>
      <c r="C987" s="21" t="n">
        <v>32</v>
      </c>
      <c r="D987" s="22" t="n">
        <v>3393.7</v>
      </c>
      <c r="E987" s="20" t="n">
        <f aca="false">IFERROR(INDEX('Catalog'!$A:$A,MATCH($A987,'Catalog'!$B:$B,0)),IFERROR(INDEX('Catalog'!$A:$A,MATCH(TRIM(SUBSTITUTE($A987,CHAR(160)," ")),'Catalog'!$C:$C,0)),""))</f>
        <v>4408265</v>
      </c>
      <c r="F987" s="20" t="str">
        <f aca="false">IF($E987="","Unmatched","Matched")</f>
        <v>Matched</v>
      </c>
    </row>
    <row r="988" customFormat="false" ht="15" hidden="false" customHeight="false" outlineLevel="0" collapsed="false">
      <c r="A988" s="20" t="s">
        <v>549</v>
      </c>
      <c r="B988" s="20" t="n">
        <v>2026</v>
      </c>
      <c r="C988" s="21" t="n">
        <v>67</v>
      </c>
      <c r="D988" s="22" t="n">
        <v>5537</v>
      </c>
      <c r="E988" s="20" t="n">
        <f aca="false">IFERROR(INDEX('Catalog'!$A:$A,MATCH($A988,'Catalog'!$B:$B,0)),IFERROR(INDEX('Catalog'!$A:$A,MATCH(TRIM(SUBSTITUTE($A988,CHAR(160)," ")),'Catalog'!$C:$C,0)),""))</f>
        <v>4408266</v>
      </c>
      <c r="F988" s="20" t="str">
        <f aca="false">IF($E988="","Unmatched","Matched")</f>
        <v>Matched</v>
      </c>
    </row>
    <row r="989" customFormat="false" ht="15" hidden="false" customHeight="false" outlineLevel="0" collapsed="false">
      <c r="A989" s="20" t="s">
        <v>397</v>
      </c>
      <c r="B989" s="20" t="n">
        <v>2026</v>
      </c>
      <c r="C989" s="21" t="n">
        <v>1</v>
      </c>
      <c r="D989" s="22" t="n">
        <v>323.4</v>
      </c>
      <c r="E989" s="20" t="n">
        <f aca="false">IFERROR(INDEX('Catalog'!$A:$A,MATCH($A989,'Catalog'!$B:$B,0)),IFERROR(INDEX('Catalog'!$A:$A,MATCH(TRIM(SUBSTITUTE($A989,CHAR(160)," ")),'Catalog'!$C:$C,0)),""))</f>
        <v>4408272</v>
      </c>
      <c r="F989" s="20" t="str">
        <f aca="false">IF($E989="","Unmatched","Matched")</f>
        <v>Matched</v>
      </c>
    </row>
    <row r="990" customFormat="false" ht="15" hidden="false" customHeight="false" outlineLevel="0" collapsed="false">
      <c r="A990" s="20" t="s">
        <v>396</v>
      </c>
      <c r="B990" s="20" t="n">
        <v>2026</v>
      </c>
      <c r="C990" s="21" t="n">
        <v>1</v>
      </c>
      <c r="D990" s="22" t="n">
        <v>323.4</v>
      </c>
      <c r="E990" s="20" t="n">
        <f aca="false">IFERROR(INDEX('Catalog'!$A:$A,MATCH($A990,'Catalog'!$B:$B,0)),IFERROR(INDEX('Catalog'!$A:$A,MATCH(TRIM(SUBSTITUTE($A990,CHAR(160)," ")),'Catalog'!$C:$C,0)),""))</f>
        <v>4408273</v>
      </c>
      <c r="F990" s="20" t="str">
        <f aca="false">IF($E990="","Unmatched","Matched")</f>
        <v>Matched</v>
      </c>
    </row>
    <row r="991" customFormat="false" ht="15" hidden="false" customHeight="false" outlineLevel="0" collapsed="false">
      <c r="A991" s="20" t="s">
        <v>395</v>
      </c>
      <c r="B991" s="20" t="n">
        <v>2026</v>
      </c>
      <c r="C991" s="21" t="n">
        <v>1</v>
      </c>
      <c r="D991" s="22" t="n">
        <v>323.4</v>
      </c>
      <c r="E991" s="20" t="n">
        <f aca="false">IFERROR(INDEX('Catalog'!$A:$A,MATCH($A991,'Catalog'!$B:$B,0)),IFERROR(INDEX('Catalog'!$A:$A,MATCH(TRIM(SUBSTITUTE($A991,CHAR(160)," ")),'Catalog'!$C:$C,0)),""))</f>
        <v>4408274</v>
      </c>
      <c r="F991" s="20" t="str">
        <f aca="false">IF($E991="","Unmatched","Matched")</f>
        <v>Matched</v>
      </c>
    </row>
    <row r="992" customFormat="false" ht="15" hidden="false" customHeight="false" outlineLevel="0" collapsed="false">
      <c r="A992" s="20" t="s">
        <v>661</v>
      </c>
      <c r="B992" s="20" t="n">
        <v>2026</v>
      </c>
      <c r="C992" s="21" t="n">
        <v>22</v>
      </c>
      <c r="D992" s="22" t="n">
        <v>1035.8</v>
      </c>
      <c r="E992" s="20" t="n">
        <f aca="false">IFERROR(INDEX('Catalog'!$A:$A,MATCH($A992,'Catalog'!$B:$B,0)),IFERROR(INDEX('Catalog'!$A:$A,MATCH(TRIM(SUBSTITUTE($A992,CHAR(160)," ")),'Catalog'!$C:$C,0)),""))</f>
        <v>4408275</v>
      </c>
      <c r="F992" s="20" t="str">
        <f aca="false">IF($E992="","Unmatched","Matched")</f>
        <v>Matched</v>
      </c>
    </row>
    <row r="993" customFormat="false" ht="15" hidden="false" customHeight="false" outlineLevel="0" collapsed="false">
      <c r="A993" s="20" t="s">
        <v>677</v>
      </c>
      <c r="B993" s="20" t="n">
        <v>2026</v>
      </c>
      <c r="C993" s="21" t="n">
        <v>2</v>
      </c>
      <c r="D993" s="22" t="n">
        <v>234.3</v>
      </c>
      <c r="E993" s="20" t="n">
        <f aca="false">IFERROR(INDEX('Catalog'!$A:$A,MATCH($A993,'Catalog'!$B:$B,0)),IFERROR(INDEX('Catalog'!$A:$A,MATCH(TRIM(SUBSTITUTE($A993,CHAR(160)," ")),'Catalog'!$C:$C,0)),""))</f>
        <v>4411026</v>
      </c>
      <c r="F993" s="20" t="str">
        <f aca="false">IF($E993="","Unmatched","Matched")</f>
        <v>Matched</v>
      </c>
    </row>
    <row r="994" customFormat="false" ht="15" hidden="false" customHeight="false" outlineLevel="0" collapsed="false">
      <c r="A994" s="20" t="s">
        <v>678</v>
      </c>
      <c r="B994" s="20" t="n">
        <v>2026</v>
      </c>
      <c r="C994" s="21" t="n">
        <v>1</v>
      </c>
      <c r="D994" s="22" t="n">
        <v>117.1</v>
      </c>
      <c r="E994" s="20" t="n">
        <f aca="false">IFERROR(INDEX('Catalog'!$A:$A,MATCH($A994,'Catalog'!$B:$B,0)),IFERROR(INDEX('Catalog'!$A:$A,MATCH(TRIM(SUBSTITUTE($A994,CHAR(160)," ")),'Catalog'!$C:$C,0)),""))</f>
        <v>4411027</v>
      </c>
      <c r="F994" s="20" t="str">
        <f aca="false">IF($E994="","Unmatched","Matched")</f>
        <v>Matched</v>
      </c>
    </row>
    <row r="995" customFormat="false" ht="15" hidden="false" customHeight="false" outlineLevel="0" collapsed="false">
      <c r="A995" s="20" t="s">
        <v>679</v>
      </c>
      <c r="B995" s="20" t="n">
        <v>2026</v>
      </c>
      <c r="C995" s="21" t="n">
        <v>1</v>
      </c>
      <c r="D995" s="22" t="n">
        <v>117.1</v>
      </c>
      <c r="E995" s="20" t="n">
        <f aca="false">IFERROR(INDEX('Catalog'!$A:$A,MATCH($A995,'Catalog'!$B:$B,0)),IFERROR(INDEX('Catalog'!$A:$A,MATCH(TRIM(SUBSTITUTE($A995,CHAR(160)," ")),'Catalog'!$C:$C,0)),""))</f>
        <v>4411028</v>
      </c>
      <c r="F995" s="20" t="str">
        <f aca="false">IF($E995="","Unmatched","Matched")</f>
        <v>Matched</v>
      </c>
    </row>
    <row r="996" customFormat="false" ht="15" hidden="false" customHeight="false" outlineLevel="0" collapsed="false">
      <c r="A996" s="20" t="s">
        <v>655</v>
      </c>
      <c r="B996" s="20" t="n">
        <v>2026</v>
      </c>
      <c r="C996" s="21" t="n">
        <v>1</v>
      </c>
      <c r="D996" s="22" t="n">
        <v>117.1</v>
      </c>
      <c r="E996" s="20" t="n">
        <f aca="false">IFERROR(INDEX('Catalog'!$A:$A,MATCH($A996,'Catalog'!$B:$B,0)),IFERROR(INDEX('Catalog'!$A:$A,MATCH(TRIM(SUBSTITUTE($A996,CHAR(160)," ")),'Catalog'!$C:$C,0)),""))</f>
        <v>4411029</v>
      </c>
      <c r="F996" s="20" t="str">
        <f aca="false">IF($E996="","Unmatched","Matched")</f>
        <v>Matched</v>
      </c>
    </row>
    <row r="997" customFormat="false" ht="15" hidden="false" customHeight="false" outlineLevel="0" collapsed="false">
      <c r="A997" s="20" t="s">
        <v>680</v>
      </c>
      <c r="B997" s="20" t="n">
        <v>2026</v>
      </c>
      <c r="C997" s="21" t="n">
        <v>1</v>
      </c>
      <c r="D997" s="22" t="n">
        <v>117.1</v>
      </c>
      <c r="E997" s="20" t="n">
        <f aca="false">IFERROR(INDEX('Catalog'!$A:$A,MATCH($A997,'Catalog'!$B:$B,0)),IFERROR(INDEX('Catalog'!$A:$A,MATCH(TRIM(SUBSTITUTE($A997,CHAR(160)," ")),'Catalog'!$C:$C,0)),""))</f>
        <v>4411030</v>
      </c>
      <c r="F997" s="20" t="str">
        <f aca="false">IF($E997="","Unmatched","Matched")</f>
        <v>Matched</v>
      </c>
    </row>
    <row r="998" customFormat="false" ht="15" hidden="false" customHeight="false" outlineLevel="0" collapsed="false">
      <c r="A998" s="20" t="s">
        <v>676</v>
      </c>
      <c r="B998" s="20" t="n">
        <v>2026</v>
      </c>
      <c r="C998" s="21" t="n">
        <v>2</v>
      </c>
      <c r="D998" s="22" t="n">
        <v>234.3</v>
      </c>
      <c r="E998" s="20" t="n">
        <f aca="false">IFERROR(INDEX('Catalog'!$A:$A,MATCH($A998,'Catalog'!$B:$B,0)),IFERROR(INDEX('Catalog'!$A:$A,MATCH(TRIM(SUBSTITUTE($A998,CHAR(160)," ")),'Catalog'!$C:$C,0)),""))</f>
        <v>4411031</v>
      </c>
      <c r="F998" s="20" t="str">
        <f aca="false">IF($E998="","Unmatched","Matched")</f>
        <v>Matched</v>
      </c>
    </row>
    <row r="999" customFormat="false" ht="15" hidden="false" customHeight="false" outlineLevel="0" collapsed="false">
      <c r="A999" s="20" t="s">
        <v>517</v>
      </c>
      <c r="B999" s="20" t="n">
        <v>2026</v>
      </c>
      <c r="C999" s="21" t="n">
        <v>8</v>
      </c>
      <c r="D999" s="22" t="n">
        <v>799.7</v>
      </c>
      <c r="E999" s="20" t="n">
        <f aca="false">IFERROR(INDEX('Catalog'!$A:$A,MATCH($A999,'Catalog'!$B:$B,0)),IFERROR(INDEX('Catalog'!$A:$A,MATCH(TRIM(SUBSTITUTE($A999,CHAR(160)," ")),'Catalog'!$C:$C,0)),""))</f>
        <v>4413520</v>
      </c>
      <c r="F999" s="20" t="str">
        <f aca="false">IF($E999="","Unmatched","Matched")</f>
        <v>Matched</v>
      </c>
    </row>
    <row r="1000" customFormat="false" ht="15" hidden="false" customHeight="false" outlineLevel="0" collapsed="false">
      <c r="A1000" s="20" t="s">
        <v>519</v>
      </c>
      <c r="B1000" s="20" t="n">
        <v>2026</v>
      </c>
      <c r="C1000" s="21" t="n">
        <v>7</v>
      </c>
      <c r="D1000" s="22" t="n">
        <v>678.4</v>
      </c>
      <c r="E1000" s="20" t="n">
        <f aca="false">IFERROR(INDEX('Catalog'!$A:$A,MATCH($A1000,'Catalog'!$B:$B,0)),IFERROR(INDEX('Catalog'!$A:$A,MATCH(TRIM(SUBSTITUTE($A1000,CHAR(160)," ")),'Catalog'!$C:$C,0)),""))</f>
        <v>4413521</v>
      </c>
      <c r="F1000" s="20" t="str">
        <f aca="false">IF($E1000="","Unmatched","Matched")</f>
        <v>Matched</v>
      </c>
    </row>
    <row r="1001" customFormat="false" ht="15" hidden="false" customHeight="false" outlineLevel="0" collapsed="false">
      <c r="A1001" s="20" t="s">
        <v>518</v>
      </c>
      <c r="B1001" s="20" t="n">
        <v>2026</v>
      </c>
      <c r="C1001" s="21" t="n">
        <v>11</v>
      </c>
      <c r="D1001" s="22" t="n">
        <v>1253.7</v>
      </c>
      <c r="E1001" s="20" t="n">
        <f aca="false">IFERROR(INDEX('Catalog'!$A:$A,MATCH($A1001,'Catalog'!$B:$B,0)),IFERROR(INDEX('Catalog'!$A:$A,MATCH(TRIM(SUBSTITUTE($A1001,CHAR(160)," ")),'Catalog'!$C:$C,0)),""))</f>
        <v>4413522</v>
      </c>
      <c r="F1001" s="20" t="str">
        <f aca="false">IF($E1001="","Unmatched","Matched")</f>
        <v>Matched</v>
      </c>
    </row>
    <row r="1002" customFormat="false" ht="15" hidden="false" customHeight="false" outlineLevel="0" collapsed="false">
      <c r="A1002" s="20" t="s">
        <v>509</v>
      </c>
      <c r="B1002" s="20" t="n">
        <v>2026</v>
      </c>
      <c r="C1002" s="21" t="n">
        <v>8</v>
      </c>
      <c r="D1002" s="22" t="n">
        <v>773</v>
      </c>
      <c r="E1002" s="20" t="n">
        <f aca="false">IFERROR(INDEX('Catalog'!$A:$A,MATCH($A1002,'Catalog'!$B:$B,0)),IFERROR(INDEX('Catalog'!$A:$A,MATCH(TRIM(SUBSTITUTE($A1002,CHAR(160)," ")),'Catalog'!$C:$C,0)),""))</f>
        <v>4413523</v>
      </c>
      <c r="F1002" s="20" t="str">
        <f aca="false">IF($E1002="","Unmatched","Matched")</f>
        <v>Matched</v>
      </c>
    </row>
    <row r="1003" customFormat="false" ht="15" hidden="false" customHeight="false" outlineLevel="0" collapsed="false">
      <c r="A1003" s="20" t="s">
        <v>511</v>
      </c>
      <c r="B1003" s="20" t="n">
        <v>2026</v>
      </c>
      <c r="C1003" s="21" t="n">
        <v>10</v>
      </c>
      <c r="D1003" s="22" t="n">
        <v>1010.1</v>
      </c>
      <c r="E1003" s="20" t="n">
        <f aca="false">IFERROR(INDEX('Catalog'!$A:$A,MATCH($A1003,'Catalog'!$B:$B,0)),IFERROR(INDEX('Catalog'!$A:$A,MATCH(TRIM(SUBSTITUTE($A1003,CHAR(160)," ")),'Catalog'!$C:$C,0)),""))</f>
        <v>4413524</v>
      </c>
      <c r="F1003" s="20" t="str">
        <f aca="false">IF($E1003="","Unmatched","Matched")</f>
        <v>Matched</v>
      </c>
    </row>
    <row r="1004" customFormat="false" ht="15" hidden="false" customHeight="false" outlineLevel="0" collapsed="false">
      <c r="A1004" s="20" t="s">
        <v>513</v>
      </c>
      <c r="B1004" s="20" t="n">
        <v>2026</v>
      </c>
      <c r="C1004" s="21" t="n">
        <v>9</v>
      </c>
      <c r="D1004" s="22" t="n">
        <v>953.9</v>
      </c>
      <c r="E1004" s="20" t="n">
        <f aca="false">IFERROR(INDEX('Catalog'!$A:$A,MATCH($A1004,'Catalog'!$B:$B,0)),IFERROR(INDEX('Catalog'!$A:$A,MATCH(TRIM(SUBSTITUTE($A1004,CHAR(160)," ")),'Catalog'!$C:$C,0)),""))</f>
        <v>4413525</v>
      </c>
      <c r="F1004" s="20" t="str">
        <f aca="false">IF($E1004="","Unmatched","Matched")</f>
        <v>Matched</v>
      </c>
    </row>
    <row r="1005" customFormat="false" ht="15" hidden="false" customHeight="false" outlineLevel="0" collapsed="false">
      <c r="A1005" s="20" t="s">
        <v>510</v>
      </c>
      <c r="B1005" s="20" t="n">
        <v>2026</v>
      </c>
      <c r="C1005" s="21" t="n">
        <v>6</v>
      </c>
      <c r="D1005" s="22" t="n">
        <v>598.3</v>
      </c>
      <c r="E1005" s="20" t="n">
        <f aca="false">IFERROR(INDEX('Catalog'!$A:$A,MATCH($A1005,'Catalog'!$B:$B,0)),IFERROR(INDEX('Catalog'!$A:$A,MATCH(TRIM(SUBSTITUTE($A1005,CHAR(160)," ")),'Catalog'!$C:$C,0)),""))</f>
        <v>4413527</v>
      </c>
      <c r="F1005" s="20" t="str">
        <f aca="false">IF($E1005="","Unmatched","Matched")</f>
        <v>Matched</v>
      </c>
    </row>
    <row r="1006" customFormat="false" ht="15" hidden="false" customHeight="false" outlineLevel="0" collapsed="false">
      <c r="A1006" s="20" t="s">
        <v>512</v>
      </c>
      <c r="B1006" s="20" t="n">
        <v>2026</v>
      </c>
      <c r="C1006" s="21" t="n">
        <v>15</v>
      </c>
      <c r="D1006" s="22" t="n">
        <v>1609.5</v>
      </c>
      <c r="E1006" s="20" t="n">
        <f aca="false">IFERROR(INDEX('Catalog'!$A:$A,MATCH($A1006,'Catalog'!$B:$B,0)),IFERROR(INDEX('Catalog'!$A:$A,MATCH(TRIM(SUBSTITUTE($A1006,CHAR(160)," ")),'Catalog'!$C:$C,0)),""))</f>
        <v>4413528</v>
      </c>
      <c r="F1006" s="20" t="str">
        <f aca="false">IF($E1006="","Unmatched","Matched")</f>
        <v>Matched</v>
      </c>
    </row>
    <row r="1007" customFormat="false" ht="15" hidden="false" customHeight="false" outlineLevel="0" collapsed="false">
      <c r="A1007" s="20" t="s">
        <v>514</v>
      </c>
      <c r="B1007" s="20" t="n">
        <v>2026</v>
      </c>
      <c r="C1007" s="21" t="n">
        <v>14</v>
      </c>
      <c r="D1007" s="22" t="n">
        <v>1472.5</v>
      </c>
      <c r="E1007" s="20" t="n">
        <f aca="false">IFERROR(INDEX('Catalog'!$A:$A,MATCH($A1007,'Catalog'!$B:$B,0)),IFERROR(INDEX('Catalog'!$A:$A,MATCH(TRIM(SUBSTITUTE($A1007,CHAR(160)," ")),'Catalog'!$C:$C,0)),""))</f>
        <v>4413529</v>
      </c>
      <c r="F1007" s="20" t="str">
        <f aca="false">IF($E1007="","Unmatched","Matched")</f>
        <v>Matched</v>
      </c>
    </row>
    <row r="1008" customFormat="false" ht="15" hidden="false" customHeight="false" outlineLevel="0" collapsed="false">
      <c r="A1008" s="20" t="s">
        <v>835</v>
      </c>
      <c r="B1008" s="20" t="n">
        <v>2026</v>
      </c>
      <c r="C1008" s="21" t="n">
        <v>8</v>
      </c>
      <c r="D1008" s="22" t="n">
        <v>1301.1</v>
      </c>
      <c r="E1008" s="20" t="n">
        <f aca="false">IFERROR(INDEX('Catalog'!$A:$A,MATCH($A1008,'Catalog'!$B:$B,0)),IFERROR(INDEX('Catalog'!$A:$A,MATCH(TRIM(SUBSTITUTE($A1008,CHAR(160)," ")),'Catalog'!$C:$C,0)),""))</f>
        <v>4413534</v>
      </c>
      <c r="F1008" s="20" t="str">
        <f aca="false">IF($E1008="","Unmatched","Matched")</f>
        <v>Matched</v>
      </c>
    </row>
    <row r="1009" customFormat="false" ht="15" hidden="false" customHeight="false" outlineLevel="0" collapsed="false">
      <c r="A1009" s="20" t="s">
        <v>913</v>
      </c>
      <c r="B1009" s="20" t="n">
        <v>2026</v>
      </c>
      <c r="C1009" s="21" t="n">
        <v>17</v>
      </c>
      <c r="D1009" s="22" t="n">
        <v>1132.5</v>
      </c>
      <c r="E1009" s="20" t="n">
        <f aca="false">IFERROR(INDEX('Catalog'!$A:$A,MATCH($A1009,'Catalog'!$B:$B,0)),IFERROR(INDEX('Catalog'!$A:$A,MATCH(TRIM(SUBSTITUTE($A1009,CHAR(160)," ")),'Catalog'!$C:$C,0)),""))</f>
        <v>4415298</v>
      </c>
      <c r="F1009" s="20" t="str">
        <f aca="false">IF($E1009="","Unmatched","Matched")</f>
        <v>Matched</v>
      </c>
    </row>
    <row r="1010" customFormat="false" ht="15" hidden="false" customHeight="false" outlineLevel="0" collapsed="false">
      <c r="A1010" s="20" t="s">
        <v>912</v>
      </c>
      <c r="B1010" s="20" t="n">
        <v>2026</v>
      </c>
      <c r="C1010" s="21" t="n">
        <v>16</v>
      </c>
      <c r="D1010" s="22" t="n">
        <v>1147.2</v>
      </c>
      <c r="E1010" s="20" t="n">
        <f aca="false">IFERROR(INDEX('Catalog'!$A:$A,MATCH($A1010,'Catalog'!$B:$B,0)),IFERROR(INDEX('Catalog'!$A:$A,MATCH(TRIM(SUBSTITUTE($A1010,CHAR(160)," ")),'Catalog'!$C:$C,0)),""))</f>
        <v>4415299</v>
      </c>
      <c r="F1010" s="20" t="str">
        <f aca="false">IF($E1010="","Unmatched","Matched")</f>
        <v>Matched</v>
      </c>
    </row>
    <row r="1011" customFormat="false" ht="15" hidden="false" customHeight="false" outlineLevel="0" collapsed="false">
      <c r="A1011" s="20" t="s">
        <v>246</v>
      </c>
      <c r="B1011" s="20" t="n">
        <v>2026</v>
      </c>
      <c r="C1011" s="21" t="n">
        <v>8</v>
      </c>
      <c r="D1011" s="22" t="n">
        <v>646.3</v>
      </c>
      <c r="E1011" s="20" t="n">
        <f aca="false">IFERROR(INDEX('Catalog'!$A:$A,MATCH($A1011,'Catalog'!$B:$B,0)),IFERROR(INDEX('Catalog'!$A:$A,MATCH(TRIM(SUBSTITUTE($A1011,CHAR(160)," ")),'Catalog'!$C:$C,0)),""))</f>
        <v>4420039</v>
      </c>
      <c r="F1011" s="20" t="str">
        <f aca="false">IF($E1011="","Unmatched","Matched")</f>
        <v>Matched</v>
      </c>
    </row>
    <row r="1012" customFormat="false" ht="15" hidden="false" customHeight="false" outlineLevel="0" collapsed="false">
      <c r="A1012" s="20" t="s">
        <v>442</v>
      </c>
      <c r="B1012" s="20" t="n">
        <v>2026</v>
      </c>
      <c r="C1012" s="21" t="n">
        <v>468</v>
      </c>
      <c r="D1012" s="22" t="n">
        <v>9873.9</v>
      </c>
      <c r="E1012" s="20" t="n">
        <f aca="false">IFERROR(INDEX('Catalog'!$A:$A,MATCH($A1012,'Catalog'!$B:$B,0)),IFERROR(INDEX('Catalog'!$A:$A,MATCH(TRIM(SUBSTITUTE($A1012,CHAR(160)," ")),'Catalog'!$C:$C,0)),""))</f>
        <v>4422036</v>
      </c>
      <c r="F1012" s="20" t="str">
        <f aca="false">IF($E1012="","Unmatched","Matched")</f>
        <v>Matched</v>
      </c>
    </row>
    <row r="1013" customFormat="false" ht="15" hidden="false" customHeight="false" outlineLevel="0" collapsed="false">
      <c r="A1013" s="20" t="s">
        <v>230</v>
      </c>
      <c r="B1013" s="20" t="n">
        <v>2026</v>
      </c>
      <c r="C1013" s="21" t="n">
        <v>14</v>
      </c>
      <c r="D1013" s="22" t="n">
        <v>2943.4</v>
      </c>
      <c r="E1013" s="20" t="n">
        <f aca="false">IFERROR(INDEX('Catalog'!$A:$A,MATCH($A1013,'Catalog'!$B:$B,0)),IFERROR(INDEX('Catalog'!$A:$A,MATCH(TRIM(SUBSTITUTE($A1013,CHAR(160)," ")),'Catalog'!$C:$C,0)),""))</f>
        <v>4422037</v>
      </c>
      <c r="F1013" s="20" t="str">
        <f aca="false">IF($E1013="","Unmatched","Matched")</f>
        <v>Matched</v>
      </c>
    </row>
    <row r="1014" customFormat="false" ht="15" hidden="false" customHeight="false" outlineLevel="0" collapsed="false">
      <c r="A1014" s="20" t="s">
        <v>231</v>
      </c>
      <c r="B1014" s="20" t="n">
        <v>2026</v>
      </c>
      <c r="C1014" s="21" t="n">
        <v>20</v>
      </c>
      <c r="D1014" s="22" t="n">
        <v>4149.5</v>
      </c>
      <c r="E1014" s="20" t="n">
        <f aca="false">IFERROR(INDEX('Catalog'!$A:$A,MATCH($A1014,'Catalog'!$B:$B,0)),IFERROR(INDEX('Catalog'!$A:$A,MATCH(TRIM(SUBSTITUTE($A1014,CHAR(160)," ")),'Catalog'!$C:$C,0)),""))</f>
        <v>4422038</v>
      </c>
      <c r="F1014" s="20" t="str">
        <f aca="false">IF($E1014="","Unmatched","Matched")</f>
        <v>Matched</v>
      </c>
    </row>
    <row r="1015" customFormat="false" ht="15" hidden="false" customHeight="false" outlineLevel="0" collapsed="false">
      <c r="A1015" s="20" t="s">
        <v>232</v>
      </c>
      <c r="B1015" s="20" t="n">
        <v>2026</v>
      </c>
      <c r="C1015" s="21" t="n">
        <v>22</v>
      </c>
      <c r="D1015" s="22" t="n">
        <v>4393.6</v>
      </c>
      <c r="E1015" s="20" t="n">
        <f aca="false">IFERROR(INDEX('Catalog'!$A:$A,MATCH($A1015,'Catalog'!$B:$B,0)),IFERROR(INDEX('Catalog'!$A:$A,MATCH(TRIM(SUBSTITUTE($A1015,CHAR(160)," ")),'Catalog'!$C:$C,0)),""))</f>
        <v>4422039</v>
      </c>
      <c r="F1015" s="20" t="str">
        <f aca="false">IF($E1015="","Unmatched","Matched")</f>
        <v>Matched</v>
      </c>
    </row>
    <row r="1016" customFormat="false" ht="15" hidden="false" customHeight="false" outlineLevel="0" collapsed="false">
      <c r="A1016" s="20" t="s">
        <v>233</v>
      </c>
      <c r="B1016" s="20" t="n">
        <v>2026</v>
      </c>
      <c r="C1016" s="21" t="n">
        <v>26</v>
      </c>
      <c r="D1016" s="22" t="n">
        <v>5212</v>
      </c>
      <c r="E1016" s="20" t="n">
        <f aca="false">IFERROR(INDEX('Catalog'!$A:$A,MATCH($A1016,'Catalog'!$B:$B,0)),IFERROR(INDEX('Catalog'!$A:$A,MATCH(TRIM(SUBSTITUTE($A1016,CHAR(160)," ")),'Catalog'!$C:$C,0)),""))</f>
        <v>4422040</v>
      </c>
      <c r="F1016" s="20" t="str">
        <f aca="false">IF($E1016="","Unmatched","Matched")</f>
        <v>Matched</v>
      </c>
    </row>
    <row r="1017" customFormat="false" ht="15" hidden="false" customHeight="false" outlineLevel="0" collapsed="false">
      <c r="A1017" s="20" t="s">
        <v>234</v>
      </c>
      <c r="B1017" s="20" t="n">
        <v>2026</v>
      </c>
      <c r="C1017" s="21" t="n">
        <v>20</v>
      </c>
      <c r="D1017" s="22" t="n">
        <v>4082.8</v>
      </c>
      <c r="E1017" s="20" t="n">
        <f aca="false">IFERROR(INDEX('Catalog'!$A:$A,MATCH($A1017,'Catalog'!$B:$B,0)),IFERROR(INDEX('Catalog'!$A:$A,MATCH(TRIM(SUBSTITUTE($A1017,CHAR(160)," ")),'Catalog'!$C:$C,0)),""))</f>
        <v>4422041</v>
      </c>
      <c r="F1017" s="20" t="str">
        <f aca="false">IF($E1017="","Unmatched","Matched")</f>
        <v>Matched</v>
      </c>
    </row>
    <row r="1018" customFormat="false" ht="15" hidden="false" customHeight="false" outlineLevel="0" collapsed="false">
      <c r="A1018" s="20" t="s">
        <v>235</v>
      </c>
      <c r="B1018" s="20" t="n">
        <v>2026</v>
      </c>
      <c r="C1018" s="21" t="n">
        <v>12</v>
      </c>
      <c r="D1018" s="22" t="n">
        <v>2498.3</v>
      </c>
      <c r="E1018" s="20" t="n">
        <f aca="false">IFERROR(INDEX('Catalog'!$A:$A,MATCH($A1018,'Catalog'!$B:$B,0)),IFERROR(INDEX('Catalog'!$A:$A,MATCH(TRIM(SUBSTITUTE($A1018,CHAR(160)," ")),'Catalog'!$C:$C,0)),""))</f>
        <v>4422042</v>
      </c>
      <c r="F1018" s="20" t="str">
        <f aca="false">IF($E1018="","Unmatched","Matched")</f>
        <v>Matched</v>
      </c>
    </row>
  </sheetData>
  <mergeCells count="1">
    <mergeCell ref="A3:O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8"/>
    <col collapsed="false" customWidth="true" hidden="false" outlineLevel="0" max="3" min="3" style="1" width="12"/>
    <col collapsed="false" customWidth="true" hidden="false" outlineLevel="0" max="5" min="4" style="1" width="14"/>
    <col collapsed="false" customWidth="true" hidden="false" outlineLevel="0" max="6" min="6" style="1" width="13"/>
  </cols>
  <sheetData>
    <row r="1" customFormat="false" ht="17.35" hidden="false" customHeight="false" outlineLevel="0" collapsed="false">
      <c r="A1" s="2" t="s">
        <v>1426</v>
      </c>
    </row>
    <row r="2" customFormat="false" ht="15" hidden="false" customHeight="false" outlineLevel="0" collapsed="false">
      <c r="A2" s="3" t="s">
        <v>1</v>
      </c>
      <c r="B2" s="4" t="n">
        <v>46290</v>
      </c>
    </row>
    <row r="3" customFormat="false" ht="22.35" hidden="false" customHeight="true" outlineLevel="0" collapsed="false">
      <c r="A3" s="5" t="s">
        <v>1427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5" customFormat="false" ht="39.55" hidden="false" customHeight="false" outlineLevel="0" collapsed="false">
      <c r="A5" s="19" t="s">
        <v>60</v>
      </c>
      <c r="B5" s="19" t="s">
        <v>1423</v>
      </c>
      <c r="C5" s="19" t="s">
        <v>25</v>
      </c>
      <c r="D5" s="19" t="s">
        <v>26</v>
      </c>
      <c r="E5" s="19" t="s">
        <v>1428</v>
      </c>
      <c r="F5" s="19" t="s">
        <v>1425</v>
      </c>
    </row>
    <row r="6" customFormat="false" ht="15" hidden="false" customHeight="false" outlineLevel="0" collapsed="false">
      <c r="A6" s="20" t="s">
        <v>1268</v>
      </c>
      <c r="B6" s="20" t="n">
        <v>2025</v>
      </c>
      <c r="C6" s="21" t="n">
        <v>4</v>
      </c>
      <c r="D6" s="22" t="n">
        <v>132.77</v>
      </c>
      <c r="E6" s="20" t="n">
        <f aca="false">IFERROR(INDEX('TRANS'!$B:$B,MATCH($A6,'TRANS'!$A:$A,0)),IFERROR(INDEX('TRANS'!$B:$B,MATCH(TRIM(SUBSTITUTE($A6,CHAR(160)," ")),'TRANS'!$D:$D,0)),""))</f>
        <v>4408047</v>
      </c>
      <c r="F6" s="20" t="str">
        <f aca="false">IF($E6="","Unmatched","Matched")</f>
        <v>Matched</v>
      </c>
    </row>
    <row r="7" customFormat="false" ht="15" hidden="false" customHeight="false" outlineLevel="0" collapsed="false">
      <c r="A7" s="20" t="s">
        <v>1268</v>
      </c>
      <c r="B7" s="20" t="n">
        <v>2026</v>
      </c>
      <c r="C7" s="21" t="n">
        <v>2</v>
      </c>
      <c r="D7" s="22" t="n">
        <v>66.49</v>
      </c>
      <c r="E7" s="20" t="n">
        <f aca="false">IFERROR(INDEX('TRANS'!$B:$B,MATCH($A7,'TRANS'!$A:$A,0)),IFERROR(INDEX('TRANS'!$B:$B,MATCH(TRIM(SUBSTITUTE($A7,CHAR(160)," ")),'TRANS'!$D:$D,0)),""))</f>
        <v>4408047</v>
      </c>
      <c r="F7" s="20" t="str">
        <f aca="false">IF($E7="","Unmatched","Matched")</f>
        <v>Matched</v>
      </c>
    </row>
    <row r="8" customFormat="false" ht="15" hidden="false" customHeight="false" outlineLevel="0" collapsed="false">
      <c r="A8" s="20" t="s">
        <v>1269</v>
      </c>
      <c r="B8" s="20" t="n">
        <v>2026</v>
      </c>
      <c r="C8" s="21" t="n">
        <v>1</v>
      </c>
      <c r="D8" s="22" t="n">
        <v>33.23</v>
      </c>
      <c r="E8" s="20" t="n">
        <f aca="false">IFERROR(INDEX('TRANS'!$B:$B,MATCH($A8,'TRANS'!$A:$A,0)),IFERROR(INDEX('TRANS'!$B:$B,MATCH(TRIM(SUBSTITUTE($A8,CHAR(160)," ")),'TRANS'!$D:$D,0)),""))</f>
        <v>4408048</v>
      </c>
      <c r="F8" s="20" t="str">
        <f aca="false">IF($E8="","Unmatched","Matched")</f>
        <v>Matched</v>
      </c>
    </row>
    <row r="9" customFormat="false" ht="15" hidden="false" customHeight="false" outlineLevel="0" collapsed="false">
      <c r="A9" s="20" t="s">
        <v>1273</v>
      </c>
      <c r="B9" s="20" t="n">
        <v>2025</v>
      </c>
      <c r="C9" s="21" t="n">
        <v>4</v>
      </c>
      <c r="D9" s="22" t="n">
        <v>157.18</v>
      </c>
      <c r="E9" s="20" t="n">
        <f aca="false">IFERROR(INDEX('TRANS'!$B:$B,MATCH($A9,'TRANS'!$A:$A,0)),IFERROR(INDEX('TRANS'!$B:$B,MATCH(TRIM(SUBSTITUTE($A9,CHAR(160)," ")),'TRANS'!$D:$D,0)),""))</f>
        <v>4408052</v>
      </c>
      <c r="F9" s="20" t="str">
        <f aca="false">IF($E9="","Unmatched","Matched")</f>
        <v>Matched</v>
      </c>
    </row>
    <row r="10" customFormat="false" ht="15" hidden="false" customHeight="false" outlineLevel="0" collapsed="false">
      <c r="A10" s="20" t="s">
        <v>1273</v>
      </c>
      <c r="B10" s="20" t="n">
        <v>2026</v>
      </c>
      <c r="C10" s="21" t="n">
        <v>10</v>
      </c>
      <c r="D10" s="22" t="n">
        <v>397.96</v>
      </c>
      <c r="E10" s="20" t="n">
        <f aca="false">IFERROR(INDEX('TRANS'!$B:$B,MATCH($A10,'TRANS'!$A:$A,0)),IFERROR(INDEX('TRANS'!$B:$B,MATCH(TRIM(SUBSTITUTE($A10,CHAR(160)," ")),'TRANS'!$D:$D,0)),""))</f>
        <v>4408052</v>
      </c>
      <c r="F10" s="20" t="str">
        <f aca="false">IF($E10="","Unmatched","Matched")</f>
        <v>Matched</v>
      </c>
    </row>
    <row r="11" customFormat="false" ht="15" hidden="false" customHeight="false" outlineLevel="0" collapsed="false">
      <c r="A11" s="20" t="s">
        <v>1274</v>
      </c>
      <c r="B11" s="20" t="n">
        <v>2025</v>
      </c>
      <c r="C11" s="21" t="n">
        <v>6</v>
      </c>
      <c r="D11" s="22" t="n">
        <v>236.75</v>
      </c>
      <c r="E11" s="20" t="n">
        <f aca="false">IFERROR(INDEX('TRANS'!$B:$B,MATCH($A11,'TRANS'!$A:$A,0)),IFERROR(INDEX('TRANS'!$B:$B,MATCH(TRIM(SUBSTITUTE($A11,CHAR(160)," ")),'TRANS'!$D:$D,0)),""))</f>
        <v>4408053</v>
      </c>
      <c r="F11" s="20" t="str">
        <f aca="false">IF($E11="","Unmatched","Matched")</f>
        <v>Matched</v>
      </c>
    </row>
    <row r="12" customFormat="false" ht="15" hidden="false" customHeight="false" outlineLevel="0" collapsed="false">
      <c r="A12" s="20" t="s">
        <v>1274</v>
      </c>
      <c r="B12" s="20" t="n">
        <v>2026</v>
      </c>
      <c r="C12" s="21" t="n">
        <v>4</v>
      </c>
      <c r="D12" s="22" t="n">
        <v>159.16</v>
      </c>
      <c r="E12" s="20" t="n">
        <f aca="false">IFERROR(INDEX('TRANS'!$B:$B,MATCH($A12,'TRANS'!$A:$A,0)),IFERROR(INDEX('TRANS'!$B:$B,MATCH(TRIM(SUBSTITUTE($A12,CHAR(160)," ")),'TRANS'!$D:$D,0)),""))</f>
        <v>4408053</v>
      </c>
      <c r="F12" s="20" t="str">
        <f aca="false">IF($E12="","Unmatched","Matched")</f>
        <v>Matched</v>
      </c>
    </row>
    <row r="13" customFormat="false" ht="15" hidden="false" customHeight="false" outlineLevel="0" collapsed="false">
      <c r="A13" s="20" t="s">
        <v>1275</v>
      </c>
      <c r="B13" s="20" t="n">
        <v>2025</v>
      </c>
      <c r="C13" s="21" t="n">
        <v>3</v>
      </c>
      <c r="D13" s="22" t="n">
        <v>117.32</v>
      </c>
      <c r="E13" s="20" t="n">
        <f aca="false">IFERROR(INDEX('TRANS'!$B:$B,MATCH($A13,'TRANS'!$A:$A,0)),IFERROR(INDEX('TRANS'!$B:$B,MATCH(TRIM(SUBSTITUTE($A13,CHAR(160)," ")),'TRANS'!$D:$D,0)),""))</f>
        <v>4408051</v>
      </c>
      <c r="F13" s="20" t="str">
        <f aca="false">IF($E13="","Unmatched","Matched")</f>
        <v>Matched</v>
      </c>
    </row>
    <row r="14" customFormat="false" ht="15" hidden="false" customHeight="false" outlineLevel="0" collapsed="false">
      <c r="A14" s="20" t="s">
        <v>1275</v>
      </c>
      <c r="B14" s="20" t="n">
        <v>2026</v>
      </c>
      <c r="C14" s="21" t="n">
        <v>5</v>
      </c>
      <c r="D14" s="22" t="n">
        <v>199.07</v>
      </c>
      <c r="E14" s="20" t="n">
        <f aca="false">IFERROR(INDEX('TRANS'!$B:$B,MATCH($A14,'TRANS'!$A:$A,0)),IFERROR(INDEX('TRANS'!$B:$B,MATCH(TRIM(SUBSTITUTE($A14,CHAR(160)," ")),'TRANS'!$D:$D,0)),""))</f>
        <v>4408051</v>
      </c>
      <c r="F14" s="20" t="str">
        <f aca="false">IF($E14="","Unmatched","Matched")</f>
        <v>Matched</v>
      </c>
    </row>
    <row r="15" customFormat="false" ht="15" hidden="false" customHeight="false" outlineLevel="0" collapsed="false">
      <c r="A15" s="20" t="s">
        <v>1276</v>
      </c>
      <c r="B15" s="20" t="n">
        <v>2025</v>
      </c>
      <c r="C15" s="21" t="n">
        <v>5</v>
      </c>
      <c r="D15" s="22" t="n">
        <v>199.01</v>
      </c>
      <c r="E15" s="20" t="n">
        <f aca="false">IFERROR(INDEX('TRANS'!$B:$B,MATCH($A15,'TRANS'!$A:$A,0)),IFERROR(INDEX('TRANS'!$B:$B,MATCH(TRIM(SUBSTITUTE($A15,CHAR(160)," ")),'TRANS'!$D:$D,0)),""))</f>
        <v>4408054</v>
      </c>
      <c r="F15" s="20" t="str">
        <f aca="false">IF($E15="","Unmatched","Matched")</f>
        <v>Matched</v>
      </c>
    </row>
    <row r="16" customFormat="false" ht="15" hidden="false" customHeight="false" outlineLevel="0" collapsed="false">
      <c r="A16" s="20" t="s">
        <v>1276</v>
      </c>
      <c r="B16" s="20" t="n">
        <v>2026</v>
      </c>
      <c r="C16" s="21" t="n">
        <v>1</v>
      </c>
      <c r="D16" s="22" t="n">
        <v>39.8</v>
      </c>
      <c r="E16" s="20" t="n">
        <f aca="false">IFERROR(INDEX('TRANS'!$B:$B,MATCH($A16,'TRANS'!$A:$A,0)),IFERROR(INDEX('TRANS'!$B:$B,MATCH(TRIM(SUBSTITUTE($A16,CHAR(160)," ")),'TRANS'!$D:$D,0)),""))</f>
        <v>4408054</v>
      </c>
      <c r="F16" s="20" t="str">
        <f aca="false">IF($E16="","Unmatched","Matched")</f>
        <v>Matched</v>
      </c>
    </row>
    <row r="17" customFormat="false" ht="15" hidden="false" customHeight="false" outlineLevel="0" collapsed="false">
      <c r="A17" s="20" t="s">
        <v>1325</v>
      </c>
      <c r="B17" s="20" t="n">
        <v>2025</v>
      </c>
      <c r="C17" s="21" t="n">
        <v>10</v>
      </c>
      <c r="D17" s="22" t="n">
        <v>297.94</v>
      </c>
      <c r="E17" s="20" t="n">
        <f aca="false">IFERROR(INDEX('TRANS'!$B:$B,MATCH($A17,'TRANS'!$A:$A,0)),IFERROR(INDEX('TRANS'!$B:$B,MATCH(TRIM(SUBSTITUTE($A17,CHAR(160)," ")),'TRANS'!$D:$D,0)),""))</f>
        <v>4415029</v>
      </c>
      <c r="F17" s="20" t="str">
        <f aca="false">IF($E17="","Unmatched","Matched")</f>
        <v>Matched</v>
      </c>
    </row>
    <row r="18" customFormat="false" ht="15" hidden="false" customHeight="false" outlineLevel="0" collapsed="false">
      <c r="A18" s="20" t="s">
        <v>1325</v>
      </c>
      <c r="B18" s="20" t="n">
        <v>2026</v>
      </c>
      <c r="C18" s="21" t="n">
        <v>18</v>
      </c>
      <c r="D18" s="22" t="n">
        <v>547.56</v>
      </c>
      <c r="E18" s="20" t="n">
        <f aca="false">IFERROR(INDEX('TRANS'!$B:$B,MATCH($A18,'TRANS'!$A:$A,0)),IFERROR(INDEX('TRANS'!$B:$B,MATCH(TRIM(SUBSTITUTE($A18,CHAR(160)," ")),'TRANS'!$D:$D,0)),""))</f>
        <v>4415029</v>
      </c>
      <c r="F18" s="20" t="str">
        <f aca="false">IF($E18="","Unmatched","Matched")</f>
        <v>Matched</v>
      </c>
    </row>
    <row r="19" customFormat="false" ht="15" hidden="false" customHeight="false" outlineLevel="0" collapsed="false">
      <c r="A19" s="20" t="s">
        <v>1291</v>
      </c>
      <c r="B19" s="20" t="n">
        <v>2025</v>
      </c>
      <c r="C19" s="21" t="n">
        <v>17</v>
      </c>
      <c r="D19" s="22" t="n">
        <v>330.87</v>
      </c>
      <c r="E19" s="20" t="n">
        <f aca="false">IFERROR(INDEX('TRANS'!$B:$B,MATCH($A19,'TRANS'!$A:$A,0)),IFERROR(INDEX('TRANS'!$B:$B,MATCH(TRIM(SUBSTITUTE($A19,CHAR(160)," ")),'TRANS'!$D:$D,0)),""))</f>
        <v>4415162</v>
      </c>
      <c r="F19" s="20" t="str">
        <f aca="false">IF($E19="","Unmatched","Matched")</f>
        <v>Matched</v>
      </c>
    </row>
    <row r="20" customFormat="false" ht="15" hidden="false" customHeight="false" outlineLevel="0" collapsed="false">
      <c r="A20" s="20" t="s">
        <v>1291</v>
      </c>
      <c r="B20" s="20" t="n">
        <v>2026</v>
      </c>
      <c r="C20" s="21" t="n">
        <v>6</v>
      </c>
      <c r="D20" s="22" t="n">
        <v>120.67</v>
      </c>
      <c r="E20" s="20" t="n">
        <f aca="false">IFERROR(INDEX('TRANS'!$B:$B,MATCH($A20,'TRANS'!$A:$A,0)),IFERROR(INDEX('TRANS'!$B:$B,MATCH(TRIM(SUBSTITUTE($A20,CHAR(160)," ")),'TRANS'!$D:$D,0)),""))</f>
        <v>4415162</v>
      </c>
      <c r="F20" s="20" t="str">
        <f aca="false">IF($E20="","Unmatched","Matched")</f>
        <v>Matched</v>
      </c>
    </row>
    <row r="21" customFormat="false" ht="15" hidden="false" customHeight="false" outlineLevel="0" collapsed="false">
      <c r="A21" s="20" t="s">
        <v>1292</v>
      </c>
      <c r="B21" s="20" t="n">
        <v>2025</v>
      </c>
      <c r="C21" s="21" t="n">
        <v>22</v>
      </c>
      <c r="D21" s="22" t="n">
        <v>418.29</v>
      </c>
      <c r="E21" s="20" t="n">
        <f aca="false">IFERROR(INDEX('TRANS'!$B:$B,MATCH($A21,'TRANS'!$A:$A,0)),IFERROR(INDEX('TRANS'!$B:$B,MATCH(TRIM(SUBSTITUTE($A21,CHAR(160)," ")),'TRANS'!$D:$D,0)),""))</f>
        <v>4415161</v>
      </c>
      <c r="F21" s="20" t="str">
        <f aca="false">IF($E21="","Unmatched","Matched")</f>
        <v>Matched</v>
      </c>
    </row>
    <row r="22" customFormat="false" ht="15" hidden="false" customHeight="false" outlineLevel="0" collapsed="false">
      <c r="A22" s="20" t="s">
        <v>1292</v>
      </c>
      <c r="B22" s="20" t="n">
        <v>2026</v>
      </c>
      <c r="C22" s="21" t="n">
        <v>10</v>
      </c>
      <c r="D22" s="22" t="n">
        <v>201.07</v>
      </c>
      <c r="E22" s="20" t="n">
        <f aca="false">IFERROR(INDEX('TRANS'!$B:$B,MATCH($A22,'TRANS'!$A:$A,0)),IFERROR(INDEX('TRANS'!$B:$B,MATCH(TRIM(SUBSTITUTE($A22,CHAR(160)," ")),'TRANS'!$D:$D,0)),""))</f>
        <v>4415161</v>
      </c>
      <c r="F22" s="20" t="str">
        <f aca="false">IF($E22="","Unmatched","Matched")</f>
        <v>Matched</v>
      </c>
    </row>
    <row r="23" customFormat="false" ht="15" hidden="false" customHeight="false" outlineLevel="0" collapsed="false">
      <c r="A23" s="20" t="s">
        <v>1293</v>
      </c>
      <c r="B23" s="20" t="n">
        <v>2025</v>
      </c>
      <c r="C23" s="21" t="n">
        <v>10</v>
      </c>
      <c r="D23" s="22" t="n">
        <v>185.74</v>
      </c>
      <c r="E23" s="20" t="n">
        <f aca="false">IFERROR(INDEX('TRANS'!$B:$B,MATCH($A23,'TRANS'!$A:$A,0)),IFERROR(INDEX('TRANS'!$B:$B,MATCH(TRIM(SUBSTITUTE($A23,CHAR(160)," ")),'TRANS'!$D:$D,0)),""))</f>
        <v>4415160</v>
      </c>
      <c r="F23" s="20" t="str">
        <f aca="false">IF($E23="","Unmatched","Matched")</f>
        <v>Matched</v>
      </c>
    </row>
    <row r="24" customFormat="false" ht="15" hidden="false" customHeight="false" outlineLevel="0" collapsed="false">
      <c r="A24" s="20" t="s">
        <v>1293</v>
      </c>
      <c r="B24" s="20" t="n">
        <v>2026</v>
      </c>
      <c r="C24" s="21" t="n">
        <v>4</v>
      </c>
      <c r="D24" s="22" t="n">
        <v>80.43</v>
      </c>
      <c r="E24" s="20" t="n">
        <f aca="false">IFERROR(INDEX('TRANS'!$B:$B,MATCH($A24,'TRANS'!$A:$A,0)),IFERROR(INDEX('TRANS'!$B:$B,MATCH(TRIM(SUBSTITUTE($A24,CHAR(160)," ")),'TRANS'!$D:$D,0)),""))</f>
        <v>4415160</v>
      </c>
      <c r="F24" s="20" t="str">
        <f aca="false">IF($E24="","Unmatched","Matched")</f>
        <v>Matched</v>
      </c>
    </row>
    <row r="25" customFormat="false" ht="15" hidden="false" customHeight="false" outlineLevel="0" collapsed="false">
      <c r="A25" s="20" t="s">
        <v>1294</v>
      </c>
      <c r="B25" s="20" t="n">
        <v>2025</v>
      </c>
      <c r="C25" s="21" t="n">
        <v>9</v>
      </c>
      <c r="D25" s="22" t="n">
        <v>170.02</v>
      </c>
      <c r="E25" s="20" t="n">
        <f aca="false">IFERROR(INDEX('TRANS'!$B:$B,MATCH($A25,'TRANS'!$A:$A,0)),IFERROR(INDEX('TRANS'!$B:$B,MATCH(TRIM(SUBSTITUTE($A25,CHAR(160)," ")),'TRANS'!$D:$D,0)),""))</f>
        <v>4415163</v>
      </c>
      <c r="F25" s="20" t="str">
        <f aca="false">IF($E25="","Unmatched","Matched")</f>
        <v>Matched</v>
      </c>
    </row>
    <row r="26" customFormat="false" ht="15" hidden="false" customHeight="false" outlineLevel="0" collapsed="false">
      <c r="A26" s="20" t="s">
        <v>1294</v>
      </c>
      <c r="B26" s="20" t="n">
        <v>2026</v>
      </c>
      <c r="C26" s="21" t="n">
        <v>6</v>
      </c>
      <c r="D26" s="22" t="n">
        <v>120.64</v>
      </c>
      <c r="E26" s="20" t="n">
        <f aca="false">IFERROR(INDEX('TRANS'!$B:$B,MATCH($A26,'TRANS'!$A:$A,0)),IFERROR(INDEX('TRANS'!$B:$B,MATCH(TRIM(SUBSTITUTE($A26,CHAR(160)," ")),'TRANS'!$D:$D,0)),""))</f>
        <v>4415163</v>
      </c>
      <c r="F26" s="20" t="str">
        <f aca="false">IF($E26="","Unmatched","Matched")</f>
        <v>Matched</v>
      </c>
    </row>
    <row r="27" customFormat="false" ht="15" hidden="false" customHeight="false" outlineLevel="0" collapsed="false">
      <c r="A27" s="20" t="s">
        <v>1108</v>
      </c>
      <c r="B27" s="20" t="n">
        <v>2025</v>
      </c>
      <c r="C27" s="21" t="n">
        <v>3</v>
      </c>
      <c r="D27" s="22" t="n">
        <v>57.56</v>
      </c>
      <c r="E27" s="20" t="n">
        <f aca="false">IFERROR(INDEX('TRANS'!$B:$B,MATCH($A27,'TRANS'!$A:$A,0)),IFERROR(INDEX('TRANS'!$B:$B,MATCH(TRIM(SUBSTITUTE($A27,CHAR(160)," ")),'TRANS'!$D:$D,0)),""))</f>
        <v>4419011</v>
      </c>
      <c r="F27" s="20" t="str">
        <f aca="false">IF($E27="","Unmatched","Matched")</f>
        <v>Matched</v>
      </c>
    </row>
    <row r="28" customFormat="false" ht="15" hidden="false" customHeight="false" outlineLevel="0" collapsed="false">
      <c r="A28" s="20" t="s">
        <v>1108</v>
      </c>
      <c r="B28" s="20" t="n">
        <v>2026</v>
      </c>
      <c r="C28" s="21" t="n">
        <v>3</v>
      </c>
      <c r="D28" s="22" t="n">
        <v>57.51</v>
      </c>
      <c r="E28" s="20" t="n">
        <f aca="false">IFERROR(INDEX('TRANS'!$B:$B,MATCH($A28,'TRANS'!$A:$A,0)),IFERROR(INDEX('TRANS'!$B:$B,MATCH(TRIM(SUBSTITUTE($A28,CHAR(160)," ")),'TRANS'!$D:$D,0)),""))</f>
        <v>4419011</v>
      </c>
      <c r="F28" s="20" t="str">
        <f aca="false">IF($E28="","Unmatched","Matched")</f>
        <v>Matched</v>
      </c>
    </row>
    <row r="29" customFormat="false" ht="15" hidden="false" customHeight="false" outlineLevel="0" collapsed="false">
      <c r="A29" s="20" t="s">
        <v>85</v>
      </c>
      <c r="B29" s="20" t="n">
        <v>2025</v>
      </c>
      <c r="C29" s="21" t="n">
        <v>2</v>
      </c>
      <c r="D29" s="22" t="n">
        <v>38.34</v>
      </c>
      <c r="E29" s="20" t="str">
        <f aca="false">IFERROR(INDEX('TRANS'!$B:$B,MATCH($A29,'TRANS'!$A:$A,0)),IFERROR(INDEX('TRANS'!$B:$B,MATCH(TRIM(SUBSTITUTE($A29,CHAR(160)," ")),'TRANS'!$D:$D,0)),""))</f>
        <v/>
      </c>
      <c r="F29" s="20" t="str">
        <f aca="false">IF($E29="","Unmatched","Matched")</f>
        <v>Unmatched</v>
      </c>
    </row>
    <row r="30" customFormat="false" ht="15" hidden="false" customHeight="false" outlineLevel="0" collapsed="false">
      <c r="A30" s="20" t="s">
        <v>1118</v>
      </c>
      <c r="B30" s="20" t="n">
        <v>2025</v>
      </c>
      <c r="C30" s="21" t="n">
        <v>10</v>
      </c>
      <c r="D30" s="22" t="n">
        <v>364.2</v>
      </c>
      <c r="E30" s="20" t="n">
        <f aca="false">IFERROR(INDEX('TRANS'!$B:$B,MATCH($A30,'TRANS'!$A:$A,0)),IFERROR(INDEX('TRANS'!$B:$B,MATCH(TRIM(SUBSTITUTE($A30,CHAR(160)," ")),'TRANS'!$D:$D,0)),""))</f>
        <v>4421005</v>
      </c>
      <c r="F30" s="20" t="str">
        <f aca="false">IF($E30="","Unmatched","Matched")</f>
        <v>Matched</v>
      </c>
    </row>
    <row r="31" customFormat="false" ht="15" hidden="false" customHeight="false" outlineLevel="0" collapsed="false">
      <c r="A31" s="20" t="s">
        <v>1118</v>
      </c>
      <c r="B31" s="20" t="n">
        <v>2026</v>
      </c>
      <c r="C31" s="21" t="n">
        <v>8</v>
      </c>
      <c r="D31" s="22" t="n">
        <v>318.36</v>
      </c>
      <c r="E31" s="20" t="n">
        <f aca="false">IFERROR(INDEX('TRANS'!$B:$B,MATCH($A31,'TRANS'!$A:$A,0)),IFERROR(INDEX('TRANS'!$B:$B,MATCH(TRIM(SUBSTITUTE($A31,CHAR(160)," ")),'TRANS'!$D:$D,0)),""))</f>
        <v>4421005</v>
      </c>
      <c r="F31" s="20" t="str">
        <f aca="false">IF($E31="","Unmatched","Matched")</f>
        <v>Matched</v>
      </c>
    </row>
    <row r="32" customFormat="false" ht="15" hidden="false" customHeight="false" outlineLevel="0" collapsed="false">
      <c r="A32" s="20" t="s">
        <v>1117</v>
      </c>
      <c r="B32" s="20" t="n">
        <v>2025</v>
      </c>
      <c r="C32" s="21" t="n">
        <v>19</v>
      </c>
      <c r="D32" s="22" t="n">
        <v>769.33</v>
      </c>
      <c r="E32" s="20" t="n">
        <f aca="false">IFERROR(INDEX('TRANS'!$B:$B,MATCH($A32,'TRANS'!$A:$A,0)),IFERROR(INDEX('TRANS'!$B:$B,MATCH(TRIM(SUBSTITUTE($A32,CHAR(160)," ")),'TRANS'!$D:$D,0)),""))</f>
        <v>4421006</v>
      </c>
      <c r="F32" s="20" t="str">
        <f aca="false">IF($E32="","Unmatched","Matched")</f>
        <v>Matched</v>
      </c>
    </row>
    <row r="33" customFormat="false" ht="15" hidden="false" customHeight="false" outlineLevel="0" collapsed="false">
      <c r="A33" s="20" t="s">
        <v>1117</v>
      </c>
      <c r="B33" s="20" t="n">
        <v>2026</v>
      </c>
      <c r="C33" s="21" t="n">
        <v>10</v>
      </c>
      <c r="D33" s="22" t="n">
        <v>421.33</v>
      </c>
      <c r="E33" s="20" t="n">
        <f aca="false">IFERROR(INDEX('TRANS'!$B:$B,MATCH($A33,'TRANS'!$A:$A,0)),IFERROR(INDEX('TRANS'!$B:$B,MATCH(TRIM(SUBSTITUTE($A33,CHAR(160)," ")),'TRANS'!$D:$D,0)),""))</f>
        <v>4421006</v>
      </c>
      <c r="F33" s="20" t="str">
        <f aca="false">IF($E33="","Unmatched","Matched")</f>
        <v>Matched</v>
      </c>
    </row>
    <row r="34" customFormat="false" ht="15" hidden="false" customHeight="false" outlineLevel="0" collapsed="false">
      <c r="A34" s="20" t="s">
        <v>1300</v>
      </c>
      <c r="B34" s="20" t="n">
        <v>2025</v>
      </c>
      <c r="C34" s="21" t="n">
        <v>18</v>
      </c>
      <c r="D34" s="22" t="n">
        <v>1362.88</v>
      </c>
      <c r="E34" s="20" t="n">
        <f aca="false">IFERROR(INDEX('TRANS'!$B:$B,MATCH($A34,'TRANS'!$A:$A,0)),IFERROR(INDEX('TRANS'!$B:$B,MATCH(TRIM(SUBSTITUTE($A34,CHAR(160)," ")),'TRANS'!$D:$D,0)),""))</f>
        <v>4415158</v>
      </c>
      <c r="F34" s="20" t="str">
        <f aca="false">IF($E34="","Unmatched","Matched")</f>
        <v>Matched</v>
      </c>
    </row>
    <row r="35" customFormat="false" ht="15" hidden="false" customHeight="false" outlineLevel="0" collapsed="false">
      <c r="A35" s="20" t="s">
        <v>1300</v>
      </c>
      <c r="B35" s="20" t="n">
        <v>2026</v>
      </c>
      <c r="C35" s="21" t="n">
        <v>12</v>
      </c>
      <c r="D35" s="22" t="n">
        <v>896.74</v>
      </c>
      <c r="E35" s="20" t="n">
        <f aca="false">IFERROR(INDEX('TRANS'!$B:$B,MATCH($A35,'TRANS'!$A:$A,0)),IFERROR(INDEX('TRANS'!$B:$B,MATCH(TRIM(SUBSTITUTE($A35,CHAR(160)," ")),'TRANS'!$D:$D,0)),""))</f>
        <v>4415158</v>
      </c>
      <c r="F35" s="20" t="str">
        <f aca="false">IF($E35="","Unmatched","Matched")</f>
        <v>Matched</v>
      </c>
    </row>
    <row r="36" customFormat="false" ht="15" hidden="false" customHeight="false" outlineLevel="0" collapsed="false">
      <c r="A36" s="20" t="s">
        <v>1301</v>
      </c>
      <c r="B36" s="20" t="n">
        <v>2025</v>
      </c>
      <c r="C36" s="21" t="n">
        <v>14</v>
      </c>
      <c r="D36" s="22" t="n">
        <v>1492.07</v>
      </c>
      <c r="E36" s="20" t="n">
        <f aca="false">IFERROR(INDEX('TRANS'!$B:$B,MATCH($A36,'TRANS'!$A:$A,0)),IFERROR(INDEX('TRANS'!$B:$B,MATCH(TRIM(SUBSTITUTE($A36,CHAR(160)," ")),'TRANS'!$D:$D,0)),""))</f>
        <v>4415159</v>
      </c>
      <c r="F36" s="20" t="str">
        <f aca="false">IF($E36="","Unmatched","Matched")</f>
        <v>Matched</v>
      </c>
    </row>
    <row r="37" customFormat="false" ht="15" hidden="false" customHeight="false" outlineLevel="0" collapsed="false">
      <c r="A37" s="20" t="s">
        <v>1301</v>
      </c>
      <c r="B37" s="20" t="n">
        <v>2026</v>
      </c>
      <c r="C37" s="21" t="n">
        <v>10</v>
      </c>
      <c r="D37" s="22" t="n">
        <v>1150.26</v>
      </c>
      <c r="E37" s="20" t="n">
        <f aca="false">IFERROR(INDEX('TRANS'!$B:$B,MATCH($A37,'TRANS'!$A:$A,0)),IFERROR(INDEX('TRANS'!$B:$B,MATCH(TRIM(SUBSTITUTE($A37,CHAR(160)," ")),'TRANS'!$D:$D,0)),""))</f>
        <v>4415159</v>
      </c>
      <c r="F37" s="20" t="str">
        <f aca="false">IF($E37="","Unmatched","Matched")</f>
        <v>Matched</v>
      </c>
    </row>
    <row r="38" customFormat="false" ht="15" hidden="false" customHeight="false" outlineLevel="0" collapsed="false">
      <c r="A38" s="20" t="s">
        <v>86</v>
      </c>
      <c r="B38" s="20" t="n">
        <v>2025</v>
      </c>
      <c r="C38" s="21" t="n">
        <v>3</v>
      </c>
      <c r="D38" s="22" t="n">
        <v>198.4</v>
      </c>
      <c r="E38" s="20" t="str">
        <f aca="false">IFERROR(INDEX('TRANS'!$B:$B,MATCH($A38,'TRANS'!$A:$A,0)),IFERROR(INDEX('TRANS'!$B:$B,MATCH(TRIM(SUBSTITUTE($A38,CHAR(160)," ")),'TRANS'!$D:$D,0)),""))</f>
        <v/>
      </c>
      <c r="F38" s="20" t="str">
        <f aca="false">IF($E38="","Unmatched","Matched")</f>
        <v>Unmatched</v>
      </c>
    </row>
    <row r="39" customFormat="false" ht="15" hidden="false" customHeight="false" outlineLevel="0" collapsed="false">
      <c r="A39" s="20" t="s">
        <v>1151</v>
      </c>
      <c r="B39" s="20" t="n">
        <v>2025</v>
      </c>
      <c r="C39" s="21" t="n">
        <v>7</v>
      </c>
      <c r="D39" s="22" t="n">
        <v>498.04</v>
      </c>
      <c r="E39" s="20" t="n">
        <f aca="false">IFERROR(INDEX('TRANS'!$B:$B,MATCH($A39,'TRANS'!$A:$A,0)),IFERROR(INDEX('TRANS'!$B:$B,MATCH(TRIM(SUBSTITUTE($A39,CHAR(160)," ")),'TRANS'!$D:$D,0)),""))</f>
        <v>4413348</v>
      </c>
      <c r="F39" s="20" t="str">
        <f aca="false">IF($E39="","Unmatched","Matched")</f>
        <v>Matched</v>
      </c>
    </row>
    <row r="40" customFormat="false" ht="15" hidden="false" customHeight="false" outlineLevel="0" collapsed="false">
      <c r="A40" s="20" t="s">
        <v>1151</v>
      </c>
      <c r="B40" s="20" t="n">
        <v>2026</v>
      </c>
      <c r="C40" s="21" t="n">
        <v>6</v>
      </c>
      <c r="D40" s="22" t="n">
        <v>382.41</v>
      </c>
      <c r="E40" s="20" t="n">
        <f aca="false">IFERROR(INDEX('TRANS'!$B:$B,MATCH($A40,'TRANS'!$A:$A,0)),IFERROR(INDEX('TRANS'!$B:$B,MATCH(TRIM(SUBSTITUTE($A40,CHAR(160)," ")),'TRANS'!$D:$D,0)),""))</f>
        <v>4413348</v>
      </c>
      <c r="F40" s="20" t="str">
        <f aca="false">IF($E40="","Unmatched","Matched")</f>
        <v>Matched</v>
      </c>
    </row>
    <row r="41" customFormat="false" ht="15" hidden="false" customHeight="false" outlineLevel="0" collapsed="false">
      <c r="A41" s="20" t="s">
        <v>1150</v>
      </c>
      <c r="B41" s="20" t="n">
        <v>2025</v>
      </c>
      <c r="C41" s="21" t="n">
        <v>4</v>
      </c>
      <c r="D41" s="22" t="n">
        <v>284.79</v>
      </c>
      <c r="E41" s="20" t="n">
        <f aca="false">IFERROR(INDEX('TRANS'!$B:$B,MATCH($A41,'TRANS'!$A:$A,0)),IFERROR(INDEX('TRANS'!$B:$B,MATCH(TRIM(SUBSTITUTE($A41,CHAR(160)," ")),'TRANS'!$D:$D,0)),""))</f>
        <v>4413372</v>
      </c>
      <c r="F41" s="20" t="str">
        <f aca="false">IF($E41="","Unmatched","Matched")</f>
        <v>Matched</v>
      </c>
    </row>
    <row r="42" customFormat="false" ht="15" hidden="false" customHeight="false" outlineLevel="0" collapsed="false">
      <c r="A42" s="20" t="s">
        <v>1150</v>
      </c>
      <c r="B42" s="20" t="n">
        <v>2026</v>
      </c>
      <c r="C42" s="21" t="n">
        <v>5</v>
      </c>
      <c r="D42" s="22" t="n">
        <v>333.59</v>
      </c>
      <c r="E42" s="20" t="n">
        <f aca="false">IFERROR(INDEX('TRANS'!$B:$B,MATCH($A42,'TRANS'!$A:$A,0)),IFERROR(INDEX('TRANS'!$B:$B,MATCH(TRIM(SUBSTITUTE($A42,CHAR(160)," ")),'TRANS'!$D:$D,0)),""))</f>
        <v>4413372</v>
      </c>
      <c r="F42" s="20" t="str">
        <f aca="false">IF($E42="","Unmatched","Matched")</f>
        <v>Matched</v>
      </c>
    </row>
    <row r="43" customFormat="false" ht="15" hidden="false" customHeight="false" outlineLevel="0" collapsed="false">
      <c r="A43" s="20" t="s">
        <v>1226</v>
      </c>
      <c r="B43" s="20" t="n">
        <v>2025</v>
      </c>
      <c r="C43" s="21" t="n">
        <v>3</v>
      </c>
      <c r="D43" s="22" t="n">
        <v>276.73</v>
      </c>
      <c r="E43" s="20" t="n">
        <f aca="false">IFERROR(INDEX('TRANS'!$B:$B,MATCH($A43,'TRANS'!$A:$A,0)),IFERROR(INDEX('TRANS'!$B:$B,MATCH(TRIM(SUBSTITUTE($A43,CHAR(160)," ")),'TRANS'!$D:$D,0)),""))</f>
        <v>4416000</v>
      </c>
      <c r="F43" s="20" t="str">
        <f aca="false">IF($E43="","Unmatched","Matched")</f>
        <v>Matched</v>
      </c>
    </row>
    <row r="44" customFormat="false" ht="15" hidden="false" customHeight="false" outlineLevel="0" collapsed="false">
      <c r="A44" s="20" t="s">
        <v>1226</v>
      </c>
      <c r="B44" s="20" t="n">
        <v>2026</v>
      </c>
      <c r="C44" s="21" t="n">
        <v>1</v>
      </c>
      <c r="D44" s="22" t="n">
        <v>92.29</v>
      </c>
      <c r="E44" s="20" t="n">
        <f aca="false">IFERROR(INDEX('TRANS'!$B:$B,MATCH($A44,'TRANS'!$A:$A,0)),IFERROR(INDEX('TRANS'!$B:$B,MATCH(TRIM(SUBSTITUTE($A44,CHAR(160)," ")),'TRANS'!$D:$D,0)),""))</f>
        <v>4416000</v>
      </c>
      <c r="F44" s="20" t="str">
        <f aca="false">IF($E44="","Unmatched","Matched")</f>
        <v>Matched</v>
      </c>
    </row>
    <row r="45" customFormat="false" ht="15" hidden="false" customHeight="false" outlineLevel="0" collapsed="false">
      <c r="A45" s="20" t="s">
        <v>1228</v>
      </c>
      <c r="B45" s="20" t="n">
        <v>2026</v>
      </c>
      <c r="C45" s="21" t="n">
        <v>1</v>
      </c>
      <c r="D45" s="22" t="n">
        <v>92.3</v>
      </c>
      <c r="E45" s="20" t="n">
        <f aca="false">IFERROR(INDEX('TRANS'!$B:$B,MATCH($A45,'TRANS'!$A:$A,0)),IFERROR(INDEX('TRANS'!$B:$B,MATCH(TRIM(SUBSTITUTE($A45,CHAR(160)," ")),'TRANS'!$D:$D,0)),""))</f>
        <v>4416002</v>
      </c>
      <c r="F45" s="20" t="str">
        <f aca="false">IF($E45="","Unmatched","Matched")</f>
        <v>Matched</v>
      </c>
    </row>
    <row r="46" customFormat="false" ht="15" hidden="false" customHeight="false" outlineLevel="0" collapsed="false">
      <c r="A46" s="20" t="s">
        <v>1229</v>
      </c>
      <c r="B46" s="20" t="n">
        <v>2025</v>
      </c>
      <c r="C46" s="21" t="n">
        <v>3</v>
      </c>
      <c r="D46" s="22" t="n">
        <v>276.87</v>
      </c>
      <c r="E46" s="20" t="n">
        <f aca="false">IFERROR(INDEX('TRANS'!$B:$B,MATCH($A46,'TRANS'!$A:$A,0)),IFERROR(INDEX('TRANS'!$B:$B,MATCH(TRIM(SUBSTITUTE($A46,CHAR(160)," ")),'TRANS'!$D:$D,0)),""))</f>
        <v>4411016</v>
      </c>
      <c r="F46" s="20" t="str">
        <f aca="false">IF($E46="","Unmatched","Matched")</f>
        <v>Matched</v>
      </c>
    </row>
    <row r="47" customFormat="false" ht="15" hidden="false" customHeight="false" outlineLevel="0" collapsed="false">
      <c r="A47" s="20" t="s">
        <v>1229</v>
      </c>
      <c r="B47" s="20" t="n">
        <v>2026</v>
      </c>
      <c r="C47" s="21" t="n">
        <v>2</v>
      </c>
      <c r="D47" s="22" t="n">
        <v>184.58</v>
      </c>
      <c r="E47" s="20" t="n">
        <f aca="false">IFERROR(INDEX('TRANS'!$B:$B,MATCH($A47,'TRANS'!$A:$A,0)),IFERROR(INDEX('TRANS'!$B:$B,MATCH(TRIM(SUBSTITUTE($A47,CHAR(160)," ")),'TRANS'!$D:$D,0)),""))</f>
        <v>4411016</v>
      </c>
      <c r="F47" s="20" t="str">
        <f aca="false">IF($E47="","Unmatched","Matched")</f>
        <v>Matched</v>
      </c>
    </row>
    <row r="48" customFormat="false" ht="15" hidden="false" customHeight="false" outlineLevel="0" collapsed="false">
      <c r="A48" s="20" t="s">
        <v>1230</v>
      </c>
      <c r="B48" s="20" t="n">
        <v>2025</v>
      </c>
      <c r="C48" s="21" t="n">
        <v>4</v>
      </c>
      <c r="D48" s="22" t="n">
        <v>228.1</v>
      </c>
      <c r="E48" s="20" t="n">
        <f aca="false">IFERROR(INDEX('TRANS'!$B:$B,MATCH($A48,'TRANS'!$A:$A,0)),IFERROR(INDEX('TRANS'!$B:$B,MATCH(TRIM(SUBSTITUTE($A48,CHAR(160)," ")),'TRANS'!$D:$D,0)),""))</f>
        <v>4416003</v>
      </c>
      <c r="F48" s="20" t="str">
        <f aca="false">IF($E48="","Unmatched","Matched")</f>
        <v>Matched</v>
      </c>
    </row>
    <row r="49" customFormat="false" ht="15" hidden="false" customHeight="false" outlineLevel="0" collapsed="false">
      <c r="A49" s="20" t="s">
        <v>1230</v>
      </c>
      <c r="B49" s="20" t="n">
        <v>2026</v>
      </c>
      <c r="C49" s="21" t="n">
        <v>1</v>
      </c>
      <c r="D49" s="22" t="n">
        <v>60.88</v>
      </c>
      <c r="E49" s="20" t="n">
        <f aca="false">IFERROR(INDEX('TRANS'!$B:$B,MATCH($A49,'TRANS'!$A:$A,0)),IFERROR(INDEX('TRANS'!$B:$B,MATCH(TRIM(SUBSTITUTE($A49,CHAR(160)," ")),'TRANS'!$D:$D,0)),""))</f>
        <v>4416003</v>
      </c>
      <c r="F49" s="20" t="str">
        <f aca="false">IF($E49="","Unmatched","Matched")</f>
        <v>Matched</v>
      </c>
    </row>
    <row r="50" customFormat="false" ht="15" hidden="false" customHeight="false" outlineLevel="0" collapsed="false">
      <c r="A50" s="20" t="s">
        <v>1232</v>
      </c>
      <c r="B50" s="20" t="n">
        <v>2025</v>
      </c>
      <c r="C50" s="21" t="n">
        <v>19</v>
      </c>
      <c r="D50" s="22" t="n">
        <v>346.57</v>
      </c>
      <c r="E50" s="20" t="n">
        <f aca="false">IFERROR(INDEX('TRANS'!$B:$B,MATCH($A50,'TRANS'!$A:$A,0)),IFERROR(INDEX('TRANS'!$B:$B,MATCH(TRIM(SUBSTITUTE($A50,CHAR(160)," ")),'TRANS'!$D:$D,0)),""))</f>
        <v>4413033</v>
      </c>
      <c r="F50" s="20" t="str">
        <f aca="false">IF($E50="","Unmatched","Matched")</f>
        <v>Matched</v>
      </c>
    </row>
    <row r="51" customFormat="false" ht="15" hidden="false" customHeight="false" outlineLevel="0" collapsed="false">
      <c r="A51" s="20" t="s">
        <v>1232</v>
      </c>
      <c r="B51" s="20" t="n">
        <v>2026</v>
      </c>
      <c r="C51" s="21" t="n">
        <v>13</v>
      </c>
      <c r="D51" s="22" t="n">
        <v>243.16</v>
      </c>
      <c r="E51" s="20" t="n">
        <f aca="false">IFERROR(INDEX('TRANS'!$B:$B,MATCH($A51,'TRANS'!$A:$A,0)),IFERROR(INDEX('TRANS'!$B:$B,MATCH(TRIM(SUBSTITUTE($A51,CHAR(160)," ")),'TRANS'!$D:$D,0)),""))</f>
        <v>4413033</v>
      </c>
      <c r="F51" s="20" t="str">
        <f aca="false">IF($E51="","Unmatched","Matched")</f>
        <v>Matched</v>
      </c>
    </row>
    <row r="52" customFormat="false" ht="15" hidden="false" customHeight="false" outlineLevel="0" collapsed="false">
      <c r="A52" s="20" t="s">
        <v>1233</v>
      </c>
      <c r="B52" s="20" t="n">
        <v>2025</v>
      </c>
      <c r="C52" s="21" t="n">
        <v>6</v>
      </c>
      <c r="D52" s="22" t="n">
        <v>131.89</v>
      </c>
      <c r="E52" s="20" t="n">
        <f aca="false">IFERROR(INDEX('TRANS'!$B:$B,MATCH($A52,'TRANS'!$A:$A,0)),IFERROR(INDEX('TRANS'!$B:$B,MATCH(TRIM(SUBSTITUTE($A52,CHAR(160)," ")),'TRANS'!$D:$D,0)),""))</f>
        <v>4413034</v>
      </c>
      <c r="F52" s="20" t="str">
        <f aca="false">IF($E52="","Unmatched","Matched")</f>
        <v>Matched</v>
      </c>
    </row>
    <row r="53" customFormat="false" ht="15" hidden="false" customHeight="false" outlineLevel="0" collapsed="false">
      <c r="A53" s="20" t="s">
        <v>1233</v>
      </c>
      <c r="B53" s="20" t="n">
        <v>2026</v>
      </c>
      <c r="C53" s="21" t="n">
        <v>3</v>
      </c>
      <c r="D53" s="22" t="n">
        <v>65.95</v>
      </c>
      <c r="E53" s="20" t="n">
        <f aca="false">IFERROR(INDEX('TRANS'!$B:$B,MATCH($A53,'TRANS'!$A:$A,0)),IFERROR(INDEX('TRANS'!$B:$B,MATCH(TRIM(SUBSTITUTE($A53,CHAR(160)," ")),'TRANS'!$D:$D,0)),""))</f>
        <v>4413034</v>
      </c>
      <c r="F53" s="20" t="str">
        <f aca="false">IF($E53="","Unmatched","Matched")</f>
        <v>Matched</v>
      </c>
    </row>
    <row r="54" customFormat="false" ht="15" hidden="false" customHeight="false" outlineLevel="0" collapsed="false">
      <c r="A54" s="20" t="s">
        <v>1235</v>
      </c>
      <c r="B54" s="20" t="n">
        <v>2025</v>
      </c>
      <c r="C54" s="21" t="n">
        <v>4</v>
      </c>
      <c r="D54" s="22" t="n">
        <v>94.89</v>
      </c>
      <c r="E54" s="20" t="n">
        <f aca="false">IFERROR(INDEX('TRANS'!$B:$B,MATCH($A54,'TRANS'!$A:$A,0)),IFERROR(INDEX('TRANS'!$B:$B,MATCH(TRIM(SUBSTITUTE($A54,CHAR(160)," ")),'TRANS'!$D:$D,0)),""))</f>
        <v>4415297</v>
      </c>
      <c r="F54" s="20" t="str">
        <f aca="false">IF($E54="","Unmatched","Matched")</f>
        <v>Matched</v>
      </c>
    </row>
    <row r="55" customFormat="false" ht="15" hidden="false" customHeight="false" outlineLevel="0" collapsed="false">
      <c r="A55" s="20" t="s">
        <v>1235</v>
      </c>
      <c r="B55" s="20" t="n">
        <v>2026</v>
      </c>
      <c r="C55" s="21" t="n">
        <v>5</v>
      </c>
      <c r="D55" s="22" t="n">
        <v>119.29</v>
      </c>
      <c r="E55" s="20" t="n">
        <f aca="false">IFERROR(INDEX('TRANS'!$B:$B,MATCH($A55,'TRANS'!$A:$A,0)),IFERROR(INDEX('TRANS'!$B:$B,MATCH(TRIM(SUBSTITUTE($A55,CHAR(160)," ")),'TRANS'!$D:$D,0)),""))</f>
        <v>4415297</v>
      </c>
      <c r="F55" s="20" t="str">
        <f aca="false">IF($E55="","Unmatched","Matched")</f>
        <v>Matched</v>
      </c>
    </row>
    <row r="56" customFormat="false" ht="15" hidden="false" customHeight="false" outlineLevel="0" collapsed="false">
      <c r="A56" s="20" t="s">
        <v>1236</v>
      </c>
      <c r="B56" s="20" t="n">
        <v>2025</v>
      </c>
      <c r="C56" s="21" t="n">
        <v>13</v>
      </c>
      <c r="D56" s="22" t="n">
        <v>250.66</v>
      </c>
      <c r="E56" s="20" t="n">
        <f aca="false">IFERROR(INDEX('TRANS'!$B:$B,MATCH($A56,'TRANS'!$A:$A,0)),IFERROR(INDEX('TRANS'!$B:$B,MATCH(TRIM(SUBSTITUTE($A56,CHAR(160)," ")),'TRANS'!$D:$D,0)),""))</f>
        <v>4402007</v>
      </c>
      <c r="F56" s="20" t="str">
        <f aca="false">IF($E56="","Unmatched","Matched")</f>
        <v>Matched</v>
      </c>
    </row>
    <row r="57" customFormat="false" ht="15" hidden="false" customHeight="false" outlineLevel="0" collapsed="false">
      <c r="A57" s="20" t="s">
        <v>1236</v>
      </c>
      <c r="B57" s="20" t="n">
        <v>2026</v>
      </c>
      <c r="C57" s="21" t="n">
        <v>5</v>
      </c>
      <c r="D57" s="22" t="n">
        <v>98.2</v>
      </c>
      <c r="E57" s="20" t="n">
        <f aca="false">IFERROR(INDEX('TRANS'!$B:$B,MATCH($A57,'TRANS'!$A:$A,0)),IFERROR(INDEX('TRANS'!$B:$B,MATCH(TRIM(SUBSTITUTE($A57,CHAR(160)," ")),'TRANS'!$D:$D,0)),""))</f>
        <v>4402007</v>
      </c>
      <c r="F57" s="20" t="str">
        <f aca="false">IF($E57="","Unmatched","Matched")</f>
        <v>Matched</v>
      </c>
    </row>
    <row r="58" customFormat="false" ht="15" hidden="false" customHeight="false" outlineLevel="0" collapsed="false">
      <c r="A58" s="20" t="s">
        <v>1335</v>
      </c>
      <c r="B58" s="20" t="n">
        <v>2025</v>
      </c>
      <c r="C58" s="21" t="n">
        <v>5</v>
      </c>
      <c r="D58" s="22" t="n">
        <v>234.1</v>
      </c>
      <c r="E58" s="20" t="n">
        <f aca="false">IFERROR(INDEX('TRANS'!$B:$B,MATCH($A58,'TRANS'!$A:$A,0)),IFERROR(INDEX('TRANS'!$B:$B,MATCH(TRIM(SUBSTITUTE($A58,CHAR(160)," ")),'TRANS'!$D:$D,0)),""))</f>
        <v>4413041</v>
      </c>
      <c r="F58" s="20" t="str">
        <f aca="false">IF($E58="","Unmatched","Matched")</f>
        <v>Matched</v>
      </c>
    </row>
    <row r="59" customFormat="false" ht="15" hidden="false" customHeight="false" outlineLevel="0" collapsed="false">
      <c r="A59" s="20" t="s">
        <v>1335</v>
      </c>
      <c r="B59" s="20" t="n">
        <v>2026</v>
      </c>
      <c r="C59" s="21" t="n">
        <v>11</v>
      </c>
      <c r="D59" s="22" t="n">
        <v>515.04</v>
      </c>
      <c r="E59" s="20" t="n">
        <f aca="false">IFERROR(INDEX('TRANS'!$B:$B,MATCH($A59,'TRANS'!$A:$A,0)),IFERROR(INDEX('TRANS'!$B:$B,MATCH(TRIM(SUBSTITUTE($A59,CHAR(160)," ")),'TRANS'!$D:$D,0)),""))</f>
        <v>4413041</v>
      </c>
      <c r="F59" s="20" t="str">
        <f aca="false">IF($E59="","Unmatched","Matched")</f>
        <v>Matched</v>
      </c>
    </row>
    <row r="60" customFormat="false" ht="15" hidden="false" customHeight="false" outlineLevel="0" collapsed="false">
      <c r="A60" s="20" t="s">
        <v>1337</v>
      </c>
      <c r="B60" s="20" t="n">
        <v>2025</v>
      </c>
      <c r="C60" s="21" t="n">
        <v>1</v>
      </c>
      <c r="D60" s="22" t="n">
        <v>46.82</v>
      </c>
      <c r="E60" s="20" t="n">
        <f aca="false">IFERROR(INDEX('TRANS'!$B:$B,MATCH($A60,'TRANS'!$A:$A,0)),IFERROR(INDEX('TRANS'!$B:$B,MATCH(TRIM(SUBSTITUTE($A60,CHAR(160)," ")),'TRANS'!$D:$D,0)),""))</f>
        <v>4413044</v>
      </c>
      <c r="F60" s="20" t="str">
        <f aca="false">IF($E60="","Unmatched","Matched")</f>
        <v>Matched</v>
      </c>
    </row>
    <row r="61" customFormat="false" ht="15" hidden="false" customHeight="false" outlineLevel="0" collapsed="false">
      <c r="A61" s="20" t="s">
        <v>1337</v>
      </c>
      <c r="B61" s="20" t="n">
        <v>2026</v>
      </c>
      <c r="C61" s="21" t="n">
        <v>5</v>
      </c>
      <c r="D61" s="22" t="n">
        <v>234.11</v>
      </c>
      <c r="E61" s="20" t="n">
        <f aca="false">IFERROR(INDEX('TRANS'!$B:$B,MATCH($A61,'TRANS'!$A:$A,0)),IFERROR(INDEX('TRANS'!$B:$B,MATCH(TRIM(SUBSTITUTE($A61,CHAR(160)," ")),'TRANS'!$D:$D,0)),""))</f>
        <v>4413044</v>
      </c>
      <c r="F61" s="20" t="str">
        <f aca="false">IF($E61="","Unmatched","Matched")</f>
        <v>Matched</v>
      </c>
    </row>
    <row r="62" customFormat="false" ht="15" hidden="false" customHeight="false" outlineLevel="0" collapsed="false">
      <c r="A62" s="20" t="s">
        <v>1344</v>
      </c>
      <c r="B62" s="20" t="n">
        <v>2025</v>
      </c>
      <c r="C62" s="21" t="n">
        <v>5</v>
      </c>
      <c r="D62" s="22" t="n">
        <v>154.45</v>
      </c>
      <c r="E62" s="20" t="n">
        <f aca="false">IFERROR(INDEX('TRANS'!$B:$B,MATCH($A62,'TRANS'!$A:$A,0)),IFERROR(INDEX('TRANS'!$B:$B,MATCH(TRIM(SUBSTITUTE($A62,CHAR(160)," ")),'TRANS'!$D:$D,0)),""))</f>
        <v>4413048</v>
      </c>
      <c r="F62" s="20" t="str">
        <f aca="false">IF($E62="","Unmatched","Matched")</f>
        <v>Matched</v>
      </c>
    </row>
    <row r="63" customFormat="false" ht="15" hidden="false" customHeight="false" outlineLevel="0" collapsed="false">
      <c r="A63" s="20" t="s">
        <v>1345</v>
      </c>
      <c r="B63" s="20" t="n">
        <v>2025</v>
      </c>
      <c r="C63" s="21" t="n">
        <v>9</v>
      </c>
      <c r="D63" s="22" t="n">
        <v>278.01</v>
      </c>
      <c r="E63" s="20" t="n">
        <f aca="false">IFERROR(INDEX('TRANS'!$B:$B,MATCH($A63,'TRANS'!$A:$A,0)),IFERROR(INDEX('TRANS'!$B:$B,MATCH(TRIM(SUBSTITUTE($A63,CHAR(160)," ")),'TRANS'!$D:$D,0)),""))</f>
        <v>4413049</v>
      </c>
      <c r="F63" s="20" t="str">
        <f aca="false">IF($E63="","Unmatched","Matched")</f>
        <v>Matched</v>
      </c>
    </row>
    <row r="64" customFormat="false" ht="15" hidden="false" customHeight="false" outlineLevel="0" collapsed="false">
      <c r="A64" s="20" t="s">
        <v>1346</v>
      </c>
      <c r="B64" s="20" t="n">
        <v>2025</v>
      </c>
      <c r="C64" s="21" t="n">
        <v>1</v>
      </c>
      <c r="D64" s="22" t="n">
        <v>29.74</v>
      </c>
      <c r="E64" s="20" t="n">
        <f aca="false">IFERROR(INDEX('TRANS'!$B:$B,MATCH($A64,'TRANS'!$A:$A,0)),IFERROR(INDEX('TRANS'!$B:$B,MATCH(TRIM(SUBSTITUTE($A64,CHAR(160)," ")),'TRANS'!$D:$D,0)),""))</f>
        <v>4413047</v>
      </c>
      <c r="F64" s="20" t="str">
        <f aca="false">IF($E64="","Unmatched","Matched")</f>
        <v>Matched</v>
      </c>
    </row>
    <row r="65" customFormat="false" ht="15" hidden="false" customHeight="false" outlineLevel="0" collapsed="false">
      <c r="A65" s="20" t="s">
        <v>1347</v>
      </c>
      <c r="B65" s="20" t="n">
        <v>2025</v>
      </c>
      <c r="C65" s="21" t="n">
        <v>11</v>
      </c>
      <c r="D65" s="22" t="n">
        <v>339.8</v>
      </c>
      <c r="E65" s="20" t="n">
        <f aca="false">IFERROR(INDEX('TRANS'!$B:$B,MATCH($A65,'TRANS'!$A:$A,0)),IFERROR(INDEX('TRANS'!$B:$B,MATCH(TRIM(SUBSTITUTE($A65,CHAR(160)," ")),'TRANS'!$D:$D,0)),""))</f>
        <v>4413050</v>
      </c>
      <c r="F65" s="20" t="str">
        <f aca="false">IF($E65="","Unmatched","Matched")</f>
        <v>Matched</v>
      </c>
    </row>
    <row r="66" customFormat="false" ht="15" hidden="false" customHeight="false" outlineLevel="0" collapsed="false">
      <c r="A66" s="20" t="s">
        <v>1347</v>
      </c>
      <c r="B66" s="20" t="n">
        <v>2026</v>
      </c>
      <c r="C66" s="21" t="n">
        <v>3</v>
      </c>
      <c r="D66" s="22" t="n">
        <v>92.68</v>
      </c>
      <c r="E66" s="20" t="n">
        <f aca="false">IFERROR(INDEX('TRANS'!$B:$B,MATCH($A66,'TRANS'!$A:$A,0)),IFERROR(INDEX('TRANS'!$B:$B,MATCH(TRIM(SUBSTITUTE($A66,CHAR(160)," ")),'TRANS'!$D:$D,0)),""))</f>
        <v>4413050</v>
      </c>
      <c r="F66" s="20" t="str">
        <f aca="false">IF($E66="","Unmatched","Matched")</f>
        <v>Matched</v>
      </c>
    </row>
    <row r="67" customFormat="false" ht="15" hidden="false" customHeight="false" outlineLevel="0" collapsed="false">
      <c r="A67" s="20" t="s">
        <v>93</v>
      </c>
      <c r="B67" s="20" t="n">
        <v>2025</v>
      </c>
      <c r="C67" s="21" t="n">
        <v>4</v>
      </c>
      <c r="D67" s="22" t="n">
        <v>121.26</v>
      </c>
      <c r="E67" s="20" t="str">
        <f aca="false">IFERROR(INDEX('TRANS'!$B:$B,MATCH($A67,'TRANS'!$A:$A,0)),IFERROR(INDEX('TRANS'!$B:$B,MATCH(TRIM(SUBSTITUTE($A67,CHAR(160)," ")),'TRANS'!$D:$D,0)),""))</f>
        <v/>
      </c>
      <c r="F67" s="20" t="str">
        <f aca="false">IF($E67="","Unmatched","Matched")</f>
        <v>Unmatched</v>
      </c>
    </row>
    <row r="68" customFormat="false" ht="15" hidden="false" customHeight="false" outlineLevel="0" collapsed="false">
      <c r="A68" s="20" t="s">
        <v>1348</v>
      </c>
      <c r="B68" s="20" t="n">
        <v>2025</v>
      </c>
      <c r="C68" s="21" t="n">
        <v>1</v>
      </c>
      <c r="D68" s="22" t="n">
        <v>29.74</v>
      </c>
      <c r="E68" s="20" t="n">
        <f aca="false">IFERROR(INDEX('TRANS'!$B:$B,MATCH($A68,'TRANS'!$A:$A,0)),IFERROR(INDEX('TRANS'!$B:$B,MATCH(TRIM(SUBSTITUTE($A68,CHAR(160)," ")),'TRANS'!$D:$D,0)),""))</f>
        <v>4413051</v>
      </c>
      <c r="F68" s="20" t="str">
        <f aca="false">IF($E68="","Unmatched","Matched")</f>
        <v>Matched</v>
      </c>
    </row>
    <row r="69" customFormat="false" ht="15" hidden="false" customHeight="false" outlineLevel="0" collapsed="false">
      <c r="A69" s="20" t="s">
        <v>1354</v>
      </c>
      <c r="B69" s="20" t="n">
        <v>2025</v>
      </c>
      <c r="C69" s="21" t="n">
        <v>10</v>
      </c>
      <c r="D69" s="22" t="n">
        <v>306.6</v>
      </c>
      <c r="E69" s="20" t="n">
        <f aca="false">IFERROR(INDEX('TRANS'!$B:$B,MATCH($A69,'TRANS'!$A:$A,0)),IFERROR(INDEX('TRANS'!$B:$B,MATCH(TRIM(SUBSTITUTE($A69,CHAR(160)," ")),'TRANS'!$D:$D,0)),""))</f>
        <v>4413053</v>
      </c>
      <c r="F69" s="20" t="str">
        <f aca="false">IF($E69="","Unmatched","Matched")</f>
        <v>Matched</v>
      </c>
    </row>
    <row r="70" customFormat="false" ht="15" hidden="false" customHeight="false" outlineLevel="0" collapsed="false">
      <c r="A70" s="20" t="s">
        <v>1354</v>
      </c>
      <c r="B70" s="20" t="n">
        <v>2026</v>
      </c>
      <c r="C70" s="21" t="n">
        <v>5</v>
      </c>
      <c r="D70" s="22" t="n">
        <v>154.45</v>
      </c>
      <c r="E70" s="20" t="n">
        <f aca="false">IFERROR(INDEX('TRANS'!$B:$B,MATCH($A70,'TRANS'!$A:$A,0)),IFERROR(INDEX('TRANS'!$B:$B,MATCH(TRIM(SUBSTITUTE($A70,CHAR(160)," ")),'TRANS'!$D:$D,0)),""))</f>
        <v>4413053</v>
      </c>
      <c r="F70" s="20" t="str">
        <f aca="false">IF($E70="","Unmatched","Matched")</f>
        <v>Matched</v>
      </c>
    </row>
    <row r="71" customFormat="false" ht="15" hidden="false" customHeight="false" outlineLevel="0" collapsed="false">
      <c r="A71" s="20" t="s">
        <v>1355</v>
      </c>
      <c r="B71" s="20" t="n">
        <v>2025</v>
      </c>
      <c r="C71" s="21" t="n">
        <v>11</v>
      </c>
      <c r="D71" s="22" t="n">
        <v>338.64</v>
      </c>
      <c r="E71" s="20" t="n">
        <f aca="false">IFERROR(INDEX('TRANS'!$B:$B,MATCH($A71,'TRANS'!$A:$A,0)),IFERROR(INDEX('TRANS'!$B:$B,MATCH(TRIM(SUBSTITUTE($A71,CHAR(160)," ")),'TRANS'!$D:$D,0)),""))</f>
        <v>4413054</v>
      </c>
      <c r="F71" s="20" t="str">
        <f aca="false">IF($E71="","Unmatched","Matched")</f>
        <v>Matched</v>
      </c>
    </row>
    <row r="72" customFormat="false" ht="15" hidden="false" customHeight="false" outlineLevel="0" collapsed="false">
      <c r="A72" s="20" t="s">
        <v>1355</v>
      </c>
      <c r="B72" s="20" t="n">
        <v>2026</v>
      </c>
      <c r="C72" s="21" t="n">
        <v>4</v>
      </c>
      <c r="D72" s="22" t="n">
        <v>123.57</v>
      </c>
      <c r="E72" s="20" t="n">
        <f aca="false">IFERROR(INDEX('TRANS'!$B:$B,MATCH($A72,'TRANS'!$A:$A,0)),IFERROR(INDEX('TRANS'!$B:$B,MATCH(TRIM(SUBSTITUTE($A72,CHAR(160)," ")),'TRANS'!$D:$D,0)),""))</f>
        <v>4413054</v>
      </c>
      <c r="F72" s="20" t="str">
        <f aca="false">IF($E72="","Unmatched","Matched")</f>
        <v>Matched</v>
      </c>
    </row>
    <row r="73" customFormat="false" ht="15" hidden="false" customHeight="false" outlineLevel="0" collapsed="false">
      <c r="A73" s="20" t="s">
        <v>1356</v>
      </c>
      <c r="B73" s="20" t="n">
        <v>2025</v>
      </c>
      <c r="C73" s="21" t="n">
        <v>5</v>
      </c>
      <c r="D73" s="22" t="n">
        <v>154.46</v>
      </c>
      <c r="E73" s="20" t="n">
        <f aca="false">IFERROR(INDEX('TRANS'!$B:$B,MATCH($A73,'TRANS'!$A:$A,0)),IFERROR(INDEX('TRANS'!$B:$B,MATCH(TRIM(SUBSTITUTE($A73,CHAR(160)," ")),'TRANS'!$D:$D,0)),""))</f>
        <v>4413052</v>
      </c>
      <c r="F73" s="20" t="str">
        <f aca="false">IF($E73="","Unmatched","Matched")</f>
        <v>Matched</v>
      </c>
    </row>
    <row r="74" customFormat="false" ht="15" hidden="false" customHeight="false" outlineLevel="0" collapsed="false">
      <c r="A74" s="20" t="s">
        <v>1356</v>
      </c>
      <c r="B74" s="20" t="n">
        <v>2026</v>
      </c>
      <c r="C74" s="21" t="n">
        <v>8</v>
      </c>
      <c r="D74" s="22" t="n">
        <v>247.12</v>
      </c>
      <c r="E74" s="20" t="n">
        <f aca="false">IFERROR(INDEX('TRANS'!$B:$B,MATCH($A74,'TRANS'!$A:$A,0)),IFERROR(INDEX('TRANS'!$B:$B,MATCH(TRIM(SUBSTITUTE($A74,CHAR(160)," ")),'TRANS'!$D:$D,0)),""))</f>
        <v>4413052</v>
      </c>
      <c r="F74" s="20" t="str">
        <f aca="false">IF($E74="","Unmatched","Matched")</f>
        <v>Matched</v>
      </c>
    </row>
    <row r="75" customFormat="false" ht="15" hidden="false" customHeight="false" outlineLevel="0" collapsed="false">
      <c r="A75" s="20" t="s">
        <v>1357</v>
      </c>
      <c r="B75" s="20" t="n">
        <v>2025</v>
      </c>
      <c r="C75" s="21" t="n">
        <v>3</v>
      </c>
      <c r="D75" s="22" t="n">
        <v>92.68</v>
      </c>
      <c r="E75" s="20" t="n">
        <f aca="false">IFERROR(INDEX('TRANS'!$B:$B,MATCH($A75,'TRANS'!$A:$A,0)),IFERROR(INDEX('TRANS'!$B:$B,MATCH(TRIM(SUBSTITUTE($A75,CHAR(160)," ")),'TRANS'!$D:$D,0)),""))</f>
        <v>4413055</v>
      </c>
      <c r="F75" s="20" t="str">
        <f aca="false">IF($E75="","Unmatched","Matched")</f>
        <v>Matched</v>
      </c>
    </row>
    <row r="76" customFormat="false" ht="15" hidden="false" customHeight="false" outlineLevel="0" collapsed="false">
      <c r="A76" s="20" t="s">
        <v>1357</v>
      </c>
      <c r="B76" s="20" t="n">
        <v>2026</v>
      </c>
      <c r="C76" s="21" t="n">
        <v>3</v>
      </c>
      <c r="D76" s="22" t="n">
        <v>92.67</v>
      </c>
      <c r="E76" s="20" t="n">
        <f aca="false">IFERROR(INDEX('TRANS'!$B:$B,MATCH($A76,'TRANS'!$A:$A,0)),IFERROR(INDEX('TRANS'!$B:$B,MATCH(TRIM(SUBSTITUTE($A76,CHAR(160)," ")),'TRANS'!$D:$D,0)),""))</f>
        <v>4413055</v>
      </c>
      <c r="F76" s="20" t="str">
        <f aca="false">IF($E76="","Unmatched","Matched")</f>
        <v>Matched</v>
      </c>
    </row>
    <row r="77" customFormat="false" ht="15" hidden="false" customHeight="false" outlineLevel="0" collapsed="false">
      <c r="A77" s="20" t="s">
        <v>1112</v>
      </c>
      <c r="B77" s="20" t="n">
        <v>2025</v>
      </c>
      <c r="C77" s="21" t="n">
        <v>9</v>
      </c>
      <c r="D77" s="22" t="n">
        <v>402.08</v>
      </c>
      <c r="E77" s="20" t="n">
        <f aca="false">IFERROR(INDEX('TRANS'!$B:$B,MATCH($A77,'TRANS'!$A:$A,0)),IFERROR(INDEX('TRANS'!$B:$B,MATCH(TRIM(SUBSTITUTE($A77,CHAR(160)," ")),'TRANS'!$D:$D,0)),""))</f>
        <v>4421007</v>
      </c>
      <c r="F77" s="20" t="str">
        <f aca="false">IF($E77="","Unmatched","Matched")</f>
        <v>Matched</v>
      </c>
    </row>
    <row r="78" customFormat="false" ht="15" hidden="false" customHeight="false" outlineLevel="0" collapsed="false">
      <c r="A78" s="20" t="s">
        <v>1112</v>
      </c>
      <c r="B78" s="20" t="n">
        <v>2026</v>
      </c>
      <c r="C78" s="21" t="n">
        <v>6</v>
      </c>
      <c r="D78" s="22" t="n">
        <v>269.69</v>
      </c>
      <c r="E78" s="20" t="n">
        <f aca="false">IFERROR(INDEX('TRANS'!$B:$B,MATCH($A78,'TRANS'!$A:$A,0)),IFERROR(INDEX('TRANS'!$B:$B,MATCH(TRIM(SUBSTITUTE($A78,CHAR(160)," ")),'TRANS'!$D:$D,0)),""))</f>
        <v>4421007</v>
      </c>
      <c r="F78" s="20" t="str">
        <f aca="false">IF($E78="","Unmatched","Matched")</f>
        <v>Matched</v>
      </c>
    </row>
    <row r="79" customFormat="false" ht="15" hidden="false" customHeight="false" outlineLevel="0" collapsed="false">
      <c r="A79" s="20" t="s">
        <v>1260</v>
      </c>
      <c r="B79" s="20" t="n">
        <v>2025</v>
      </c>
      <c r="C79" s="21" t="n">
        <v>45</v>
      </c>
      <c r="D79" s="22" t="n">
        <v>1315.69</v>
      </c>
      <c r="E79" s="20" t="n">
        <f aca="false">IFERROR(INDEX('TRANS'!$B:$B,MATCH($A79,'TRANS'!$A:$A,0)),IFERROR(INDEX('TRANS'!$B:$B,MATCH(TRIM(SUBSTITUTE($A79,CHAR(160)," ")),'TRANS'!$D:$D,0)),""))</f>
        <v>4411000</v>
      </c>
      <c r="F79" s="20" t="str">
        <f aca="false">IF($E79="","Unmatched","Matched")</f>
        <v>Matched</v>
      </c>
    </row>
    <row r="80" customFormat="false" ht="15" hidden="false" customHeight="false" outlineLevel="0" collapsed="false">
      <c r="A80" s="20" t="s">
        <v>1260</v>
      </c>
      <c r="B80" s="20" t="n">
        <v>2026</v>
      </c>
      <c r="C80" s="21" t="n">
        <v>35</v>
      </c>
      <c r="D80" s="22" t="n">
        <v>1064.7</v>
      </c>
      <c r="E80" s="20" t="n">
        <f aca="false">IFERROR(INDEX('TRANS'!$B:$B,MATCH($A80,'TRANS'!$A:$A,0)),IFERROR(INDEX('TRANS'!$B:$B,MATCH(TRIM(SUBSTITUTE($A80,CHAR(160)," ")),'TRANS'!$D:$D,0)),""))</f>
        <v>4411000</v>
      </c>
      <c r="F80" s="20" t="str">
        <f aca="false">IF($E80="","Unmatched","Matched")</f>
        <v>Matched</v>
      </c>
    </row>
    <row r="81" customFormat="false" ht="15" hidden="false" customHeight="false" outlineLevel="0" collapsed="false">
      <c r="A81" s="20" t="s">
        <v>1239</v>
      </c>
      <c r="B81" s="20" t="n">
        <v>2025</v>
      </c>
      <c r="C81" s="21" t="n">
        <v>60</v>
      </c>
      <c r="D81" s="22" t="n">
        <v>1707.12</v>
      </c>
      <c r="E81" s="20" t="n">
        <f aca="false">IFERROR(INDEX('TRANS'!$B:$B,MATCH($A81,'TRANS'!$A:$A,0)),IFERROR(INDEX('TRANS'!$B:$B,MATCH(TRIM(SUBSTITUTE($A81,CHAR(160)," ")),'TRANS'!$D:$D,0)),""))</f>
        <v>4411001</v>
      </c>
      <c r="F81" s="20" t="str">
        <f aca="false">IF($E81="","Unmatched","Matched")</f>
        <v>Matched</v>
      </c>
    </row>
    <row r="82" customFormat="false" ht="15" hidden="false" customHeight="false" outlineLevel="0" collapsed="false">
      <c r="A82" s="20" t="s">
        <v>1239</v>
      </c>
      <c r="B82" s="20" t="n">
        <v>2026</v>
      </c>
      <c r="C82" s="21" t="n">
        <v>27</v>
      </c>
      <c r="D82" s="22" t="n">
        <v>770.7</v>
      </c>
      <c r="E82" s="20" t="n">
        <f aca="false">IFERROR(INDEX('TRANS'!$B:$B,MATCH($A82,'TRANS'!$A:$A,0)),IFERROR(INDEX('TRANS'!$B:$B,MATCH(TRIM(SUBSTITUTE($A82,CHAR(160)," ")),'TRANS'!$D:$D,0)),""))</f>
        <v>4411001</v>
      </c>
      <c r="F82" s="20" t="str">
        <f aca="false">IF($E82="","Unmatched","Matched")</f>
        <v>Matched</v>
      </c>
    </row>
    <row r="83" customFormat="false" ht="15" hidden="false" customHeight="false" outlineLevel="0" collapsed="false">
      <c r="A83" s="20" t="s">
        <v>1243</v>
      </c>
      <c r="B83" s="20" t="n">
        <v>2025</v>
      </c>
      <c r="C83" s="21" t="n">
        <v>35</v>
      </c>
      <c r="D83" s="22" t="n">
        <v>486.18</v>
      </c>
      <c r="E83" s="20" t="n">
        <f aca="false">IFERROR(INDEX('TRANS'!$B:$B,MATCH($A83,'TRANS'!$A:$A,0)),IFERROR(INDEX('TRANS'!$B:$B,MATCH(TRIM(SUBSTITUTE($A83,CHAR(160)," ")),'TRANS'!$D:$D,0)),""))</f>
        <v>4413059</v>
      </c>
      <c r="F83" s="20" t="str">
        <f aca="false">IF($E83="","Unmatched","Matched")</f>
        <v>Matched</v>
      </c>
    </row>
    <row r="84" customFormat="false" ht="15" hidden="false" customHeight="false" outlineLevel="0" collapsed="false">
      <c r="A84" s="20" t="s">
        <v>1243</v>
      </c>
      <c r="B84" s="20" t="n">
        <v>2026</v>
      </c>
      <c r="C84" s="21" t="n">
        <v>12</v>
      </c>
      <c r="D84" s="22" t="n">
        <v>173.78</v>
      </c>
      <c r="E84" s="20" t="n">
        <f aca="false">IFERROR(INDEX('TRANS'!$B:$B,MATCH($A84,'TRANS'!$A:$A,0)),IFERROR(INDEX('TRANS'!$B:$B,MATCH(TRIM(SUBSTITUTE($A84,CHAR(160)," ")),'TRANS'!$D:$D,0)),""))</f>
        <v>4413059</v>
      </c>
      <c r="F84" s="20" t="str">
        <f aca="false">IF($E84="","Unmatched","Matched")</f>
        <v>Matched</v>
      </c>
    </row>
    <row r="85" customFormat="false" ht="15" hidden="false" customHeight="false" outlineLevel="0" collapsed="false">
      <c r="A85" s="20" t="s">
        <v>1241</v>
      </c>
      <c r="B85" s="20" t="n">
        <v>2025</v>
      </c>
      <c r="C85" s="21" t="n">
        <v>12</v>
      </c>
      <c r="D85" s="22" t="n">
        <v>173.78</v>
      </c>
      <c r="E85" s="20" t="n">
        <f aca="false">IFERROR(INDEX('TRANS'!$B:$B,MATCH($A85,'TRANS'!$A:$A,0)),IFERROR(INDEX('TRANS'!$B:$B,MATCH(TRIM(SUBSTITUTE($A85,CHAR(160)," ")),'TRANS'!$D:$D,0)),""))</f>
        <v>4413060</v>
      </c>
      <c r="F85" s="20" t="str">
        <f aca="false">IF($E85="","Unmatched","Matched")</f>
        <v>Matched</v>
      </c>
    </row>
    <row r="86" customFormat="false" ht="15" hidden="false" customHeight="false" outlineLevel="0" collapsed="false">
      <c r="A86" s="20" t="s">
        <v>1241</v>
      </c>
      <c r="B86" s="20" t="n">
        <v>2026</v>
      </c>
      <c r="C86" s="21" t="n">
        <v>9</v>
      </c>
      <c r="D86" s="22" t="n">
        <v>130.33</v>
      </c>
      <c r="E86" s="20" t="n">
        <f aca="false">IFERROR(INDEX('TRANS'!$B:$B,MATCH($A86,'TRANS'!$A:$A,0)),IFERROR(INDEX('TRANS'!$B:$B,MATCH(TRIM(SUBSTITUTE($A86,CHAR(160)," ")),'TRANS'!$D:$D,0)),""))</f>
        <v>4413060</v>
      </c>
      <c r="F86" s="20" t="str">
        <f aca="false">IF($E86="","Unmatched","Matched")</f>
        <v>Matched</v>
      </c>
    </row>
    <row r="87" customFormat="false" ht="15" hidden="false" customHeight="false" outlineLevel="0" collapsed="false">
      <c r="A87" s="20" t="s">
        <v>1242</v>
      </c>
      <c r="B87" s="20" t="n">
        <v>2025</v>
      </c>
      <c r="C87" s="21" t="n">
        <v>14</v>
      </c>
      <c r="D87" s="22" t="n">
        <v>292</v>
      </c>
      <c r="E87" s="20" t="n">
        <f aca="false">IFERROR(INDEX('TRANS'!$B:$B,MATCH($A87,'TRANS'!$A:$A,0)),IFERROR(INDEX('TRANS'!$B:$B,MATCH(TRIM(SUBSTITUTE($A87,CHAR(160)," ")),'TRANS'!$D:$D,0)),""))</f>
        <v>4413061</v>
      </c>
      <c r="F87" s="20" t="str">
        <f aca="false">IF($E87="","Unmatched","Matched")</f>
        <v>Matched</v>
      </c>
    </row>
    <row r="88" customFormat="false" ht="15" hidden="false" customHeight="false" outlineLevel="0" collapsed="false">
      <c r="A88" s="20" t="s">
        <v>1242</v>
      </c>
      <c r="B88" s="20" t="n">
        <v>2026</v>
      </c>
      <c r="C88" s="21" t="n">
        <v>1</v>
      </c>
      <c r="D88" s="22" t="n">
        <v>21.04</v>
      </c>
      <c r="E88" s="20" t="n">
        <f aca="false">IFERROR(INDEX('TRANS'!$B:$B,MATCH($A88,'TRANS'!$A:$A,0)),IFERROR(INDEX('TRANS'!$B:$B,MATCH(TRIM(SUBSTITUTE($A88,CHAR(160)," ")),'TRANS'!$D:$D,0)),""))</f>
        <v>4413061</v>
      </c>
      <c r="F88" s="20" t="str">
        <f aca="false">IF($E88="","Unmatched","Matched")</f>
        <v>Matched</v>
      </c>
    </row>
    <row r="89" customFormat="false" ht="15" hidden="false" customHeight="false" outlineLevel="0" collapsed="false">
      <c r="A89" s="20" t="s">
        <v>1246</v>
      </c>
      <c r="B89" s="20" t="n">
        <v>2025</v>
      </c>
      <c r="C89" s="21" t="n">
        <v>60</v>
      </c>
      <c r="D89" s="22" t="n">
        <v>1186.88</v>
      </c>
      <c r="E89" s="20" t="n">
        <f aca="false">IFERROR(INDEX('TRANS'!$B:$B,MATCH($A89,'TRANS'!$A:$A,0)),IFERROR(INDEX('TRANS'!$B:$B,MATCH(TRIM(SUBSTITUTE($A89,CHAR(160)," ")),'TRANS'!$D:$D,0)),""))</f>
        <v>4421000</v>
      </c>
      <c r="F89" s="20" t="str">
        <f aca="false">IF($E89="","Unmatched","Matched")</f>
        <v>Matched</v>
      </c>
    </row>
    <row r="90" customFormat="false" ht="15" hidden="false" customHeight="false" outlineLevel="0" collapsed="false">
      <c r="A90" s="20" t="s">
        <v>1246</v>
      </c>
      <c r="B90" s="20" t="n">
        <v>2026</v>
      </c>
      <c r="C90" s="21" t="n">
        <v>32</v>
      </c>
      <c r="D90" s="22" t="n">
        <v>598.55</v>
      </c>
      <c r="E90" s="20" t="n">
        <f aca="false">IFERROR(INDEX('TRANS'!$B:$B,MATCH($A90,'TRANS'!$A:$A,0)),IFERROR(INDEX('TRANS'!$B:$B,MATCH(TRIM(SUBSTITUTE($A90,CHAR(160)," ")),'TRANS'!$D:$D,0)),""))</f>
        <v>4421000</v>
      </c>
      <c r="F90" s="20" t="str">
        <f aca="false">IF($E90="","Unmatched","Matched")</f>
        <v>Matched</v>
      </c>
    </row>
    <row r="91" customFormat="false" ht="15" hidden="false" customHeight="false" outlineLevel="0" collapsed="false">
      <c r="A91" s="20" t="s">
        <v>1250</v>
      </c>
      <c r="B91" s="20" t="n">
        <v>2025</v>
      </c>
      <c r="C91" s="21" t="n">
        <v>21</v>
      </c>
      <c r="D91" s="22" t="n">
        <v>791.11</v>
      </c>
      <c r="E91" s="20" t="n">
        <f aca="false">IFERROR(INDEX('TRANS'!$B:$B,MATCH($A91,'TRANS'!$A:$A,0)),IFERROR(INDEX('TRANS'!$B:$B,MATCH(TRIM(SUBSTITUTE($A91,CHAR(160)," ")),'TRANS'!$D:$D,0)),""))</f>
        <v>4413370</v>
      </c>
      <c r="F91" s="20" t="str">
        <f aca="false">IF($E91="","Unmatched","Matched")</f>
        <v>Matched</v>
      </c>
    </row>
    <row r="92" customFormat="false" ht="15" hidden="false" customHeight="false" outlineLevel="0" collapsed="false">
      <c r="A92" s="20" t="s">
        <v>1250</v>
      </c>
      <c r="B92" s="20" t="n">
        <v>2026</v>
      </c>
      <c r="C92" s="21" t="n">
        <v>12</v>
      </c>
      <c r="D92" s="22" t="n">
        <v>483.24</v>
      </c>
      <c r="E92" s="20" t="n">
        <f aca="false">IFERROR(INDEX('TRANS'!$B:$B,MATCH($A92,'TRANS'!$A:$A,0)),IFERROR(INDEX('TRANS'!$B:$B,MATCH(TRIM(SUBSTITUTE($A92,CHAR(160)," ")),'TRANS'!$D:$D,0)),""))</f>
        <v>4413370</v>
      </c>
      <c r="F92" s="20" t="str">
        <f aca="false">IF($E92="","Unmatched","Matched")</f>
        <v>Matched</v>
      </c>
    </row>
    <row r="93" customFormat="false" ht="15" hidden="false" customHeight="false" outlineLevel="0" collapsed="false">
      <c r="A93" s="20" t="s">
        <v>1251</v>
      </c>
      <c r="B93" s="20" t="n">
        <v>2025</v>
      </c>
      <c r="C93" s="21" t="n">
        <v>16</v>
      </c>
      <c r="D93" s="22" t="n">
        <v>483.9</v>
      </c>
      <c r="E93" s="20" t="n">
        <f aca="false">IFERROR(INDEX('TRANS'!$B:$B,MATCH($A93,'TRANS'!$A:$A,0)),IFERROR(INDEX('TRANS'!$B:$B,MATCH(TRIM(SUBSTITUTE($A93,CHAR(160)," ")),'TRANS'!$D:$D,0)),""))</f>
        <v>4413371</v>
      </c>
      <c r="F93" s="20" t="str">
        <f aca="false">IF($E93="","Unmatched","Matched")</f>
        <v>Matched</v>
      </c>
    </row>
    <row r="94" customFormat="false" ht="15" hidden="false" customHeight="false" outlineLevel="0" collapsed="false">
      <c r="A94" s="20" t="s">
        <v>1251</v>
      </c>
      <c r="B94" s="20" t="n">
        <v>2026</v>
      </c>
      <c r="C94" s="21" t="n">
        <v>7</v>
      </c>
      <c r="D94" s="22" t="n">
        <v>212.94</v>
      </c>
      <c r="E94" s="20" t="n">
        <f aca="false">IFERROR(INDEX('TRANS'!$B:$B,MATCH($A94,'TRANS'!$A:$A,0)),IFERROR(INDEX('TRANS'!$B:$B,MATCH(TRIM(SUBSTITUTE($A94,CHAR(160)," ")),'TRANS'!$D:$D,0)),""))</f>
        <v>4413371</v>
      </c>
      <c r="F94" s="20" t="str">
        <f aca="false">IF($E94="","Unmatched","Matched")</f>
        <v>Matched</v>
      </c>
    </row>
    <row r="95" customFormat="false" ht="15" hidden="false" customHeight="false" outlineLevel="0" collapsed="false">
      <c r="A95" s="20" t="s">
        <v>1252</v>
      </c>
      <c r="B95" s="20" t="n">
        <v>2025</v>
      </c>
      <c r="C95" s="21" t="n">
        <v>7</v>
      </c>
      <c r="D95" s="22" t="n">
        <v>143.17</v>
      </c>
      <c r="E95" s="20" t="n">
        <f aca="false">IFERROR(INDEX('TRANS'!$B:$B,MATCH($A95,'TRANS'!$A:$A,0)),IFERROR(INDEX('TRANS'!$B:$B,MATCH(TRIM(SUBSTITUTE($A95,CHAR(160)," ")),'TRANS'!$D:$D,0)),""))</f>
        <v>4413066</v>
      </c>
      <c r="F95" s="20" t="str">
        <f aca="false">IF($E95="","Unmatched","Matched")</f>
        <v>Matched</v>
      </c>
    </row>
    <row r="96" customFormat="false" ht="15" hidden="false" customHeight="false" outlineLevel="0" collapsed="false">
      <c r="A96" s="20" t="s">
        <v>1252</v>
      </c>
      <c r="B96" s="20" t="n">
        <v>2026</v>
      </c>
      <c r="C96" s="21" t="n">
        <v>2</v>
      </c>
      <c r="D96" s="22" t="n">
        <v>41.14</v>
      </c>
      <c r="E96" s="20" t="n">
        <f aca="false">IFERROR(INDEX('TRANS'!$B:$B,MATCH($A96,'TRANS'!$A:$A,0)),IFERROR(INDEX('TRANS'!$B:$B,MATCH(TRIM(SUBSTITUTE($A96,CHAR(160)," ")),'TRANS'!$D:$D,0)),""))</f>
        <v>4413066</v>
      </c>
      <c r="F96" s="20" t="str">
        <f aca="false">IF($E96="","Unmatched","Matched")</f>
        <v>Matched</v>
      </c>
    </row>
    <row r="97" customFormat="false" ht="15" hidden="false" customHeight="false" outlineLevel="0" collapsed="false">
      <c r="A97" s="20" t="s">
        <v>1254</v>
      </c>
      <c r="B97" s="20" t="n">
        <v>2025</v>
      </c>
      <c r="C97" s="21" t="n">
        <v>9</v>
      </c>
      <c r="D97" s="22" t="n">
        <v>214.72</v>
      </c>
      <c r="E97" s="20" t="n">
        <f aca="false">IFERROR(INDEX('TRANS'!$B:$B,MATCH($A97,'TRANS'!$A:$A,0)),IFERROR(INDEX('TRANS'!$B:$B,MATCH(TRIM(SUBSTITUTE($A97,CHAR(160)," ")),'TRANS'!$D:$D,0)),""))</f>
        <v>4401000</v>
      </c>
      <c r="F97" s="20" t="str">
        <f aca="false">IF($E97="","Unmatched","Matched")</f>
        <v>Matched</v>
      </c>
    </row>
    <row r="98" customFormat="false" ht="15" hidden="false" customHeight="false" outlineLevel="0" collapsed="false">
      <c r="A98" s="20" t="s">
        <v>1254</v>
      </c>
      <c r="B98" s="20" t="n">
        <v>2026</v>
      </c>
      <c r="C98" s="21" t="n">
        <v>11</v>
      </c>
      <c r="D98" s="22" t="n">
        <v>262.44</v>
      </c>
      <c r="E98" s="20" t="n">
        <f aca="false">IFERROR(INDEX('TRANS'!$B:$B,MATCH($A98,'TRANS'!$A:$A,0)),IFERROR(INDEX('TRANS'!$B:$B,MATCH(TRIM(SUBSTITUTE($A98,CHAR(160)," ")),'TRANS'!$D:$D,0)),""))</f>
        <v>4401000</v>
      </c>
      <c r="F98" s="20" t="str">
        <f aca="false">IF($E98="","Unmatched","Matched")</f>
        <v>Matched</v>
      </c>
    </row>
    <row r="99" customFormat="false" ht="15" hidden="false" customHeight="false" outlineLevel="0" collapsed="false">
      <c r="A99" s="20" t="s">
        <v>1367</v>
      </c>
      <c r="B99" s="20" t="n">
        <v>2025</v>
      </c>
      <c r="C99" s="21" t="n">
        <v>23</v>
      </c>
      <c r="D99" s="22" t="n">
        <v>343.41</v>
      </c>
      <c r="E99" s="20" t="n">
        <f aca="false">IFERROR(INDEX('TRANS'!$B:$B,MATCH($A99,'TRANS'!$A:$A,0)),IFERROR(INDEX('TRANS'!$B:$B,MATCH(TRIM(SUBSTITUTE($A99,CHAR(160)," ")),'TRANS'!$D:$D,0)),""))</f>
        <v>4420002</v>
      </c>
      <c r="F99" s="20" t="str">
        <f aca="false">IF($E99="","Unmatched","Matched")</f>
        <v>Matched</v>
      </c>
    </row>
    <row r="100" customFormat="false" ht="15" hidden="false" customHeight="false" outlineLevel="0" collapsed="false">
      <c r="A100" s="20" t="s">
        <v>1367</v>
      </c>
      <c r="B100" s="20" t="n">
        <v>2026</v>
      </c>
      <c r="C100" s="21" t="n">
        <v>13</v>
      </c>
      <c r="D100" s="22" t="n">
        <v>200.46</v>
      </c>
      <c r="E100" s="20" t="n">
        <f aca="false">IFERROR(INDEX('TRANS'!$B:$B,MATCH($A100,'TRANS'!$A:$A,0)),IFERROR(INDEX('TRANS'!$B:$B,MATCH(TRIM(SUBSTITUTE($A100,CHAR(160)," ")),'TRANS'!$D:$D,0)),""))</f>
        <v>4420002</v>
      </c>
      <c r="F100" s="20" t="str">
        <f aca="false">IF($E100="","Unmatched","Matched")</f>
        <v>Matched</v>
      </c>
    </row>
    <row r="101" customFormat="false" ht="15" hidden="false" customHeight="false" outlineLevel="0" collapsed="false">
      <c r="A101" s="20" t="s">
        <v>95</v>
      </c>
      <c r="B101" s="20" t="n">
        <v>2025</v>
      </c>
      <c r="C101" s="21" t="n">
        <v>2</v>
      </c>
      <c r="D101" s="22" t="n">
        <v>66.09</v>
      </c>
      <c r="E101" s="20" t="str">
        <f aca="false">IFERROR(INDEX('TRANS'!$B:$B,MATCH($A101,'TRANS'!$A:$A,0)),IFERROR(INDEX('TRANS'!$B:$B,MATCH(TRIM(SUBSTITUTE($A101,CHAR(160)," ")),'TRANS'!$D:$D,0)),""))</f>
        <v/>
      </c>
      <c r="F101" s="20" t="str">
        <f aca="false">IF($E101="","Unmatched","Matched")</f>
        <v>Unmatched</v>
      </c>
    </row>
    <row r="102" customFormat="false" ht="15" hidden="false" customHeight="false" outlineLevel="0" collapsed="false">
      <c r="A102" s="20" t="s">
        <v>101</v>
      </c>
      <c r="B102" s="20" t="n">
        <v>2025</v>
      </c>
      <c r="C102" s="21" t="n">
        <v>16</v>
      </c>
      <c r="D102" s="22" t="n">
        <v>977.24</v>
      </c>
      <c r="E102" s="20" t="str">
        <f aca="false">IFERROR(INDEX('TRANS'!$B:$B,MATCH($A102,'TRANS'!$A:$A,0)),IFERROR(INDEX('TRANS'!$B:$B,MATCH(TRIM(SUBSTITUTE($A102,CHAR(160)," ")),'TRANS'!$D:$D,0)),""))</f>
        <v/>
      </c>
      <c r="F102" s="20" t="str">
        <f aca="false">IF($E102="","Unmatched","Matched")</f>
        <v>Unmatched</v>
      </c>
    </row>
    <row r="103" customFormat="false" ht="15" hidden="false" customHeight="false" outlineLevel="0" collapsed="false">
      <c r="A103" s="20" t="s">
        <v>1005</v>
      </c>
      <c r="B103" s="20" t="n">
        <v>2025</v>
      </c>
      <c r="C103" s="21" t="n">
        <v>24</v>
      </c>
      <c r="D103" s="22" t="n">
        <v>1429.05</v>
      </c>
      <c r="E103" s="20" t="n">
        <f aca="false">IFERROR(INDEX('TRANS'!$B:$B,MATCH($A103,'TRANS'!$A:$A,0)),IFERROR(INDEX('TRANS'!$B:$B,MATCH(TRIM(SUBSTITUTE($A103,CHAR(160)," ")),'TRANS'!$D:$D,0)),""))</f>
        <v>4403029</v>
      </c>
      <c r="F103" s="20" t="str">
        <f aca="false">IF($E103="","Unmatched","Matched")</f>
        <v>Matched</v>
      </c>
    </row>
    <row r="104" customFormat="false" ht="15" hidden="false" customHeight="false" outlineLevel="0" collapsed="false">
      <c r="A104" s="20" t="s">
        <v>1005</v>
      </c>
      <c r="B104" s="20" t="n">
        <v>2026</v>
      </c>
      <c r="C104" s="21" t="n">
        <v>2</v>
      </c>
      <c r="D104" s="22" t="n">
        <v>126.46</v>
      </c>
      <c r="E104" s="20" t="n">
        <f aca="false">IFERROR(INDEX('TRANS'!$B:$B,MATCH($A104,'TRANS'!$A:$A,0)),IFERROR(INDEX('TRANS'!$B:$B,MATCH(TRIM(SUBSTITUTE($A104,CHAR(160)," ")),'TRANS'!$D:$D,0)),""))</f>
        <v>4403029</v>
      </c>
      <c r="F104" s="20" t="str">
        <f aca="false">IF($E104="","Unmatched","Matched")</f>
        <v>Matched</v>
      </c>
    </row>
    <row r="105" customFormat="false" ht="15" hidden="false" customHeight="false" outlineLevel="0" collapsed="false">
      <c r="A105" s="20" t="s">
        <v>102</v>
      </c>
      <c r="B105" s="20" t="n">
        <v>2025</v>
      </c>
      <c r="C105" s="21" t="n">
        <v>16</v>
      </c>
      <c r="D105" s="22" t="n">
        <v>974.95</v>
      </c>
      <c r="E105" s="20" t="str">
        <f aca="false">IFERROR(INDEX('TRANS'!$B:$B,MATCH($A105,'TRANS'!$A:$A,0)),IFERROR(INDEX('TRANS'!$B:$B,MATCH(TRIM(SUBSTITUTE($A105,CHAR(160)," ")),'TRANS'!$D:$D,0)),""))</f>
        <v/>
      </c>
      <c r="F105" s="20" t="str">
        <f aca="false">IF($E105="","Unmatched","Matched")</f>
        <v>Unmatched</v>
      </c>
    </row>
    <row r="106" customFormat="false" ht="15" hidden="false" customHeight="false" outlineLevel="0" collapsed="false">
      <c r="A106" s="20" t="s">
        <v>1006</v>
      </c>
      <c r="B106" s="20" t="n">
        <v>2025</v>
      </c>
      <c r="C106" s="21" t="n">
        <v>1</v>
      </c>
      <c r="D106" s="22" t="n">
        <v>63.23</v>
      </c>
      <c r="E106" s="20" t="n">
        <f aca="false">IFERROR(INDEX('TRANS'!$B:$B,MATCH($A106,'TRANS'!$A:$A,0)),IFERROR(INDEX('TRANS'!$B:$B,MATCH(TRIM(SUBSTITUTE($A106,CHAR(160)," ")),'TRANS'!$D:$D,0)),""))</f>
        <v>4403041</v>
      </c>
      <c r="F106" s="20" t="str">
        <f aca="false">IF($E106="","Unmatched","Matched")</f>
        <v>Matched</v>
      </c>
    </row>
    <row r="107" customFormat="false" ht="15" hidden="false" customHeight="false" outlineLevel="0" collapsed="false">
      <c r="A107" s="20" t="s">
        <v>1006</v>
      </c>
      <c r="B107" s="20" t="n">
        <v>2026</v>
      </c>
      <c r="C107" s="21" t="n">
        <v>19</v>
      </c>
      <c r="D107" s="22" t="n">
        <v>1201.43</v>
      </c>
      <c r="E107" s="20" t="n">
        <f aca="false">IFERROR(INDEX('TRANS'!$B:$B,MATCH($A107,'TRANS'!$A:$A,0)),IFERROR(INDEX('TRANS'!$B:$B,MATCH(TRIM(SUBSTITUTE($A107,CHAR(160)," ")),'TRANS'!$D:$D,0)),""))</f>
        <v>4403041</v>
      </c>
      <c r="F107" s="20" t="str">
        <f aca="false">IF($E107="","Unmatched","Matched")</f>
        <v>Matched</v>
      </c>
    </row>
    <row r="108" customFormat="false" ht="15" hidden="false" customHeight="false" outlineLevel="0" collapsed="false">
      <c r="A108" s="20" t="s">
        <v>1007</v>
      </c>
      <c r="B108" s="20" t="n">
        <v>2026</v>
      </c>
      <c r="C108" s="21" t="n">
        <v>36</v>
      </c>
      <c r="D108" s="22" t="n">
        <v>2276.35</v>
      </c>
      <c r="E108" s="20" t="n">
        <f aca="false">IFERROR(INDEX('TRANS'!$B:$B,MATCH($A108,'TRANS'!$A:$A,0)),IFERROR(INDEX('TRANS'!$B:$B,MATCH(TRIM(SUBSTITUTE($A108,CHAR(160)," ")),'TRANS'!$D:$D,0)),""))</f>
        <v>4403042</v>
      </c>
      <c r="F108" s="20" t="str">
        <f aca="false">IF($E108="","Unmatched","Matched")</f>
        <v>Matched</v>
      </c>
    </row>
    <row r="109" customFormat="false" ht="15" hidden="false" customHeight="false" outlineLevel="0" collapsed="false">
      <c r="A109" s="20" t="s">
        <v>1008</v>
      </c>
      <c r="B109" s="20" t="n">
        <v>2026</v>
      </c>
      <c r="C109" s="21" t="n">
        <v>33</v>
      </c>
      <c r="D109" s="22" t="n">
        <v>2086.68</v>
      </c>
      <c r="E109" s="20" t="n">
        <f aca="false">IFERROR(INDEX('TRANS'!$B:$B,MATCH($A109,'TRANS'!$A:$A,0)),IFERROR(INDEX('TRANS'!$B:$B,MATCH(TRIM(SUBSTITUTE($A109,CHAR(160)," ")),'TRANS'!$D:$D,0)),""))</f>
        <v>4403043</v>
      </c>
      <c r="F109" s="20" t="str">
        <f aca="false">IF($E109="","Unmatched","Matched")</f>
        <v>Matched</v>
      </c>
    </row>
    <row r="110" customFormat="false" ht="15" hidden="false" customHeight="false" outlineLevel="0" collapsed="false">
      <c r="A110" s="20" t="s">
        <v>105</v>
      </c>
      <c r="B110" s="20" t="n">
        <v>2025</v>
      </c>
      <c r="C110" s="21" t="n">
        <v>1</v>
      </c>
      <c r="D110" s="22" t="n">
        <v>203.38</v>
      </c>
      <c r="E110" s="20" t="str">
        <f aca="false">IFERROR(INDEX('TRANS'!$B:$B,MATCH($A110,'TRANS'!$A:$A,0)),IFERROR(INDEX('TRANS'!$B:$B,MATCH(TRIM(SUBSTITUTE($A110,CHAR(160)," ")),'TRANS'!$D:$D,0)),""))</f>
        <v/>
      </c>
      <c r="F110" s="20" t="str">
        <f aca="false">IF($E110="","Unmatched","Matched")</f>
        <v>Unmatched</v>
      </c>
    </row>
    <row r="111" customFormat="false" ht="15" hidden="false" customHeight="false" outlineLevel="0" collapsed="false">
      <c r="A111" s="20" t="s">
        <v>943</v>
      </c>
      <c r="B111" s="20" t="n">
        <v>2025</v>
      </c>
      <c r="C111" s="21" t="n">
        <v>17</v>
      </c>
      <c r="D111" s="22" t="n">
        <v>523.99</v>
      </c>
      <c r="E111" s="20" t="n">
        <f aca="false">IFERROR(INDEX('TRANS'!$B:$B,MATCH($A111,'TRANS'!$A:$A,0)),IFERROR(INDEX('TRANS'!$B:$B,MATCH(TRIM(SUBSTITUTE($A111,CHAR(160)," ")),'TRANS'!$D:$D,0)),""))</f>
        <v>4413092</v>
      </c>
      <c r="F111" s="20" t="str">
        <f aca="false">IF($E111="","Unmatched","Matched")</f>
        <v>Matched</v>
      </c>
    </row>
    <row r="112" customFormat="false" ht="15" hidden="false" customHeight="false" outlineLevel="0" collapsed="false">
      <c r="A112" s="20" t="s">
        <v>943</v>
      </c>
      <c r="B112" s="20" t="n">
        <v>2026</v>
      </c>
      <c r="C112" s="21" t="n">
        <v>8</v>
      </c>
      <c r="D112" s="22" t="n">
        <v>247.13</v>
      </c>
      <c r="E112" s="20" t="n">
        <f aca="false">IFERROR(INDEX('TRANS'!$B:$B,MATCH($A112,'TRANS'!$A:$A,0)),IFERROR(INDEX('TRANS'!$B:$B,MATCH(TRIM(SUBSTITUTE($A112,CHAR(160)," ")),'TRANS'!$D:$D,0)),""))</f>
        <v>4413092</v>
      </c>
      <c r="F112" s="20" t="str">
        <f aca="false">IF($E112="","Unmatched","Matched")</f>
        <v>Matched</v>
      </c>
    </row>
    <row r="113" customFormat="false" ht="15" hidden="false" customHeight="false" outlineLevel="0" collapsed="false">
      <c r="A113" s="20" t="s">
        <v>944</v>
      </c>
      <c r="B113" s="20" t="n">
        <v>2025</v>
      </c>
      <c r="C113" s="21" t="n">
        <v>12</v>
      </c>
      <c r="D113" s="22" t="n">
        <v>367.25</v>
      </c>
      <c r="E113" s="20" t="n">
        <f aca="false">IFERROR(INDEX('TRANS'!$B:$B,MATCH($A113,'TRANS'!$A:$A,0)),IFERROR(INDEX('TRANS'!$B:$B,MATCH(TRIM(SUBSTITUTE($A113,CHAR(160)," ")),'TRANS'!$D:$D,0)),""))</f>
        <v>4413093</v>
      </c>
      <c r="F113" s="20" t="str">
        <f aca="false">IF($E113="","Unmatched","Matched")</f>
        <v>Matched</v>
      </c>
    </row>
    <row r="114" customFormat="false" ht="15" hidden="false" customHeight="false" outlineLevel="0" collapsed="false">
      <c r="A114" s="20" t="s">
        <v>944</v>
      </c>
      <c r="B114" s="20" t="n">
        <v>2026</v>
      </c>
      <c r="C114" s="21" t="n">
        <v>5</v>
      </c>
      <c r="D114" s="22" t="n">
        <v>154.45</v>
      </c>
      <c r="E114" s="20" t="n">
        <f aca="false">IFERROR(INDEX('TRANS'!$B:$B,MATCH($A114,'TRANS'!$A:$A,0)),IFERROR(INDEX('TRANS'!$B:$B,MATCH(TRIM(SUBSTITUTE($A114,CHAR(160)," ")),'TRANS'!$D:$D,0)),""))</f>
        <v>4413093</v>
      </c>
      <c r="F114" s="20" t="str">
        <f aca="false">IF($E114="","Unmatched","Matched")</f>
        <v>Matched</v>
      </c>
    </row>
    <row r="115" customFormat="false" ht="15" hidden="false" customHeight="false" outlineLevel="0" collapsed="false">
      <c r="A115" s="20" t="s">
        <v>945</v>
      </c>
      <c r="B115" s="20" t="n">
        <v>2025</v>
      </c>
      <c r="C115" s="21" t="n">
        <v>3</v>
      </c>
      <c r="D115" s="22" t="n">
        <v>91.52</v>
      </c>
      <c r="E115" s="20" t="n">
        <f aca="false">IFERROR(INDEX('TRANS'!$B:$B,MATCH($A115,'TRANS'!$A:$A,0)),IFERROR(INDEX('TRANS'!$B:$B,MATCH(TRIM(SUBSTITUTE($A115,CHAR(160)," ")),'TRANS'!$D:$D,0)),""))</f>
        <v>4413094</v>
      </c>
      <c r="F115" s="20" t="str">
        <f aca="false">IF($E115="","Unmatched","Matched")</f>
        <v>Matched</v>
      </c>
    </row>
    <row r="116" customFormat="false" ht="15" hidden="false" customHeight="false" outlineLevel="0" collapsed="false">
      <c r="A116" s="20" t="s">
        <v>945</v>
      </c>
      <c r="B116" s="20" t="n">
        <v>2026</v>
      </c>
      <c r="C116" s="21" t="n">
        <v>1</v>
      </c>
      <c r="D116" s="22" t="n">
        <v>30.89</v>
      </c>
      <c r="E116" s="20" t="n">
        <f aca="false">IFERROR(INDEX('TRANS'!$B:$B,MATCH($A116,'TRANS'!$A:$A,0)),IFERROR(INDEX('TRANS'!$B:$B,MATCH(TRIM(SUBSTITUTE($A116,CHAR(160)," ")),'TRANS'!$D:$D,0)),""))</f>
        <v>4413094</v>
      </c>
      <c r="F116" s="20" t="str">
        <f aca="false">IF($E116="","Unmatched","Matched")</f>
        <v>Matched</v>
      </c>
    </row>
    <row r="117" customFormat="false" ht="15" hidden="false" customHeight="false" outlineLevel="0" collapsed="false">
      <c r="A117" s="20" t="s">
        <v>946</v>
      </c>
      <c r="B117" s="20" t="n">
        <v>2025</v>
      </c>
      <c r="C117" s="21" t="n">
        <v>5</v>
      </c>
      <c r="D117" s="22" t="n">
        <v>153.3</v>
      </c>
      <c r="E117" s="20" t="n">
        <f aca="false">IFERROR(INDEX('TRANS'!$B:$B,MATCH($A117,'TRANS'!$A:$A,0)),IFERROR(INDEX('TRANS'!$B:$B,MATCH(TRIM(SUBSTITUTE($A117,CHAR(160)," ")),'TRANS'!$D:$D,0)),""))</f>
        <v>4413095</v>
      </c>
      <c r="F117" s="20" t="str">
        <f aca="false">IF($E117="","Unmatched","Matched")</f>
        <v>Matched</v>
      </c>
    </row>
    <row r="118" customFormat="false" ht="15" hidden="false" customHeight="false" outlineLevel="0" collapsed="false">
      <c r="A118" s="20" t="s">
        <v>946</v>
      </c>
      <c r="B118" s="20" t="n">
        <v>2026</v>
      </c>
      <c r="C118" s="21" t="n">
        <v>2</v>
      </c>
      <c r="D118" s="22" t="n">
        <v>61.78</v>
      </c>
      <c r="E118" s="20" t="n">
        <f aca="false">IFERROR(INDEX('TRANS'!$B:$B,MATCH($A118,'TRANS'!$A:$A,0)),IFERROR(INDEX('TRANS'!$B:$B,MATCH(TRIM(SUBSTITUTE($A118,CHAR(160)," ")),'TRANS'!$D:$D,0)),""))</f>
        <v>4413095</v>
      </c>
      <c r="F118" s="20" t="str">
        <f aca="false">IF($E118="","Unmatched","Matched")</f>
        <v>Matched</v>
      </c>
    </row>
    <row r="119" customFormat="false" ht="15" hidden="false" customHeight="false" outlineLevel="0" collapsed="false">
      <c r="A119" s="20" t="s">
        <v>942</v>
      </c>
      <c r="B119" s="20" t="n">
        <v>2025</v>
      </c>
      <c r="C119" s="21" t="n">
        <v>1</v>
      </c>
      <c r="D119" s="22" t="n">
        <v>29.74</v>
      </c>
      <c r="E119" s="20" t="n">
        <f aca="false">IFERROR(INDEX('TRANS'!$B:$B,MATCH($A119,'TRANS'!$A:$A,0)),IFERROR(INDEX('TRANS'!$B:$B,MATCH(TRIM(SUBSTITUTE($A119,CHAR(160)," ")),'TRANS'!$D:$D,0)),""))</f>
        <v>4413332</v>
      </c>
      <c r="F119" s="20" t="str">
        <f aca="false">IF($E119="","Unmatched","Matched")</f>
        <v>Matched</v>
      </c>
    </row>
    <row r="120" customFormat="false" ht="15" hidden="false" customHeight="false" outlineLevel="0" collapsed="false">
      <c r="A120" s="20" t="s">
        <v>942</v>
      </c>
      <c r="B120" s="20" t="n">
        <v>2026</v>
      </c>
      <c r="C120" s="21" t="n">
        <v>1</v>
      </c>
      <c r="D120" s="22" t="n">
        <v>30.89</v>
      </c>
      <c r="E120" s="20" t="n">
        <f aca="false">IFERROR(INDEX('TRANS'!$B:$B,MATCH($A120,'TRANS'!$A:$A,0)),IFERROR(INDEX('TRANS'!$B:$B,MATCH(TRIM(SUBSTITUTE($A120,CHAR(160)," ")),'TRANS'!$D:$D,0)),""))</f>
        <v>4413332</v>
      </c>
      <c r="F120" s="20" t="str">
        <f aca="false">IF($E120="","Unmatched","Matched")</f>
        <v>Matched</v>
      </c>
    </row>
    <row r="121" customFormat="false" ht="15" hidden="false" customHeight="false" outlineLevel="0" collapsed="false">
      <c r="A121" s="20" t="s">
        <v>953</v>
      </c>
      <c r="B121" s="20" t="n">
        <v>2025</v>
      </c>
      <c r="C121" s="21" t="n">
        <v>15</v>
      </c>
      <c r="D121" s="22" t="n">
        <v>461.08</v>
      </c>
      <c r="E121" s="20" t="n">
        <f aca="false">IFERROR(INDEX('TRANS'!$B:$B,MATCH($A121,'TRANS'!$A:$A,0)),IFERROR(INDEX('TRANS'!$B:$B,MATCH(TRIM(SUBSTITUTE($A121,CHAR(160)," ")),'TRANS'!$D:$D,0)),""))</f>
        <v>4413098</v>
      </c>
      <c r="F121" s="20" t="str">
        <f aca="false">IF($E121="","Unmatched","Matched")</f>
        <v>Matched</v>
      </c>
    </row>
    <row r="122" customFormat="false" ht="15" hidden="false" customHeight="false" outlineLevel="0" collapsed="false">
      <c r="A122" s="20" t="s">
        <v>953</v>
      </c>
      <c r="B122" s="20" t="n">
        <v>2026</v>
      </c>
      <c r="C122" s="21" t="n">
        <v>10</v>
      </c>
      <c r="D122" s="22" t="n">
        <v>308.91</v>
      </c>
      <c r="E122" s="20" t="n">
        <f aca="false">IFERROR(INDEX('TRANS'!$B:$B,MATCH($A122,'TRANS'!$A:$A,0)),IFERROR(INDEX('TRANS'!$B:$B,MATCH(TRIM(SUBSTITUTE($A122,CHAR(160)," ")),'TRANS'!$D:$D,0)),""))</f>
        <v>4413098</v>
      </c>
      <c r="F122" s="20" t="str">
        <f aca="false">IF($E122="","Unmatched","Matched")</f>
        <v>Matched</v>
      </c>
    </row>
    <row r="123" customFormat="false" ht="15" hidden="false" customHeight="false" outlineLevel="0" collapsed="false">
      <c r="A123" s="20" t="s">
        <v>954</v>
      </c>
      <c r="B123" s="20" t="n">
        <v>2025</v>
      </c>
      <c r="C123" s="21" t="n">
        <v>3</v>
      </c>
      <c r="D123" s="22" t="n">
        <v>92.67</v>
      </c>
      <c r="E123" s="20" t="n">
        <f aca="false">IFERROR(INDEX('TRANS'!$B:$B,MATCH($A123,'TRANS'!$A:$A,0)),IFERROR(INDEX('TRANS'!$B:$B,MATCH(TRIM(SUBSTITUTE($A123,CHAR(160)," ")),'TRANS'!$D:$D,0)),""))</f>
        <v>4413099</v>
      </c>
      <c r="F123" s="20" t="str">
        <f aca="false">IF($E123="","Unmatched","Matched")</f>
        <v>Matched</v>
      </c>
    </row>
    <row r="124" customFormat="false" ht="15" hidden="false" customHeight="false" outlineLevel="0" collapsed="false">
      <c r="A124" s="20" t="s">
        <v>954</v>
      </c>
      <c r="B124" s="20" t="n">
        <v>2026</v>
      </c>
      <c r="C124" s="21" t="n">
        <v>8</v>
      </c>
      <c r="D124" s="22" t="n">
        <v>247.13</v>
      </c>
      <c r="E124" s="20" t="n">
        <f aca="false">IFERROR(INDEX('TRANS'!$B:$B,MATCH($A124,'TRANS'!$A:$A,0)),IFERROR(INDEX('TRANS'!$B:$B,MATCH(TRIM(SUBSTITUTE($A124,CHAR(160)," ")),'TRANS'!$D:$D,0)),""))</f>
        <v>4413099</v>
      </c>
      <c r="F124" s="20" t="str">
        <f aca="false">IF($E124="","Unmatched","Matched")</f>
        <v>Matched</v>
      </c>
    </row>
    <row r="125" customFormat="false" ht="15" hidden="false" customHeight="false" outlineLevel="0" collapsed="false">
      <c r="A125" s="20" t="s">
        <v>955</v>
      </c>
      <c r="B125" s="20" t="n">
        <v>2025</v>
      </c>
      <c r="C125" s="21" t="n">
        <v>5</v>
      </c>
      <c r="D125" s="22" t="n">
        <v>154.45</v>
      </c>
      <c r="E125" s="20" t="n">
        <f aca="false">IFERROR(INDEX('TRANS'!$B:$B,MATCH($A125,'TRANS'!$A:$A,0)),IFERROR(INDEX('TRANS'!$B:$B,MATCH(TRIM(SUBSTITUTE($A125,CHAR(160)," ")),'TRANS'!$D:$D,0)),""))</f>
        <v>4413097</v>
      </c>
      <c r="F125" s="20" t="str">
        <f aca="false">IF($E125="","Unmatched","Matched")</f>
        <v>Matched</v>
      </c>
    </row>
    <row r="126" customFormat="false" ht="15" hidden="false" customHeight="false" outlineLevel="0" collapsed="false">
      <c r="A126" s="20" t="s">
        <v>955</v>
      </c>
      <c r="B126" s="20" t="n">
        <v>2026</v>
      </c>
      <c r="C126" s="21" t="n">
        <v>4</v>
      </c>
      <c r="D126" s="22" t="n">
        <v>123.56</v>
      </c>
      <c r="E126" s="20" t="n">
        <f aca="false">IFERROR(INDEX('TRANS'!$B:$B,MATCH($A126,'TRANS'!$A:$A,0)),IFERROR(INDEX('TRANS'!$B:$B,MATCH(TRIM(SUBSTITUTE($A126,CHAR(160)," ")),'TRANS'!$D:$D,0)),""))</f>
        <v>4413097</v>
      </c>
      <c r="F126" s="20" t="str">
        <f aca="false">IF($E126="","Unmatched","Matched")</f>
        <v>Matched</v>
      </c>
    </row>
    <row r="127" customFormat="false" ht="15" hidden="false" customHeight="false" outlineLevel="0" collapsed="false">
      <c r="A127" s="20" t="s">
        <v>956</v>
      </c>
      <c r="B127" s="20" t="n">
        <v>2025</v>
      </c>
      <c r="C127" s="21" t="n">
        <v>1</v>
      </c>
      <c r="D127" s="22" t="n">
        <v>30.89</v>
      </c>
      <c r="E127" s="20" t="n">
        <f aca="false">IFERROR(INDEX('TRANS'!$B:$B,MATCH($A127,'TRANS'!$A:$A,0)),IFERROR(INDEX('TRANS'!$B:$B,MATCH(TRIM(SUBSTITUTE($A127,CHAR(160)," ")),'TRANS'!$D:$D,0)),""))</f>
        <v>4413100</v>
      </c>
      <c r="F127" s="20" t="str">
        <f aca="false">IF($E127="","Unmatched","Matched")</f>
        <v>Matched</v>
      </c>
    </row>
    <row r="128" customFormat="false" ht="15" hidden="false" customHeight="false" outlineLevel="0" collapsed="false">
      <c r="A128" s="20" t="s">
        <v>956</v>
      </c>
      <c r="B128" s="20" t="n">
        <v>2026</v>
      </c>
      <c r="C128" s="21" t="n">
        <v>7</v>
      </c>
      <c r="D128" s="22" t="n">
        <v>216.24</v>
      </c>
      <c r="E128" s="20" t="n">
        <f aca="false">IFERROR(INDEX('TRANS'!$B:$B,MATCH($A128,'TRANS'!$A:$A,0)),IFERROR(INDEX('TRANS'!$B:$B,MATCH(TRIM(SUBSTITUTE($A128,CHAR(160)," ")),'TRANS'!$D:$D,0)),""))</f>
        <v>4413100</v>
      </c>
      <c r="F128" s="20" t="str">
        <f aca="false">IF($E128="","Unmatched","Matched")</f>
        <v>Matched</v>
      </c>
    </row>
    <row r="129" customFormat="false" ht="15" hidden="false" customHeight="false" outlineLevel="0" collapsed="false">
      <c r="A129" s="20" t="s">
        <v>108</v>
      </c>
      <c r="B129" s="20" t="n">
        <v>2025</v>
      </c>
      <c r="C129" s="21" t="n">
        <v>2</v>
      </c>
      <c r="D129" s="22" t="n">
        <v>61.78</v>
      </c>
      <c r="E129" s="20" t="str">
        <f aca="false">IFERROR(INDEX('TRANS'!$B:$B,MATCH($A129,'TRANS'!$A:$A,0)),IFERROR(INDEX('TRANS'!$B:$B,MATCH(TRIM(SUBSTITUTE($A129,CHAR(160)," ")),'TRANS'!$D:$D,0)),""))</f>
        <v/>
      </c>
      <c r="F129" s="20" t="str">
        <f aca="false">IF($E129="","Unmatched","Matched")</f>
        <v>Unmatched</v>
      </c>
    </row>
    <row r="130" customFormat="false" ht="15" hidden="false" customHeight="false" outlineLevel="0" collapsed="false">
      <c r="A130" s="20" t="s">
        <v>108</v>
      </c>
      <c r="B130" s="20" t="n">
        <v>2026</v>
      </c>
      <c r="C130" s="21" t="n">
        <v>1</v>
      </c>
      <c r="D130" s="22" t="n">
        <v>30.89</v>
      </c>
      <c r="E130" s="20" t="str">
        <f aca="false">IFERROR(INDEX('TRANS'!$B:$B,MATCH($A130,'TRANS'!$A:$A,0)),IFERROR(INDEX('TRANS'!$B:$B,MATCH(TRIM(SUBSTITUTE($A130,CHAR(160)," ")),'TRANS'!$D:$D,0)),""))</f>
        <v/>
      </c>
      <c r="F130" s="20" t="str">
        <f aca="false">IF($E130="","Unmatched","Matched")</f>
        <v>Unmatched</v>
      </c>
    </row>
    <row r="131" customFormat="false" ht="15" hidden="false" customHeight="false" outlineLevel="0" collapsed="false">
      <c r="A131" s="20" t="s">
        <v>957</v>
      </c>
      <c r="B131" s="20" t="n">
        <v>2025</v>
      </c>
      <c r="C131" s="21" t="n">
        <v>9</v>
      </c>
      <c r="D131" s="22" t="n">
        <v>337.09</v>
      </c>
      <c r="E131" s="20" t="n">
        <f aca="false">IFERROR(INDEX('TRANS'!$B:$B,MATCH($A131,'TRANS'!$A:$A,0)),IFERROR(INDEX('TRANS'!$B:$B,MATCH(TRIM(SUBSTITUTE($A131,CHAR(160)," ")),'TRANS'!$D:$D,0)),""))</f>
        <v>4413102</v>
      </c>
      <c r="F131" s="20" t="str">
        <f aca="false">IF($E131="","Unmatched","Matched")</f>
        <v>Matched</v>
      </c>
    </row>
    <row r="132" customFormat="false" ht="15" hidden="false" customHeight="false" outlineLevel="0" collapsed="false">
      <c r="A132" s="20" t="s">
        <v>957</v>
      </c>
      <c r="B132" s="20" t="n">
        <v>2026</v>
      </c>
      <c r="C132" s="21" t="n">
        <v>2</v>
      </c>
      <c r="D132" s="22" t="n">
        <v>74.91</v>
      </c>
      <c r="E132" s="20" t="n">
        <f aca="false">IFERROR(INDEX('TRANS'!$B:$B,MATCH($A132,'TRANS'!$A:$A,0)),IFERROR(INDEX('TRANS'!$B:$B,MATCH(TRIM(SUBSTITUTE($A132,CHAR(160)," ")),'TRANS'!$D:$D,0)),""))</f>
        <v>4413102</v>
      </c>
      <c r="F132" s="20" t="str">
        <f aca="false">IF($E132="","Unmatched","Matched")</f>
        <v>Matched</v>
      </c>
    </row>
    <row r="133" customFormat="false" ht="15" hidden="false" customHeight="false" outlineLevel="0" collapsed="false">
      <c r="A133" s="20" t="s">
        <v>958</v>
      </c>
      <c r="B133" s="20" t="n">
        <v>2025</v>
      </c>
      <c r="C133" s="21" t="n">
        <v>4</v>
      </c>
      <c r="D133" s="22" t="n">
        <v>146.67</v>
      </c>
      <c r="E133" s="20" t="n">
        <f aca="false">IFERROR(INDEX('TRANS'!$B:$B,MATCH($A133,'TRANS'!$A:$A,0)),IFERROR(INDEX('TRANS'!$B:$B,MATCH(TRIM(SUBSTITUTE($A133,CHAR(160)," ")),'TRANS'!$D:$D,0)),""))</f>
        <v>4413103</v>
      </c>
      <c r="F133" s="20" t="str">
        <f aca="false">IF($E133="","Unmatched","Matched")</f>
        <v>Matched</v>
      </c>
    </row>
    <row r="134" customFormat="false" ht="15" hidden="false" customHeight="false" outlineLevel="0" collapsed="false">
      <c r="A134" s="20" t="s">
        <v>958</v>
      </c>
      <c r="B134" s="20" t="n">
        <v>2026</v>
      </c>
      <c r="C134" s="21" t="n">
        <v>10</v>
      </c>
      <c r="D134" s="22" t="n">
        <v>374.55</v>
      </c>
      <c r="E134" s="20" t="n">
        <f aca="false">IFERROR(INDEX('TRANS'!$B:$B,MATCH($A134,'TRANS'!$A:$A,0)),IFERROR(INDEX('TRANS'!$B:$B,MATCH(TRIM(SUBSTITUTE($A134,CHAR(160)," ")),'TRANS'!$D:$D,0)),""))</f>
        <v>4413103</v>
      </c>
      <c r="F134" s="20" t="str">
        <f aca="false">IF($E134="","Unmatched","Matched")</f>
        <v>Matched</v>
      </c>
    </row>
    <row r="135" customFormat="false" ht="15" hidden="false" customHeight="false" outlineLevel="0" collapsed="false">
      <c r="A135" s="20" t="s">
        <v>960</v>
      </c>
      <c r="B135" s="20" t="n">
        <v>2025</v>
      </c>
      <c r="C135" s="21" t="n">
        <v>2</v>
      </c>
      <c r="D135" s="22" t="n">
        <v>74.9</v>
      </c>
      <c r="E135" s="20" t="n">
        <f aca="false">IFERROR(INDEX('TRANS'!$B:$B,MATCH($A135,'TRANS'!$A:$A,0)),IFERROR(INDEX('TRANS'!$B:$B,MATCH(TRIM(SUBSTITUTE($A135,CHAR(160)," ")),'TRANS'!$D:$D,0)),""))</f>
        <v>4413104</v>
      </c>
      <c r="F135" s="20" t="str">
        <f aca="false">IF($E135="","Unmatched","Matched")</f>
        <v>Matched</v>
      </c>
    </row>
    <row r="136" customFormat="false" ht="15" hidden="false" customHeight="false" outlineLevel="0" collapsed="false">
      <c r="A136" s="20" t="s">
        <v>960</v>
      </c>
      <c r="B136" s="20" t="n">
        <v>2026</v>
      </c>
      <c r="C136" s="21" t="n">
        <v>4</v>
      </c>
      <c r="D136" s="22" t="n">
        <v>149.83</v>
      </c>
      <c r="E136" s="20" t="n">
        <f aca="false">IFERROR(INDEX('TRANS'!$B:$B,MATCH($A136,'TRANS'!$A:$A,0)),IFERROR(INDEX('TRANS'!$B:$B,MATCH(TRIM(SUBSTITUTE($A136,CHAR(160)," ")),'TRANS'!$D:$D,0)),""))</f>
        <v>4413104</v>
      </c>
      <c r="F136" s="20" t="str">
        <f aca="false">IF($E136="","Unmatched","Matched")</f>
        <v>Matched</v>
      </c>
    </row>
    <row r="137" customFormat="false" ht="15" hidden="false" customHeight="false" outlineLevel="0" collapsed="false">
      <c r="A137" s="20" t="s">
        <v>961</v>
      </c>
      <c r="B137" s="20" t="n">
        <v>2025</v>
      </c>
      <c r="C137" s="21" t="n">
        <v>9</v>
      </c>
      <c r="D137" s="22" t="n">
        <v>326.06</v>
      </c>
      <c r="E137" s="20" t="n">
        <f aca="false">IFERROR(INDEX('TRANS'!$B:$B,MATCH($A137,'TRANS'!$A:$A,0)),IFERROR(INDEX('TRANS'!$B:$B,MATCH(TRIM(SUBSTITUTE($A137,CHAR(160)," ")),'TRANS'!$D:$D,0)),""))</f>
        <v>4413105</v>
      </c>
      <c r="F137" s="20" t="str">
        <f aca="false">IF($E137="","Unmatched","Matched")</f>
        <v>Matched</v>
      </c>
    </row>
    <row r="138" customFormat="false" ht="15" hidden="false" customHeight="false" outlineLevel="0" collapsed="false">
      <c r="A138" s="20" t="s">
        <v>962</v>
      </c>
      <c r="B138" s="20" t="n">
        <v>2025</v>
      </c>
      <c r="C138" s="21" t="n">
        <v>6</v>
      </c>
      <c r="D138" s="22" t="n">
        <v>224.72</v>
      </c>
      <c r="E138" s="20" t="n">
        <f aca="false">IFERROR(INDEX('TRANS'!$B:$B,MATCH($A138,'TRANS'!$A:$A,0)),IFERROR(INDEX('TRANS'!$B:$B,MATCH(TRIM(SUBSTITUTE($A138,CHAR(160)," ")),'TRANS'!$D:$D,0)),""))</f>
        <v>4413396</v>
      </c>
      <c r="F138" s="20" t="str">
        <f aca="false">IF($E138="","Unmatched","Matched")</f>
        <v>Matched</v>
      </c>
    </row>
    <row r="139" customFormat="false" ht="15" hidden="false" customHeight="false" outlineLevel="0" collapsed="false">
      <c r="A139" s="20" t="s">
        <v>962</v>
      </c>
      <c r="B139" s="20" t="n">
        <v>2026</v>
      </c>
      <c r="C139" s="21" t="n">
        <v>4</v>
      </c>
      <c r="D139" s="22" t="n">
        <v>149.82</v>
      </c>
      <c r="E139" s="20" t="n">
        <f aca="false">IFERROR(INDEX('TRANS'!$B:$B,MATCH($A139,'TRANS'!$A:$A,0)),IFERROR(INDEX('TRANS'!$B:$B,MATCH(TRIM(SUBSTITUTE($A139,CHAR(160)," ")),'TRANS'!$D:$D,0)),""))</f>
        <v>4413396</v>
      </c>
      <c r="F139" s="20" t="str">
        <f aca="false">IF($E139="","Unmatched","Matched")</f>
        <v>Matched</v>
      </c>
    </row>
    <row r="140" customFormat="false" ht="15" hidden="false" customHeight="false" outlineLevel="0" collapsed="false">
      <c r="A140" s="20" t="s">
        <v>964</v>
      </c>
      <c r="B140" s="20" t="n">
        <v>2025</v>
      </c>
      <c r="C140" s="21" t="n">
        <v>2</v>
      </c>
      <c r="D140" s="22" t="n">
        <v>74.9</v>
      </c>
      <c r="E140" s="20" t="n">
        <f aca="false">IFERROR(INDEX('TRANS'!$B:$B,MATCH($A140,'TRANS'!$A:$A,0)),IFERROR(INDEX('TRANS'!$B:$B,MATCH(TRIM(SUBSTITUTE($A140,CHAR(160)," ")),'TRANS'!$D:$D,0)),""))</f>
        <v>4413394</v>
      </c>
      <c r="F140" s="20" t="str">
        <f aca="false">IF($E140="","Unmatched","Matched")</f>
        <v>Matched</v>
      </c>
    </row>
    <row r="141" customFormat="false" ht="15" hidden="false" customHeight="false" outlineLevel="0" collapsed="false">
      <c r="A141" s="20" t="s">
        <v>964</v>
      </c>
      <c r="B141" s="20" t="n">
        <v>2026</v>
      </c>
      <c r="C141" s="21" t="n">
        <v>1</v>
      </c>
      <c r="D141" s="22" t="n">
        <v>37.45</v>
      </c>
      <c r="E141" s="20" t="n">
        <f aca="false">IFERROR(INDEX('TRANS'!$B:$B,MATCH($A141,'TRANS'!$A:$A,0)),IFERROR(INDEX('TRANS'!$B:$B,MATCH(TRIM(SUBSTITUTE($A141,CHAR(160)," ")),'TRANS'!$D:$D,0)),""))</f>
        <v>4413394</v>
      </c>
      <c r="F141" s="20" t="str">
        <f aca="false">IF($E141="","Unmatched","Matched")</f>
        <v>Matched</v>
      </c>
    </row>
    <row r="142" customFormat="false" ht="15" hidden="false" customHeight="false" outlineLevel="0" collapsed="false">
      <c r="A142" s="20" t="s">
        <v>965</v>
      </c>
      <c r="B142" s="20" t="n">
        <v>2026</v>
      </c>
      <c r="C142" s="21" t="n">
        <v>3</v>
      </c>
      <c r="D142" s="22" t="n">
        <v>112.36</v>
      </c>
      <c r="E142" s="20" t="n">
        <f aca="false">IFERROR(INDEX('TRANS'!$B:$B,MATCH($A142,'TRANS'!$A:$A,0)),IFERROR(INDEX('TRANS'!$B:$B,MATCH(TRIM(SUBSTITUTE($A142,CHAR(160)," ")),'TRANS'!$D:$D,0)),""))</f>
        <v>4413397</v>
      </c>
      <c r="F142" s="20" t="str">
        <f aca="false">IF($E142="","Unmatched","Matched")</f>
        <v>Matched</v>
      </c>
    </row>
    <row r="143" customFormat="false" ht="15" hidden="false" customHeight="false" outlineLevel="0" collapsed="false">
      <c r="A143" s="20" t="s">
        <v>966</v>
      </c>
      <c r="B143" s="20" t="n">
        <v>2026</v>
      </c>
      <c r="C143" s="21" t="n">
        <v>3</v>
      </c>
      <c r="D143" s="22" t="n">
        <v>112.35</v>
      </c>
      <c r="E143" s="20" t="n">
        <f aca="false">IFERROR(INDEX('TRANS'!$B:$B,MATCH($A143,'TRANS'!$A:$A,0)),IFERROR(INDEX('TRANS'!$B:$B,MATCH(TRIM(SUBSTITUTE($A143,CHAR(160)," ")),'TRANS'!$D:$D,0)),""))</f>
        <v>4413398</v>
      </c>
      <c r="F143" s="20" t="str">
        <f aca="false">IF($E143="","Unmatched","Matched")</f>
        <v>Matched</v>
      </c>
    </row>
    <row r="144" customFormat="false" ht="15" hidden="false" customHeight="false" outlineLevel="0" collapsed="false">
      <c r="A144" s="20" t="s">
        <v>1371</v>
      </c>
      <c r="B144" s="20" t="n">
        <v>2026</v>
      </c>
      <c r="C144" s="21" t="n">
        <v>3</v>
      </c>
      <c r="D144" s="22" t="n">
        <v>105.32</v>
      </c>
      <c r="E144" s="20" t="n">
        <f aca="false">IFERROR(INDEX('TRANS'!$B:$B,MATCH($A144,'TRANS'!$A:$A,0)),IFERROR(INDEX('TRANS'!$B:$B,MATCH(TRIM(SUBSTITUTE($A144,CHAR(160)," ")),'TRANS'!$D:$D,0)),""))</f>
        <v>4413112</v>
      </c>
      <c r="F144" s="20" t="str">
        <f aca="false">IF($E144="","Unmatched","Matched")</f>
        <v>Matched</v>
      </c>
    </row>
    <row r="145" customFormat="false" ht="15" hidden="false" customHeight="false" outlineLevel="0" collapsed="false">
      <c r="A145" s="20" t="s">
        <v>1326</v>
      </c>
      <c r="B145" s="20" t="n">
        <v>2025</v>
      </c>
      <c r="C145" s="21" t="n">
        <v>13</v>
      </c>
      <c r="D145" s="22" t="n">
        <v>645.08</v>
      </c>
      <c r="E145" s="20" t="n">
        <f aca="false">IFERROR(INDEX('TRANS'!$B:$B,MATCH($A145,'TRANS'!$A:$A,0)),IFERROR(INDEX('TRANS'!$B:$B,MATCH(TRIM(SUBSTITUTE($A145,CHAR(160)," ")),'TRANS'!$D:$D,0)),""))</f>
        <v>4418000</v>
      </c>
      <c r="F145" s="20" t="str">
        <f aca="false">IF($E145="","Unmatched","Matched")</f>
        <v>Matched</v>
      </c>
    </row>
    <row r="146" customFormat="false" ht="15" hidden="false" customHeight="false" outlineLevel="0" collapsed="false">
      <c r="A146" s="20" t="s">
        <v>1326</v>
      </c>
      <c r="B146" s="20" t="n">
        <v>2026</v>
      </c>
      <c r="C146" s="21" t="n">
        <v>3</v>
      </c>
      <c r="D146" s="22" t="n">
        <v>148.9</v>
      </c>
      <c r="E146" s="20" t="n">
        <f aca="false">IFERROR(INDEX('TRANS'!$B:$B,MATCH($A146,'TRANS'!$A:$A,0)),IFERROR(INDEX('TRANS'!$B:$B,MATCH(TRIM(SUBSTITUTE($A146,CHAR(160)," ")),'TRANS'!$D:$D,0)),""))</f>
        <v>4418000</v>
      </c>
      <c r="F146" s="20" t="str">
        <f aca="false">IF($E146="","Unmatched","Matched")</f>
        <v>Matched</v>
      </c>
    </row>
    <row r="147" customFormat="false" ht="15" hidden="false" customHeight="false" outlineLevel="0" collapsed="false">
      <c r="A147" s="20" t="s">
        <v>1327</v>
      </c>
      <c r="B147" s="20" t="n">
        <v>2025</v>
      </c>
      <c r="C147" s="21" t="n">
        <v>13</v>
      </c>
      <c r="D147" s="22" t="n">
        <v>645.24</v>
      </c>
      <c r="E147" s="20" t="n">
        <f aca="false">IFERROR(INDEX('TRANS'!$B:$B,MATCH($A147,'TRANS'!$A:$A,0)),IFERROR(INDEX('TRANS'!$B:$B,MATCH(TRIM(SUBSTITUTE($A147,CHAR(160)," ")),'TRANS'!$D:$D,0)),""))</f>
        <v>4418001</v>
      </c>
      <c r="F147" s="20" t="str">
        <f aca="false">IF($E147="","Unmatched","Matched")</f>
        <v>Matched</v>
      </c>
    </row>
    <row r="148" customFormat="false" ht="15" hidden="false" customHeight="false" outlineLevel="0" collapsed="false">
      <c r="A148" s="20" t="s">
        <v>1327</v>
      </c>
      <c r="B148" s="20" t="n">
        <v>2026</v>
      </c>
      <c r="C148" s="21" t="n">
        <v>7</v>
      </c>
      <c r="D148" s="22" t="n">
        <v>347.44</v>
      </c>
      <c r="E148" s="20" t="n">
        <f aca="false">IFERROR(INDEX('TRANS'!$B:$B,MATCH($A148,'TRANS'!$A:$A,0)),IFERROR(INDEX('TRANS'!$B:$B,MATCH(TRIM(SUBSTITUTE($A148,CHAR(160)," ")),'TRANS'!$D:$D,0)),""))</f>
        <v>4418001</v>
      </c>
      <c r="F148" s="20" t="str">
        <f aca="false">IF($E148="","Unmatched","Matched")</f>
        <v>Matched</v>
      </c>
    </row>
    <row r="149" customFormat="false" ht="15" hidden="false" customHeight="false" outlineLevel="0" collapsed="false">
      <c r="A149" s="20" t="s">
        <v>1328</v>
      </c>
      <c r="B149" s="20" t="n">
        <v>2025</v>
      </c>
      <c r="C149" s="21" t="n">
        <v>10</v>
      </c>
      <c r="D149" s="22" t="n">
        <v>496.25</v>
      </c>
      <c r="E149" s="20" t="n">
        <f aca="false">IFERROR(INDEX('TRANS'!$B:$B,MATCH($A149,'TRANS'!$A:$A,0)),IFERROR(INDEX('TRANS'!$B:$B,MATCH(TRIM(SUBSTITUTE($A149,CHAR(160)," ")),'TRANS'!$D:$D,0)),""))</f>
        <v>4418002</v>
      </c>
      <c r="F149" s="20" t="str">
        <f aca="false">IF($E149="","Unmatched","Matched")</f>
        <v>Matched</v>
      </c>
    </row>
    <row r="150" customFormat="false" ht="15" hidden="false" customHeight="false" outlineLevel="0" collapsed="false">
      <c r="A150" s="20" t="s">
        <v>1328</v>
      </c>
      <c r="B150" s="20" t="n">
        <v>2026</v>
      </c>
      <c r="C150" s="21" t="n">
        <v>1</v>
      </c>
      <c r="D150" s="22" t="n">
        <v>49.64</v>
      </c>
      <c r="E150" s="20" t="n">
        <f aca="false">IFERROR(INDEX('TRANS'!$B:$B,MATCH($A150,'TRANS'!$A:$A,0)),IFERROR(INDEX('TRANS'!$B:$B,MATCH(TRIM(SUBSTITUTE($A150,CHAR(160)," ")),'TRANS'!$D:$D,0)),""))</f>
        <v>4418002</v>
      </c>
      <c r="F150" s="20" t="str">
        <f aca="false">IF($E150="","Unmatched","Matched")</f>
        <v>Matched</v>
      </c>
    </row>
    <row r="151" customFormat="false" ht="15" hidden="false" customHeight="false" outlineLevel="0" collapsed="false">
      <c r="A151" s="20" t="s">
        <v>1329</v>
      </c>
      <c r="B151" s="20" t="n">
        <v>2025</v>
      </c>
      <c r="C151" s="21" t="n">
        <v>4</v>
      </c>
      <c r="D151" s="22" t="n">
        <v>198.54</v>
      </c>
      <c r="E151" s="20" t="n">
        <f aca="false">IFERROR(INDEX('TRANS'!$B:$B,MATCH($A151,'TRANS'!$A:$A,0)),IFERROR(INDEX('TRANS'!$B:$B,MATCH(TRIM(SUBSTITUTE($A151,CHAR(160)," ")),'TRANS'!$D:$D,0)),""))</f>
        <v>4418003</v>
      </c>
      <c r="F151" s="20" t="str">
        <f aca="false">IF($E151="","Unmatched","Matched")</f>
        <v>Matched</v>
      </c>
    </row>
    <row r="152" customFormat="false" ht="15" hidden="false" customHeight="false" outlineLevel="0" collapsed="false">
      <c r="A152" s="20" t="s">
        <v>123</v>
      </c>
      <c r="B152" s="20" t="n">
        <v>2026</v>
      </c>
      <c r="C152" s="21" t="n">
        <v>3</v>
      </c>
      <c r="D152" s="22" t="n">
        <v>0</v>
      </c>
      <c r="E152" s="20" t="str">
        <f aca="false">IFERROR(INDEX('TRANS'!$B:$B,MATCH($A152,'TRANS'!$A:$A,0)),IFERROR(INDEX('TRANS'!$B:$B,MATCH(TRIM(SUBSTITUTE($A152,CHAR(160)," ")),'TRANS'!$D:$D,0)),""))</f>
        <v/>
      </c>
      <c r="F152" s="20" t="str">
        <f aca="false">IF($E152="","Unmatched","Matched")</f>
        <v>Unmatched</v>
      </c>
    </row>
    <row r="153" customFormat="false" ht="15" hidden="false" customHeight="false" outlineLevel="0" collapsed="false">
      <c r="A153" s="20" t="s">
        <v>1408</v>
      </c>
      <c r="B153" s="20" t="n">
        <v>2025</v>
      </c>
      <c r="C153" s="21" t="n">
        <v>7</v>
      </c>
      <c r="D153" s="22" t="n">
        <v>149.87</v>
      </c>
      <c r="E153" s="20" t="n">
        <f aca="false">IFERROR(INDEX('TRANS'!$B:$B,MATCH($A153,'TRANS'!$A:$A,0)),IFERROR(INDEX('TRANS'!$B:$B,MATCH(TRIM(SUBSTITUTE($A153,CHAR(160)," ")),'TRANS'!$D:$D,0)),""))</f>
        <v>4422000</v>
      </c>
      <c r="F153" s="20" t="str">
        <f aca="false">IF($E153="","Unmatched","Matched")</f>
        <v>Matched</v>
      </c>
    </row>
    <row r="154" customFormat="false" ht="15" hidden="false" customHeight="false" outlineLevel="0" collapsed="false">
      <c r="A154" s="20" t="s">
        <v>1408</v>
      </c>
      <c r="B154" s="20" t="n">
        <v>2026</v>
      </c>
      <c r="C154" s="21" t="n">
        <v>9</v>
      </c>
      <c r="D154" s="22" t="n">
        <v>193.65</v>
      </c>
      <c r="E154" s="20" t="n">
        <f aca="false">IFERROR(INDEX('TRANS'!$B:$B,MATCH($A154,'TRANS'!$A:$A,0)),IFERROR(INDEX('TRANS'!$B:$B,MATCH(TRIM(SUBSTITUTE($A154,CHAR(160)," ")),'TRANS'!$D:$D,0)),""))</f>
        <v>4422000</v>
      </c>
      <c r="F154" s="20" t="str">
        <f aca="false">IF($E154="","Unmatched","Matched")</f>
        <v>Matched</v>
      </c>
    </row>
    <row r="155" customFormat="false" ht="15" hidden="false" customHeight="false" outlineLevel="0" collapsed="false">
      <c r="A155" s="20" t="s">
        <v>1099</v>
      </c>
      <c r="B155" s="20" t="n">
        <v>2025</v>
      </c>
      <c r="C155" s="21" t="n">
        <v>2</v>
      </c>
      <c r="D155" s="22" t="n">
        <v>34.59</v>
      </c>
      <c r="E155" s="20" t="n">
        <f aca="false">IFERROR(INDEX('TRANS'!$B:$B,MATCH($A155,'TRANS'!$A:$A,0)),IFERROR(INDEX('TRANS'!$B:$B,MATCH(TRIM(SUBSTITUTE($A155,CHAR(160)," ")),'TRANS'!$D:$D,0)),""))</f>
        <v>4401011</v>
      </c>
      <c r="F155" s="20" t="str">
        <f aca="false">IF($E155="","Unmatched","Matched")</f>
        <v>Matched</v>
      </c>
    </row>
    <row r="156" customFormat="false" ht="15" hidden="false" customHeight="false" outlineLevel="0" collapsed="false">
      <c r="A156" s="20" t="s">
        <v>1099</v>
      </c>
      <c r="B156" s="20" t="n">
        <v>2026</v>
      </c>
      <c r="C156" s="21" t="n">
        <v>1</v>
      </c>
      <c r="D156" s="22" t="n">
        <v>17.29</v>
      </c>
      <c r="E156" s="20" t="n">
        <f aca="false">IFERROR(INDEX('TRANS'!$B:$B,MATCH($A156,'TRANS'!$A:$A,0)),IFERROR(INDEX('TRANS'!$B:$B,MATCH(TRIM(SUBSTITUTE($A156,CHAR(160)," ")),'TRANS'!$D:$D,0)),""))</f>
        <v>4401011</v>
      </c>
      <c r="F156" s="20" t="str">
        <f aca="false">IF($E156="","Unmatched","Matched")</f>
        <v>Matched</v>
      </c>
    </row>
    <row r="157" customFormat="false" ht="15" hidden="false" customHeight="false" outlineLevel="0" collapsed="false">
      <c r="A157" s="20" t="s">
        <v>1101</v>
      </c>
      <c r="B157" s="20" t="n">
        <v>2025</v>
      </c>
      <c r="C157" s="21" t="n">
        <v>2</v>
      </c>
      <c r="D157" s="22" t="n">
        <v>34.59</v>
      </c>
      <c r="E157" s="20" t="n">
        <f aca="false">IFERROR(INDEX('TRANS'!$B:$B,MATCH($A157,'TRANS'!$A:$A,0)),IFERROR(INDEX('TRANS'!$B:$B,MATCH(TRIM(SUBSTITUTE($A157,CHAR(160)," ")),'TRANS'!$D:$D,0)),""))</f>
        <v>4401014</v>
      </c>
      <c r="F157" s="20" t="str">
        <f aca="false">IF($E157="","Unmatched","Matched")</f>
        <v>Matched</v>
      </c>
    </row>
    <row r="158" customFormat="false" ht="15" hidden="false" customHeight="false" outlineLevel="0" collapsed="false">
      <c r="A158" s="20" t="s">
        <v>1410</v>
      </c>
      <c r="B158" s="20" t="n">
        <v>2025</v>
      </c>
      <c r="C158" s="21" t="n">
        <v>40</v>
      </c>
      <c r="D158" s="22" t="n">
        <v>387.08</v>
      </c>
      <c r="E158" s="20" t="n">
        <f aca="false">IFERROR(INDEX('TRANS'!$B:$B,MATCH($A158,'TRANS'!$A:$A,0)),IFERROR(INDEX('TRANS'!$B:$B,MATCH(TRIM(SUBSTITUTE($A158,CHAR(160)," ")),'TRANS'!$D:$D,0)),""))</f>
        <v>4422024</v>
      </c>
      <c r="F158" s="20" t="str">
        <f aca="false">IF($E158="","Unmatched","Matched")</f>
        <v>Matched</v>
      </c>
    </row>
    <row r="159" customFormat="false" ht="15" hidden="false" customHeight="false" outlineLevel="0" collapsed="false">
      <c r="A159" s="20" t="s">
        <v>1409</v>
      </c>
      <c r="B159" s="20" t="n">
        <v>2025</v>
      </c>
      <c r="C159" s="21" t="n">
        <v>18</v>
      </c>
      <c r="D159" s="22" t="n">
        <v>135</v>
      </c>
      <c r="E159" s="20" t="n">
        <f aca="false">IFERROR(INDEX('TRANS'!$B:$B,MATCH($A159,'TRANS'!$A:$A,0)),IFERROR(INDEX('TRANS'!$B:$B,MATCH(TRIM(SUBSTITUTE($A159,CHAR(160)," ")),'TRANS'!$D:$D,0)),""))</f>
        <v>4422023</v>
      </c>
      <c r="F159" s="20" t="str">
        <f aca="false">IF($E159="","Unmatched","Matched")</f>
        <v>Matched</v>
      </c>
    </row>
    <row r="160" customFormat="false" ht="15" hidden="false" customHeight="false" outlineLevel="0" collapsed="false">
      <c r="A160" s="20" t="s">
        <v>1411</v>
      </c>
      <c r="B160" s="20" t="n">
        <v>2025</v>
      </c>
      <c r="C160" s="21" t="n">
        <v>13</v>
      </c>
      <c r="D160" s="22" t="n">
        <v>120.61</v>
      </c>
      <c r="E160" s="20" t="n">
        <f aca="false">IFERROR(INDEX('TRANS'!$B:$B,MATCH($A160,'TRANS'!$A:$A,0)),IFERROR(INDEX('TRANS'!$B:$B,MATCH(TRIM(SUBSTITUTE($A160,CHAR(160)," ")),'TRANS'!$D:$D,0)),""))</f>
        <v>4422025</v>
      </c>
      <c r="F160" s="20" t="str">
        <f aca="false">IF($E160="","Unmatched","Matched")</f>
        <v>Matched</v>
      </c>
    </row>
    <row r="161" customFormat="false" ht="15" hidden="false" customHeight="false" outlineLevel="0" collapsed="false">
      <c r="A161" s="20" t="s">
        <v>1411</v>
      </c>
      <c r="B161" s="20" t="n">
        <v>2026</v>
      </c>
      <c r="C161" s="21" t="n">
        <v>5</v>
      </c>
      <c r="D161" s="22" t="n">
        <v>52.5</v>
      </c>
      <c r="E161" s="20" t="n">
        <f aca="false">IFERROR(INDEX('TRANS'!$B:$B,MATCH($A161,'TRANS'!$A:$A,0)),IFERROR(INDEX('TRANS'!$B:$B,MATCH(TRIM(SUBSTITUTE($A161,CHAR(160)," ")),'TRANS'!$D:$D,0)),""))</f>
        <v>4422025</v>
      </c>
      <c r="F161" s="20" t="str">
        <f aca="false">IF($E161="","Unmatched","Matched")</f>
        <v>Matched</v>
      </c>
    </row>
    <row r="162" customFormat="false" ht="15" hidden="false" customHeight="false" outlineLevel="0" collapsed="false">
      <c r="A162" s="20" t="s">
        <v>1412</v>
      </c>
      <c r="B162" s="20" t="n">
        <v>2025</v>
      </c>
      <c r="C162" s="21" t="n">
        <v>22</v>
      </c>
      <c r="D162" s="22" t="n">
        <v>215.11</v>
      </c>
      <c r="E162" s="20" t="n">
        <f aca="false">IFERROR(INDEX('TRANS'!$B:$B,MATCH($A162,'TRANS'!$A:$A,0)),IFERROR(INDEX('TRANS'!$B:$B,MATCH(TRIM(SUBSTITUTE($A162,CHAR(160)," ")),'TRANS'!$D:$D,0)),""))</f>
        <v>4422026</v>
      </c>
      <c r="F162" s="20" t="str">
        <f aca="false">IF($E162="","Unmatched","Matched")</f>
        <v>Matched</v>
      </c>
    </row>
    <row r="163" customFormat="false" ht="15" hidden="false" customHeight="false" outlineLevel="0" collapsed="false">
      <c r="A163" s="20" t="s">
        <v>1412</v>
      </c>
      <c r="B163" s="20" t="n">
        <v>2026</v>
      </c>
      <c r="C163" s="21" t="n">
        <v>12</v>
      </c>
      <c r="D163" s="22" t="n">
        <v>147.06</v>
      </c>
      <c r="E163" s="20" t="n">
        <f aca="false">IFERROR(INDEX('TRANS'!$B:$B,MATCH($A163,'TRANS'!$A:$A,0)),IFERROR(INDEX('TRANS'!$B:$B,MATCH(TRIM(SUBSTITUTE($A163,CHAR(160)," ")),'TRANS'!$D:$D,0)),""))</f>
        <v>4422026</v>
      </c>
      <c r="F163" s="20" t="str">
        <f aca="false">IF($E163="","Unmatched","Matched")</f>
        <v>Matched</v>
      </c>
    </row>
    <row r="164" customFormat="false" ht="15" hidden="false" customHeight="false" outlineLevel="0" collapsed="false">
      <c r="A164" s="20" t="s">
        <v>1105</v>
      </c>
      <c r="B164" s="20" t="n">
        <v>2025</v>
      </c>
      <c r="C164" s="21" t="n">
        <v>16</v>
      </c>
      <c r="D164" s="22" t="n">
        <v>575.53</v>
      </c>
      <c r="E164" s="20" t="n">
        <f aca="false">IFERROR(INDEX('TRANS'!$B:$B,MATCH($A164,'TRANS'!$A:$A,0)),IFERROR(INDEX('TRANS'!$B:$B,MATCH(TRIM(SUBSTITUTE($A164,CHAR(160)," ")),'TRANS'!$D:$D,0)),""))</f>
        <v>4409016</v>
      </c>
      <c r="F164" s="20" t="str">
        <f aca="false">IF($E164="","Unmatched","Matched")</f>
        <v>Matched</v>
      </c>
    </row>
    <row r="165" customFormat="false" ht="15" hidden="false" customHeight="false" outlineLevel="0" collapsed="false">
      <c r="A165" s="20" t="s">
        <v>1105</v>
      </c>
      <c r="B165" s="20" t="n">
        <v>2026</v>
      </c>
      <c r="C165" s="21" t="n">
        <v>7</v>
      </c>
      <c r="D165" s="22" t="n">
        <v>210</v>
      </c>
      <c r="E165" s="20" t="n">
        <f aca="false">IFERROR(INDEX('TRANS'!$B:$B,MATCH($A165,'TRANS'!$A:$A,0)),IFERROR(INDEX('TRANS'!$B:$B,MATCH(TRIM(SUBSTITUTE($A165,CHAR(160)," ")),'TRANS'!$D:$D,0)),""))</f>
        <v>4409016</v>
      </c>
      <c r="F165" s="20" t="str">
        <f aca="false">IF($E165="","Unmatched","Matched")</f>
        <v>Matched</v>
      </c>
    </row>
    <row r="166" customFormat="false" ht="15" hidden="false" customHeight="false" outlineLevel="0" collapsed="false">
      <c r="A166" s="20" t="s">
        <v>1106</v>
      </c>
      <c r="B166" s="20" t="n">
        <v>2025</v>
      </c>
      <c r="C166" s="21" t="n">
        <v>5</v>
      </c>
      <c r="D166" s="22" t="n">
        <v>184.45</v>
      </c>
      <c r="E166" s="20" t="n">
        <f aca="false">IFERROR(INDEX('TRANS'!$B:$B,MATCH($A166,'TRANS'!$A:$A,0)),IFERROR(INDEX('TRANS'!$B:$B,MATCH(TRIM(SUBSTITUTE($A166,CHAR(160)," ")),'TRANS'!$D:$D,0)),""))</f>
        <v>4409014</v>
      </c>
      <c r="F166" s="20" t="str">
        <f aca="false">IF($E166="","Unmatched","Matched")</f>
        <v>Matched</v>
      </c>
    </row>
    <row r="167" customFormat="false" ht="15" hidden="false" customHeight="false" outlineLevel="0" collapsed="false">
      <c r="A167" s="20" t="s">
        <v>128</v>
      </c>
      <c r="B167" s="20" t="n">
        <v>2025</v>
      </c>
      <c r="C167" s="21" t="n">
        <v>1</v>
      </c>
      <c r="D167" s="22" t="n">
        <v>140.24</v>
      </c>
      <c r="E167" s="20" t="str">
        <f aca="false">IFERROR(INDEX('TRANS'!$B:$B,MATCH($A167,'TRANS'!$A:$A,0)),IFERROR(INDEX('TRANS'!$B:$B,MATCH(TRIM(SUBSTITUTE($A167,CHAR(160)," ")),'TRANS'!$D:$D,0)),""))</f>
        <v/>
      </c>
      <c r="F167" s="20" t="str">
        <f aca="false">IF($E167="","Unmatched","Matched")</f>
        <v>Unmatched</v>
      </c>
    </row>
    <row r="168" customFormat="false" ht="15" hidden="false" customHeight="false" outlineLevel="0" collapsed="false">
      <c r="A168" s="20" t="s">
        <v>1214</v>
      </c>
      <c r="B168" s="20" t="n">
        <v>2025</v>
      </c>
      <c r="C168" s="21" t="n">
        <v>20</v>
      </c>
      <c r="D168" s="22" t="n">
        <v>1125.71</v>
      </c>
      <c r="E168" s="20" t="n">
        <f aca="false">IFERROR(INDEX('TRANS'!$B:$B,MATCH($A168,'TRANS'!$A:$A,0)),IFERROR(INDEX('TRANS'!$B:$B,MATCH(TRIM(SUBSTITUTE($A168,CHAR(160)," ")),'TRANS'!$D:$D,0)),""))</f>
        <v>4413135</v>
      </c>
      <c r="F168" s="20" t="str">
        <f aca="false">IF($E168="","Unmatched","Matched")</f>
        <v>Matched</v>
      </c>
    </row>
    <row r="169" customFormat="false" ht="15" hidden="false" customHeight="false" outlineLevel="0" collapsed="false">
      <c r="A169" s="20" t="s">
        <v>1214</v>
      </c>
      <c r="B169" s="20" t="n">
        <v>2026</v>
      </c>
      <c r="C169" s="21" t="n">
        <v>14</v>
      </c>
      <c r="D169" s="22" t="n">
        <v>785.7</v>
      </c>
      <c r="E169" s="20" t="n">
        <f aca="false">IFERROR(INDEX('TRANS'!$B:$B,MATCH($A169,'TRANS'!$A:$A,0)),IFERROR(INDEX('TRANS'!$B:$B,MATCH(TRIM(SUBSTITUTE($A169,CHAR(160)," ")),'TRANS'!$D:$D,0)),""))</f>
        <v>4413135</v>
      </c>
      <c r="F169" s="20" t="str">
        <f aca="false">IF($E169="","Unmatched","Matched")</f>
        <v>Matched</v>
      </c>
    </row>
    <row r="170" customFormat="false" ht="15" hidden="false" customHeight="false" outlineLevel="0" collapsed="false">
      <c r="A170" s="20" t="s">
        <v>1215</v>
      </c>
      <c r="B170" s="20" t="n">
        <v>2025</v>
      </c>
      <c r="C170" s="21" t="n">
        <v>14</v>
      </c>
      <c r="D170" s="22" t="n">
        <v>785.71</v>
      </c>
      <c r="E170" s="20" t="n">
        <f aca="false">IFERROR(INDEX('TRANS'!$B:$B,MATCH($A170,'TRANS'!$A:$A,0)),IFERROR(INDEX('TRANS'!$B:$B,MATCH(TRIM(SUBSTITUTE($A170,CHAR(160)," ")),'TRANS'!$D:$D,0)),""))</f>
        <v>4413136</v>
      </c>
      <c r="F170" s="20" t="str">
        <f aca="false">IF($E170="","Unmatched","Matched")</f>
        <v>Matched</v>
      </c>
    </row>
    <row r="171" customFormat="false" ht="15" hidden="false" customHeight="false" outlineLevel="0" collapsed="false">
      <c r="A171" s="20" t="s">
        <v>1215</v>
      </c>
      <c r="B171" s="20" t="n">
        <v>2026</v>
      </c>
      <c r="C171" s="21" t="n">
        <v>11</v>
      </c>
      <c r="D171" s="22" t="n">
        <v>615.7</v>
      </c>
      <c r="E171" s="20" t="n">
        <f aca="false">IFERROR(INDEX('TRANS'!$B:$B,MATCH($A171,'TRANS'!$A:$A,0)),IFERROR(INDEX('TRANS'!$B:$B,MATCH(TRIM(SUBSTITUTE($A171,CHAR(160)," ")),'TRANS'!$D:$D,0)),""))</f>
        <v>4413136</v>
      </c>
      <c r="F171" s="20" t="str">
        <f aca="false">IF($E171="","Unmatched","Matched")</f>
        <v>Matched</v>
      </c>
    </row>
    <row r="172" customFormat="false" ht="15" hidden="false" customHeight="false" outlineLevel="0" collapsed="false">
      <c r="A172" s="20" t="s">
        <v>1216</v>
      </c>
      <c r="B172" s="20" t="n">
        <v>2025</v>
      </c>
      <c r="C172" s="21" t="n">
        <v>1</v>
      </c>
      <c r="D172" s="22" t="n">
        <v>49</v>
      </c>
      <c r="E172" s="20" t="n">
        <f aca="false">IFERROR(INDEX('TRANS'!$B:$B,MATCH($A172,'TRANS'!$A:$A,0)),IFERROR(INDEX('TRANS'!$B:$B,MATCH(TRIM(SUBSTITUTE($A172,CHAR(160)," ")),'TRANS'!$D:$D,0)),""))</f>
        <v>4413137</v>
      </c>
      <c r="F172" s="20" t="str">
        <f aca="false">IF($E172="","Unmatched","Matched")</f>
        <v>Matched</v>
      </c>
    </row>
    <row r="173" customFormat="false" ht="15" hidden="false" customHeight="false" outlineLevel="0" collapsed="false">
      <c r="A173" s="20" t="s">
        <v>1216</v>
      </c>
      <c r="B173" s="20" t="n">
        <v>2026</v>
      </c>
      <c r="C173" s="21" t="n">
        <v>8</v>
      </c>
      <c r="D173" s="22" t="n">
        <v>453.36</v>
      </c>
      <c r="E173" s="20" t="n">
        <f aca="false">IFERROR(INDEX('TRANS'!$B:$B,MATCH($A173,'TRANS'!$A:$A,0)),IFERROR(INDEX('TRANS'!$B:$B,MATCH(TRIM(SUBSTITUTE($A173,CHAR(160)," ")),'TRANS'!$D:$D,0)),""))</f>
        <v>4413137</v>
      </c>
      <c r="F173" s="20" t="str">
        <f aca="false">IF($E173="","Unmatched","Matched")</f>
        <v>Matched</v>
      </c>
    </row>
    <row r="174" customFormat="false" ht="15" hidden="false" customHeight="false" outlineLevel="0" collapsed="false">
      <c r="A174" s="20" t="s">
        <v>1217</v>
      </c>
      <c r="B174" s="20" t="n">
        <v>2025</v>
      </c>
      <c r="C174" s="21" t="n">
        <v>2</v>
      </c>
      <c r="D174" s="22" t="n">
        <v>105.67</v>
      </c>
      <c r="E174" s="20" t="n">
        <f aca="false">IFERROR(INDEX('TRANS'!$B:$B,MATCH($A174,'TRANS'!$A:$A,0)),IFERROR(INDEX('TRANS'!$B:$B,MATCH(TRIM(SUBSTITUTE($A174,CHAR(160)," ")),'TRANS'!$D:$D,0)),""))</f>
        <v>4413138</v>
      </c>
      <c r="F174" s="20" t="str">
        <f aca="false">IF($E174="","Unmatched","Matched")</f>
        <v>Matched</v>
      </c>
    </row>
    <row r="175" customFormat="false" ht="15" hidden="false" customHeight="false" outlineLevel="0" collapsed="false">
      <c r="A175" s="20" t="s">
        <v>1217</v>
      </c>
      <c r="B175" s="20" t="n">
        <v>2026</v>
      </c>
      <c r="C175" s="21" t="n">
        <v>9</v>
      </c>
      <c r="D175" s="22" t="n">
        <v>502.37</v>
      </c>
      <c r="E175" s="20" t="n">
        <f aca="false">IFERROR(INDEX('TRANS'!$B:$B,MATCH($A175,'TRANS'!$A:$A,0)),IFERROR(INDEX('TRANS'!$B:$B,MATCH(TRIM(SUBSTITUTE($A175,CHAR(160)," ")),'TRANS'!$D:$D,0)),""))</f>
        <v>4413138</v>
      </c>
      <c r="F175" s="20" t="str">
        <f aca="false">IF($E175="","Unmatched","Matched")</f>
        <v>Matched</v>
      </c>
    </row>
    <row r="176" customFormat="false" ht="15" hidden="false" customHeight="false" outlineLevel="0" collapsed="false">
      <c r="A176" s="20" t="s">
        <v>1222</v>
      </c>
      <c r="B176" s="20" t="n">
        <v>2025</v>
      </c>
      <c r="C176" s="21" t="n">
        <v>1</v>
      </c>
      <c r="D176" s="22" t="n">
        <v>56.67</v>
      </c>
      <c r="E176" s="20" t="n">
        <f aca="false">IFERROR(INDEX('TRANS'!$B:$B,MATCH($A176,'TRANS'!$A:$A,0)),IFERROR(INDEX('TRANS'!$B:$B,MATCH(TRIM(SUBSTITUTE($A176,CHAR(160)," ")),'TRANS'!$D:$D,0)),""))</f>
        <v>4413517</v>
      </c>
      <c r="F176" s="20" t="str">
        <f aca="false">IF($E176="","Unmatched","Matched")</f>
        <v>Matched</v>
      </c>
    </row>
    <row r="177" customFormat="false" ht="15" hidden="false" customHeight="false" outlineLevel="0" collapsed="false">
      <c r="A177" s="20" t="s">
        <v>1222</v>
      </c>
      <c r="B177" s="20" t="n">
        <v>2026</v>
      </c>
      <c r="C177" s="21" t="n">
        <v>3</v>
      </c>
      <c r="D177" s="22" t="n">
        <v>170.01</v>
      </c>
      <c r="E177" s="20" t="n">
        <f aca="false">IFERROR(INDEX('TRANS'!$B:$B,MATCH($A177,'TRANS'!$A:$A,0)),IFERROR(INDEX('TRANS'!$B:$B,MATCH(TRIM(SUBSTITUTE($A177,CHAR(160)," ")),'TRANS'!$D:$D,0)),""))</f>
        <v>4413517</v>
      </c>
      <c r="F177" s="20" t="str">
        <f aca="false">IF($E177="","Unmatched","Matched")</f>
        <v>Matched</v>
      </c>
    </row>
    <row r="178" customFormat="false" ht="15" hidden="false" customHeight="false" outlineLevel="0" collapsed="false">
      <c r="A178" s="20" t="s">
        <v>1188</v>
      </c>
      <c r="B178" s="20" t="n">
        <v>2025</v>
      </c>
      <c r="C178" s="21" t="n">
        <v>4</v>
      </c>
      <c r="D178" s="22" t="n">
        <v>337.28</v>
      </c>
      <c r="E178" s="20" t="n">
        <f aca="false">IFERROR(INDEX('TRANS'!$B:$B,MATCH($A178,'TRANS'!$A:$A,0)),IFERROR(INDEX('TRANS'!$B:$B,MATCH(TRIM(SUBSTITUTE($A178,CHAR(160)," ")),'TRANS'!$D:$D,0)),""))</f>
        <v>4408266</v>
      </c>
      <c r="F178" s="20" t="str">
        <f aca="false">IF($E178="","Unmatched","Matched")</f>
        <v>Matched</v>
      </c>
    </row>
    <row r="179" customFormat="false" ht="15" hidden="false" customHeight="false" outlineLevel="0" collapsed="false">
      <c r="A179" s="20" t="s">
        <v>1188</v>
      </c>
      <c r="B179" s="20" t="n">
        <v>2026</v>
      </c>
      <c r="C179" s="21" t="n">
        <v>13</v>
      </c>
      <c r="D179" s="22" t="n">
        <v>1096.15</v>
      </c>
      <c r="E179" s="20" t="n">
        <f aca="false">IFERROR(INDEX('TRANS'!$B:$B,MATCH($A179,'TRANS'!$A:$A,0)),IFERROR(INDEX('TRANS'!$B:$B,MATCH(TRIM(SUBSTITUTE($A179,CHAR(160)," ")),'TRANS'!$D:$D,0)),""))</f>
        <v>4408266</v>
      </c>
      <c r="F179" s="20" t="str">
        <f aca="false">IF($E179="","Unmatched","Matched")</f>
        <v>Matched</v>
      </c>
    </row>
    <row r="180" customFormat="false" ht="15" hidden="false" customHeight="false" outlineLevel="0" collapsed="false">
      <c r="A180" s="20" t="s">
        <v>1191</v>
      </c>
      <c r="B180" s="20" t="n">
        <v>2025</v>
      </c>
      <c r="C180" s="21" t="n">
        <v>7</v>
      </c>
      <c r="D180" s="22" t="n">
        <v>212.79</v>
      </c>
      <c r="E180" s="20" t="n">
        <f aca="false">IFERROR(INDEX('TRANS'!$B:$B,MATCH($A180,'TRANS'!$A:$A,0)),IFERROR(INDEX('TRANS'!$B:$B,MATCH(TRIM(SUBSTITUTE($A180,CHAR(160)," ")),'TRANS'!$D:$D,0)),""))</f>
        <v>4413139</v>
      </c>
      <c r="F180" s="20" t="str">
        <f aca="false">IF($E180="","Unmatched","Matched")</f>
        <v>Matched</v>
      </c>
    </row>
    <row r="181" customFormat="false" ht="15" hidden="false" customHeight="false" outlineLevel="0" collapsed="false">
      <c r="A181" s="20" t="s">
        <v>1191</v>
      </c>
      <c r="B181" s="20" t="n">
        <v>2026</v>
      </c>
      <c r="C181" s="21" t="n">
        <v>2</v>
      </c>
      <c r="D181" s="22" t="n">
        <v>61.78</v>
      </c>
      <c r="E181" s="20" t="n">
        <f aca="false">IFERROR(INDEX('TRANS'!$B:$B,MATCH($A181,'TRANS'!$A:$A,0)),IFERROR(INDEX('TRANS'!$B:$B,MATCH(TRIM(SUBSTITUTE($A181,CHAR(160)," ")),'TRANS'!$D:$D,0)),""))</f>
        <v>4413139</v>
      </c>
      <c r="F181" s="20" t="str">
        <f aca="false">IF($E181="","Unmatched","Matched")</f>
        <v>Matched</v>
      </c>
    </row>
    <row r="182" customFormat="false" ht="15" hidden="false" customHeight="false" outlineLevel="0" collapsed="false">
      <c r="A182" s="20" t="s">
        <v>1192</v>
      </c>
      <c r="B182" s="20" t="n">
        <v>2026</v>
      </c>
      <c r="C182" s="21" t="n">
        <v>3</v>
      </c>
      <c r="D182" s="22" t="n">
        <v>92.66</v>
      </c>
      <c r="E182" s="20" t="n">
        <f aca="false">IFERROR(INDEX('TRANS'!$B:$B,MATCH($A182,'TRANS'!$A:$A,0)),IFERROR(INDEX('TRANS'!$B:$B,MATCH(TRIM(SUBSTITUTE($A182,CHAR(160)," ")),'TRANS'!$D:$D,0)),""))</f>
        <v>4413140</v>
      </c>
      <c r="F182" s="20" t="str">
        <f aca="false">IF($E182="","Unmatched","Matched")</f>
        <v>Matched</v>
      </c>
    </row>
    <row r="183" customFormat="false" ht="15" hidden="false" customHeight="false" outlineLevel="0" collapsed="false">
      <c r="A183" s="20" t="s">
        <v>1195</v>
      </c>
      <c r="B183" s="20" t="n">
        <v>2026</v>
      </c>
      <c r="C183" s="21" t="n">
        <v>3</v>
      </c>
      <c r="D183" s="22" t="n">
        <v>92.67</v>
      </c>
      <c r="E183" s="20" t="n">
        <f aca="false">IFERROR(INDEX('TRANS'!$B:$B,MATCH($A183,'TRANS'!$A:$A,0)),IFERROR(INDEX('TRANS'!$B:$B,MATCH(TRIM(SUBSTITUTE($A183,CHAR(160)," ")),'TRANS'!$D:$D,0)),""))</f>
        <v>4413143</v>
      </c>
      <c r="F183" s="20" t="str">
        <f aca="false">IF($E183="","Unmatched","Matched")</f>
        <v>Matched</v>
      </c>
    </row>
    <row r="184" customFormat="false" ht="15" hidden="false" customHeight="false" outlineLevel="0" collapsed="false">
      <c r="A184" s="20" t="s">
        <v>1202</v>
      </c>
      <c r="B184" s="20" t="n">
        <v>2025</v>
      </c>
      <c r="C184" s="21" t="n">
        <v>2</v>
      </c>
      <c r="D184" s="22" t="n">
        <v>61.78</v>
      </c>
      <c r="E184" s="20" t="n">
        <f aca="false">IFERROR(INDEX('TRANS'!$B:$B,MATCH($A184,'TRANS'!$A:$A,0)),IFERROR(INDEX('TRANS'!$B:$B,MATCH(TRIM(SUBSTITUTE($A184,CHAR(160)," ")),'TRANS'!$D:$D,0)),""))</f>
        <v>4413365</v>
      </c>
      <c r="F184" s="20" t="str">
        <f aca="false">IF($E184="","Unmatched","Matched")</f>
        <v>Matched</v>
      </c>
    </row>
    <row r="185" customFormat="false" ht="15" hidden="false" customHeight="false" outlineLevel="0" collapsed="false">
      <c r="A185" s="20" t="s">
        <v>1203</v>
      </c>
      <c r="B185" s="20" t="n">
        <v>2025</v>
      </c>
      <c r="C185" s="21" t="n">
        <v>11</v>
      </c>
      <c r="D185" s="22" t="n">
        <v>337.49</v>
      </c>
      <c r="E185" s="20" t="n">
        <f aca="false">IFERROR(INDEX('TRANS'!$B:$B,MATCH($A185,'TRANS'!$A:$A,0)),IFERROR(INDEX('TRANS'!$B:$B,MATCH(TRIM(SUBSTITUTE($A185,CHAR(160)," ")),'TRANS'!$D:$D,0)),""))</f>
        <v>4413364</v>
      </c>
      <c r="F185" s="20" t="str">
        <f aca="false">IF($E185="","Unmatched","Matched")</f>
        <v>Matched</v>
      </c>
    </row>
    <row r="186" customFormat="false" ht="15" hidden="false" customHeight="false" outlineLevel="0" collapsed="false">
      <c r="A186" s="20" t="s">
        <v>1203</v>
      </c>
      <c r="B186" s="20" t="n">
        <v>2026</v>
      </c>
      <c r="C186" s="21" t="n">
        <v>3</v>
      </c>
      <c r="D186" s="22" t="n">
        <v>92.67</v>
      </c>
      <c r="E186" s="20" t="n">
        <f aca="false">IFERROR(INDEX('TRANS'!$B:$B,MATCH($A186,'TRANS'!$A:$A,0)),IFERROR(INDEX('TRANS'!$B:$B,MATCH(TRIM(SUBSTITUTE($A186,CHAR(160)," ")),'TRANS'!$D:$D,0)),""))</f>
        <v>4413364</v>
      </c>
      <c r="F186" s="20" t="str">
        <f aca="false">IF($E186="","Unmatched","Matched")</f>
        <v>Matched</v>
      </c>
    </row>
    <row r="187" customFormat="false" ht="15" hidden="false" customHeight="false" outlineLevel="0" collapsed="false">
      <c r="A187" s="20" t="s">
        <v>1205</v>
      </c>
      <c r="B187" s="20" t="n">
        <v>2025</v>
      </c>
      <c r="C187" s="21" t="n">
        <v>2</v>
      </c>
      <c r="D187" s="22" t="n">
        <v>61.78</v>
      </c>
      <c r="E187" s="20" t="n">
        <f aca="false">IFERROR(INDEX('TRANS'!$B:$B,MATCH($A187,'TRANS'!$A:$A,0)),IFERROR(INDEX('TRANS'!$B:$B,MATCH(TRIM(SUBSTITUTE($A187,CHAR(160)," ")),'TRANS'!$D:$D,0)),""))</f>
        <v>4413367</v>
      </c>
      <c r="F187" s="20" t="str">
        <f aca="false">IF($E187="","Unmatched","Matched")</f>
        <v>Matched</v>
      </c>
    </row>
    <row r="188" customFormat="false" ht="15" hidden="false" customHeight="false" outlineLevel="0" collapsed="false">
      <c r="A188" s="20" t="s">
        <v>1080</v>
      </c>
      <c r="B188" s="20" t="n">
        <v>2025</v>
      </c>
      <c r="C188" s="21" t="n">
        <v>31</v>
      </c>
      <c r="D188" s="22" t="n">
        <v>2810.95</v>
      </c>
      <c r="E188" s="20" t="n">
        <f aca="false">IFERROR(INDEX('TRANS'!$B:$B,MATCH($A188,'TRANS'!$A:$A,0)),IFERROR(INDEX('TRANS'!$B:$B,MATCH(TRIM(SUBSTITUTE($A188,CHAR(160)," ")),'TRANS'!$D:$D,0)),""))</f>
        <v>4408205</v>
      </c>
      <c r="F188" s="20" t="str">
        <f aca="false">IF($E188="","Unmatched","Matched")</f>
        <v>Matched</v>
      </c>
    </row>
    <row r="189" customFormat="false" ht="15" hidden="false" customHeight="false" outlineLevel="0" collapsed="false">
      <c r="A189" s="20" t="s">
        <v>1080</v>
      </c>
      <c r="B189" s="20" t="n">
        <v>2026</v>
      </c>
      <c r="C189" s="21" t="n">
        <v>19</v>
      </c>
      <c r="D189" s="22" t="n">
        <v>1624.32</v>
      </c>
      <c r="E189" s="20" t="n">
        <f aca="false">IFERROR(INDEX('TRANS'!$B:$B,MATCH($A189,'TRANS'!$A:$A,0)),IFERROR(INDEX('TRANS'!$B:$B,MATCH(TRIM(SUBSTITUTE($A189,CHAR(160)," ")),'TRANS'!$D:$D,0)),""))</f>
        <v>4408205</v>
      </c>
      <c r="F189" s="20" t="str">
        <f aca="false">IF($E189="","Unmatched","Matched")</f>
        <v>Matched</v>
      </c>
    </row>
    <row r="190" customFormat="false" ht="15" hidden="false" customHeight="false" outlineLevel="0" collapsed="false">
      <c r="A190" s="20" t="s">
        <v>1379</v>
      </c>
      <c r="B190" s="20" t="n">
        <v>2025</v>
      </c>
      <c r="C190" s="21" t="n">
        <v>24</v>
      </c>
      <c r="D190" s="22" t="n">
        <v>892.1</v>
      </c>
      <c r="E190" s="20" t="n">
        <f aca="false">IFERROR(INDEX('TRANS'!$B:$B,MATCH($A190,'TRANS'!$A:$A,0)),IFERROR(INDEX('TRANS'!$B:$B,MATCH(TRIM(SUBSTITUTE($A190,CHAR(160)," ")),'TRANS'!$D:$D,0)),""))</f>
        <v>4408207</v>
      </c>
      <c r="F190" s="20" t="str">
        <f aca="false">IF($E190="","Unmatched","Matched")</f>
        <v>Matched</v>
      </c>
    </row>
    <row r="191" customFormat="false" ht="15" hidden="false" customHeight="false" outlineLevel="0" collapsed="false">
      <c r="A191" s="20" t="s">
        <v>1379</v>
      </c>
      <c r="B191" s="20" t="n">
        <v>2026</v>
      </c>
      <c r="C191" s="21" t="n">
        <v>32</v>
      </c>
      <c r="D191" s="22" t="n">
        <v>1198.58</v>
      </c>
      <c r="E191" s="20" t="n">
        <f aca="false">IFERROR(INDEX('TRANS'!$B:$B,MATCH($A191,'TRANS'!$A:$A,0)),IFERROR(INDEX('TRANS'!$B:$B,MATCH(TRIM(SUBSTITUTE($A191,CHAR(160)," ")),'TRANS'!$D:$D,0)),""))</f>
        <v>4408207</v>
      </c>
      <c r="F191" s="20" t="str">
        <f aca="false">IF($E191="","Unmatched","Matched")</f>
        <v>Matched</v>
      </c>
    </row>
    <row r="192" customFormat="false" ht="15" hidden="false" customHeight="false" outlineLevel="0" collapsed="false">
      <c r="A192" s="20" t="s">
        <v>1307</v>
      </c>
      <c r="B192" s="20" t="n">
        <v>2025</v>
      </c>
      <c r="C192" s="21" t="n">
        <v>52</v>
      </c>
      <c r="D192" s="22" t="n">
        <v>2006.41</v>
      </c>
      <c r="E192" s="20" t="n">
        <f aca="false">IFERROR(INDEX('TRANS'!$B:$B,MATCH($A192,'TRANS'!$A:$A,0)),IFERROR(INDEX('TRANS'!$B:$B,MATCH(TRIM(SUBSTITUTE($A192,CHAR(160)," ")),'TRANS'!$D:$D,0)),""))</f>
        <v>4415028</v>
      </c>
      <c r="F192" s="20" t="str">
        <f aca="false">IF($E192="","Unmatched","Matched")</f>
        <v>Matched</v>
      </c>
    </row>
    <row r="193" customFormat="false" ht="15" hidden="false" customHeight="false" outlineLevel="0" collapsed="false">
      <c r="A193" s="20" t="s">
        <v>1307</v>
      </c>
      <c r="B193" s="20" t="n">
        <v>2026</v>
      </c>
      <c r="C193" s="21" t="n">
        <v>38</v>
      </c>
      <c r="D193" s="22" t="n">
        <v>1558.97</v>
      </c>
      <c r="E193" s="20" t="n">
        <f aca="false">IFERROR(INDEX('TRANS'!$B:$B,MATCH($A193,'TRANS'!$A:$A,0)),IFERROR(INDEX('TRANS'!$B:$B,MATCH(TRIM(SUBSTITUTE($A193,CHAR(160)," ")),'TRANS'!$D:$D,0)),""))</f>
        <v>4415028</v>
      </c>
      <c r="F193" s="20" t="str">
        <f aca="false">IF($E193="","Unmatched","Matched")</f>
        <v>Matched</v>
      </c>
    </row>
    <row r="194" customFormat="false" ht="15" hidden="false" customHeight="false" outlineLevel="0" collapsed="false">
      <c r="A194" s="20" t="s">
        <v>1358</v>
      </c>
      <c r="B194" s="20" t="n">
        <v>2025</v>
      </c>
      <c r="C194" s="21" t="n">
        <v>7</v>
      </c>
      <c r="D194" s="22" t="n">
        <v>246.76</v>
      </c>
      <c r="E194" s="20" t="n">
        <f aca="false">IFERROR(INDEX('TRANS'!$B:$B,MATCH($A194,'TRANS'!$A:$A,0)),IFERROR(INDEX('TRANS'!$B:$B,MATCH(TRIM(SUBSTITUTE($A194,CHAR(160)," ")),'TRANS'!$D:$D,0)),""))</f>
        <v>4413326</v>
      </c>
      <c r="F194" s="20" t="str">
        <f aca="false">IF($E194="","Unmatched","Matched")</f>
        <v>Matched</v>
      </c>
    </row>
    <row r="195" customFormat="false" ht="15" hidden="false" customHeight="false" outlineLevel="0" collapsed="false">
      <c r="A195" s="20" t="s">
        <v>1358</v>
      </c>
      <c r="B195" s="20" t="n">
        <v>2026</v>
      </c>
      <c r="C195" s="21" t="n">
        <v>8</v>
      </c>
      <c r="D195" s="22" t="n">
        <v>299.63</v>
      </c>
      <c r="E195" s="20" t="n">
        <f aca="false">IFERROR(INDEX('TRANS'!$B:$B,MATCH($A195,'TRANS'!$A:$A,0)),IFERROR(INDEX('TRANS'!$B:$B,MATCH(TRIM(SUBSTITUTE($A195,CHAR(160)," ")),'TRANS'!$D:$D,0)),""))</f>
        <v>4413326</v>
      </c>
      <c r="F195" s="20" t="str">
        <f aca="false">IF($E195="","Unmatched","Matched")</f>
        <v>Matched</v>
      </c>
    </row>
    <row r="196" customFormat="false" ht="15" hidden="false" customHeight="false" outlineLevel="0" collapsed="false">
      <c r="A196" s="20" t="s">
        <v>969</v>
      </c>
      <c r="B196" s="20" t="n">
        <v>2025</v>
      </c>
      <c r="C196" s="21" t="n">
        <v>1</v>
      </c>
      <c r="D196" s="22" t="n">
        <v>80.57</v>
      </c>
      <c r="E196" s="20" t="n">
        <f aca="false">IFERROR(INDEX('TRANS'!$B:$B,MATCH($A196,'TRANS'!$A:$A,0)),IFERROR(INDEX('TRANS'!$B:$B,MATCH(TRIM(SUBSTITUTE($A196,CHAR(160)," ")),'TRANS'!$D:$D,0)),""))</f>
        <v>4420026</v>
      </c>
      <c r="F196" s="20" t="str">
        <f aca="false">IF($E196="","Unmatched","Matched")</f>
        <v>Matched</v>
      </c>
    </row>
    <row r="197" customFormat="false" ht="15" hidden="false" customHeight="false" outlineLevel="0" collapsed="false">
      <c r="A197" s="20" t="s">
        <v>969</v>
      </c>
      <c r="B197" s="20" t="n">
        <v>2026</v>
      </c>
      <c r="C197" s="21" t="n">
        <v>1</v>
      </c>
      <c r="D197" s="22" t="n">
        <v>80.57</v>
      </c>
      <c r="E197" s="20" t="n">
        <f aca="false">IFERROR(INDEX('TRANS'!$B:$B,MATCH($A197,'TRANS'!$A:$A,0)),IFERROR(INDEX('TRANS'!$B:$B,MATCH(TRIM(SUBSTITUTE($A197,CHAR(160)," ")),'TRANS'!$D:$D,0)),""))</f>
        <v>4420026</v>
      </c>
      <c r="F197" s="20" t="str">
        <f aca="false">IF($E197="","Unmatched","Matched")</f>
        <v>Matched</v>
      </c>
    </row>
    <row r="198" customFormat="false" ht="15" hidden="false" customHeight="false" outlineLevel="0" collapsed="false">
      <c r="A198" s="20" t="s">
        <v>1376</v>
      </c>
      <c r="B198" s="20" t="n">
        <v>2025</v>
      </c>
      <c r="C198" s="21" t="n">
        <v>1</v>
      </c>
      <c r="D198" s="22" t="n">
        <v>61.82</v>
      </c>
      <c r="E198" s="20" t="n">
        <f aca="false">IFERROR(INDEX('TRANS'!$B:$B,MATCH($A198,'TRANS'!$A:$A,0)),IFERROR(INDEX('TRANS'!$B:$B,MATCH(TRIM(SUBSTITUTE($A198,CHAR(160)," ")),'TRANS'!$D:$D,0)),""))</f>
        <v>4413330</v>
      </c>
      <c r="F198" s="20" t="str">
        <f aca="false">IF($E198="","Unmatched","Matched")</f>
        <v>Matched</v>
      </c>
    </row>
    <row r="199" customFormat="false" ht="15" hidden="false" customHeight="false" outlineLevel="0" collapsed="false">
      <c r="A199" s="20" t="s">
        <v>1376</v>
      </c>
      <c r="B199" s="20" t="n">
        <v>2026</v>
      </c>
      <c r="C199" s="21" t="n">
        <v>4</v>
      </c>
      <c r="D199" s="22" t="n">
        <v>247.28</v>
      </c>
      <c r="E199" s="20" t="n">
        <f aca="false">IFERROR(INDEX('TRANS'!$B:$B,MATCH($A199,'TRANS'!$A:$A,0)),IFERROR(INDEX('TRANS'!$B:$B,MATCH(TRIM(SUBSTITUTE($A199,CHAR(160)," ")),'TRANS'!$D:$D,0)),""))</f>
        <v>4413330</v>
      </c>
      <c r="F199" s="20" t="str">
        <f aca="false">IF($E199="","Unmatched","Matched")</f>
        <v>Matched</v>
      </c>
    </row>
    <row r="200" customFormat="false" ht="15" hidden="false" customHeight="false" outlineLevel="0" collapsed="false">
      <c r="A200" s="20" t="s">
        <v>1135</v>
      </c>
      <c r="B200" s="20" t="n">
        <v>2025</v>
      </c>
      <c r="C200" s="21" t="n">
        <v>22</v>
      </c>
      <c r="D200" s="22" t="n">
        <v>1516.56</v>
      </c>
      <c r="E200" s="20" t="n">
        <f aca="false">IFERROR(INDEX('TRANS'!$B:$B,MATCH($A200,'TRANS'!$A:$A,0)),IFERROR(INDEX('TRANS'!$B:$B,MATCH(TRIM(SUBSTITUTE($A200,CHAR(160)," ")),'TRANS'!$D:$D,0)),""))</f>
        <v>4413453</v>
      </c>
      <c r="F200" s="20" t="str">
        <f aca="false">IF($E200="","Unmatched","Matched")</f>
        <v>Matched</v>
      </c>
    </row>
    <row r="201" customFormat="false" ht="15" hidden="false" customHeight="false" outlineLevel="0" collapsed="false">
      <c r="A201" s="20" t="s">
        <v>1135</v>
      </c>
      <c r="B201" s="20" t="n">
        <v>2026</v>
      </c>
      <c r="C201" s="21" t="n">
        <v>17</v>
      </c>
      <c r="D201" s="22" t="n">
        <v>1332.92</v>
      </c>
      <c r="E201" s="20" t="n">
        <f aca="false">IFERROR(INDEX('TRANS'!$B:$B,MATCH($A201,'TRANS'!$A:$A,0)),IFERROR(INDEX('TRANS'!$B:$B,MATCH(TRIM(SUBSTITUTE($A201,CHAR(160)," ")),'TRANS'!$D:$D,0)),""))</f>
        <v>4413453</v>
      </c>
      <c r="F201" s="20" t="str">
        <f aca="false">IF($E201="","Unmatched","Matched")</f>
        <v>Matched</v>
      </c>
    </row>
    <row r="202" customFormat="false" ht="15" hidden="false" customHeight="false" outlineLevel="0" collapsed="false">
      <c r="A202" s="20" t="s">
        <v>1208</v>
      </c>
      <c r="B202" s="20" t="n">
        <v>2025</v>
      </c>
      <c r="C202" s="21" t="n">
        <v>73</v>
      </c>
      <c r="D202" s="22" t="n">
        <v>2644.62</v>
      </c>
      <c r="E202" s="20" t="n">
        <f aca="false">IFERROR(INDEX('TRANS'!$B:$B,MATCH($A202,'TRANS'!$A:$A,0)),IFERROR(INDEX('TRANS'!$B:$B,MATCH(TRIM(SUBSTITUTE($A202,CHAR(160)," ")),'TRANS'!$D:$D,0)),""))</f>
        <v>4408208</v>
      </c>
      <c r="F202" s="20" t="str">
        <f aca="false">IF($E202="","Unmatched","Matched")</f>
        <v>Matched</v>
      </c>
    </row>
    <row r="203" customFormat="false" ht="15" hidden="false" customHeight="false" outlineLevel="0" collapsed="false">
      <c r="A203" s="20" t="s">
        <v>1208</v>
      </c>
      <c r="B203" s="20" t="n">
        <v>2026</v>
      </c>
      <c r="C203" s="21" t="n">
        <v>33</v>
      </c>
      <c r="D203" s="22" t="n">
        <v>1313.22</v>
      </c>
      <c r="E203" s="20" t="n">
        <f aca="false">IFERROR(INDEX('TRANS'!$B:$B,MATCH($A203,'TRANS'!$A:$A,0)),IFERROR(INDEX('TRANS'!$B:$B,MATCH(TRIM(SUBSTITUTE($A203,CHAR(160)," ")),'TRANS'!$D:$D,0)),""))</f>
        <v>4408208</v>
      </c>
      <c r="F203" s="20" t="str">
        <f aca="false">IF($E203="","Unmatched","Matched")</f>
        <v>Matched</v>
      </c>
    </row>
    <row r="204" customFormat="false" ht="15" hidden="false" customHeight="false" outlineLevel="0" collapsed="false">
      <c r="A204" s="20" t="s">
        <v>1209</v>
      </c>
      <c r="B204" s="20" t="n">
        <v>2025</v>
      </c>
      <c r="C204" s="21" t="n">
        <v>15</v>
      </c>
      <c r="D204" s="22" t="n">
        <v>577.37</v>
      </c>
      <c r="E204" s="20" t="n">
        <f aca="false">IFERROR(INDEX('TRANS'!$B:$B,MATCH($A204,'TRANS'!$A:$A,0)),IFERROR(INDEX('TRANS'!$B:$B,MATCH(TRIM(SUBSTITUTE($A204,CHAR(160)," ")),'TRANS'!$D:$D,0)),""))</f>
        <v>4413331</v>
      </c>
      <c r="F204" s="20" t="str">
        <f aca="false">IF($E204="","Unmatched","Matched")</f>
        <v>Matched</v>
      </c>
    </row>
    <row r="205" customFormat="false" ht="15" hidden="false" customHeight="false" outlineLevel="0" collapsed="false">
      <c r="A205" s="20" t="s">
        <v>1209</v>
      </c>
      <c r="B205" s="20" t="n">
        <v>2026</v>
      </c>
      <c r="C205" s="21" t="n">
        <v>2</v>
      </c>
      <c r="D205" s="22" t="n">
        <v>84.26</v>
      </c>
      <c r="E205" s="20" t="n">
        <f aca="false">IFERROR(INDEX('TRANS'!$B:$B,MATCH($A205,'TRANS'!$A:$A,0)),IFERROR(INDEX('TRANS'!$B:$B,MATCH(TRIM(SUBSTITUTE($A205,CHAR(160)," ")),'TRANS'!$D:$D,0)),""))</f>
        <v>4413331</v>
      </c>
      <c r="F205" s="20" t="str">
        <f aca="false">IF($E205="","Unmatched","Matched")</f>
        <v>Matched</v>
      </c>
    </row>
    <row r="206" customFormat="false" ht="15" hidden="false" customHeight="false" outlineLevel="0" collapsed="false">
      <c r="A206" s="20" t="s">
        <v>129</v>
      </c>
      <c r="B206" s="20" t="n">
        <v>2025</v>
      </c>
      <c r="C206" s="21" t="n">
        <v>-1</v>
      </c>
      <c r="D206" s="22" t="n">
        <v>-37.77</v>
      </c>
      <c r="E206" s="20" t="str">
        <f aca="false">IFERROR(INDEX('TRANS'!$B:$B,MATCH($A206,'TRANS'!$A:$A,0)),IFERROR(INDEX('TRANS'!$B:$B,MATCH(TRIM(SUBSTITUTE($A206,CHAR(160)," ")),'TRANS'!$D:$D,0)),""))</f>
        <v/>
      </c>
      <c r="F206" s="20" t="str">
        <f aca="false">IF($E206="","Unmatched","Matched")</f>
        <v>Unmatched</v>
      </c>
    </row>
    <row r="207" customFormat="false" ht="15" hidden="false" customHeight="false" outlineLevel="0" collapsed="false">
      <c r="A207" s="20" t="s">
        <v>1116</v>
      </c>
      <c r="B207" s="20" t="n">
        <v>2025</v>
      </c>
      <c r="C207" s="21" t="n">
        <v>15</v>
      </c>
      <c r="D207" s="22" t="n">
        <v>298.62</v>
      </c>
      <c r="E207" s="20" t="n">
        <f aca="false">IFERROR(INDEX('TRANS'!$B:$B,MATCH($A207,'TRANS'!$A:$A,0)),IFERROR(INDEX('TRANS'!$B:$B,MATCH(TRIM(SUBSTITUTE($A207,CHAR(160)," ")),'TRANS'!$D:$D,0)),""))</f>
        <v>4422035</v>
      </c>
      <c r="F207" s="20" t="str">
        <f aca="false">IF($E207="","Unmatched","Matched")</f>
        <v>Matched</v>
      </c>
    </row>
    <row r="208" customFormat="false" ht="15" hidden="false" customHeight="false" outlineLevel="0" collapsed="false">
      <c r="A208" s="20" t="s">
        <v>1114</v>
      </c>
      <c r="B208" s="20" t="n">
        <v>2025</v>
      </c>
      <c r="C208" s="21" t="n">
        <v>18</v>
      </c>
      <c r="D208" s="22" t="n">
        <v>397.81</v>
      </c>
      <c r="E208" s="20" t="n">
        <f aca="false">IFERROR(INDEX('TRANS'!$B:$B,MATCH($A208,'TRANS'!$A:$A,0)),IFERROR(INDEX('TRANS'!$B:$B,MATCH(TRIM(SUBSTITUTE($A208,CHAR(160)," ")),'TRANS'!$D:$D,0)),""))</f>
        <v>4422036</v>
      </c>
      <c r="F208" s="20" t="str">
        <f aca="false">IF($E208="","Unmatched","Matched")</f>
        <v>Matched</v>
      </c>
    </row>
    <row r="209" customFormat="false" ht="15" hidden="false" customHeight="false" outlineLevel="0" collapsed="false">
      <c r="A209" s="20" t="s">
        <v>1114</v>
      </c>
      <c r="B209" s="20" t="n">
        <v>2026</v>
      </c>
      <c r="C209" s="21" t="n">
        <v>6</v>
      </c>
      <c r="D209" s="22" t="n">
        <v>93.62</v>
      </c>
      <c r="E209" s="20" t="n">
        <f aca="false">IFERROR(INDEX('TRANS'!$B:$B,MATCH($A209,'TRANS'!$A:$A,0)),IFERROR(INDEX('TRANS'!$B:$B,MATCH(TRIM(SUBSTITUTE($A209,CHAR(160)," ")),'TRANS'!$D:$D,0)),""))</f>
        <v>4422036</v>
      </c>
      <c r="F209" s="20" t="str">
        <f aca="false">IF($E209="","Unmatched","Matched")</f>
        <v>Matched</v>
      </c>
    </row>
    <row r="210" customFormat="false" ht="15" hidden="false" customHeight="false" outlineLevel="0" collapsed="false">
      <c r="A210" s="20" t="s">
        <v>1110</v>
      </c>
      <c r="B210" s="20" t="n">
        <v>2025</v>
      </c>
      <c r="C210" s="21" t="n">
        <v>20</v>
      </c>
      <c r="D210" s="22" t="n">
        <v>729.69</v>
      </c>
      <c r="E210" s="20" t="n">
        <f aca="false">IFERROR(INDEX('TRANS'!$B:$B,MATCH($A210,'TRANS'!$A:$A,0)),IFERROR(INDEX('TRANS'!$B:$B,MATCH(TRIM(SUBSTITUTE($A210,CHAR(160)," ")),'TRANS'!$D:$D,0)),""))</f>
        <v>4414000</v>
      </c>
      <c r="F210" s="20" t="str">
        <f aca="false">IF($E210="","Unmatched","Matched")</f>
        <v>Matched</v>
      </c>
    </row>
    <row r="211" customFormat="false" ht="15" hidden="false" customHeight="false" outlineLevel="0" collapsed="false">
      <c r="A211" s="20" t="s">
        <v>1110</v>
      </c>
      <c r="B211" s="20" t="n">
        <v>2026</v>
      </c>
      <c r="C211" s="21" t="n">
        <v>17</v>
      </c>
      <c r="D211" s="22" t="n">
        <v>620.79</v>
      </c>
      <c r="E211" s="20" t="n">
        <f aca="false">IFERROR(INDEX('TRANS'!$B:$B,MATCH($A211,'TRANS'!$A:$A,0)),IFERROR(INDEX('TRANS'!$B:$B,MATCH(TRIM(SUBSTITUTE($A211,CHAR(160)," ")),'TRANS'!$D:$D,0)),""))</f>
        <v>4414000</v>
      </c>
      <c r="F211" s="20" t="str">
        <f aca="false">IF($E211="","Unmatched","Matched")</f>
        <v>Matched</v>
      </c>
    </row>
    <row r="212" customFormat="false" ht="15" hidden="false" customHeight="false" outlineLevel="0" collapsed="false">
      <c r="A212" s="20" t="s">
        <v>130</v>
      </c>
      <c r="B212" s="20" t="n">
        <v>2025</v>
      </c>
      <c r="C212" s="21" t="n">
        <v>17</v>
      </c>
      <c r="D212" s="22" t="n">
        <v>511.6</v>
      </c>
      <c r="E212" s="20" t="str">
        <f aca="false">IFERROR(INDEX('TRANS'!$B:$B,MATCH($A212,'TRANS'!$A:$A,0)),IFERROR(INDEX('TRANS'!$B:$B,MATCH(TRIM(SUBSTITUTE($A212,CHAR(160)," ")),'TRANS'!$D:$D,0)),""))</f>
        <v/>
      </c>
      <c r="F212" s="20" t="str">
        <f aca="false">IF($E212="","Unmatched","Matched")</f>
        <v>Unmatched</v>
      </c>
    </row>
    <row r="213" customFormat="false" ht="15" hidden="false" customHeight="false" outlineLevel="0" collapsed="false">
      <c r="A213" s="20" t="s">
        <v>130</v>
      </c>
      <c r="B213" s="20" t="n">
        <v>2026</v>
      </c>
      <c r="C213" s="21" t="n">
        <v>5</v>
      </c>
      <c r="D213" s="22" t="n">
        <v>136.26</v>
      </c>
      <c r="E213" s="20" t="str">
        <f aca="false">IFERROR(INDEX('TRANS'!$B:$B,MATCH($A213,'TRANS'!$A:$A,0)),IFERROR(INDEX('TRANS'!$B:$B,MATCH(TRIM(SUBSTITUTE($A213,CHAR(160)," ")),'TRANS'!$D:$D,0)),""))</f>
        <v/>
      </c>
      <c r="F213" s="20" t="str">
        <f aca="false">IF($E213="","Unmatched","Matched")</f>
        <v>Unmatched</v>
      </c>
    </row>
    <row r="214" customFormat="false" ht="15" hidden="false" customHeight="false" outlineLevel="0" collapsed="false">
      <c r="A214" s="20" t="s">
        <v>1263</v>
      </c>
      <c r="B214" s="20" t="n">
        <v>2025</v>
      </c>
      <c r="C214" s="21" t="n">
        <v>4</v>
      </c>
      <c r="D214" s="22" t="n">
        <v>117.92</v>
      </c>
      <c r="E214" s="20" t="n">
        <f aca="false">IFERROR(INDEX('TRANS'!$B:$B,MATCH($A214,'TRANS'!$A:$A,0)),IFERROR(INDEX('TRANS'!$B:$B,MATCH(TRIM(SUBSTITUTE($A214,CHAR(160)," ")),'TRANS'!$D:$D,0)),""))</f>
        <v>4413150</v>
      </c>
      <c r="F214" s="20" t="str">
        <f aca="false">IF($E214="","Unmatched","Matched")</f>
        <v>Matched</v>
      </c>
    </row>
    <row r="215" customFormat="false" ht="15" hidden="false" customHeight="false" outlineLevel="0" collapsed="false">
      <c r="A215" s="20" t="s">
        <v>1263</v>
      </c>
      <c r="B215" s="20" t="n">
        <v>2026</v>
      </c>
      <c r="C215" s="21" t="n">
        <v>5</v>
      </c>
      <c r="D215" s="22" t="n">
        <v>147.41</v>
      </c>
      <c r="E215" s="20" t="n">
        <f aca="false">IFERROR(INDEX('TRANS'!$B:$B,MATCH($A215,'TRANS'!$A:$A,0)),IFERROR(INDEX('TRANS'!$B:$B,MATCH(TRIM(SUBSTITUTE($A215,CHAR(160)," ")),'TRANS'!$D:$D,0)),""))</f>
        <v>4413150</v>
      </c>
      <c r="F215" s="20" t="str">
        <f aca="false">IF($E215="","Unmatched","Matched")</f>
        <v>Matched</v>
      </c>
    </row>
    <row r="216" customFormat="false" ht="15" hidden="false" customHeight="false" outlineLevel="0" collapsed="false">
      <c r="A216" s="20" t="s">
        <v>1261</v>
      </c>
      <c r="B216" s="20" t="n">
        <v>2025</v>
      </c>
      <c r="C216" s="21" t="n">
        <v>5</v>
      </c>
      <c r="D216" s="22" t="n">
        <v>44.28</v>
      </c>
      <c r="E216" s="20" t="n">
        <f aca="false">IFERROR(INDEX('TRANS'!$B:$B,MATCH($A216,'TRANS'!$A:$A,0)),IFERROR(INDEX('TRANS'!$B:$B,MATCH(TRIM(SUBSTITUTE($A216,CHAR(160)," ")),'TRANS'!$D:$D,0)),""))</f>
        <v>4401002</v>
      </c>
      <c r="F216" s="20" t="str">
        <f aca="false">IF($E216="","Unmatched","Matched")</f>
        <v>Matched</v>
      </c>
    </row>
    <row r="217" customFormat="false" ht="15" hidden="false" customHeight="false" outlineLevel="0" collapsed="false">
      <c r="A217" s="20" t="s">
        <v>976</v>
      </c>
      <c r="B217" s="20" t="n">
        <v>2025</v>
      </c>
      <c r="C217" s="21" t="n">
        <v>3</v>
      </c>
      <c r="D217" s="22" t="n">
        <v>360</v>
      </c>
      <c r="E217" s="20" t="n">
        <f aca="false">IFERROR(INDEX('TRANS'!$B:$B,MATCH($A217,'TRANS'!$A:$A,0)),IFERROR(INDEX('TRANS'!$B:$B,MATCH(TRIM(SUBSTITUTE($A217,CHAR(160)," ")),'TRANS'!$D:$D,0)),""))</f>
        <v>4422038</v>
      </c>
      <c r="F217" s="20" t="str">
        <f aca="false">IF($E217="","Unmatched","Matched")</f>
        <v>Matched</v>
      </c>
    </row>
    <row r="218" customFormat="false" ht="15" hidden="false" customHeight="false" outlineLevel="0" collapsed="false">
      <c r="A218" s="20" t="s">
        <v>976</v>
      </c>
      <c r="B218" s="20" t="n">
        <v>2026</v>
      </c>
      <c r="C218" s="21" t="n">
        <v>2</v>
      </c>
      <c r="D218" s="22" t="n">
        <v>421.76</v>
      </c>
      <c r="E218" s="20" t="n">
        <f aca="false">IFERROR(INDEX('TRANS'!$B:$B,MATCH($A218,'TRANS'!$A:$A,0)),IFERROR(INDEX('TRANS'!$B:$B,MATCH(TRIM(SUBSTITUTE($A218,CHAR(160)," ")),'TRANS'!$D:$D,0)),""))</f>
        <v>4422038</v>
      </c>
      <c r="F218" s="20" t="str">
        <f aca="false">IF($E218="","Unmatched","Matched")</f>
        <v>Matched</v>
      </c>
    </row>
    <row r="219" customFormat="false" ht="15" hidden="false" customHeight="false" outlineLevel="0" collapsed="false">
      <c r="A219" s="20" t="s">
        <v>977</v>
      </c>
      <c r="B219" s="20" t="n">
        <v>2025</v>
      </c>
      <c r="C219" s="21" t="n">
        <v>2</v>
      </c>
      <c r="D219" s="22" t="n">
        <v>240</v>
      </c>
      <c r="E219" s="20" t="n">
        <f aca="false">IFERROR(INDEX('TRANS'!$B:$B,MATCH($A219,'TRANS'!$A:$A,0)),IFERROR(INDEX('TRANS'!$B:$B,MATCH(TRIM(SUBSTITUTE($A219,CHAR(160)," ")),'TRANS'!$D:$D,0)),""))</f>
        <v>4422039</v>
      </c>
      <c r="F219" s="20" t="str">
        <f aca="false">IF($E219="","Unmatched","Matched")</f>
        <v>Matched</v>
      </c>
    </row>
    <row r="220" customFormat="false" ht="15" hidden="false" customHeight="false" outlineLevel="0" collapsed="false">
      <c r="A220" s="20" t="s">
        <v>977</v>
      </c>
      <c r="B220" s="20" t="n">
        <v>2026</v>
      </c>
      <c r="C220" s="21" t="n">
        <v>3</v>
      </c>
      <c r="D220" s="22" t="n">
        <v>450.88</v>
      </c>
      <c r="E220" s="20" t="n">
        <f aca="false">IFERROR(INDEX('TRANS'!$B:$B,MATCH($A220,'TRANS'!$A:$A,0)),IFERROR(INDEX('TRANS'!$B:$B,MATCH(TRIM(SUBSTITUTE($A220,CHAR(160)," ")),'TRANS'!$D:$D,0)),""))</f>
        <v>4422039</v>
      </c>
      <c r="F220" s="20" t="str">
        <f aca="false">IF($E220="","Unmatched","Matched")</f>
        <v>Matched</v>
      </c>
    </row>
    <row r="221" customFormat="false" ht="15" hidden="false" customHeight="false" outlineLevel="0" collapsed="false">
      <c r="A221" s="20" t="s">
        <v>978</v>
      </c>
      <c r="B221" s="20" t="n">
        <v>2025</v>
      </c>
      <c r="C221" s="21" t="n">
        <v>2</v>
      </c>
      <c r="D221" s="22" t="n">
        <v>240</v>
      </c>
      <c r="E221" s="20" t="n">
        <f aca="false">IFERROR(INDEX('TRANS'!$B:$B,MATCH($A221,'TRANS'!$A:$A,0)),IFERROR(INDEX('TRANS'!$B:$B,MATCH(TRIM(SUBSTITUTE($A221,CHAR(160)," ")),'TRANS'!$D:$D,0)),""))</f>
        <v>4422040</v>
      </c>
      <c r="F221" s="20" t="str">
        <f aca="false">IF($E221="","Unmatched","Matched")</f>
        <v>Matched</v>
      </c>
    </row>
    <row r="222" customFormat="false" ht="15" hidden="false" customHeight="false" outlineLevel="0" collapsed="false">
      <c r="A222" s="20" t="s">
        <v>978</v>
      </c>
      <c r="B222" s="20" t="n">
        <v>2026</v>
      </c>
      <c r="C222" s="21" t="n">
        <v>5</v>
      </c>
      <c r="D222" s="22" t="n">
        <v>690.88</v>
      </c>
      <c r="E222" s="20" t="n">
        <f aca="false">IFERROR(INDEX('TRANS'!$B:$B,MATCH($A222,'TRANS'!$A:$A,0)),IFERROR(INDEX('TRANS'!$B:$B,MATCH(TRIM(SUBSTITUTE($A222,CHAR(160)," ")),'TRANS'!$D:$D,0)),""))</f>
        <v>4422040</v>
      </c>
      <c r="F222" s="20" t="str">
        <f aca="false">IF($E222="","Unmatched","Matched")</f>
        <v>Matched</v>
      </c>
    </row>
    <row r="223" customFormat="false" ht="15" hidden="false" customHeight="false" outlineLevel="0" collapsed="false">
      <c r="A223" s="20" t="s">
        <v>979</v>
      </c>
      <c r="B223" s="20" t="n">
        <v>2025</v>
      </c>
      <c r="C223" s="21" t="n">
        <v>2</v>
      </c>
      <c r="D223" s="22" t="n">
        <v>240</v>
      </c>
      <c r="E223" s="20" t="n">
        <f aca="false">IFERROR(INDEX('TRANS'!$B:$B,MATCH($A223,'TRANS'!$A:$A,0)),IFERROR(INDEX('TRANS'!$B:$B,MATCH(TRIM(SUBSTITUTE($A223,CHAR(160)," ")),'TRANS'!$D:$D,0)),""))</f>
        <v>4422041</v>
      </c>
      <c r="F223" s="20" t="str">
        <f aca="false">IF($E223="","Unmatched","Matched")</f>
        <v>Matched</v>
      </c>
    </row>
    <row r="224" customFormat="false" ht="15" hidden="false" customHeight="false" outlineLevel="0" collapsed="false">
      <c r="A224" s="20" t="s">
        <v>979</v>
      </c>
      <c r="B224" s="20" t="n">
        <v>2026</v>
      </c>
      <c r="C224" s="21" t="n">
        <v>8</v>
      </c>
      <c r="D224" s="22" t="n">
        <v>1323.52</v>
      </c>
      <c r="E224" s="20" t="n">
        <f aca="false">IFERROR(INDEX('TRANS'!$B:$B,MATCH($A224,'TRANS'!$A:$A,0)),IFERROR(INDEX('TRANS'!$B:$B,MATCH(TRIM(SUBSTITUTE($A224,CHAR(160)," ")),'TRANS'!$D:$D,0)),""))</f>
        <v>4422041</v>
      </c>
      <c r="F224" s="20" t="str">
        <f aca="false">IF($E224="","Unmatched","Matched")</f>
        <v>Matched</v>
      </c>
    </row>
    <row r="225" customFormat="false" ht="15" hidden="false" customHeight="false" outlineLevel="0" collapsed="false">
      <c r="A225" s="20" t="s">
        <v>980</v>
      </c>
      <c r="B225" s="20" t="n">
        <v>2025</v>
      </c>
      <c r="C225" s="21" t="n">
        <v>1</v>
      </c>
      <c r="D225" s="22" t="n">
        <v>120</v>
      </c>
      <c r="E225" s="20" t="n">
        <f aca="false">IFERROR(INDEX('TRANS'!$B:$B,MATCH($A225,'TRANS'!$A:$A,0)),IFERROR(INDEX('TRANS'!$B:$B,MATCH(TRIM(SUBSTITUTE($A225,CHAR(160)," ")),'TRANS'!$D:$D,0)),""))</f>
        <v>4422042</v>
      </c>
      <c r="F225" s="20" t="str">
        <f aca="false">IF($E225="","Unmatched","Matched")</f>
        <v>Matched</v>
      </c>
    </row>
    <row r="226" customFormat="false" ht="15" hidden="false" customHeight="false" outlineLevel="0" collapsed="false">
      <c r="A226" s="20" t="s">
        <v>980</v>
      </c>
      <c r="B226" s="20" t="n">
        <v>2026</v>
      </c>
      <c r="C226" s="21" t="n">
        <v>5</v>
      </c>
      <c r="D226" s="22" t="n">
        <v>781.77</v>
      </c>
      <c r="E226" s="20" t="n">
        <f aca="false">IFERROR(INDEX('TRANS'!$B:$B,MATCH($A226,'TRANS'!$A:$A,0)),IFERROR(INDEX('TRANS'!$B:$B,MATCH(TRIM(SUBSTITUTE($A226,CHAR(160)," ")),'TRANS'!$D:$D,0)),""))</f>
        <v>4422042</v>
      </c>
      <c r="F226" s="20" t="str">
        <f aca="false">IF($E226="","Unmatched","Matched")</f>
        <v>Matched</v>
      </c>
    </row>
    <row r="227" customFormat="false" ht="15" hidden="false" customHeight="false" outlineLevel="0" collapsed="false">
      <c r="A227" s="20" t="s">
        <v>1315</v>
      </c>
      <c r="B227" s="20" t="n">
        <v>2025</v>
      </c>
      <c r="C227" s="21" t="n">
        <v>26</v>
      </c>
      <c r="D227" s="22" t="n">
        <v>1213.06</v>
      </c>
      <c r="E227" s="20" t="n">
        <f aca="false">IFERROR(INDEX('TRANS'!$B:$B,MATCH($A227,'TRANS'!$A:$A,0)),IFERROR(INDEX('TRANS'!$B:$B,MATCH(TRIM(SUBSTITUTE($A227,CHAR(160)," ")),'TRANS'!$D:$D,0)),""))</f>
        <v>4408098</v>
      </c>
      <c r="F227" s="20" t="str">
        <f aca="false">IF($E227="","Unmatched","Matched")</f>
        <v>Matched</v>
      </c>
    </row>
    <row r="228" customFormat="false" ht="15" hidden="false" customHeight="false" outlineLevel="0" collapsed="false">
      <c r="A228" s="20" t="s">
        <v>1315</v>
      </c>
      <c r="B228" s="20" t="n">
        <v>2026</v>
      </c>
      <c r="C228" s="21" t="n">
        <v>7</v>
      </c>
      <c r="D228" s="22" t="n">
        <v>327.75</v>
      </c>
      <c r="E228" s="20" t="n">
        <f aca="false">IFERROR(INDEX('TRANS'!$B:$B,MATCH($A228,'TRANS'!$A:$A,0)),IFERROR(INDEX('TRANS'!$B:$B,MATCH(TRIM(SUBSTITUTE($A228,CHAR(160)," ")),'TRANS'!$D:$D,0)),""))</f>
        <v>4408098</v>
      </c>
      <c r="F228" s="20" t="str">
        <f aca="false">IF($E228="","Unmatched","Matched")</f>
        <v>Matched</v>
      </c>
    </row>
    <row r="229" customFormat="false" ht="15" hidden="false" customHeight="false" outlineLevel="0" collapsed="false">
      <c r="A229" s="20" t="s">
        <v>1316</v>
      </c>
      <c r="B229" s="20" t="n">
        <v>2025</v>
      </c>
      <c r="C229" s="21" t="n">
        <v>1</v>
      </c>
      <c r="D229" s="22" t="n">
        <v>42.5</v>
      </c>
      <c r="E229" s="20" t="n">
        <f aca="false">IFERROR(INDEX('TRANS'!$B:$B,MATCH($A229,'TRANS'!$A:$A,0)),IFERROR(INDEX('TRANS'!$B:$B,MATCH(TRIM(SUBSTITUTE($A229,CHAR(160)," ")),'TRANS'!$D:$D,0)),""))</f>
        <v>4408264</v>
      </c>
      <c r="F229" s="20" t="str">
        <f aca="false">IF($E229="","Unmatched","Matched")</f>
        <v>Matched</v>
      </c>
    </row>
    <row r="230" customFormat="false" ht="15" hidden="false" customHeight="false" outlineLevel="0" collapsed="false">
      <c r="A230" s="20" t="s">
        <v>1316</v>
      </c>
      <c r="B230" s="20" t="n">
        <v>2026</v>
      </c>
      <c r="C230" s="21" t="n">
        <v>1</v>
      </c>
      <c r="D230" s="22" t="n">
        <v>46.82</v>
      </c>
      <c r="E230" s="20" t="n">
        <f aca="false">IFERROR(INDEX('TRANS'!$B:$B,MATCH($A230,'TRANS'!$A:$A,0)),IFERROR(INDEX('TRANS'!$B:$B,MATCH(TRIM(SUBSTITUTE($A230,CHAR(160)," ")),'TRANS'!$D:$D,0)),""))</f>
        <v>4408264</v>
      </c>
      <c r="F230" s="20" t="str">
        <f aca="false">IF($E230="","Unmatched","Matched")</f>
        <v>Matched</v>
      </c>
    </row>
    <row r="231" customFormat="false" ht="15" hidden="false" customHeight="false" outlineLevel="0" collapsed="false">
      <c r="A231" s="20" t="s">
        <v>136</v>
      </c>
      <c r="B231" s="20" t="n">
        <v>2025</v>
      </c>
      <c r="C231" s="21" t="n">
        <v>3</v>
      </c>
      <c r="D231" s="22" t="n">
        <v>283.89</v>
      </c>
      <c r="E231" s="20" t="str">
        <f aca="false">IFERROR(INDEX('TRANS'!$B:$B,MATCH($A231,'TRANS'!$A:$A,0)),IFERROR(INDEX('TRANS'!$B:$B,MATCH(TRIM(SUBSTITUTE($A231,CHAR(160)," ")),'TRANS'!$D:$D,0)),""))</f>
        <v/>
      </c>
      <c r="F231" s="20" t="str">
        <f aca="false">IF($E231="","Unmatched","Matched")</f>
        <v>Unmatched</v>
      </c>
    </row>
    <row r="232" customFormat="false" ht="15" hidden="false" customHeight="false" outlineLevel="0" collapsed="false">
      <c r="A232" s="20" t="s">
        <v>136</v>
      </c>
      <c r="B232" s="20" t="n">
        <v>2026</v>
      </c>
      <c r="C232" s="21" t="n">
        <v>3</v>
      </c>
      <c r="D232" s="22" t="n">
        <v>283.9</v>
      </c>
      <c r="E232" s="20" t="str">
        <f aca="false">IFERROR(INDEX('TRANS'!$B:$B,MATCH($A232,'TRANS'!$A:$A,0)),IFERROR(INDEX('TRANS'!$B:$B,MATCH(TRIM(SUBSTITUTE($A232,CHAR(160)," ")),'TRANS'!$D:$D,0)),""))</f>
        <v/>
      </c>
      <c r="F232" s="20" t="str">
        <f aca="false">IF($E232="","Unmatched","Matched")</f>
        <v>Unmatched</v>
      </c>
    </row>
    <row r="233" customFormat="false" ht="15" hidden="false" customHeight="false" outlineLevel="0" collapsed="false">
      <c r="A233" s="20" t="s">
        <v>137</v>
      </c>
      <c r="B233" s="20" t="n">
        <v>2025</v>
      </c>
      <c r="C233" s="21" t="n">
        <v>4</v>
      </c>
      <c r="D233" s="22" t="n">
        <v>378.54</v>
      </c>
      <c r="E233" s="20" t="str">
        <f aca="false">IFERROR(INDEX('TRANS'!$B:$B,MATCH($A233,'TRANS'!$A:$A,0)),IFERROR(INDEX('TRANS'!$B:$B,MATCH(TRIM(SUBSTITUTE($A233,CHAR(160)," ")),'TRANS'!$D:$D,0)),""))</f>
        <v/>
      </c>
      <c r="F233" s="20" t="str">
        <f aca="false">IF($E233="","Unmatched","Matched")</f>
        <v>Unmatched</v>
      </c>
    </row>
    <row r="234" customFormat="false" ht="15" hidden="false" customHeight="false" outlineLevel="0" collapsed="false">
      <c r="A234" s="20" t="s">
        <v>137</v>
      </c>
      <c r="B234" s="20" t="n">
        <v>2026</v>
      </c>
      <c r="C234" s="21" t="n">
        <v>2</v>
      </c>
      <c r="D234" s="22" t="n">
        <v>189.26</v>
      </c>
      <c r="E234" s="20" t="str">
        <f aca="false">IFERROR(INDEX('TRANS'!$B:$B,MATCH($A234,'TRANS'!$A:$A,0)),IFERROR(INDEX('TRANS'!$B:$B,MATCH(TRIM(SUBSTITUTE($A234,CHAR(160)," ")),'TRANS'!$D:$D,0)),""))</f>
        <v/>
      </c>
      <c r="F234" s="20" t="str">
        <f aca="false">IF($E234="","Unmatched","Matched")</f>
        <v>Unmatched</v>
      </c>
    </row>
    <row r="235" customFormat="false" ht="15" hidden="false" customHeight="false" outlineLevel="0" collapsed="false">
      <c r="A235" s="20" t="s">
        <v>140</v>
      </c>
      <c r="B235" s="20" t="n">
        <v>2026</v>
      </c>
      <c r="C235" s="21" t="n">
        <v>1</v>
      </c>
      <c r="D235" s="22" t="n">
        <v>118.13</v>
      </c>
      <c r="E235" s="20" t="str">
        <f aca="false">IFERROR(INDEX('TRANS'!$B:$B,MATCH($A235,'TRANS'!$A:$A,0)),IFERROR(INDEX('TRANS'!$B:$B,MATCH(TRIM(SUBSTITUTE($A235,CHAR(160)," ")),'TRANS'!$D:$D,0)),""))</f>
        <v/>
      </c>
      <c r="F235" s="20" t="str">
        <f aca="false">IF($E235="","Unmatched","Matched")</f>
        <v>Unmatched</v>
      </c>
    </row>
    <row r="236" customFormat="false" ht="15" hidden="false" customHeight="false" outlineLevel="0" collapsed="false">
      <c r="A236" s="20" t="s">
        <v>141</v>
      </c>
      <c r="B236" s="20" t="n">
        <v>2026</v>
      </c>
      <c r="C236" s="21" t="n">
        <v>2</v>
      </c>
      <c r="D236" s="22" t="n">
        <v>236.26</v>
      </c>
      <c r="E236" s="20" t="str">
        <f aca="false">IFERROR(INDEX('TRANS'!$B:$B,MATCH($A236,'TRANS'!$A:$A,0)),IFERROR(INDEX('TRANS'!$B:$B,MATCH(TRIM(SUBSTITUTE($A236,CHAR(160)," ")),'TRANS'!$D:$D,0)),""))</f>
        <v/>
      </c>
      <c r="F236" s="20" t="str">
        <f aca="false">IF($E236="","Unmatched","Matched")</f>
        <v>Unmatched</v>
      </c>
    </row>
    <row r="237" customFormat="false" ht="15" hidden="false" customHeight="false" outlineLevel="0" collapsed="false">
      <c r="A237" s="20" t="s">
        <v>988</v>
      </c>
      <c r="B237" s="20" t="n">
        <v>2026</v>
      </c>
      <c r="C237" s="21" t="n">
        <v>1</v>
      </c>
      <c r="D237" s="22" t="n">
        <v>118.13</v>
      </c>
      <c r="E237" s="20" t="n">
        <f aca="false">IFERROR(INDEX('TRANS'!$B:$B,MATCH($A237,'TRANS'!$A:$A,0)),IFERROR(INDEX('TRANS'!$B:$B,MATCH(TRIM(SUBSTITUTE($A237,CHAR(160)," ")),'TRANS'!$D:$D,0)),""))</f>
        <v>4413224</v>
      </c>
      <c r="F237" s="20" t="str">
        <f aca="false">IF($E237="","Unmatched","Matched")</f>
        <v>Matched</v>
      </c>
    </row>
    <row r="238" customFormat="false" ht="15" hidden="false" customHeight="false" outlineLevel="0" collapsed="false">
      <c r="A238" s="20" t="s">
        <v>987</v>
      </c>
      <c r="B238" s="20" t="n">
        <v>2026</v>
      </c>
      <c r="C238" s="21" t="n">
        <v>2</v>
      </c>
      <c r="D238" s="22" t="n">
        <v>236.26</v>
      </c>
      <c r="E238" s="20" t="n">
        <f aca="false">IFERROR(INDEX('TRANS'!$B:$B,MATCH($A238,'TRANS'!$A:$A,0)),IFERROR(INDEX('TRANS'!$B:$B,MATCH(TRIM(SUBSTITUTE($A238,CHAR(160)," ")),'TRANS'!$D:$D,0)),""))</f>
        <v>4413260</v>
      </c>
      <c r="F238" s="20" t="str">
        <f aca="false">IF($E238="","Unmatched","Matched")</f>
        <v>Matched</v>
      </c>
    </row>
    <row r="239" customFormat="false" ht="15" hidden="false" customHeight="false" outlineLevel="0" collapsed="false">
      <c r="A239" s="20" t="s">
        <v>1012</v>
      </c>
      <c r="B239" s="20" t="n">
        <v>2025</v>
      </c>
      <c r="C239" s="21" t="n">
        <v>1</v>
      </c>
      <c r="D239" s="22" t="n">
        <v>99</v>
      </c>
      <c r="E239" s="20" t="n">
        <f aca="false">IFERROR(INDEX('TRANS'!$B:$B,MATCH($A239,'TRANS'!$A:$A,0)),IFERROR(INDEX('TRANS'!$B:$B,MATCH(TRIM(SUBSTITUTE($A239,CHAR(160)," ")),'TRANS'!$D:$D,0)),""))</f>
        <v>4408119</v>
      </c>
      <c r="F239" s="20" t="str">
        <f aca="false">IF($E239="","Unmatched","Matched")</f>
        <v>Matched</v>
      </c>
    </row>
    <row r="240" customFormat="false" ht="15" hidden="false" customHeight="false" outlineLevel="0" collapsed="false">
      <c r="A240" s="20" t="s">
        <v>66</v>
      </c>
      <c r="B240" s="20" t="n">
        <v>2025</v>
      </c>
      <c r="C240" s="21" t="n">
        <v>2</v>
      </c>
      <c r="D240" s="22" t="n">
        <v>281.15</v>
      </c>
      <c r="E240" s="20" t="str">
        <f aca="false">IFERROR(INDEX('TRANS'!$B:$B,MATCH($A240,'TRANS'!$A:$A,0)),IFERROR(INDEX('TRANS'!$B:$B,MATCH(TRIM(SUBSTITUTE($A240,CHAR(160)," ")),'TRANS'!$D:$D,0)),""))</f>
        <v/>
      </c>
      <c r="F240" s="20" t="str">
        <f aca="false">IF($E240="","Unmatched","Matched")</f>
        <v>Unmatched</v>
      </c>
    </row>
    <row r="241" customFormat="false" ht="15" hidden="false" customHeight="false" outlineLevel="0" collapsed="false">
      <c r="A241" s="20" t="s">
        <v>1013</v>
      </c>
      <c r="B241" s="20" t="n">
        <v>2025</v>
      </c>
      <c r="C241" s="21" t="n">
        <v>1</v>
      </c>
      <c r="D241" s="22" t="n">
        <v>98.99</v>
      </c>
      <c r="E241" s="20" t="n">
        <f aca="false">IFERROR(INDEX('TRANS'!$B:$B,MATCH($A241,'TRANS'!$A:$A,0)),IFERROR(INDEX('TRANS'!$B:$B,MATCH(TRIM(SUBSTITUTE($A241,CHAR(160)," ")),'TRANS'!$D:$D,0)),""))</f>
        <v>4408120</v>
      </c>
      <c r="F241" s="20" t="str">
        <f aca="false">IF($E241="","Unmatched","Matched")</f>
        <v>Matched</v>
      </c>
    </row>
    <row r="242" customFormat="false" ht="15" hidden="false" customHeight="false" outlineLevel="0" collapsed="false">
      <c r="A242" s="20" t="s">
        <v>67</v>
      </c>
      <c r="B242" s="20" t="n">
        <v>2025</v>
      </c>
      <c r="C242" s="21" t="n">
        <v>1</v>
      </c>
      <c r="D242" s="22" t="n">
        <v>140.57</v>
      </c>
      <c r="E242" s="20" t="str">
        <f aca="false">IFERROR(INDEX('TRANS'!$B:$B,MATCH($A242,'TRANS'!$A:$A,0)),IFERROR(INDEX('TRANS'!$B:$B,MATCH(TRIM(SUBSTITUTE($A242,CHAR(160)," ")),'TRANS'!$D:$D,0)),""))</f>
        <v/>
      </c>
      <c r="F242" s="20" t="str">
        <f aca="false">IF($E242="","Unmatched","Matched")</f>
        <v>Unmatched</v>
      </c>
    </row>
    <row r="243" customFormat="false" ht="15" hidden="false" customHeight="false" outlineLevel="0" collapsed="false">
      <c r="A243" s="20" t="s">
        <v>1015</v>
      </c>
      <c r="B243" s="20" t="n">
        <v>2025</v>
      </c>
      <c r="C243" s="21" t="n">
        <v>27</v>
      </c>
      <c r="D243" s="22" t="n">
        <v>2452</v>
      </c>
      <c r="E243" s="20" t="n">
        <f aca="false">IFERROR(INDEX('TRANS'!$B:$B,MATCH($A243,'TRANS'!$A:$A,0)),IFERROR(INDEX('TRANS'!$B:$B,MATCH(TRIM(SUBSTITUTE($A243,CHAR(160)," ")),'TRANS'!$D:$D,0)),""))</f>
        <v>4408135</v>
      </c>
      <c r="F243" s="20" t="str">
        <f aca="false">IF($E243="","Unmatched","Matched")</f>
        <v>Matched</v>
      </c>
    </row>
    <row r="244" customFormat="false" ht="15" hidden="false" customHeight="false" outlineLevel="0" collapsed="false">
      <c r="A244" s="20" t="s">
        <v>1015</v>
      </c>
      <c r="B244" s="20" t="n">
        <v>2026</v>
      </c>
      <c r="C244" s="21" t="n">
        <v>2</v>
      </c>
      <c r="D244" s="22" t="n">
        <v>170</v>
      </c>
      <c r="E244" s="20" t="n">
        <f aca="false">IFERROR(INDEX('TRANS'!$B:$B,MATCH($A244,'TRANS'!$A:$A,0)),IFERROR(INDEX('TRANS'!$B:$B,MATCH(TRIM(SUBSTITUTE($A244,CHAR(160)," ")),'TRANS'!$D:$D,0)),""))</f>
        <v>4408135</v>
      </c>
      <c r="F244" s="20" t="str">
        <f aca="false">IF($E244="","Unmatched","Matched")</f>
        <v>Matched</v>
      </c>
    </row>
    <row r="245" customFormat="false" ht="15" hidden="false" customHeight="false" outlineLevel="0" collapsed="false">
      <c r="A245" s="20" t="s">
        <v>1016</v>
      </c>
      <c r="B245" s="20" t="n">
        <v>2025</v>
      </c>
      <c r="C245" s="21" t="n">
        <v>53</v>
      </c>
      <c r="D245" s="22" t="n">
        <v>4333.04</v>
      </c>
      <c r="E245" s="20" t="n">
        <f aca="false">IFERROR(INDEX('TRANS'!$B:$B,MATCH($A245,'TRANS'!$A:$A,0)),IFERROR(INDEX('TRANS'!$B:$B,MATCH(TRIM(SUBSTITUTE($A245,CHAR(160)," ")),'TRANS'!$D:$D,0)),""))</f>
        <v>4408134</v>
      </c>
      <c r="F245" s="20" t="str">
        <f aca="false">IF($E245="","Unmatched","Matched")</f>
        <v>Matched</v>
      </c>
    </row>
    <row r="246" customFormat="false" ht="15" hidden="false" customHeight="false" outlineLevel="0" collapsed="false">
      <c r="A246" s="20" t="s">
        <v>1041</v>
      </c>
      <c r="B246" s="20" t="n">
        <v>2025</v>
      </c>
      <c r="C246" s="21" t="n">
        <v>5</v>
      </c>
      <c r="D246" s="22" t="n">
        <v>443.94</v>
      </c>
      <c r="E246" s="20" t="n">
        <f aca="false">IFERROR(INDEX('TRANS'!$B:$B,MATCH($A246,'TRANS'!$A:$A,0)),IFERROR(INDEX('TRANS'!$B:$B,MATCH(TRIM(SUBSTITUTE($A246,CHAR(160)," ")),'TRANS'!$D:$D,0)),""))</f>
        <v>4408032</v>
      </c>
      <c r="F246" s="20" t="str">
        <f aca="false">IF($E246="","Unmatched","Matched")</f>
        <v>Matched</v>
      </c>
    </row>
    <row r="247" customFormat="false" ht="15" hidden="false" customHeight="false" outlineLevel="0" collapsed="false">
      <c r="A247" s="20" t="s">
        <v>1041</v>
      </c>
      <c r="B247" s="20" t="n">
        <v>2026</v>
      </c>
      <c r="C247" s="21" t="n">
        <v>2</v>
      </c>
      <c r="D247" s="22" t="n">
        <v>170</v>
      </c>
      <c r="E247" s="20" t="n">
        <f aca="false">IFERROR(INDEX('TRANS'!$B:$B,MATCH($A247,'TRANS'!$A:$A,0)),IFERROR(INDEX('TRANS'!$B:$B,MATCH(TRIM(SUBSTITUTE($A247,CHAR(160)," ")),'TRANS'!$D:$D,0)),""))</f>
        <v>4408032</v>
      </c>
      <c r="F247" s="20" t="str">
        <f aca="false">IF($E247="","Unmatched","Matched")</f>
        <v>Matched</v>
      </c>
    </row>
    <row r="248" customFormat="false" ht="15" hidden="false" customHeight="false" outlineLevel="0" collapsed="false">
      <c r="A248" s="20" t="s">
        <v>1047</v>
      </c>
      <c r="B248" s="20" t="n">
        <v>2025</v>
      </c>
      <c r="C248" s="21" t="n">
        <v>4</v>
      </c>
      <c r="D248" s="22" t="n">
        <v>340</v>
      </c>
      <c r="E248" s="20" t="n">
        <f aca="false">IFERROR(INDEX('TRANS'!$B:$B,MATCH($A248,'TRANS'!$A:$A,0)),IFERROR(INDEX('TRANS'!$B:$B,MATCH(TRIM(SUBSTITUTE($A248,CHAR(160)," ")),'TRANS'!$D:$D,0)),""))</f>
        <v>4408034</v>
      </c>
      <c r="F248" s="20" t="str">
        <f aca="false">IF($E248="","Unmatched","Matched")</f>
        <v>Matched</v>
      </c>
    </row>
    <row r="249" customFormat="false" ht="15" hidden="false" customHeight="false" outlineLevel="0" collapsed="false">
      <c r="A249" s="20" t="s">
        <v>1047</v>
      </c>
      <c r="B249" s="20" t="n">
        <v>2026</v>
      </c>
      <c r="C249" s="21" t="n">
        <v>6</v>
      </c>
      <c r="D249" s="22" t="n">
        <v>510.01</v>
      </c>
      <c r="E249" s="20" t="n">
        <f aca="false">IFERROR(INDEX('TRANS'!$B:$B,MATCH($A249,'TRANS'!$A:$A,0)),IFERROR(INDEX('TRANS'!$B:$B,MATCH(TRIM(SUBSTITUTE($A249,CHAR(160)," ")),'TRANS'!$D:$D,0)),""))</f>
        <v>4408034</v>
      </c>
      <c r="F249" s="20" t="str">
        <f aca="false">IF($E249="","Unmatched","Matched")</f>
        <v>Matched</v>
      </c>
    </row>
    <row r="250" customFormat="false" ht="15" hidden="false" customHeight="false" outlineLevel="0" collapsed="false">
      <c r="A250" s="20" t="s">
        <v>1051</v>
      </c>
      <c r="B250" s="20" t="n">
        <v>2025</v>
      </c>
      <c r="C250" s="21" t="n">
        <v>3</v>
      </c>
      <c r="D250" s="22" t="n">
        <v>239</v>
      </c>
      <c r="E250" s="20" t="n">
        <f aca="false">IFERROR(INDEX('TRANS'!$B:$B,MATCH($A250,'TRANS'!$A:$A,0)),IFERROR(INDEX('TRANS'!$B:$B,MATCH(TRIM(SUBSTITUTE($A250,CHAR(160)," ")),'TRANS'!$D:$D,0)),""))</f>
        <v>4408115</v>
      </c>
      <c r="F250" s="20" t="str">
        <f aca="false">IF($E250="","Unmatched","Matched")</f>
        <v>Matched</v>
      </c>
    </row>
    <row r="251" customFormat="false" ht="15" hidden="false" customHeight="false" outlineLevel="0" collapsed="false">
      <c r="A251" s="20" t="s">
        <v>1051</v>
      </c>
      <c r="B251" s="20" t="n">
        <v>2026</v>
      </c>
      <c r="C251" s="21" t="n">
        <v>6</v>
      </c>
      <c r="D251" s="22" t="n">
        <v>509.97</v>
      </c>
      <c r="E251" s="20" t="n">
        <f aca="false">IFERROR(INDEX('TRANS'!$B:$B,MATCH($A251,'TRANS'!$A:$A,0)),IFERROR(INDEX('TRANS'!$B:$B,MATCH(TRIM(SUBSTITUTE($A251,CHAR(160)," ")),'TRANS'!$D:$D,0)),""))</f>
        <v>4408115</v>
      </c>
      <c r="F251" s="20" t="str">
        <f aca="false">IF($E251="","Unmatched","Matched")</f>
        <v>Matched</v>
      </c>
    </row>
    <row r="252" customFormat="false" ht="15" hidden="false" customHeight="false" outlineLevel="0" collapsed="false">
      <c r="A252" s="20" t="s">
        <v>1052</v>
      </c>
      <c r="B252" s="20" t="n">
        <v>2025</v>
      </c>
      <c r="C252" s="21" t="n">
        <v>2</v>
      </c>
      <c r="D252" s="22" t="n">
        <v>170</v>
      </c>
      <c r="E252" s="20" t="n">
        <f aca="false">IFERROR(INDEX('TRANS'!$B:$B,MATCH($A252,'TRANS'!$A:$A,0)),IFERROR(INDEX('TRANS'!$B:$B,MATCH(TRIM(SUBSTITUTE($A252,CHAR(160)," ")),'TRANS'!$D:$D,0)),""))</f>
        <v>4408114</v>
      </c>
      <c r="F252" s="20" t="str">
        <f aca="false">IF($E252="","Unmatched","Matched")</f>
        <v>Matched</v>
      </c>
    </row>
    <row r="253" customFormat="false" ht="15" hidden="false" customHeight="false" outlineLevel="0" collapsed="false">
      <c r="A253" s="20" t="s">
        <v>71</v>
      </c>
      <c r="B253" s="20" t="n">
        <v>2025</v>
      </c>
      <c r="C253" s="21" t="n">
        <v>1</v>
      </c>
      <c r="D253" s="22" t="n">
        <v>69.01</v>
      </c>
      <c r="E253" s="20" t="str">
        <f aca="false">IFERROR(INDEX('TRANS'!$B:$B,MATCH($A253,'TRANS'!$A:$A,0)),IFERROR(INDEX('TRANS'!$B:$B,MATCH(TRIM(SUBSTITUTE($A253,CHAR(160)," ")),'TRANS'!$D:$D,0)),""))</f>
        <v/>
      </c>
      <c r="F253" s="20" t="str">
        <f aca="false">IF($E253="","Unmatched","Matched")</f>
        <v>Unmatched</v>
      </c>
    </row>
    <row r="254" customFormat="false" ht="15" hidden="false" customHeight="false" outlineLevel="0" collapsed="false">
      <c r="A254" s="20" t="s">
        <v>71</v>
      </c>
      <c r="B254" s="20" t="n">
        <v>2026</v>
      </c>
      <c r="C254" s="21" t="n">
        <v>1</v>
      </c>
      <c r="D254" s="22" t="n">
        <v>85</v>
      </c>
      <c r="E254" s="20" t="str">
        <f aca="false">IFERROR(INDEX('TRANS'!$B:$B,MATCH($A254,'TRANS'!$A:$A,0)),IFERROR(INDEX('TRANS'!$B:$B,MATCH(TRIM(SUBSTITUTE($A254,CHAR(160)," ")),'TRANS'!$D:$D,0)),""))</f>
        <v/>
      </c>
      <c r="F254" s="20" t="str">
        <f aca="false">IF($E254="","Unmatched","Matched")</f>
        <v>Unmatched</v>
      </c>
    </row>
    <row r="255" customFormat="false" ht="15" hidden="false" customHeight="false" outlineLevel="0" collapsed="false">
      <c r="A255" s="20" t="s">
        <v>72</v>
      </c>
      <c r="B255" s="20" t="n">
        <v>2025</v>
      </c>
      <c r="C255" s="21" t="n">
        <v>1</v>
      </c>
      <c r="D255" s="22" t="n">
        <v>69</v>
      </c>
      <c r="E255" s="20" t="str">
        <f aca="false">IFERROR(INDEX('TRANS'!$B:$B,MATCH($A255,'TRANS'!$A:$A,0)),IFERROR(INDEX('TRANS'!$B:$B,MATCH(TRIM(SUBSTITUTE($A255,CHAR(160)," ")),'TRANS'!$D:$D,0)),""))</f>
        <v/>
      </c>
      <c r="F255" s="20" t="str">
        <f aca="false">IF($E255="","Unmatched","Matched")</f>
        <v>Unmatched</v>
      </c>
    </row>
    <row r="256" customFormat="false" ht="15" hidden="false" customHeight="false" outlineLevel="0" collapsed="false">
      <c r="A256" s="20" t="s">
        <v>1055</v>
      </c>
      <c r="B256" s="20" t="n">
        <v>2025</v>
      </c>
      <c r="C256" s="21" t="n">
        <v>3</v>
      </c>
      <c r="D256" s="22" t="n">
        <v>391.07</v>
      </c>
      <c r="E256" s="20" t="n">
        <f aca="false">IFERROR(INDEX('TRANS'!$B:$B,MATCH($A256,'TRANS'!$A:$A,0)),IFERROR(INDEX('TRANS'!$B:$B,MATCH(TRIM(SUBSTITUTE($A256,CHAR(160)," ")),'TRANS'!$D:$D,0)),""))</f>
        <v>4408147</v>
      </c>
      <c r="F256" s="20" t="str">
        <f aca="false">IF($E256="","Unmatched","Matched")</f>
        <v>Matched</v>
      </c>
    </row>
    <row r="257" customFormat="false" ht="15" hidden="false" customHeight="false" outlineLevel="0" collapsed="false">
      <c r="A257" s="20" t="s">
        <v>1055</v>
      </c>
      <c r="B257" s="20" t="n">
        <v>2026</v>
      </c>
      <c r="C257" s="21" t="n">
        <v>1</v>
      </c>
      <c r="D257" s="22" t="n">
        <v>135.88</v>
      </c>
      <c r="E257" s="20" t="n">
        <f aca="false">IFERROR(INDEX('TRANS'!$B:$B,MATCH($A257,'TRANS'!$A:$A,0)),IFERROR(INDEX('TRANS'!$B:$B,MATCH(TRIM(SUBSTITUTE($A257,CHAR(160)," ")),'TRANS'!$D:$D,0)),""))</f>
        <v>4408147</v>
      </c>
      <c r="F257" s="20" t="str">
        <f aca="false">IF($E257="","Unmatched","Matched")</f>
        <v>Matched</v>
      </c>
    </row>
    <row r="258" customFormat="false" ht="15" hidden="false" customHeight="false" outlineLevel="0" collapsed="false">
      <c r="A258" s="20" t="s">
        <v>73</v>
      </c>
      <c r="B258" s="20" t="n">
        <v>2025</v>
      </c>
      <c r="C258" s="21" t="n">
        <v>1</v>
      </c>
      <c r="D258" s="22" t="n">
        <v>135.88</v>
      </c>
      <c r="E258" s="20" t="str">
        <f aca="false">IFERROR(INDEX('TRANS'!$B:$B,MATCH($A258,'TRANS'!$A:$A,0)),IFERROR(INDEX('TRANS'!$B:$B,MATCH(TRIM(SUBSTITUTE($A258,CHAR(160)," ")),'TRANS'!$D:$D,0)),""))</f>
        <v/>
      </c>
      <c r="F258" s="20" t="str">
        <f aca="false">IF($E258="","Unmatched","Matched")</f>
        <v>Unmatched</v>
      </c>
    </row>
    <row r="259" customFormat="false" ht="15" hidden="false" customHeight="false" outlineLevel="0" collapsed="false">
      <c r="A259" s="20" t="s">
        <v>1056</v>
      </c>
      <c r="B259" s="20" t="n">
        <v>2025</v>
      </c>
      <c r="C259" s="21" t="n">
        <v>2</v>
      </c>
      <c r="D259" s="22" t="n">
        <v>263.48</v>
      </c>
      <c r="E259" s="20" t="n">
        <f aca="false">IFERROR(INDEX('TRANS'!$B:$B,MATCH($A259,'TRANS'!$A:$A,0)),IFERROR(INDEX('TRANS'!$B:$B,MATCH(TRIM(SUBSTITUTE($A259,CHAR(160)," ")),'TRANS'!$D:$D,0)),""))</f>
        <v>4408145</v>
      </c>
      <c r="F259" s="20" t="str">
        <f aca="false">IF($E259="","Unmatched","Matched")</f>
        <v>Matched</v>
      </c>
    </row>
    <row r="260" customFormat="false" ht="15" hidden="false" customHeight="false" outlineLevel="0" collapsed="false">
      <c r="A260" s="20" t="s">
        <v>1057</v>
      </c>
      <c r="B260" s="20" t="n">
        <v>2025</v>
      </c>
      <c r="C260" s="21" t="n">
        <v>4</v>
      </c>
      <c r="D260" s="22" t="n">
        <v>518.65</v>
      </c>
      <c r="E260" s="20" t="n">
        <f aca="false">IFERROR(INDEX('TRANS'!$B:$B,MATCH($A260,'TRANS'!$A:$A,0)),IFERROR(INDEX('TRANS'!$B:$B,MATCH(TRIM(SUBSTITUTE($A260,CHAR(160)," ")),'TRANS'!$D:$D,0)),""))</f>
        <v>4408148</v>
      </c>
      <c r="F260" s="20" t="str">
        <f aca="false">IF($E260="","Unmatched","Matched")</f>
        <v>Matched</v>
      </c>
    </row>
    <row r="261" customFormat="false" ht="15" hidden="false" customHeight="false" outlineLevel="0" collapsed="false">
      <c r="A261" s="20" t="s">
        <v>1058</v>
      </c>
      <c r="B261" s="20" t="n">
        <v>2025</v>
      </c>
      <c r="C261" s="21" t="n">
        <v>1</v>
      </c>
      <c r="D261" s="22" t="n">
        <v>135.88</v>
      </c>
      <c r="E261" s="20" t="n">
        <f aca="false">IFERROR(INDEX('TRANS'!$B:$B,MATCH($A261,'TRANS'!$A:$A,0)),IFERROR(INDEX('TRANS'!$B:$B,MATCH(TRIM(SUBSTITUTE($A261,CHAR(160)," ")),'TRANS'!$D:$D,0)),""))</f>
        <v>4408149</v>
      </c>
      <c r="F261" s="20" t="str">
        <f aca="false">IF($E261="","Unmatched","Matched")</f>
        <v>Matched</v>
      </c>
    </row>
    <row r="262" customFormat="false" ht="15" hidden="false" customHeight="false" outlineLevel="0" collapsed="false">
      <c r="A262" s="20" t="s">
        <v>1059</v>
      </c>
      <c r="B262" s="20" t="n">
        <v>2025</v>
      </c>
      <c r="C262" s="21" t="n">
        <v>24</v>
      </c>
      <c r="D262" s="22" t="n">
        <v>2704.04</v>
      </c>
      <c r="E262" s="20" t="n">
        <f aca="false">IFERROR(INDEX('TRANS'!$B:$B,MATCH($A262,'TRANS'!$A:$A,0)),IFERROR(INDEX('TRANS'!$B:$B,MATCH(TRIM(SUBSTITUTE($A262,CHAR(160)," ")),'TRANS'!$D:$D,0)),""))</f>
        <v>4408261</v>
      </c>
      <c r="F262" s="20" t="str">
        <f aca="false">IF($E262="","Unmatched","Matched")</f>
        <v>Matched</v>
      </c>
    </row>
    <row r="263" customFormat="false" ht="15" hidden="false" customHeight="false" outlineLevel="0" collapsed="false">
      <c r="A263" s="20" t="s">
        <v>1059</v>
      </c>
      <c r="B263" s="20" t="n">
        <v>2026</v>
      </c>
      <c r="C263" s="21" t="n">
        <v>14</v>
      </c>
      <c r="D263" s="22" t="n">
        <v>1531.38</v>
      </c>
      <c r="E263" s="20" t="n">
        <f aca="false">IFERROR(INDEX('TRANS'!$B:$B,MATCH($A263,'TRANS'!$A:$A,0)),IFERROR(INDEX('TRANS'!$B:$B,MATCH(TRIM(SUBSTITUTE($A263,CHAR(160)," ")),'TRANS'!$D:$D,0)),""))</f>
        <v>4408261</v>
      </c>
      <c r="F263" s="20" t="str">
        <f aca="false">IF($E263="","Unmatched","Matched")</f>
        <v>Matched</v>
      </c>
    </row>
    <row r="264" customFormat="false" ht="15" hidden="false" customHeight="false" outlineLevel="0" collapsed="false">
      <c r="A264" s="20" t="s">
        <v>1060</v>
      </c>
      <c r="B264" s="20" t="n">
        <v>2025</v>
      </c>
      <c r="C264" s="21" t="n">
        <v>7</v>
      </c>
      <c r="D264" s="22" t="n">
        <v>735</v>
      </c>
      <c r="E264" s="20" t="n">
        <f aca="false">IFERROR(INDEX('TRANS'!$B:$B,MATCH($A264,'TRANS'!$A:$A,0)),IFERROR(INDEX('TRANS'!$B:$B,MATCH(TRIM(SUBSTITUTE($A264,CHAR(160)," ")),'TRANS'!$D:$D,0)),""))</f>
        <v>4408260</v>
      </c>
      <c r="F264" s="20" t="str">
        <f aca="false">IF($E264="","Unmatched","Matched")</f>
        <v>Matched</v>
      </c>
    </row>
    <row r="265" customFormat="false" ht="15" hidden="false" customHeight="false" outlineLevel="0" collapsed="false">
      <c r="A265" s="20" t="s">
        <v>1060</v>
      </c>
      <c r="B265" s="20" t="n">
        <v>2026</v>
      </c>
      <c r="C265" s="21" t="n">
        <v>5</v>
      </c>
      <c r="D265" s="22" t="n">
        <v>525.01</v>
      </c>
      <c r="E265" s="20" t="n">
        <f aca="false">IFERROR(INDEX('TRANS'!$B:$B,MATCH($A265,'TRANS'!$A:$A,0)),IFERROR(INDEX('TRANS'!$B:$B,MATCH(TRIM(SUBSTITUTE($A265,CHAR(160)," ")),'TRANS'!$D:$D,0)),""))</f>
        <v>4408260</v>
      </c>
      <c r="F265" s="20" t="str">
        <f aca="false">IF($E265="","Unmatched","Matched")</f>
        <v>Matched</v>
      </c>
    </row>
    <row r="266" customFormat="false" ht="15" hidden="false" customHeight="false" outlineLevel="0" collapsed="false">
      <c r="A266" s="20" t="s">
        <v>1061</v>
      </c>
      <c r="B266" s="20" t="n">
        <v>2025</v>
      </c>
      <c r="C266" s="21" t="n">
        <v>1</v>
      </c>
      <c r="D266" s="22" t="n">
        <v>105</v>
      </c>
      <c r="E266" s="20" t="n">
        <f aca="false">IFERROR(INDEX('TRANS'!$B:$B,MATCH($A266,'TRANS'!$A:$A,0)),IFERROR(INDEX('TRANS'!$B:$B,MATCH(TRIM(SUBSTITUTE($A266,CHAR(160)," ")),'TRANS'!$D:$D,0)),""))</f>
        <v>4408259</v>
      </c>
      <c r="F266" s="20" t="str">
        <f aca="false">IF($E266="","Unmatched","Matched")</f>
        <v>Matched</v>
      </c>
    </row>
    <row r="267" customFormat="false" ht="15" hidden="false" customHeight="false" outlineLevel="0" collapsed="false">
      <c r="A267" s="20" t="s">
        <v>1061</v>
      </c>
      <c r="B267" s="20" t="n">
        <v>2026</v>
      </c>
      <c r="C267" s="21" t="n">
        <v>2</v>
      </c>
      <c r="D267" s="22" t="n">
        <v>210.01</v>
      </c>
      <c r="E267" s="20" t="n">
        <f aca="false">IFERROR(INDEX('TRANS'!$B:$B,MATCH($A267,'TRANS'!$A:$A,0)),IFERROR(INDEX('TRANS'!$B:$B,MATCH(TRIM(SUBSTITUTE($A267,CHAR(160)," ")),'TRANS'!$D:$D,0)),""))</f>
        <v>4408259</v>
      </c>
      <c r="F267" s="20" t="str">
        <f aca="false">IF($E267="","Unmatched","Matched")</f>
        <v>Matched</v>
      </c>
    </row>
    <row r="268" customFormat="false" ht="15" hidden="false" customHeight="false" outlineLevel="0" collapsed="false">
      <c r="A268" s="20" t="s">
        <v>1062</v>
      </c>
      <c r="B268" s="20" t="n">
        <v>2025</v>
      </c>
      <c r="C268" s="21" t="n">
        <v>11</v>
      </c>
      <c r="D268" s="22" t="n">
        <v>1155</v>
      </c>
      <c r="E268" s="20" t="n">
        <f aca="false">IFERROR(INDEX('TRANS'!$B:$B,MATCH($A268,'TRANS'!$A:$A,0)),IFERROR(INDEX('TRANS'!$B:$B,MATCH(TRIM(SUBSTITUTE($A268,CHAR(160)," ")),'TRANS'!$D:$D,0)),""))</f>
        <v>4408262</v>
      </c>
      <c r="F268" s="20" t="str">
        <f aca="false">IF($E268="","Unmatched","Matched")</f>
        <v>Matched</v>
      </c>
    </row>
    <row r="269" customFormat="false" ht="15" hidden="false" customHeight="false" outlineLevel="0" collapsed="false">
      <c r="A269" s="20" t="s">
        <v>1062</v>
      </c>
      <c r="B269" s="20" t="n">
        <v>2026</v>
      </c>
      <c r="C269" s="21" t="n">
        <v>8</v>
      </c>
      <c r="D269" s="22" t="n">
        <v>962.71</v>
      </c>
      <c r="E269" s="20" t="n">
        <f aca="false">IFERROR(INDEX('TRANS'!$B:$B,MATCH($A269,'TRANS'!$A:$A,0)),IFERROR(INDEX('TRANS'!$B:$B,MATCH(TRIM(SUBSTITUTE($A269,CHAR(160)," ")),'TRANS'!$D:$D,0)),""))</f>
        <v>4408262</v>
      </c>
      <c r="F269" s="20" t="str">
        <f aca="false">IF($E269="","Unmatched","Matched")</f>
        <v>Matched</v>
      </c>
    </row>
    <row r="270" customFormat="false" ht="15" hidden="false" customHeight="false" outlineLevel="0" collapsed="false">
      <c r="A270" s="20" t="s">
        <v>1063</v>
      </c>
      <c r="B270" s="20" t="n">
        <v>2025</v>
      </c>
      <c r="C270" s="21" t="n">
        <v>14</v>
      </c>
      <c r="D270" s="22" t="n">
        <v>1530.41</v>
      </c>
      <c r="E270" s="20" t="n">
        <f aca="false">IFERROR(INDEX('TRANS'!$B:$B,MATCH($A270,'TRANS'!$A:$A,0)),IFERROR(INDEX('TRANS'!$B:$B,MATCH(TRIM(SUBSTITUTE($A270,CHAR(160)," ")),'TRANS'!$D:$D,0)),""))</f>
        <v>4408263</v>
      </c>
      <c r="F270" s="20" t="str">
        <f aca="false">IF($E270="","Unmatched","Matched")</f>
        <v>Matched</v>
      </c>
    </row>
    <row r="271" customFormat="false" ht="15" hidden="false" customHeight="false" outlineLevel="0" collapsed="false">
      <c r="A271" s="20" t="s">
        <v>1063</v>
      </c>
      <c r="B271" s="20" t="n">
        <v>2026</v>
      </c>
      <c r="C271" s="21" t="n">
        <v>6</v>
      </c>
      <c r="D271" s="22" t="n">
        <v>630.01</v>
      </c>
      <c r="E271" s="20" t="n">
        <f aca="false">IFERROR(INDEX('TRANS'!$B:$B,MATCH($A271,'TRANS'!$A:$A,0)),IFERROR(INDEX('TRANS'!$B:$B,MATCH(TRIM(SUBSTITUTE($A271,CHAR(160)," ")),'TRANS'!$D:$D,0)),""))</f>
        <v>4408263</v>
      </c>
      <c r="F271" s="20" t="str">
        <f aca="false">IF($E271="","Unmatched","Matched")</f>
        <v>Matched</v>
      </c>
    </row>
    <row r="272" customFormat="false" ht="15" hidden="false" customHeight="false" outlineLevel="0" collapsed="false">
      <c r="A272" s="20" t="s">
        <v>1073</v>
      </c>
      <c r="B272" s="20" t="n">
        <v>2025</v>
      </c>
      <c r="C272" s="21" t="n">
        <v>14</v>
      </c>
      <c r="D272" s="22" t="n">
        <v>1281.02</v>
      </c>
      <c r="E272" s="20" t="n">
        <f aca="false">IFERROR(INDEX('TRANS'!$B:$B,MATCH($A272,'TRANS'!$A:$A,0)),IFERROR(INDEX('TRANS'!$B:$B,MATCH(TRIM(SUBSTITUTE($A272,CHAR(160)," ")),'TRANS'!$D:$D,0)),""))</f>
        <v>4408230</v>
      </c>
      <c r="F272" s="20" t="str">
        <f aca="false">IF($E272="","Unmatched","Matched")</f>
        <v>Matched</v>
      </c>
    </row>
    <row r="273" customFormat="false" ht="15" hidden="false" customHeight="false" outlineLevel="0" collapsed="false">
      <c r="A273" s="20" t="s">
        <v>1073</v>
      </c>
      <c r="B273" s="20" t="n">
        <v>2026</v>
      </c>
      <c r="C273" s="21" t="n">
        <v>7</v>
      </c>
      <c r="D273" s="22" t="n">
        <v>666.53</v>
      </c>
      <c r="E273" s="20" t="n">
        <f aca="false">IFERROR(INDEX('TRANS'!$B:$B,MATCH($A273,'TRANS'!$A:$A,0)),IFERROR(INDEX('TRANS'!$B:$B,MATCH(TRIM(SUBSTITUTE($A273,CHAR(160)," ")),'TRANS'!$D:$D,0)),""))</f>
        <v>4408230</v>
      </c>
      <c r="F273" s="20" t="str">
        <f aca="false">IF($E273="","Unmatched","Matched")</f>
        <v>Matched</v>
      </c>
    </row>
    <row r="274" customFormat="false" ht="15" hidden="false" customHeight="false" outlineLevel="0" collapsed="false">
      <c r="A274" s="20" t="s">
        <v>1074</v>
      </c>
      <c r="B274" s="20" t="n">
        <v>2025</v>
      </c>
      <c r="C274" s="21" t="n">
        <v>8</v>
      </c>
      <c r="D274" s="22" t="n">
        <v>780.03</v>
      </c>
      <c r="E274" s="20" t="n">
        <f aca="false">IFERROR(INDEX('TRANS'!$B:$B,MATCH($A274,'TRANS'!$A:$A,0)),IFERROR(INDEX('TRANS'!$B:$B,MATCH(TRIM(SUBSTITUTE($A274,CHAR(160)," ")),'TRANS'!$D:$D,0)),""))</f>
        <v>4408231</v>
      </c>
      <c r="F274" s="20" t="str">
        <f aca="false">IF($E274="","Unmatched","Matched")</f>
        <v>Matched</v>
      </c>
    </row>
    <row r="275" customFormat="false" ht="15" hidden="false" customHeight="false" outlineLevel="0" collapsed="false">
      <c r="A275" s="20" t="s">
        <v>1074</v>
      </c>
      <c r="B275" s="20" t="n">
        <v>2026</v>
      </c>
      <c r="C275" s="21" t="n">
        <v>7</v>
      </c>
      <c r="D275" s="22" t="n">
        <v>630</v>
      </c>
      <c r="E275" s="20" t="n">
        <f aca="false">IFERROR(INDEX('TRANS'!$B:$B,MATCH($A275,'TRANS'!$A:$A,0)),IFERROR(INDEX('TRANS'!$B:$B,MATCH(TRIM(SUBSTITUTE($A275,CHAR(160)," ")),'TRANS'!$D:$D,0)),""))</f>
        <v>4408231</v>
      </c>
      <c r="F275" s="20" t="str">
        <f aca="false">IF($E275="","Unmatched","Matched")</f>
        <v>Matched</v>
      </c>
    </row>
    <row r="276" customFormat="false" ht="15" hidden="false" customHeight="false" outlineLevel="0" collapsed="false">
      <c r="A276" s="20" t="s">
        <v>80</v>
      </c>
      <c r="B276" s="20" t="n">
        <v>2025</v>
      </c>
      <c r="C276" s="21" t="n">
        <v>1</v>
      </c>
      <c r="D276" s="22" t="n">
        <v>268</v>
      </c>
      <c r="E276" s="20" t="str">
        <f aca="false">IFERROR(INDEX('TRANS'!$B:$B,MATCH($A276,'TRANS'!$A:$A,0)),IFERROR(INDEX('TRANS'!$B:$B,MATCH(TRIM(SUBSTITUTE($A276,CHAR(160)," ")),'TRANS'!$D:$D,0)),""))</f>
        <v/>
      </c>
      <c r="F276" s="20" t="str">
        <f aca="false">IF($E276="","Unmatched","Matched")</f>
        <v>Unmatched</v>
      </c>
    </row>
    <row r="277" customFormat="false" ht="15" hidden="false" customHeight="false" outlineLevel="0" collapsed="false">
      <c r="A277" s="20" t="s">
        <v>80</v>
      </c>
      <c r="B277" s="20" t="n">
        <v>2026</v>
      </c>
      <c r="C277" s="21" t="n">
        <v>1</v>
      </c>
      <c r="D277" s="22" t="n">
        <v>309.32</v>
      </c>
      <c r="E277" s="20" t="str">
        <f aca="false">IFERROR(INDEX('TRANS'!$B:$B,MATCH($A277,'TRANS'!$A:$A,0)),IFERROR(INDEX('TRANS'!$B:$B,MATCH(TRIM(SUBSTITUTE($A277,CHAR(160)," ")),'TRANS'!$D:$D,0)),""))</f>
        <v/>
      </c>
      <c r="F277" s="20" t="str">
        <f aca="false">IF($E277="","Unmatched","Matched")</f>
        <v>Unmatched</v>
      </c>
    </row>
    <row r="278" customFormat="false" ht="15" hidden="false" customHeight="false" outlineLevel="0" collapsed="false">
      <c r="A278" s="20" t="s">
        <v>81</v>
      </c>
      <c r="B278" s="20" t="n">
        <v>2025</v>
      </c>
      <c r="C278" s="21" t="n">
        <v>1</v>
      </c>
      <c r="D278" s="22" t="n">
        <v>268</v>
      </c>
      <c r="E278" s="20" t="str">
        <f aca="false">IFERROR(INDEX('TRANS'!$B:$B,MATCH($A278,'TRANS'!$A:$A,0)),IFERROR(INDEX('TRANS'!$B:$B,MATCH(TRIM(SUBSTITUTE($A278,CHAR(160)," ")),'TRANS'!$D:$D,0)),""))</f>
        <v/>
      </c>
      <c r="F278" s="20" t="str">
        <f aca="false">IF($E278="","Unmatched","Matched")</f>
        <v>Unmatched</v>
      </c>
    </row>
    <row r="279" customFormat="false" ht="15" hidden="false" customHeight="false" outlineLevel="0" collapsed="false">
      <c r="A279" s="20" t="s">
        <v>81</v>
      </c>
      <c r="B279" s="20" t="n">
        <v>2026</v>
      </c>
      <c r="C279" s="21" t="n">
        <v>1</v>
      </c>
      <c r="D279" s="22" t="n">
        <v>268</v>
      </c>
      <c r="E279" s="20" t="str">
        <f aca="false">IFERROR(INDEX('TRANS'!$B:$B,MATCH($A279,'TRANS'!$A:$A,0)),IFERROR(INDEX('TRANS'!$B:$B,MATCH(TRIM(SUBSTITUTE($A279,CHAR(160)," ")),'TRANS'!$D:$D,0)),""))</f>
        <v/>
      </c>
      <c r="F279" s="20" t="str">
        <f aca="false">IF($E279="","Unmatched","Matched")</f>
        <v>Unmatched</v>
      </c>
    </row>
    <row r="280" customFormat="false" ht="15" hidden="false" customHeight="false" outlineLevel="0" collapsed="false">
      <c r="A280" s="20" t="s">
        <v>82</v>
      </c>
      <c r="B280" s="20" t="n">
        <v>2025</v>
      </c>
      <c r="C280" s="21" t="n">
        <v>1</v>
      </c>
      <c r="D280" s="22" t="n">
        <v>268</v>
      </c>
      <c r="E280" s="20" t="str">
        <f aca="false">IFERROR(INDEX('TRANS'!$B:$B,MATCH($A280,'TRANS'!$A:$A,0)),IFERROR(INDEX('TRANS'!$B:$B,MATCH(TRIM(SUBSTITUTE($A280,CHAR(160)," ")),'TRANS'!$D:$D,0)),""))</f>
        <v/>
      </c>
      <c r="F280" s="20" t="str">
        <f aca="false">IF($E280="","Unmatched","Matched")</f>
        <v>Unmatched</v>
      </c>
    </row>
    <row r="281" customFormat="false" ht="15" hidden="false" customHeight="false" outlineLevel="0" collapsed="false">
      <c r="A281" s="20" t="s">
        <v>83</v>
      </c>
      <c r="B281" s="20" t="n">
        <v>2025</v>
      </c>
      <c r="C281" s="21" t="n">
        <v>1</v>
      </c>
      <c r="D281" s="22" t="n">
        <v>268</v>
      </c>
      <c r="E281" s="20" t="str">
        <f aca="false">IFERROR(INDEX('TRANS'!$B:$B,MATCH($A281,'TRANS'!$A:$A,0)),IFERROR(INDEX('TRANS'!$B:$B,MATCH(TRIM(SUBSTITUTE($A281,CHAR(160)," ")),'TRANS'!$D:$D,0)),""))</f>
        <v/>
      </c>
      <c r="F281" s="20" t="str">
        <f aca="false">IF($E281="","Unmatched","Matched")</f>
        <v>Unmatched</v>
      </c>
    </row>
    <row r="282" customFormat="false" ht="15" hidden="false" customHeight="false" outlineLevel="0" collapsed="false">
      <c r="A282" s="20" t="s">
        <v>83</v>
      </c>
      <c r="B282" s="20" t="n">
        <v>2026</v>
      </c>
      <c r="C282" s="21" t="n">
        <v>1</v>
      </c>
      <c r="D282" s="22" t="n">
        <v>309.31</v>
      </c>
      <c r="E282" s="20" t="str">
        <f aca="false">IFERROR(INDEX('TRANS'!$B:$B,MATCH($A282,'TRANS'!$A:$A,0)),IFERROR(INDEX('TRANS'!$B:$B,MATCH(TRIM(SUBSTITUTE($A282,CHAR(160)," ")),'TRANS'!$D:$D,0)),""))</f>
        <v/>
      </c>
      <c r="F282" s="20" t="str">
        <f aca="false">IF($E282="","Unmatched","Matched")</f>
        <v>Unmatched</v>
      </c>
    </row>
    <row r="283" customFormat="false" ht="15" hidden="false" customHeight="false" outlineLevel="0" collapsed="false">
      <c r="A283" s="20" t="s">
        <v>1303</v>
      </c>
      <c r="B283" s="20" t="n">
        <v>2025</v>
      </c>
      <c r="C283" s="21" t="n">
        <v>3</v>
      </c>
      <c r="D283" s="22" t="n">
        <v>300.63</v>
      </c>
      <c r="E283" s="20" t="n">
        <f aca="false">IFERROR(INDEX('TRANS'!$B:$B,MATCH($A283,'TRANS'!$A:$A,0)),IFERROR(INDEX('TRANS'!$B:$B,MATCH(TRIM(SUBSTITUTE($A283,CHAR(160)," ")),'TRANS'!$D:$D,0)),""))</f>
        <v>4415005</v>
      </c>
      <c r="F283" s="20" t="str">
        <f aca="false">IF($E283="","Unmatched","Matched")</f>
        <v>Matched</v>
      </c>
    </row>
    <row r="284" customFormat="false" ht="15" hidden="false" customHeight="false" outlineLevel="0" collapsed="false">
      <c r="A284" s="20" t="s">
        <v>1305</v>
      </c>
      <c r="B284" s="20" t="n">
        <v>2025</v>
      </c>
      <c r="C284" s="21" t="n">
        <v>1</v>
      </c>
      <c r="D284" s="22" t="n">
        <v>103.08</v>
      </c>
      <c r="E284" s="20" t="n">
        <f aca="false">IFERROR(INDEX('TRANS'!$B:$B,MATCH($A284,'TRANS'!$A:$A,0)),IFERROR(INDEX('TRANS'!$B:$B,MATCH(TRIM(SUBSTITUTE($A284,CHAR(160)," ")),'TRANS'!$D:$D,0)),""))</f>
        <v>4415007</v>
      </c>
      <c r="F284" s="20" t="str">
        <f aca="false">IF($E284="","Unmatched","Matched")</f>
        <v>Matched</v>
      </c>
    </row>
    <row r="285" customFormat="false" ht="15" hidden="false" customHeight="false" outlineLevel="0" collapsed="false">
      <c r="A285" s="20" t="s">
        <v>1305</v>
      </c>
      <c r="B285" s="20" t="n">
        <v>2026</v>
      </c>
      <c r="C285" s="21" t="n">
        <v>1</v>
      </c>
      <c r="D285" s="22" t="n">
        <v>103.07</v>
      </c>
      <c r="E285" s="20" t="n">
        <f aca="false">IFERROR(INDEX('TRANS'!$B:$B,MATCH($A285,'TRANS'!$A:$A,0)),IFERROR(INDEX('TRANS'!$B:$B,MATCH(TRIM(SUBSTITUTE($A285,CHAR(160)," ")),'TRANS'!$D:$D,0)),""))</f>
        <v>4415007</v>
      </c>
      <c r="F285" s="20" t="str">
        <f aca="false">IF($E285="","Unmatched","Matched")</f>
        <v>Matched</v>
      </c>
    </row>
    <row r="286" customFormat="false" ht="15" hidden="false" customHeight="false" outlineLevel="0" collapsed="false">
      <c r="A286" s="20" t="s">
        <v>1306</v>
      </c>
      <c r="B286" s="20" t="n">
        <v>2025</v>
      </c>
      <c r="C286" s="21" t="n">
        <v>2</v>
      </c>
      <c r="D286" s="22" t="n">
        <v>197.57</v>
      </c>
      <c r="E286" s="20" t="n">
        <f aca="false">IFERROR(INDEX('TRANS'!$B:$B,MATCH($A286,'TRANS'!$A:$A,0)),IFERROR(INDEX('TRANS'!$B:$B,MATCH(TRIM(SUBSTITUTE($A286,CHAR(160)," ")),'TRANS'!$D:$D,0)),""))</f>
        <v>4415008</v>
      </c>
      <c r="F286" s="20" t="str">
        <f aca="false">IF($E286="","Unmatched","Matched")</f>
        <v>Matched</v>
      </c>
    </row>
    <row r="287" customFormat="false" ht="15" hidden="false" customHeight="false" outlineLevel="0" collapsed="false">
      <c r="A287" s="20" t="s">
        <v>90</v>
      </c>
      <c r="B287" s="20" t="n">
        <v>2025</v>
      </c>
      <c r="C287" s="21" t="n">
        <v>5</v>
      </c>
      <c r="D287" s="22" t="n">
        <v>523.08</v>
      </c>
      <c r="E287" s="20" t="str">
        <f aca="false">IFERROR(INDEX('TRANS'!$B:$B,MATCH($A287,'TRANS'!$A:$A,0)),IFERROR(INDEX('TRANS'!$B:$B,MATCH(TRIM(SUBSTITUTE($A287,CHAR(160)," ")),'TRANS'!$D:$D,0)),""))</f>
        <v/>
      </c>
      <c r="F287" s="20" t="str">
        <f aca="false">IF($E287="","Unmatched","Matched")</f>
        <v>Unmatched</v>
      </c>
    </row>
    <row r="288" customFormat="false" ht="15" hidden="false" customHeight="false" outlineLevel="0" collapsed="false">
      <c r="A288" s="20" t="s">
        <v>1334</v>
      </c>
      <c r="B288" s="20" t="n">
        <v>2025</v>
      </c>
      <c r="C288" s="21" t="n">
        <v>4</v>
      </c>
      <c r="D288" s="22" t="n">
        <v>187.28</v>
      </c>
      <c r="E288" s="20" t="n">
        <f aca="false">IFERROR(INDEX('TRANS'!$B:$B,MATCH($A288,'TRANS'!$A:$A,0)),IFERROR(INDEX('TRANS'!$B:$B,MATCH(TRIM(SUBSTITUTE($A288,CHAR(160)," ")),'TRANS'!$D:$D,0)),""))</f>
        <v>4413043</v>
      </c>
      <c r="F288" s="20" t="str">
        <f aca="false">IF($E288="","Unmatched","Matched")</f>
        <v>Matched</v>
      </c>
    </row>
    <row r="289" customFormat="false" ht="15" hidden="false" customHeight="false" outlineLevel="0" collapsed="false">
      <c r="A289" s="20" t="s">
        <v>1334</v>
      </c>
      <c r="B289" s="20" t="n">
        <v>2026</v>
      </c>
      <c r="C289" s="21" t="n">
        <v>1</v>
      </c>
      <c r="D289" s="22" t="n">
        <v>46.82</v>
      </c>
      <c r="E289" s="20" t="n">
        <f aca="false">IFERROR(INDEX('TRANS'!$B:$B,MATCH($A289,'TRANS'!$A:$A,0)),IFERROR(INDEX('TRANS'!$B:$B,MATCH(TRIM(SUBSTITUTE($A289,CHAR(160)," ")),'TRANS'!$D:$D,0)),""))</f>
        <v>4413043</v>
      </c>
      <c r="F289" s="20" t="str">
        <f aca="false">IF($E289="","Unmatched","Matched")</f>
        <v>Matched</v>
      </c>
    </row>
    <row r="290" customFormat="false" ht="15" hidden="false" customHeight="false" outlineLevel="0" collapsed="false">
      <c r="A290" s="20" t="s">
        <v>1237</v>
      </c>
      <c r="B290" s="20" t="n">
        <v>2025</v>
      </c>
      <c r="C290" s="21" t="n">
        <v>8</v>
      </c>
      <c r="D290" s="22" t="n">
        <v>487.07</v>
      </c>
      <c r="E290" s="20" t="n">
        <f aca="false">IFERROR(INDEX('TRANS'!$B:$B,MATCH($A290,'TRANS'!$A:$A,0)),IFERROR(INDEX('TRANS'!$B:$B,MATCH(TRIM(SUBSTITUTE($A290,CHAR(160)," ")),'TRANS'!$D:$D,0)),""))</f>
        <v>4421001</v>
      </c>
      <c r="F290" s="20" t="str">
        <f aca="false">IF($E290="","Unmatched","Matched")</f>
        <v>Matched</v>
      </c>
    </row>
    <row r="291" customFormat="false" ht="15" hidden="false" customHeight="false" outlineLevel="0" collapsed="false">
      <c r="A291" s="20" t="s">
        <v>1237</v>
      </c>
      <c r="B291" s="20" t="n">
        <v>2026</v>
      </c>
      <c r="C291" s="21" t="n">
        <v>2</v>
      </c>
      <c r="D291" s="22" t="n">
        <v>121.77</v>
      </c>
      <c r="E291" s="20" t="n">
        <f aca="false">IFERROR(INDEX('TRANS'!$B:$B,MATCH($A291,'TRANS'!$A:$A,0)),IFERROR(INDEX('TRANS'!$B:$B,MATCH(TRIM(SUBSTITUTE($A291,CHAR(160)," ")),'TRANS'!$D:$D,0)),""))</f>
        <v>4421001</v>
      </c>
      <c r="F291" s="20" t="str">
        <f aca="false">IF($E291="","Unmatched","Matched")</f>
        <v>Matched</v>
      </c>
    </row>
    <row r="292" customFormat="false" ht="15" hidden="false" customHeight="false" outlineLevel="0" collapsed="false">
      <c r="A292" s="20" t="s">
        <v>94</v>
      </c>
      <c r="B292" s="20" t="n">
        <v>2025</v>
      </c>
      <c r="C292" s="21" t="n">
        <v>8</v>
      </c>
      <c r="D292" s="22" t="n">
        <v>220.38</v>
      </c>
      <c r="E292" s="20" t="str">
        <f aca="false">IFERROR(INDEX('TRANS'!$B:$B,MATCH($A292,'TRANS'!$A:$A,0)),IFERROR(INDEX('TRANS'!$B:$B,MATCH(TRIM(SUBSTITUTE($A292,CHAR(160)," ")),'TRANS'!$D:$D,0)),""))</f>
        <v/>
      </c>
      <c r="F292" s="20" t="str">
        <f aca="false">IF($E292="","Unmatched","Matched")</f>
        <v>Unmatched</v>
      </c>
    </row>
    <row r="293" customFormat="false" ht="15" hidden="false" customHeight="false" outlineLevel="0" collapsed="false">
      <c r="A293" s="20" t="s">
        <v>94</v>
      </c>
      <c r="B293" s="20" t="n">
        <v>2026</v>
      </c>
      <c r="C293" s="21" t="n">
        <v>13</v>
      </c>
      <c r="D293" s="22" t="n">
        <v>365.04</v>
      </c>
      <c r="E293" s="20" t="str">
        <f aca="false">IFERROR(INDEX('TRANS'!$B:$B,MATCH($A293,'TRANS'!$A:$A,0)),IFERROR(INDEX('TRANS'!$B:$B,MATCH(TRIM(SUBSTITUTE($A293,CHAR(160)," ")),'TRANS'!$D:$D,0)),""))</f>
        <v/>
      </c>
      <c r="F293" s="20" t="str">
        <f aca="false">IF($E293="","Unmatched","Matched")</f>
        <v>Unmatched</v>
      </c>
    </row>
    <row r="294" customFormat="false" ht="15" hidden="false" customHeight="false" outlineLevel="0" collapsed="false">
      <c r="A294" s="20" t="s">
        <v>1245</v>
      </c>
      <c r="B294" s="20" t="n">
        <v>2025</v>
      </c>
      <c r="C294" s="21" t="n">
        <v>7</v>
      </c>
      <c r="D294" s="22" t="n">
        <v>101.04</v>
      </c>
      <c r="E294" s="20" t="n">
        <f aca="false">IFERROR(INDEX('TRANS'!$B:$B,MATCH($A294,'TRANS'!$A:$A,0)),IFERROR(INDEX('TRANS'!$B:$B,MATCH(TRIM(SUBSTITUTE($A294,CHAR(160)," ")),'TRANS'!$D:$D,0)),""))</f>
        <v>4409000</v>
      </c>
      <c r="F294" s="20" t="str">
        <f aca="false">IF($E294="","Unmatched","Matched")</f>
        <v>Matched</v>
      </c>
    </row>
    <row r="295" customFormat="false" ht="15" hidden="false" customHeight="false" outlineLevel="0" collapsed="false">
      <c r="A295" s="20" t="s">
        <v>1245</v>
      </c>
      <c r="B295" s="20" t="n">
        <v>2026</v>
      </c>
      <c r="C295" s="21" t="n">
        <v>15</v>
      </c>
      <c r="D295" s="22" t="n">
        <v>217.22</v>
      </c>
      <c r="E295" s="20" t="n">
        <f aca="false">IFERROR(INDEX('TRANS'!$B:$B,MATCH($A295,'TRANS'!$A:$A,0)),IFERROR(INDEX('TRANS'!$B:$B,MATCH(TRIM(SUBSTITUTE($A295,CHAR(160)," ")),'TRANS'!$D:$D,0)),""))</f>
        <v>4409000</v>
      </c>
      <c r="F295" s="20" t="str">
        <f aca="false">IF($E295="","Unmatched","Matched")</f>
        <v>Matched</v>
      </c>
    </row>
    <row r="296" customFormat="false" ht="15" hidden="false" customHeight="false" outlineLevel="0" collapsed="false">
      <c r="A296" s="20" t="s">
        <v>1244</v>
      </c>
      <c r="B296" s="20" t="n">
        <v>2025</v>
      </c>
      <c r="C296" s="21" t="n">
        <v>6</v>
      </c>
      <c r="D296" s="22" t="n">
        <v>70.6</v>
      </c>
      <c r="E296" s="20" t="n">
        <f aca="false">IFERROR(INDEX('TRANS'!$B:$B,MATCH($A296,'TRANS'!$A:$A,0)),IFERROR(INDEX('TRANS'!$B:$B,MATCH(TRIM(SUBSTITUTE($A296,CHAR(160)," ")),'TRANS'!$D:$D,0)),""))</f>
        <v>4409001</v>
      </c>
      <c r="F296" s="20" t="str">
        <f aca="false">IF($E296="","Unmatched","Matched")</f>
        <v>Matched</v>
      </c>
    </row>
    <row r="297" customFormat="false" ht="15" hidden="false" customHeight="false" outlineLevel="0" collapsed="false">
      <c r="A297" s="20" t="s">
        <v>1244</v>
      </c>
      <c r="B297" s="20" t="n">
        <v>2026</v>
      </c>
      <c r="C297" s="21" t="n">
        <v>5</v>
      </c>
      <c r="D297" s="22" t="n">
        <v>70.09</v>
      </c>
      <c r="E297" s="20" t="n">
        <f aca="false">IFERROR(INDEX('TRANS'!$B:$B,MATCH($A297,'TRANS'!$A:$A,0)),IFERROR(INDEX('TRANS'!$B:$B,MATCH(TRIM(SUBSTITUTE($A297,CHAR(160)," ")),'TRANS'!$D:$D,0)),""))</f>
        <v>4409001</v>
      </c>
      <c r="F297" s="20" t="str">
        <f aca="false">IF($E297="","Unmatched","Matched")</f>
        <v>Matched</v>
      </c>
    </row>
    <row r="298" customFormat="false" ht="15" hidden="false" customHeight="false" outlineLevel="0" collapsed="false">
      <c r="A298" s="20" t="s">
        <v>1259</v>
      </c>
      <c r="B298" s="20" t="n">
        <v>2025</v>
      </c>
      <c r="C298" s="21" t="n">
        <v>16</v>
      </c>
      <c r="D298" s="22" t="n">
        <v>524.28</v>
      </c>
      <c r="E298" s="20" t="n">
        <f aca="false">IFERROR(INDEX('TRANS'!$B:$B,MATCH($A298,'TRANS'!$A:$A,0)),IFERROR(INDEX('TRANS'!$B:$B,MATCH(TRIM(SUBSTITUTE($A298,CHAR(160)," ")),'TRANS'!$D:$D,0)),""))</f>
        <v>4413307</v>
      </c>
      <c r="F298" s="20" t="str">
        <f aca="false">IF($E298="","Unmatched","Matched")</f>
        <v>Matched</v>
      </c>
    </row>
    <row r="299" customFormat="false" ht="15" hidden="false" customHeight="false" outlineLevel="0" collapsed="false">
      <c r="A299" s="20" t="s">
        <v>1259</v>
      </c>
      <c r="B299" s="20" t="n">
        <v>2026</v>
      </c>
      <c r="C299" s="21" t="n">
        <v>4</v>
      </c>
      <c r="D299" s="22" t="n">
        <v>131.07</v>
      </c>
      <c r="E299" s="20" t="n">
        <f aca="false">IFERROR(INDEX('TRANS'!$B:$B,MATCH($A299,'TRANS'!$A:$A,0)),IFERROR(INDEX('TRANS'!$B:$B,MATCH(TRIM(SUBSTITUTE($A299,CHAR(160)," ")),'TRANS'!$D:$D,0)),""))</f>
        <v>4413307</v>
      </c>
      <c r="F299" s="20" t="str">
        <f aca="false">IF($E299="","Unmatched","Matched")</f>
        <v>Matched</v>
      </c>
    </row>
    <row r="300" customFormat="false" ht="15" hidden="false" customHeight="false" outlineLevel="0" collapsed="false">
      <c r="A300" s="20" t="s">
        <v>1253</v>
      </c>
      <c r="B300" s="20" t="n">
        <v>2025</v>
      </c>
      <c r="C300" s="21" t="n">
        <v>17</v>
      </c>
      <c r="D300" s="22" t="n">
        <v>445.35</v>
      </c>
      <c r="E300" s="20" t="n">
        <f aca="false">IFERROR(INDEX('TRANS'!$B:$B,MATCH($A300,'TRANS'!$A:$A,0)),IFERROR(INDEX('TRANS'!$B:$B,MATCH(TRIM(SUBSTITUTE($A300,CHAR(160)," ")),'TRANS'!$D:$D,0)),""))</f>
        <v>4401001</v>
      </c>
      <c r="F300" s="20" t="str">
        <f aca="false">IF($E300="","Unmatched","Matched")</f>
        <v>Matched</v>
      </c>
    </row>
    <row r="301" customFormat="false" ht="15" hidden="false" customHeight="false" outlineLevel="0" collapsed="false">
      <c r="A301" s="20" t="s">
        <v>1253</v>
      </c>
      <c r="B301" s="20" t="n">
        <v>2026</v>
      </c>
      <c r="C301" s="21" t="n">
        <v>4</v>
      </c>
      <c r="D301" s="22" t="n">
        <v>104.79</v>
      </c>
      <c r="E301" s="20" t="n">
        <f aca="false">IFERROR(INDEX('TRANS'!$B:$B,MATCH($A301,'TRANS'!$A:$A,0)),IFERROR(INDEX('TRANS'!$B:$B,MATCH(TRIM(SUBSTITUTE($A301,CHAR(160)," ")),'TRANS'!$D:$D,0)),""))</f>
        <v>4401001</v>
      </c>
      <c r="F301" s="20" t="str">
        <f aca="false">IF($E301="","Unmatched","Matched")</f>
        <v>Matched</v>
      </c>
    </row>
    <row r="302" customFormat="false" ht="15" hidden="false" customHeight="false" outlineLevel="0" collapsed="false">
      <c r="A302" s="20" t="s">
        <v>1407</v>
      </c>
      <c r="B302" s="20" t="n">
        <v>2025</v>
      </c>
      <c r="C302" s="21" t="n">
        <v>4</v>
      </c>
      <c r="D302" s="22" t="n">
        <v>240</v>
      </c>
      <c r="E302" s="20" t="n">
        <f aca="false">IFERROR(INDEX('TRANS'!$B:$B,MATCH($A302,'TRANS'!$A:$A,0)),IFERROR(INDEX('TRANS'!$B:$B,MATCH(TRIM(SUBSTITUTE($A302,CHAR(160)," ")),'TRANS'!$D:$D,0)),""))</f>
        <v>4415298</v>
      </c>
      <c r="F302" s="20" t="str">
        <f aca="false">IF($E302="","Unmatched","Matched")</f>
        <v>Matched</v>
      </c>
    </row>
    <row r="303" customFormat="false" ht="15" hidden="false" customHeight="false" outlineLevel="0" collapsed="false">
      <c r="A303" s="20" t="s">
        <v>1407</v>
      </c>
      <c r="B303" s="20" t="n">
        <v>2026</v>
      </c>
      <c r="C303" s="21" t="n">
        <v>4</v>
      </c>
      <c r="D303" s="22" t="n">
        <v>253.55</v>
      </c>
      <c r="E303" s="20" t="n">
        <f aca="false">IFERROR(INDEX('TRANS'!$B:$B,MATCH($A303,'TRANS'!$A:$A,0)),IFERROR(INDEX('TRANS'!$B:$B,MATCH(TRIM(SUBSTITUTE($A303,CHAR(160)," ")),'TRANS'!$D:$D,0)),""))</f>
        <v>4415298</v>
      </c>
      <c r="F303" s="20" t="str">
        <f aca="false">IF($E303="","Unmatched","Matched")</f>
        <v>Matched</v>
      </c>
    </row>
    <row r="304" customFormat="false" ht="15" hidden="false" customHeight="false" outlineLevel="0" collapsed="false">
      <c r="A304" s="20" t="s">
        <v>1406</v>
      </c>
      <c r="B304" s="20" t="n">
        <v>2025</v>
      </c>
      <c r="C304" s="21" t="n">
        <v>2</v>
      </c>
      <c r="D304" s="22" t="n">
        <v>120</v>
      </c>
      <c r="E304" s="20" t="n">
        <f aca="false">IFERROR(INDEX('TRANS'!$B:$B,MATCH($A304,'TRANS'!$A:$A,0)),IFERROR(INDEX('TRANS'!$B:$B,MATCH(TRIM(SUBSTITUTE($A304,CHAR(160)," ")),'TRANS'!$D:$D,0)),""))</f>
        <v>4415299</v>
      </c>
      <c r="F304" s="20" t="str">
        <f aca="false">IF($E304="","Unmatched","Matched")</f>
        <v>Matched</v>
      </c>
    </row>
    <row r="305" customFormat="false" ht="15" hidden="false" customHeight="false" outlineLevel="0" collapsed="false">
      <c r="A305" s="20" t="s">
        <v>1406</v>
      </c>
      <c r="B305" s="20" t="n">
        <v>2026</v>
      </c>
      <c r="C305" s="21" t="n">
        <v>6</v>
      </c>
      <c r="D305" s="22" t="n">
        <v>373.55</v>
      </c>
      <c r="E305" s="20" t="n">
        <f aca="false">IFERROR(INDEX('TRANS'!$B:$B,MATCH($A305,'TRANS'!$A:$A,0)),IFERROR(INDEX('TRANS'!$B:$B,MATCH(TRIM(SUBSTITUTE($A305,CHAR(160)," ")),'TRANS'!$D:$D,0)),""))</f>
        <v>4415299</v>
      </c>
      <c r="F305" s="20" t="str">
        <f aca="false">IF($E305="","Unmatched","Matched")</f>
        <v>Matched</v>
      </c>
    </row>
    <row r="306" customFormat="false" ht="15" hidden="false" customHeight="false" outlineLevel="0" collapsed="false">
      <c r="A306" s="20" t="s">
        <v>991</v>
      </c>
      <c r="B306" s="20" t="n">
        <v>2025</v>
      </c>
      <c r="C306" s="21" t="n">
        <v>5</v>
      </c>
      <c r="D306" s="22" t="n">
        <v>135</v>
      </c>
      <c r="E306" s="20" t="n">
        <f aca="false">IFERROR(INDEX('TRANS'!$B:$B,MATCH($A306,'TRANS'!$A:$A,0)),IFERROR(INDEX('TRANS'!$B:$B,MATCH(TRIM(SUBSTITUTE($A306,CHAR(160)," ")),'TRANS'!$D:$D,0)),""))</f>
        <v>4403002</v>
      </c>
      <c r="F306" s="20" t="str">
        <f aca="false">IF($E306="","Unmatched","Matched")</f>
        <v>Matched</v>
      </c>
    </row>
    <row r="307" customFormat="false" ht="15" hidden="false" customHeight="false" outlineLevel="0" collapsed="false">
      <c r="A307" s="20" t="s">
        <v>997</v>
      </c>
      <c r="B307" s="20" t="n">
        <v>2025</v>
      </c>
      <c r="C307" s="21" t="n">
        <v>5</v>
      </c>
      <c r="D307" s="22" t="n">
        <v>124.99</v>
      </c>
      <c r="E307" s="20" t="n">
        <f aca="false">IFERROR(INDEX('TRANS'!$B:$B,MATCH($A307,'TRANS'!$A:$A,0)),IFERROR(INDEX('TRANS'!$B:$B,MATCH(TRIM(SUBSTITUTE($A307,CHAR(160)," ")),'TRANS'!$D:$D,0)),""))</f>
        <v>4403017</v>
      </c>
      <c r="F307" s="20" t="str">
        <f aca="false">IF($E307="","Unmatched","Matched")</f>
        <v>Matched</v>
      </c>
    </row>
    <row r="308" customFormat="false" ht="15" hidden="false" customHeight="false" outlineLevel="0" collapsed="false">
      <c r="A308" s="20" t="s">
        <v>997</v>
      </c>
      <c r="B308" s="20" t="n">
        <v>2026</v>
      </c>
      <c r="C308" s="21" t="n">
        <v>2</v>
      </c>
      <c r="D308" s="22" t="n">
        <v>56.16</v>
      </c>
      <c r="E308" s="20" t="n">
        <f aca="false">IFERROR(INDEX('TRANS'!$B:$B,MATCH($A308,'TRANS'!$A:$A,0)),IFERROR(INDEX('TRANS'!$B:$B,MATCH(TRIM(SUBSTITUTE($A308,CHAR(160)," ")),'TRANS'!$D:$D,0)),""))</f>
        <v>4403017</v>
      </c>
      <c r="F308" s="20" t="str">
        <f aca="false">IF($E308="","Unmatched","Matched")</f>
        <v>Matched</v>
      </c>
    </row>
    <row r="309" customFormat="false" ht="15" hidden="false" customHeight="false" outlineLevel="0" collapsed="false">
      <c r="A309" s="20" t="s">
        <v>998</v>
      </c>
      <c r="B309" s="20" t="n">
        <v>2025</v>
      </c>
      <c r="C309" s="21" t="n">
        <v>19</v>
      </c>
      <c r="D309" s="22" t="n">
        <v>424.21</v>
      </c>
      <c r="E309" s="20" t="n">
        <f aca="false">IFERROR(INDEX('TRANS'!$B:$B,MATCH($A309,'TRANS'!$A:$A,0)),IFERROR(INDEX('TRANS'!$B:$B,MATCH(TRIM(SUBSTITUTE($A309,CHAR(160)," ")),'TRANS'!$D:$D,0)),""))</f>
        <v>4403018</v>
      </c>
      <c r="F309" s="20" t="str">
        <f aca="false">IF($E309="","Unmatched","Matched")</f>
        <v>Matched</v>
      </c>
    </row>
    <row r="310" customFormat="false" ht="15" hidden="false" customHeight="false" outlineLevel="0" collapsed="false">
      <c r="A310" s="20" t="s">
        <v>998</v>
      </c>
      <c r="B310" s="20" t="n">
        <v>2026</v>
      </c>
      <c r="C310" s="21" t="n">
        <v>1</v>
      </c>
      <c r="D310" s="22" t="n">
        <v>28.08</v>
      </c>
      <c r="E310" s="20" t="n">
        <f aca="false">IFERROR(INDEX('TRANS'!$B:$B,MATCH($A310,'TRANS'!$A:$A,0)),IFERROR(INDEX('TRANS'!$B:$B,MATCH(TRIM(SUBSTITUTE($A310,CHAR(160)," ")),'TRANS'!$D:$D,0)),""))</f>
        <v>4403018</v>
      </c>
      <c r="F310" s="20" t="str">
        <f aca="false">IF($E310="","Unmatched","Matched")</f>
        <v>Matched</v>
      </c>
    </row>
    <row r="311" customFormat="false" ht="15" hidden="false" customHeight="false" outlineLevel="0" collapsed="false">
      <c r="A311" s="20" t="s">
        <v>999</v>
      </c>
      <c r="B311" s="20" t="n">
        <v>2025</v>
      </c>
      <c r="C311" s="21" t="n">
        <v>56</v>
      </c>
      <c r="D311" s="22" t="n">
        <v>1266.04</v>
      </c>
      <c r="E311" s="20" t="n">
        <f aca="false">IFERROR(INDEX('TRANS'!$B:$B,MATCH($A311,'TRANS'!$A:$A,0)),IFERROR(INDEX('TRANS'!$B:$B,MATCH(TRIM(SUBSTITUTE($A311,CHAR(160)," ")),'TRANS'!$D:$D,0)),""))</f>
        <v>4403019</v>
      </c>
      <c r="F311" s="20" t="str">
        <f aca="false">IF($E311="","Unmatched","Matched")</f>
        <v>Matched</v>
      </c>
    </row>
    <row r="312" customFormat="false" ht="15" hidden="false" customHeight="false" outlineLevel="0" collapsed="false">
      <c r="A312" s="20" t="s">
        <v>999</v>
      </c>
      <c r="B312" s="20" t="n">
        <v>2026</v>
      </c>
      <c r="C312" s="21" t="n">
        <v>1</v>
      </c>
      <c r="D312" s="22" t="n">
        <v>28.08</v>
      </c>
      <c r="E312" s="20" t="n">
        <f aca="false">IFERROR(INDEX('TRANS'!$B:$B,MATCH($A312,'TRANS'!$A:$A,0)),IFERROR(INDEX('TRANS'!$B:$B,MATCH(TRIM(SUBSTITUTE($A312,CHAR(160)," ")),'TRANS'!$D:$D,0)),""))</f>
        <v>4403019</v>
      </c>
      <c r="F312" s="20" t="str">
        <f aca="false">IF($E312="","Unmatched","Matched")</f>
        <v>Matched</v>
      </c>
    </row>
    <row r="313" customFormat="false" ht="15" hidden="false" customHeight="false" outlineLevel="0" collapsed="false">
      <c r="A313" s="20" t="s">
        <v>99</v>
      </c>
      <c r="B313" s="20" t="n">
        <v>2025</v>
      </c>
      <c r="C313" s="21" t="n">
        <v>14</v>
      </c>
      <c r="D313" s="22" t="n">
        <v>325.27</v>
      </c>
      <c r="E313" s="20" t="str">
        <f aca="false">IFERROR(INDEX('TRANS'!$B:$B,MATCH($A313,'TRANS'!$A:$A,0)),IFERROR(INDEX('TRANS'!$B:$B,MATCH(TRIM(SUBSTITUTE($A313,CHAR(160)," ")),'TRANS'!$D:$D,0)),""))</f>
        <v/>
      </c>
      <c r="F313" s="20" t="str">
        <f aca="false">IF($E313="","Unmatched","Matched")</f>
        <v>Unmatched</v>
      </c>
    </row>
    <row r="314" customFormat="false" ht="15" hidden="false" customHeight="false" outlineLevel="0" collapsed="false">
      <c r="A314" s="20" t="s">
        <v>99</v>
      </c>
      <c r="B314" s="20" t="n">
        <v>2026</v>
      </c>
      <c r="C314" s="21" t="n">
        <v>2</v>
      </c>
      <c r="D314" s="22" t="n">
        <v>56.18</v>
      </c>
      <c r="E314" s="20" t="str">
        <f aca="false">IFERROR(INDEX('TRANS'!$B:$B,MATCH($A314,'TRANS'!$A:$A,0)),IFERROR(INDEX('TRANS'!$B:$B,MATCH(TRIM(SUBSTITUTE($A314,CHAR(160)," ")),'TRANS'!$D:$D,0)),""))</f>
        <v/>
      </c>
      <c r="F314" s="20" t="str">
        <f aca="false">IF($E314="","Unmatched","Matched")</f>
        <v>Unmatched</v>
      </c>
    </row>
    <row r="315" customFormat="false" ht="15" hidden="false" customHeight="false" outlineLevel="0" collapsed="false">
      <c r="A315" s="20" t="s">
        <v>100</v>
      </c>
      <c r="B315" s="20" t="n">
        <v>2025</v>
      </c>
      <c r="C315" s="21" t="n">
        <v>9</v>
      </c>
      <c r="D315" s="22" t="n">
        <v>232.62</v>
      </c>
      <c r="E315" s="20" t="str">
        <f aca="false">IFERROR(INDEX('TRANS'!$B:$B,MATCH($A315,'TRANS'!$A:$A,0)),IFERROR(INDEX('TRANS'!$B:$B,MATCH(TRIM(SUBSTITUTE($A315,CHAR(160)," ")),'TRANS'!$D:$D,0)),""))</f>
        <v/>
      </c>
      <c r="F315" s="20" t="str">
        <f aca="false">IF($E315="","Unmatched","Matched")</f>
        <v>Unmatched</v>
      </c>
    </row>
    <row r="316" customFormat="false" ht="15" hidden="false" customHeight="false" outlineLevel="0" collapsed="false">
      <c r="A316" s="20" t="s">
        <v>100</v>
      </c>
      <c r="B316" s="20" t="n">
        <v>2026</v>
      </c>
      <c r="C316" s="21" t="n">
        <v>1</v>
      </c>
      <c r="D316" s="22" t="n">
        <v>28.08</v>
      </c>
      <c r="E316" s="20" t="str">
        <f aca="false">IFERROR(INDEX('TRANS'!$B:$B,MATCH($A316,'TRANS'!$A:$A,0)),IFERROR(INDEX('TRANS'!$B:$B,MATCH(TRIM(SUBSTITUTE($A316,CHAR(160)," ")),'TRANS'!$D:$D,0)),""))</f>
        <v/>
      </c>
      <c r="F316" s="20" t="str">
        <f aca="false">IF($E316="","Unmatched","Matched")</f>
        <v>Unmatched</v>
      </c>
    </row>
    <row r="317" customFormat="false" ht="15" hidden="false" customHeight="false" outlineLevel="0" collapsed="false">
      <c r="A317" s="20" t="s">
        <v>1001</v>
      </c>
      <c r="B317" s="20" t="n">
        <v>2025</v>
      </c>
      <c r="C317" s="21" t="n">
        <v>11</v>
      </c>
      <c r="D317" s="22" t="n">
        <v>274.97</v>
      </c>
      <c r="E317" s="20" t="n">
        <f aca="false">IFERROR(INDEX('TRANS'!$B:$B,MATCH($A317,'TRANS'!$A:$A,0)),IFERROR(INDEX('TRANS'!$B:$B,MATCH(TRIM(SUBSTITUTE($A317,CHAR(160)," ")),'TRANS'!$D:$D,0)),""))</f>
        <v>4403024</v>
      </c>
      <c r="F317" s="20" t="str">
        <f aca="false">IF($E317="","Unmatched","Matched")</f>
        <v>Matched</v>
      </c>
    </row>
    <row r="318" customFormat="false" ht="15" hidden="false" customHeight="false" outlineLevel="0" collapsed="false">
      <c r="A318" s="20" t="s">
        <v>1001</v>
      </c>
      <c r="B318" s="20" t="n">
        <v>2026</v>
      </c>
      <c r="C318" s="21" t="n">
        <v>6</v>
      </c>
      <c r="D318" s="22" t="n">
        <v>168.48</v>
      </c>
      <c r="E318" s="20" t="n">
        <f aca="false">IFERROR(INDEX('TRANS'!$B:$B,MATCH($A318,'TRANS'!$A:$A,0)),IFERROR(INDEX('TRANS'!$B:$B,MATCH(TRIM(SUBSTITUTE($A318,CHAR(160)," ")),'TRANS'!$D:$D,0)),""))</f>
        <v>4403024</v>
      </c>
      <c r="F318" s="20" t="str">
        <f aca="false">IF($E318="","Unmatched","Matched")</f>
        <v>Matched</v>
      </c>
    </row>
    <row r="319" customFormat="false" ht="15" hidden="false" customHeight="false" outlineLevel="0" collapsed="false">
      <c r="A319" s="20" t="s">
        <v>1002</v>
      </c>
      <c r="B319" s="20" t="n">
        <v>2025</v>
      </c>
      <c r="C319" s="21" t="n">
        <v>12</v>
      </c>
      <c r="D319" s="22" t="n">
        <v>305.99</v>
      </c>
      <c r="E319" s="20" t="n">
        <f aca="false">IFERROR(INDEX('TRANS'!$B:$B,MATCH($A319,'TRANS'!$A:$A,0)),IFERROR(INDEX('TRANS'!$B:$B,MATCH(TRIM(SUBSTITUTE($A319,CHAR(160)," ")),'TRANS'!$D:$D,0)),""))</f>
        <v>4403025</v>
      </c>
      <c r="F319" s="20" t="str">
        <f aca="false">IF($E319="","Unmatched","Matched")</f>
        <v>Matched</v>
      </c>
    </row>
    <row r="320" customFormat="false" ht="15" hidden="false" customHeight="false" outlineLevel="0" collapsed="false">
      <c r="A320" s="20" t="s">
        <v>1002</v>
      </c>
      <c r="B320" s="20" t="n">
        <v>2026</v>
      </c>
      <c r="C320" s="21" t="n">
        <v>7</v>
      </c>
      <c r="D320" s="22" t="n">
        <v>196.56</v>
      </c>
      <c r="E320" s="20" t="n">
        <f aca="false">IFERROR(INDEX('TRANS'!$B:$B,MATCH($A320,'TRANS'!$A:$A,0)),IFERROR(INDEX('TRANS'!$B:$B,MATCH(TRIM(SUBSTITUTE($A320,CHAR(160)," ")),'TRANS'!$D:$D,0)),""))</f>
        <v>4403025</v>
      </c>
      <c r="F320" s="20" t="str">
        <f aca="false">IF($E320="","Unmatched","Matched")</f>
        <v>Matched</v>
      </c>
    </row>
    <row r="321" customFormat="false" ht="15" hidden="false" customHeight="false" outlineLevel="0" collapsed="false">
      <c r="A321" s="20" t="s">
        <v>935</v>
      </c>
      <c r="B321" s="20" t="n">
        <v>2025</v>
      </c>
      <c r="C321" s="21" t="n">
        <v>3</v>
      </c>
      <c r="D321" s="22" t="n">
        <v>379.53</v>
      </c>
      <c r="E321" s="20" t="n">
        <f aca="false">IFERROR(INDEX('TRANS'!$B:$B,MATCH($A321,'TRANS'!$A:$A,0)),IFERROR(INDEX('TRANS'!$B:$B,MATCH(TRIM(SUBSTITUTE($A321,CHAR(160)," ")),'TRANS'!$D:$D,0)),""))</f>
        <v>4413072</v>
      </c>
      <c r="F321" s="20" t="str">
        <f aca="false">IF($E321="","Unmatched","Matched")</f>
        <v>Matched</v>
      </c>
    </row>
    <row r="322" customFormat="false" ht="15" hidden="false" customHeight="false" outlineLevel="0" collapsed="false">
      <c r="A322" s="20" t="s">
        <v>938</v>
      </c>
      <c r="B322" s="20" t="n">
        <v>2025</v>
      </c>
      <c r="C322" s="21" t="n">
        <v>2</v>
      </c>
      <c r="D322" s="22" t="n">
        <v>271.77</v>
      </c>
      <c r="E322" s="20" t="n">
        <f aca="false">IFERROR(INDEX('TRANS'!$B:$B,MATCH($A322,'TRANS'!$A:$A,0)),IFERROR(INDEX('TRANS'!$B:$B,MATCH(TRIM(SUBSTITUTE($A322,CHAR(160)," ")),'TRANS'!$D:$D,0)),""))</f>
        <v>4413076</v>
      </c>
      <c r="F322" s="20" t="str">
        <f aca="false">IF($E322="","Unmatched","Matched")</f>
        <v>Matched</v>
      </c>
    </row>
    <row r="323" customFormat="false" ht="15" hidden="false" customHeight="false" outlineLevel="0" collapsed="false">
      <c r="A323" s="20" t="s">
        <v>103</v>
      </c>
      <c r="B323" s="20" t="n">
        <v>2025</v>
      </c>
      <c r="C323" s="21" t="n">
        <v>1</v>
      </c>
      <c r="D323" s="22" t="n">
        <v>174.86</v>
      </c>
      <c r="E323" s="20" t="str">
        <f aca="false">IFERROR(INDEX('TRANS'!$B:$B,MATCH($A323,'TRANS'!$A:$A,0)),IFERROR(INDEX('TRANS'!$B:$B,MATCH(TRIM(SUBSTITUTE($A323,CHAR(160)," ")),'TRANS'!$D:$D,0)),""))</f>
        <v/>
      </c>
      <c r="F323" s="20" t="str">
        <f aca="false">IF($E323="","Unmatched","Matched")</f>
        <v>Unmatched</v>
      </c>
    </row>
    <row r="324" customFormat="false" ht="15" hidden="false" customHeight="false" outlineLevel="0" collapsed="false">
      <c r="A324" s="20" t="s">
        <v>947</v>
      </c>
      <c r="B324" s="20" t="n">
        <v>2025</v>
      </c>
      <c r="C324" s="21" t="n">
        <v>3</v>
      </c>
      <c r="D324" s="22" t="n">
        <v>90.37</v>
      </c>
      <c r="E324" s="20" t="n">
        <f aca="false">IFERROR(INDEX('TRANS'!$B:$B,MATCH($A324,'TRANS'!$A:$A,0)),IFERROR(INDEX('TRANS'!$B:$B,MATCH(TRIM(SUBSTITUTE($A324,CHAR(160)," ")),'TRANS'!$D:$D,0)),""))</f>
        <v>4413096</v>
      </c>
      <c r="F324" s="20" t="str">
        <f aca="false">IF($E324="","Unmatched","Matched")</f>
        <v>Matched</v>
      </c>
    </row>
    <row r="325" customFormat="false" ht="15" hidden="false" customHeight="false" outlineLevel="0" collapsed="false">
      <c r="A325" s="20" t="s">
        <v>947</v>
      </c>
      <c r="B325" s="20" t="n">
        <v>2026</v>
      </c>
      <c r="C325" s="21" t="n">
        <v>2</v>
      </c>
      <c r="D325" s="22" t="n">
        <v>61.79</v>
      </c>
      <c r="E325" s="20" t="n">
        <f aca="false">IFERROR(INDEX('TRANS'!$B:$B,MATCH($A325,'TRANS'!$A:$A,0)),IFERROR(INDEX('TRANS'!$B:$B,MATCH(TRIM(SUBSTITUTE($A325,CHAR(160)," ")),'TRANS'!$D:$D,0)),""))</f>
        <v>4413096</v>
      </c>
      <c r="F325" s="20" t="str">
        <f aca="false">IF($E325="","Unmatched","Matched")</f>
        <v>Matched</v>
      </c>
    </row>
    <row r="326" customFormat="false" ht="15" hidden="false" customHeight="false" outlineLevel="0" collapsed="false">
      <c r="A326" s="20" t="s">
        <v>963</v>
      </c>
      <c r="B326" s="20" t="n">
        <v>2025</v>
      </c>
      <c r="C326" s="21" t="n">
        <v>2</v>
      </c>
      <c r="D326" s="22" t="n">
        <v>74.91</v>
      </c>
      <c r="E326" s="20" t="n">
        <f aca="false">IFERROR(INDEX('TRANS'!$B:$B,MATCH($A326,'TRANS'!$A:$A,0)),IFERROR(INDEX('TRANS'!$B:$B,MATCH(TRIM(SUBSTITUTE($A326,CHAR(160)," ")),'TRANS'!$D:$D,0)),""))</f>
        <v>4413395</v>
      </c>
      <c r="F326" s="20" t="str">
        <f aca="false">IF($E326="","Unmatched","Matched")</f>
        <v>Matched</v>
      </c>
    </row>
    <row r="327" customFormat="false" ht="15" hidden="false" customHeight="false" outlineLevel="0" collapsed="false">
      <c r="A327" s="20" t="s">
        <v>963</v>
      </c>
      <c r="B327" s="20" t="n">
        <v>2026</v>
      </c>
      <c r="C327" s="21" t="n">
        <v>2</v>
      </c>
      <c r="D327" s="22" t="n">
        <v>74.91</v>
      </c>
      <c r="E327" s="20" t="n">
        <f aca="false">IFERROR(INDEX('TRANS'!$B:$B,MATCH($A327,'TRANS'!$A:$A,0)),IFERROR(INDEX('TRANS'!$B:$B,MATCH(TRIM(SUBSTITUTE($A327,CHAR(160)," ")),'TRANS'!$D:$D,0)),""))</f>
        <v>4413395</v>
      </c>
      <c r="F327" s="20" t="str">
        <f aca="false">IF($E327="","Unmatched","Matched")</f>
        <v>Matched</v>
      </c>
    </row>
    <row r="328" customFormat="false" ht="15" hidden="false" customHeight="false" outlineLevel="0" collapsed="false">
      <c r="A328" s="20" t="s">
        <v>967</v>
      </c>
      <c r="B328" s="20" t="n">
        <v>2025</v>
      </c>
      <c r="C328" s="21" t="n">
        <v>2</v>
      </c>
      <c r="D328" s="22" t="n">
        <v>113.35</v>
      </c>
      <c r="E328" s="20" t="n">
        <f aca="false">IFERROR(INDEX('TRANS'!$B:$B,MATCH($A328,'TRANS'!$A:$A,0)),IFERROR(INDEX('TRANS'!$B:$B,MATCH(TRIM(SUBSTITUTE($A328,CHAR(160)," ")),'TRANS'!$D:$D,0)),""))</f>
        <v>4413107</v>
      </c>
      <c r="F328" s="20" t="str">
        <f aca="false">IF($E328="","Unmatched","Matched")</f>
        <v>Matched</v>
      </c>
    </row>
    <row r="329" customFormat="false" ht="15" hidden="false" customHeight="false" outlineLevel="0" collapsed="false">
      <c r="A329" s="20" t="s">
        <v>967</v>
      </c>
      <c r="B329" s="20" t="n">
        <v>2026</v>
      </c>
      <c r="C329" s="21" t="n">
        <v>1</v>
      </c>
      <c r="D329" s="22" t="n">
        <v>56.67</v>
      </c>
      <c r="E329" s="20" t="n">
        <f aca="false">IFERROR(INDEX('TRANS'!$B:$B,MATCH($A329,'TRANS'!$A:$A,0)),IFERROR(INDEX('TRANS'!$B:$B,MATCH(TRIM(SUBSTITUTE($A329,CHAR(160)," ")),'TRANS'!$D:$D,0)),""))</f>
        <v>4413107</v>
      </c>
      <c r="F329" s="20" t="str">
        <f aca="false">IF($E329="","Unmatched","Matched")</f>
        <v>Matched</v>
      </c>
    </row>
    <row r="330" customFormat="false" ht="15" hidden="false" customHeight="false" outlineLevel="0" collapsed="false">
      <c r="A330" s="20" t="s">
        <v>110</v>
      </c>
      <c r="B330" s="20" t="n">
        <v>2025</v>
      </c>
      <c r="C330" s="21" t="n">
        <v>4</v>
      </c>
      <c r="D330" s="22" t="n">
        <v>226.69</v>
      </c>
      <c r="E330" s="20" t="str">
        <f aca="false">IFERROR(INDEX('TRANS'!$B:$B,MATCH($A330,'TRANS'!$A:$A,0)),IFERROR(INDEX('TRANS'!$B:$B,MATCH(TRIM(SUBSTITUTE($A330,CHAR(160)," ")),'TRANS'!$D:$D,0)),""))</f>
        <v/>
      </c>
      <c r="F330" s="20" t="str">
        <f aca="false">IF($E330="","Unmatched","Matched")</f>
        <v>Unmatched</v>
      </c>
    </row>
    <row r="331" customFormat="false" ht="15" hidden="false" customHeight="false" outlineLevel="0" collapsed="false">
      <c r="A331" s="20" t="s">
        <v>111</v>
      </c>
      <c r="B331" s="20" t="n">
        <v>2025</v>
      </c>
      <c r="C331" s="21" t="n">
        <v>2</v>
      </c>
      <c r="D331" s="22" t="n">
        <v>228.54</v>
      </c>
      <c r="E331" s="20" t="str">
        <f aca="false">IFERROR(INDEX('TRANS'!$B:$B,MATCH($A331,'TRANS'!$A:$A,0)),IFERROR(INDEX('TRANS'!$B:$B,MATCH(TRIM(SUBSTITUTE($A331,CHAR(160)," ")),'TRANS'!$D:$D,0)),""))</f>
        <v/>
      </c>
      <c r="F331" s="20" t="str">
        <f aca="false">IF($E331="","Unmatched","Matched")</f>
        <v>Unmatched</v>
      </c>
    </row>
    <row r="332" customFormat="false" ht="15" hidden="false" customHeight="false" outlineLevel="0" collapsed="false">
      <c r="A332" s="20" t="s">
        <v>111</v>
      </c>
      <c r="B332" s="20" t="n">
        <v>2026</v>
      </c>
      <c r="C332" s="21" t="n">
        <v>1</v>
      </c>
      <c r="D332" s="22" t="n">
        <v>133.54</v>
      </c>
      <c r="E332" s="20" t="str">
        <f aca="false">IFERROR(INDEX('TRANS'!$B:$B,MATCH($A332,'TRANS'!$A:$A,0)),IFERROR(INDEX('TRANS'!$B:$B,MATCH(TRIM(SUBSTITUTE($A332,CHAR(160)," ")),'TRANS'!$D:$D,0)),""))</f>
        <v/>
      </c>
      <c r="F332" s="20" t="str">
        <f aca="false">IF($E332="","Unmatched","Matched")</f>
        <v>Unmatched</v>
      </c>
    </row>
    <row r="333" customFormat="false" ht="15" hidden="false" customHeight="false" outlineLevel="0" collapsed="false">
      <c r="A333" s="20" t="s">
        <v>112</v>
      </c>
      <c r="B333" s="20" t="n">
        <v>2025</v>
      </c>
      <c r="C333" s="21" t="n">
        <v>1</v>
      </c>
      <c r="D333" s="22" t="n">
        <v>133.54</v>
      </c>
      <c r="E333" s="20" t="str">
        <f aca="false">IFERROR(INDEX('TRANS'!$B:$B,MATCH($A333,'TRANS'!$A:$A,0)),IFERROR(INDEX('TRANS'!$B:$B,MATCH(TRIM(SUBSTITUTE($A333,CHAR(160)," ")),'TRANS'!$D:$D,0)),""))</f>
        <v/>
      </c>
      <c r="F333" s="20" t="str">
        <f aca="false">IF($E333="","Unmatched","Matched")</f>
        <v>Unmatched</v>
      </c>
    </row>
    <row r="334" customFormat="false" ht="15" hidden="false" customHeight="false" outlineLevel="0" collapsed="false">
      <c r="A334" s="20" t="s">
        <v>1171</v>
      </c>
      <c r="B334" s="20" t="n">
        <v>2025</v>
      </c>
      <c r="C334" s="21" t="n">
        <v>12</v>
      </c>
      <c r="D334" s="22" t="n">
        <v>1122.26</v>
      </c>
      <c r="E334" s="20" t="n">
        <f aca="false">IFERROR(INDEX('TRANS'!$B:$B,MATCH($A334,'TRANS'!$A:$A,0)),IFERROR(INDEX('TRANS'!$B:$B,MATCH(TRIM(SUBSTITUTE($A334,CHAR(160)," ")),'TRANS'!$D:$D,0)),""))</f>
        <v>4413117</v>
      </c>
      <c r="F334" s="20" t="str">
        <f aca="false">IF($E334="","Unmatched","Matched")</f>
        <v>Matched</v>
      </c>
    </row>
    <row r="335" customFormat="false" ht="15" hidden="false" customHeight="false" outlineLevel="0" collapsed="false">
      <c r="A335" s="20" t="s">
        <v>1171</v>
      </c>
      <c r="B335" s="20" t="n">
        <v>2026</v>
      </c>
      <c r="C335" s="21" t="n">
        <v>14</v>
      </c>
      <c r="D335" s="22" t="n">
        <v>1554.52</v>
      </c>
      <c r="E335" s="20" t="n">
        <f aca="false">IFERROR(INDEX('TRANS'!$B:$B,MATCH($A335,'TRANS'!$A:$A,0)),IFERROR(INDEX('TRANS'!$B:$B,MATCH(TRIM(SUBSTITUTE($A335,CHAR(160)," ")),'TRANS'!$D:$D,0)),""))</f>
        <v>4413117</v>
      </c>
      <c r="F335" s="20" t="str">
        <f aca="false">IF($E335="","Unmatched","Matched")</f>
        <v>Matched</v>
      </c>
    </row>
    <row r="336" customFormat="false" ht="15" hidden="false" customHeight="false" outlineLevel="0" collapsed="false">
      <c r="A336" s="20" t="s">
        <v>1172</v>
      </c>
      <c r="B336" s="20" t="n">
        <v>2025</v>
      </c>
      <c r="C336" s="21" t="n">
        <v>8</v>
      </c>
      <c r="D336" s="22" t="n">
        <v>762.18</v>
      </c>
      <c r="E336" s="20" t="n">
        <f aca="false">IFERROR(INDEX('TRANS'!$B:$B,MATCH($A336,'TRANS'!$A:$A,0)),IFERROR(INDEX('TRANS'!$B:$B,MATCH(TRIM(SUBSTITUTE($A336,CHAR(160)," ")),'TRANS'!$D:$D,0)),""))</f>
        <v>4413118</v>
      </c>
      <c r="F336" s="20" t="str">
        <f aca="false">IF($E336="","Unmatched","Matched")</f>
        <v>Matched</v>
      </c>
    </row>
    <row r="337" customFormat="false" ht="15" hidden="false" customHeight="false" outlineLevel="0" collapsed="false">
      <c r="A337" s="20" t="s">
        <v>1172</v>
      </c>
      <c r="B337" s="20" t="n">
        <v>2026</v>
      </c>
      <c r="C337" s="21" t="n">
        <v>6</v>
      </c>
      <c r="D337" s="22" t="n">
        <v>666.23</v>
      </c>
      <c r="E337" s="20" t="n">
        <f aca="false">IFERROR(INDEX('TRANS'!$B:$B,MATCH($A337,'TRANS'!$A:$A,0)),IFERROR(INDEX('TRANS'!$B:$B,MATCH(TRIM(SUBSTITUTE($A337,CHAR(160)," ")),'TRANS'!$D:$D,0)),""))</f>
        <v>4413118</v>
      </c>
      <c r="F337" s="20" t="str">
        <f aca="false">IF($E337="","Unmatched","Matched")</f>
        <v>Matched</v>
      </c>
    </row>
    <row r="338" customFormat="false" ht="15" hidden="false" customHeight="false" outlineLevel="0" collapsed="false">
      <c r="A338" s="20" t="s">
        <v>1173</v>
      </c>
      <c r="B338" s="20" t="n">
        <v>2025</v>
      </c>
      <c r="C338" s="21" t="n">
        <v>6</v>
      </c>
      <c r="D338" s="22" t="n">
        <v>540.12</v>
      </c>
      <c r="E338" s="20" t="n">
        <f aca="false">IFERROR(INDEX('TRANS'!$B:$B,MATCH($A338,'TRANS'!$A:$A,0)),IFERROR(INDEX('TRANS'!$B:$B,MATCH(TRIM(SUBSTITUTE($A338,CHAR(160)," ")),'TRANS'!$D:$D,0)),""))</f>
        <v>4413119</v>
      </c>
      <c r="F338" s="20" t="str">
        <f aca="false">IF($E338="","Unmatched","Matched")</f>
        <v>Matched</v>
      </c>
    </row>
    <row r="339" customFormat="false" ht="15" hidden="false" customHeight="false" outlineLevel="0" collapsed="false">
      <c r="A339" s="20" t="s">
        <v>1173</v>
      </c>
      <c r="B339" s="20" t="n">
        <v>2026</v>
      </c>
      <c r="C339" s="21" t="n">
        <v>13</v>
      </c>
      <c r="D339" s="22" t="n">
        <v>1443.48</v>
      </c>
      <c r="E339" s="20" t="n">
        <f aca="false">IFERROR(INDEX('TRANS'!$B:$B,MATCH($A339,'TRANS'!$A:$A,0)),IFERROR(INDEX('TRANS'!$B:$B,MATCH(TRIM(SUBSTITUTE($A339,CHAR(160)," ")),'TRANS'!$D:$D,0)),""))</f>
        <v>4413119</v>
      </c>
      <c r="F339" s="20" t="str">
        <f aca="false">IF($E339="","Unmatched","Matched")</f>
        <v>Matched</v>
      </c>
    </row>
    <row r="340" customFormat="false" ht="15" hidden="false" customHeight="false" outlineLevel="0" collapsed="false">
      <c r="A340" s="20" t="s">
        <v>115</v>
      </c>
      <c r="B340" s="20" t="n">
        <v>2025</v>
      </c>
      <c r="C340" s="21" t="n">
        <v>2</v>
      </c>
      <c r="D340" s="22" t="n">
        <v>180.04</v>
      </c>
      <c r="E340" s="20" t="str">
        <f aca="false">IFERROR(INDEX('TRANS'!$B:$B,MATCH($A340,'TRANS'!$A:$A,0)),IFERROR(INDEX('TRANS'!$B:$B,MATCH(TRIM(SUBSTITUTE($A340,CHAR(160)," ")),'TRANS'!$D:$D,0)),""))</f>
        <v/>
      </c>
      <c r="F340" s="20" t="str">
        <f aca="false">IF($E340="","Unmatched","Matched")</f>
        <v>Unmatched</v>
      </c>
    </row>
    <row r="341" customFormat="false" ht="15" hidden="false" customHeight="false" outlineLevel="0" collapsed="false">
      <c r="A341" s="20" t="s">
        <v>115</v>
      </c>
      <c r="B341" s="20" t="n">
        <v>2026</v>
      </c>
      <c r="C341" s="21" t="n">
        <v>3</v>
      </c>
      <c r="D341" s="22" t="n">
        <v>333.11</v>
      </c>
      <c r="E341" s="20" t="str">
        <f aca="false">IFERROR(INDEX('TRANS'!$B:$B,MATCH($A341,'TRANS'!$A:$A,0)),IFERROR(INDEX('TRANS'!$B:$B,MATCH(TRIM(SUBSTITUTE($A341,CHAR(160)," ")),'TRANS'!$D:$D,0)),""))</f>
        <v/>
      </c>
      <c r="F341" s="20" t="str">
        <f aca="false">IF($E341="","Unmatched","Matched")</f>
        <v>Unmatched</v>
      </c>
    </row>
    <row r="342" customFormat="false" ht="15" hidden="false" customHeight="false" outlineLevel="0" collapsed="false">
      <c r="A342" s="20" t="s">
        <v>1174</v>
      </c>
      <c r="B342" s="20" t="n">
        <v>2025</v>
      </c>
      <c r="C342" s="21" t="n">
        <v>1</v>
      </c>
      <c r="D342" s="22" t="n">
        <v>84.32</v>
      </c>
      <c r="E342" s="20" t="n">
        <f aca="false">IFERROR(INDEX('TRANS'!$B:$B,MATCH($A342,'TRANS'!$A:$A,0)),IFERROR(INDEX('TRANS'!$B:$B,MATCH(TRIM(SUBSTITUTE($A342,CHAR(160)," ")),'TRANS'!$D:$D,0)),""))</f>
        <v>4413122</v>
      </c>
      <c r="F342" s="20" t="str">
        <f aca="false">IF($E342="","Unmatched","Matched")</f>
        <v>Matched</v>
      </c>
    </row>
    <row r="343" customFormat="false" ht="15" hidden="false" customHeight="false" outlineLevel="0" collapsed="false">
      <c r="A343" s="20" t="s">
        <v>1174</v>
      </c>
      <c r="B343" s="20" t="n">
        <v>2026</v>
      </c>
      <c r="C343" s="21" t="n">
        <v>4</v>
      </c>
      <c r="D343" s="22" t="n">
        <v>337.29</v>
      </c>
      <c r="E343" s="20" t="n">
        <f aca="false">IFERROR(INDEX('TRANS'!$B:$B,MATCH($A343,'TRANS'!$A:$A,0)),IFERROR(INDEX('TRANS'!$B:$B,MATCH(TRIM(SUBSTITUTE($A343,CHAR(160)," ")),'TRANS'!$D:$D,0)),""))</f>
        <v>4413122</v>
      </c>
      <c r="F343" s="20" t="str">
        <f aca="false">IF($E343="","Unmatched","Matched")</f>
        <v>Matched</v>
      </c>
    </row>
    <row r="344" customFormat="false" ht="15" hidden="false" customHeight="false" outlineLevel="0" collapsed="false">
      <c r="A344" s="20" t="s">
        <v>1175</v>
      </c>
      <c r="B344" s="20" t="n">
        <v>2025</v>
      </c>
      <c r="C344" s="21" t="n">
        <v>1</v>
      </c>
      <c r="D344" s="22" t="n">
        <v>84.32</v>
      </c>
      <c r="E344" s="20" t="n">
        <f aca="false">IFERROR(INDEX('TRANS'!$B:$B,MATCH($A344,'TRANS'!$A:$A,0)),IFERROR(INDEX('TRANS'!$B:$B,MATCH(TRIM(SUBSTITUTE($A344,CHAR(160)," ")),'TRANS'!$D:$D,0)),""))</f>
        <v>4413124</v>
      </c>
      <c r="F344" s="20" t="str">
        <f aca="false">IF($E344="","Unmatched","Matched")</f>
        <v>Matched</v>
      </c>
    </row>
    <row r="345" customFormat="false" ht="15" hidden="false" customHeight="false" outlineLevel="0" collapsed="false">
      <c r="A345" s="20" t="s">
        <v>1175</v>
      </c>
      <c r="B345" s="20" t="n">
        <v>2026</v>
      </c>
      <c r="C345" s="21" t="n">
        <v>1</v>
      </c>
      <c r="D345" s="22" t="n">
        <v>84.32</v>
      </c>
      <c r="E345" s="20" t="n">
        <f aca="false">IFERROR(INDEX('TRANS'!$B:$B,MATCH($A345,'TRANS'!$A:$A,0)),IFERROR(INDEX('TRANS'!$B:$B,MATCH(TRIM(SUBSTITUTE($A345,CHAR(160)," ")),'TRANS'!$D:$D,0)),""))</f>
        <v>4413124</v>
      </c>
      <c r="F345" s="20" t="str">
        <f aca="false">IF($E345="","Unmatched","Matched")</f>
        <v>Matched</v>
      </c>
    </row>
    <row r="346" customFormat="false" ht="15" hidden="false" customHeight="false" outlineLevel="0" collapsed="false">
      <c r="A346" s="20" t="s">
        <v>117</v>
      </c>
      <c r="B346" s="20" t="n">
        <v>2025</v>
      </c>
      <c r="C346" s="21" t="n">
        <v>3</v>
      </c>
      <c r="D346" s="22" t="n">
        <v>252.96</v>
      </c>
      <c r="E346" s="20" t="str">
        <f aca="false">IFERROR(INDEX('TRANS'!$B:$B,MATCH($A346,'TRANS'!$A:$A,0)),IFERROR(INDEX('TRANS'!$B:$B,MATCH(TRIM(SUBSTITUTE($A346,CHAR(160)," ")),'TRANS'!$D:$D,0)),""))</f>
        <v/>
      </c>
      <c r="F346" s="20" t="str">
        <f aca="false">IF($E346="","Unmatched","Matched")</f>
        <v>Unmatched</v>
      </c>
    </row>
    <row r="347" customFormat="false" ht="15" hidden="false" customHeight="false" outlineLevel="0" collapsed="false">
      <c r="A347" s="20" t="s">
        <v>117</v>
      </c>
      <c r="B347" s="20" t="n">
        <v>2026</v>
      </c>
      <c r="C347" s="21" t="n">
        <v>1</v>
      </c>
      <c r="D347" s="22" t="n">
        <v>84.32</v>
      </c>
      <c r="E347" s="20" t="str">
        <f aca="false">IFERROR(INDEX('TRANS'!$B:$B,MATCH($A347,'TRANS'!$A:$A,0)),IFERROR(INDEX('TRANS'!$B:$B,MATCH(TRIM(SUBSTITUTE($A347,CHAR(160)," ")),'TRANS'!$D:$D,0)),""))</f>
        <v/>
      </c>
      <c r="F347" s="20" t="str">
        <f aca="false">IF($E347="","Unmatched","Matched")</f>
        <v>Unmatched</v>
      </c>
    </row>
    <row r="348" customFormat="false" ht="15" hidden="false" customHeight="false" outlineLevel="0" collapsed="false">
      <c r="A348" s="20" t="s">
        <v>1176</v>
      </c>
      <c r="B348" s="20" t="n">
        <v>2025</v>
      </c>
      <c r="C348" s="21" t="n">
        <v>2</v>
      </c>
      <c r="D348" s="22" t="n">
        <v>494</v>
      </c>
      <c r="E348" s="20" t="n">
        <f aca="false">IFERROR(INDEX('TRANS'!$B:$B,MATCH($A348,'TRANS'!$A:$A,0)),IFERROR(INDEX('TRANS'!$B:$B,MATCH(TRIM(SUBSTITUTE($A348,CHAR(160)," ")),'TRANS'!$D:$D,0)),""))</f>
        <v>4408071</v>
      </c>
      <c r="F348" s="20" t="str">
        <f aca="false">IF($E348="","Unmatched","Matched")</f>
        <v>Matched</v>
      </c>
    </row>
    <row r="349" customFormat="false" ht="15" hidden="false" customHeight="false" outlineLevel="0" collapsed="false">
      <c r="A349" s="20" t="s">
        <v>1176</v>
      </c>
      <c r="B349" s="20" t="n">
        <v>2026</v>
      </c>
      <c r="C349" s="21" t="n">
        <v>2</v>
      </c>
      <c r="D349" s="22" t="n">
        <v>360</v>
      </c>
      <c r="E349" s="20" t="n">
        <f aca="false">IFERROR(INDEX('TRANS'!$B:$B,MATCH($A349,'TRANS'!$A:$A,0)),IFERROR(INDEX('TRANS'!$B:$B,MATCH(TRIM(SUBSTITUTE($A349,CHAR(160)," ")),'TRANS'!$D:$D,0)),""))</f>
        <v>4408071</v>
      </c>
      <c r="F349" s="20" t="str">
        <f aca="false">IF($E349="","Unmatched","Matched")</f>
        <v>Matched</v>
      </c>
    </row>
    <row r="350" customFormat="false" ht="15" hidden="false" customHeight="false" outlineLevel="0" collapsed="false">
      <c r="A350" s="20" t="s">
        <v>1177</v>
      </c>
      <c r="B350" s="20" t="n">
        <v>2025</v>
      </c>
      <c r="C350" s="21" t="n">
        <v>3</v>
      </c>
      <c r="D350" s="22" t="n">
        <v>674</v>
      </c>
      <c r="E350" s="20" t="n">
        <f aca="false">IFERROR(INDEX('TRANS'!$B:$B,MATCH($A350,'TRANS'!$A:$A,0)),IFERROR(INDEX('TRANS'!$B:$B,MATCH(TRIM(SUBSTITUTE($A350,CHAR(160)," ")),'TRANS'!$D:$D,0)),""))</f>
        <v>4408072</v>
      </c>
      <c r="F350" s="20" t="str">
        <f aca="false">IF($E350="","Unmatched","Matched")</f>
        <v>Matched</v>
      </c>
    </row>
    <row r="351" customFormat="false" ht="15" hidden="false" customHeight="false" outlineLevel="0" collapsed="false">
      <c r="A351" s="20" t="s">
        <v>1177</v>
      </c>
      <c r="B351" s="20" t="n">
        <v>2026</v>
      </c>
      <c r="C351" s="21" t="n">
        <v>2</v>
      </c>
      <c r="D351" s="22" t="n">
        <v>360</v>
      </c>
      <c r="E351" s="20" t="n">
        <f aca="false">IFERROR(INDEX('TRANS'!$B:$B,MATCH($A351,'TRANS'!$A:$A,0)),IFERROR(INDEX('TRANS'!$B:$B,MATCH(TRIM(SUBSTITUTE($A351,CHAR(160)," ")),'TRANS'!$D:$D,0)),""))</f>
        <v>4408072</v>
      </c>
      <c r="F351" s="20" t="str">
        <f aca="false">IF($E351="","Unmatched","Matched")</f>
        <v>Matched</v>
      </c>
    </row>
    <row r="352" customFormat="false" ht="15" hidden="false" customHeight="false" outlineLevel="0" collapsed="false">
      <c r="A352" s="20" t="s">
        <v>1178</v>
      </c>
      <c r="B352" s="20" t="n">
        <v>2025</v>
      </c>
      <c r="C352" s="21" t="n">
        <v>1</v>
      </c>
      <c r="D352" s="22" t="n">
        <v>180</v>
      </c>
      <c r="E352" s="20" t="n">
        <f aca="false">IFERROR(INDEX('TRANS'!$B:$B,MATCH($A352,'TRANS'!$A:$A,0)),IFERROR(INDEX('TRANS'!$B:$B,MATCH(TRIM(SUBSTITUTE($A352,CHAR(160)," ")),'TRANS'!$D:$D,0)),""))</f>
        <v>4408070</v>
      </c>
      <c r="F352" s="20" t="str">
        <f aca="false">IF($E352="","Unmatched","Matched")</f>
        <v>Matched</v>
      </c>
    </row>
    <row r="353" customFormat="false" ht="15" hidden="false" customHeight="false" outlineLevel="0" collapsed="false">
      <c r="A353" s="20" t="s">
        <v>1179</v>
      </c>
      <c r="B353" s="20" t="n">
        <v>2025</v>
      </c>
      <c r="C353" s="21" t="n">
        <v>2</v>
      </c>
      <c r="D353" s="22" t="n">
        <v>358</v>
      </c>
      <c r="E353" s="20" t="n">
        <f aca="false">IFERROR(INDEX('TRANS'!$B:$B,MATCH($A353,'TRANS'!$A:$A,0)),IFERROR(INDEX('TRANS'!$B:$B,MATCH(TRIM(SUBSTITUTE($A353,CHAR(160)," ")),'TRANS'!$D:$D,0)),""))</f>
        <v>4408073</v>
      </c>
      <c r="F353" s="20" t="str">
        <f aca="false">IF($E353="","Unmatched","Matched")</f>
        <v>Matched</v>
      </c>
    </row>
    <row r="354" customFormat="false" ht="15" hidden="false" customHeight="false" outlineLevel="0" collapsed="false">
      <c r="A354" s="20" t="s">
        <v>1179</v>
      </c>
      <c r="B354" s="20" t="n">
        <v>2026</v>
      </c>
      <c r="C354" s="21" t="n">
        <v>1</v>
      </c>
      <c r="D354" s="22" t="n">
        <v>180</v>
      </c>
      <c r="E354" s="20" t="n">
        <f aca="false">IFERROR(INDEX('TRANS'!$B:$B,MATCH($A354,'TRANS'!$A:$A,0)),IFERROR(INDEX('TRANS'!$B:$B,MATCH(TRIM(SUBSTITUTE($A354,CHAR(160)," ")),'TRANS'!$D:$D,0)),""))</f>
        <v>4408073</v>
      </c>
      <c r="F354" s="20" t="str">
        <f aca="false">IF($E354="","Unmatched","Matched")</f>
        <v>Matched</v>
      </c>
    </row>
    <row r="355" customFormat="false" ht="15" hidden="false" customHeight="false" outlineLevel="0" collapsed="false">
      <c r="A355" s="20" t="s">
        <v>1181</v>
      </c>
      <c r="B355" s="20" t="n">
        <v>2025</v>
      </c>
      <c r="C355" s="21" t="n">
        <v>3</v>
      </c>
      <c r="D355" s="22" t="n">
        <v>467.45</v>
      </c>
      <c r="E355" s="20" t="n">
        <f aca="false">IFERROR(INDEX('TRANS'!$B:$B,MATCH($A355,'TRANS'!$A:$A,0)),IFERROR(INDEX('TRANS'!$B:$B,MATCH(TRIM(SUBSTITUTE($A355,CHAR(160)," ")),'TRANS'!$D:$D,0)),""))</f>
        <v>4408077</v>
      </c>
      <c r="F355" s="20" t="str">
        <f aca="false">IF($E355="","Unmatched","Matched")</f>
        <v>Matched</v>
      </c>
    </row>
    <row r="356" customFormat="false" ht="15" hidden="false" customHeight="false" outlineLevel="0" collapsed="false">
      <c r="A356" s="20" t="s">
        <v>1181</v>
      </c>
      <c r="B356" s="20" t="n">
        <v>2026</v>
      </c>
      <c r="C356" s="21" t="n">
        <v>8</v>
      </c>
      <c r="D356" s="22" t="n">
        <v>1309.79</v>
      </c>
      <c r="E356" s="20" t="n">
        <f aca="false">IFERROR(INDEX('TRANS'!$B:$B,MATCH($A356,'TRANS'!$A:$A,0)),IFERROR(INDEX('TRANS'!$B:$B,MATCH(TRIM(SUBSTITUTE($A356,CHAR(160)," ")),'TRANS'!$D:$D,0)),""))</f>
        <v>4408077</v>
      </c>
      <c r="F356" s="20" t="str">
        <f aca="false">IF($E356="","Unmatched","Matched")</f>
        <v>Matched</v>
      </c>
    </row>
    <row r="357" customFormat="false" ht="15" hidden="false" customHeight="false" outlineLevel="0" collapsed="false">
      <c r="A357" s="20" t="s">
        <v>1184</v>
      </c>
      <c r="B357" s="20" t="n">
        <v>2025</v>
      </c>
      <c r="C357" s="21" t="n">
        <v>5</v>
      </c>
      <c r="D357" s="22" t="n">
        <v>842.35</v>
      </c>
      <c r="E357" s="20" t="n">
        <f aca="false">IFERROR(INDEX('TRANS'!$B:$B,MATCH($A357,'TRANS'!$A:$A,0)),IFERROR(INDEX('TRANS'!$B:$B,MATCH(TRIM(SUBSTITUTE($A357,CHAR(160)," ")),'TRANS'!$D:$D,0)),""))</f>
        <v>4408080</v>
      </c>
      <c r="F357" s="20" t="str">
        <f aca="false">IF($E357="","Unmatched","Matched")</f>
        <v>Matched</v>
      </c>
    </row>
    <row r="358" customFormat="false" ht="15" hidden="false" customHeight="false" outlineLevel="0" collapsed="false">
      <c r="A358" s="20" t="s">
        <v>1184</v>
      </c>
      <c r="B358" s="20" t="n">
        <v>2026</v>
      </c>
      <c r="C358" s="21" t="n">
        <v>10</v>
      </c>
      <c r="D358" s="22" t="n">
        <v>1684.68</v>
      </c>
      <c r="E358" s="20" t="n">
        <f aca="false">IFERROR(INDEX('TRANS'!$B:$B,MATCH($A358,'TRANS'!$A:$A,0)),IFERROR(INDEX('TRANS'!$B:$B,MATCH(TRIM(SUBSTITUTE($A358,CHAR(160)," ")),'TRANS'!$D:$D,0)),""))</f>
        <v>4408080</v>
      </c>
      <c r="F358" s="20" t="str">
        <f aca="false">IF($E358="","Unmatched","Matched")</f>
        <v>Matched</v>
      </c>
    </row>
    <row r="359" customFormat="false" ht="15" hidden="false" customHeight="false" outlineLevel="0" collapsed="false">
      <c r="A359" s="20" t="s">
        <v>1185</v>
      </c>
      <c r="B359" s="20" t="n">
        <v>2025</v>
      </c>
      <c r="C359" s="21" t="n">
        <v>7</v>
      </c>
      <c r="D359" s="22" t="n">
        <v>1217.25</v>
      </c>
      <c r="E359" s="20" t="n">
        <f aca="false">IFERROR(INDEX('TRANS'!$B:$B,MATCH($A359,'TRANS'!$A:$A,0)),IFERROR(INDEX('TRANS'!$B:$B,MATCH(TRIM(SUBSTITUTE($A359,CHAR(160)," ")),'TRANS'!$D:$D,0)),""))</f>
        <v>4408081</v>
      </c>
      <c r="F359" s="20" t="str">
        <f aca="false">IF($E359="","Unmatched","Matched")</f>
        <v>Matched</v>
      </c>
    </row>
    <row r="360" customFormat="false" ht="15" hidden="false" customHeight="false" outlineLevel="0" collapsed="false">
      <c r="A360" s="20" t="s">
        <v>1185</v>
      </c>
      <c r="B360" s="20" t="n">
        <v>2026</v>
      </c>
      <c r="C360" s="21" t="n">
        <v>6</v>
      </c>
      <c r="D360" s="22" t="n">
        <v>982.35</v>
      </c>
      <c r="E360" s="20" t="n">
        <f aca="false">IFERROR(INDEX('TRANS'!$B:$B,MATCH($A360,'TRANS'!$A:$A,0)),IFERROR(INDEX('TRANS'!$B:$B,MATCH(TRIM(SUBSTITUTE($A360,CHAR(160)," ")),'TRANS'!$D:$D,0)),""))</f>
        <v>4408081</v>
      </c>
      <c r="F360" s="20" t="str">
        <f aca="false">IF($E360="","Unmatched","Matched")</f>
        <v>Matched</v>
      </c>
    </row>
    <row r="361" customFormat="false" ht="15" hidden="false" customHeight="false" outlineLevel="0" collapsed="false">
      <c r="A361" s="20" t="s">
        <v>1186</v>
      </c>
      <c r="B361" s="20" t="n">
        <v>2025</v>
      </c>
      <c r="C361" s="21" t="n">
        <v>4</v>
      </c>
      <c r="D361" s="22" t="n">
        <v>702.35</v>
      </c>
      <c r="E361" s="20" t="n">
        <f aca="false">IFERROR(INDEX('TRANS'!$B:$B,MATCH($A361,'TRANS'!$A:$A,0)),IFERROR(INDEX('TRANS'!$B:$B,MATCH(TRIM(SUBSTITUTE($A361,CHAR(160)," ")),'TRANS'!$D:$D,0)),""))</f>
        <v>4408079</v>
      </c>
      <c r="F361" s="20" t="str">
        <f aca="false">IF($E361="","Unmatched","Matched")</f>
        <v>Matched</v>
      </c>
    </row>
    <row r="362" customFormat="false" ht="15" hidden="false" customHeight="false" outlineLevel="0" collapsed="false">
      <c r="A362" s="20" t="s">
        <v>120</v>
      </c>
      <c r="B362" s="20" t="n">
        <v>2025</v>
      </c>
      <c r="C362" s="21" t="n">
        <v>1</v>
      </c>
      <c r="D362" s="22" t="n">
        <v>66.51</v>
      </c>
      <c r="E362" s="20" t="str">
        <f aca="false">IFERROR(INDEX('TRANS'!$B:$B,MATCH($A362,'TRANS'!$A:$A,0)),IFERROR(INDEX('TRANS'!$B:$B,MATCH(TRIM(SUBSTITUTE($A362,CHAR(160)," ")),'TRANS'!$D:$D,0)),""))</f>
        <v/>
      </c>
      <c r="F362" s="20" t="str">
        <f aca="false">IF($E362="","Unmatched","Matched")</f>
        <v>Unmatched</v>
      </c>
    </row>
    <row r="363" customFormat="false" ht="15" hidden="false" customHeight="false" outlineLevel="0" collapsed="false">
      <c r="A363" s="20" t="s">
        <v>122</v>
      </c>
      <c r="B363" s="20" t="n">
        <v>2025</v>
      </c>
      <c r="C363" s="21" t="n">
        <v>108</v>
      </c>
      <c r="D363" s="22" t="n">
        <v>13580.19</v>
      </c>
      <c r="E363" s="20" t="str">
        <f aca="false">IFERROR(INDEX('TRANS'!$B:$B,MATCH($A363,'TRANS'!$A:$A,0)),IFERROR(INDEX('TRANS'!$B:$B,MATCH(TRIM(SUBSTITUTE($A363,CHAR(160)," ")),'TRANS'!$D:$D,0)),""))</f>
        <v/>
      </c>
      <c r="F363" s="20" t="str">
        <f aca="false">IF($E363="","Unmatched","Matched")</f>
        <v>Unmatched</v>
      </c>
    </row>
    <row r="364" customFormat="false" ht="15" hidden="false" customHeight="false" outlineLevel="0" collapsed="false">
      <c r="A364" s="20" t="s">
        <v>122</v>
      </c>
      <c r="B364" s="20" t="n">
        <v>2026</v>
      </c>
      <c r="C364" s="21" t="n">
        <v>51</v>
      </c>
      <c r="D364" s="22" t="n">
        <v>8495.51</v>
      </c>
      <c r="E364" s="20" t="str">
        <f aca="false">IFERROR(INDEX('TRANS'!$B:$B,MATCH($A364,'TRANS'!$A:$A,0)),IFERROR(INDEX('TRANS'!$B:$B,MATCH(TRIM(SUBSTITUTE($A364,CHAR(160)," ")),'TRANS'!$D:$D,0)),""))</f>
        <v/>
      </c>
      <c r="F364" s="20" t="str">
        <f aca="false">IF($E364="","Unmatched","Matched")</f>
        <v>Unmatched</v>
      </c>
    </row>
    <row r="365" customFormat="false" ht="15" hidden="false" customHeight="false" outlineLevel="0" collapsed="false">
      <c r="A365" s="20" t="s">
        <v>1119</v>
      </c>
      <c r="B365" s="20" t="n">
        <v>2025</v>
      </c>
      <c r="C365" s="21" t="n">
        <v>1</v>
      </c>
      <c r="D365" s="22" t="n">
        <v>130</v>
      </c>
      <c r="E365" s="20" t="n">
        <f aca="false">IFERROR(INDEX('TRANS'!$B:$B,MATCH($A365,'TRANS'!$A:$A,0)),IFERROR(INDEX('TRANS'!$B:$B,MATCH(TRIM(SUBSTITUTE($A365,CHAR(160)," ")),'TRANS'!$D:$D,0)),""))</f>
        <v>4413165</v>
      </c>
      <c r="F365" s="20" t="str">
        <f aca="false">IF($E365="","Unmatched","Matched")</f>
        <v>Matched</v>
      </c>
    </row>
    <row r="366" customFormat="false" ht="15" hidden="false" customHeight="false" outlineLevel="0" collapsed="false">
      <c r="A366" s="20" t="s">
        <v>1125</v>
      </c>
      <c r="B366" s="20" t="n">
        <v>2025</v>
      </c>
      <c r="C366" s="21" t="n">
        <v>1</v>
      </c>
      <c r="D366" s="22" t="n">
        <v>160</v>
      </c>
      <c r="E366" s="20" t="n">
        <f aca="false">IFERROR(INDEX('TRANS'!$B:$B,MATCH($A366,'TRANS'!$A:$A,0)),IFERROR(INDEX('TRANS'!$B:$B,MATCH(TRIM(SUBSTITUTE($A366,CHAR(160)," ")),'TRANS'!$D:$D,0)),""))</f>
        <v>4413132</v>
      </c>
      <c r="F366" s="20" t="str">
        <f aca="false">IF($E366="","Unmatched","Matched")</f>
        <v>Matched</v>
      </c>
    </row>
    <row r="367" customFormat="false" ht="15" hidden="false" customHeight="false" outlineLevel="0" collapsed="false">
      <c r="A367" s="20" t="s">
        <v>1125</v>
      </c>
      <c r="B367" s="20" t="n">
        <v>2026</v>
      </c>
      <c r="C367" s="21" t="n">
        <v>2</v>
      </c>
      <c r="D367" s="22" t="n">
        <v>370.88</v>
      </c>
      <c r="E367" s="20" t="n">
        <f aca="false">IFERROR(INDEX('TRANS'!$B:$B,MATCH($A367,'TRANS'!$A:$A,0)),IFERROR(INDEX('TRANS'!$B:$B,MATCH(TRIM(SUBSTITUTE($A367,CHAR(160)," ")),'TRANS'!$D:$D,0)),""))</f>
        <v>4413132</v>
      </c>
      <c r="F367" s="20" t="str">
        <f aca="false">IF($E367="","Unmatched","Matched")</f>
        <v>Matched</v>
      </c>
    </row>
    <row r="368" customFormat="false" ht="15" hidden="false" customHeight="false" outlineLevel="0" collapsed="false">
      <c r="A368" s="20" t="s">
        <v>1218</v>
      </c>
      <c r="B368" s="20" t="n">
        <v>2025</v>
      </c>
      <c r="C368" s="21" t="n">
        <v>2</v>
      </c>
      <c r="D368" s="22" t="n">
        <v>140.01</v>
      </c>
      <c r="E368" s="20" t="n">
        <f aca="false">IFERROR(INDEX('TRANS'!$B:$B,MATCH($A368,'TRANS'!$A:$A,0)),IFERROR(INDEX('TRANS'!$B:$B,MATCH(TRIM(SUBSTITUTE($A368,CHAR(160)," ")),'TRANS'!$D:$D,0)),""))</f>
        <v>4413176</v>
      </c>
      <c r="F368" s="20" t="str">
        <f aca="false">IF($E368="","Unmatched","Matched")</f>
        <v>Matched</v>
      </c>
    </row>
    <row r="369" customFormat="false" ht="15" hidden="false" customHeight="false" outlineLevel="0" collapsed="false">
      <c r="A369" s="20" t="s">
        <v>1220</v>
      </c>
      <c r="B369" s="20" t="n">
        <v>2025</v>
      </c>
      <c r="C369" s="21" t="n">
        <v>3</v>
      </c>
      <c r="D369" s="22" t="n">
        <v>209.99</v>
      </c>
      <c r="E369" s="20" t="n">
        <f aca="false">IFERROR(INDEX('TRANS'!$B:$B,MATCH($A369,'TRANS'!$A:$A,0)),IFERROR(INDEX('TRANS'!$B:$B,MATCH(TRIM(SUBSTITUTE($A369,CHAR(160)," ")),'TRANS'!$D:$D,0)),""))</f>
        <v>4413177</v>
      </c>
      <c r="F369" s="20" t="str">
        <f aca="false">IF($E369="","Unmatched","Matched")</f>
        <v>Matched</v>
      </c>
    </row>
    <row r="370" customFormat="false" ht="15" hidden="false" customHeight="false" outlineLevel="0" collapsed="false">
      <c r="A370" s="20" t="s">
        <v>1225</v>
      </c>
      <c r="B370" s="20" t="n">
        <v>2025</v>
      </c>
      <c r="C370" s="21" t="n">
        <v>12</v>
      </c>
      <c r="D370" s="22" t="n">
        <v>623.74</v>
      </c>
      <c r="E370" s="20" t="n">
        <f aca="false">IFERROR(INDEX('TRANS'!$B:$B,MATCH($A370,'TRANS'!$A:$A,0)),IFERROR(INDEX('TRANS'!$B:$B,MATCH(TRIM(SUBSTITUTE($A370,CHAR(160)," ")),'TRANS'!$D:$D,0)),""))</f>
        <v>4413455</v>
      </c>
      <c r="F370" s="20" t="str">
        <f aca="false">IF($E370="","Unmatched","Matched")</f>
        <v>Matched</v>
      </c>
    </row>
    <row r="371" customFormat="false" ht="15" hidden="false" customHeight="false" outlineLevel="0" collapsed="false">
      <c r="A371" s="20" t="s">
        <v>1225</v>
      </c>
      <c r="B371" s="20" t="n">
        <v>2026</v>
      </c>
      <c r="C371" s="21" t="n">
        <v>9</v>
      </c>
      <c r="D371" s="22" t="n">
        <v>467.84</v>
      </c>
      <c r="E371" s="20" t="n">
        <f aca="false">IFERROR(INDEX('TRANS'!$B:$B,MATCH($A371,'TRANS'!$A:$A,0)),IFERROR(INDEX('TRANS'!$B:$B,MATCH(TRIM(SUBSTITUTE($A371,CHAR(160)," ")),'TRANS'!$D:$D,0)),""))</f>
        <v>4413455</v>
      </c>
      <c r="F371" s="20" t="str">
        <f aca="false">IF($E371="","Unmatched","Matched")</f>
        <v>Matched</v>
      </c>
    </row>
    <row r="372" customFormat="false" ht="15" hidden="false" customHeight="false" outlineLevel="0" collapsed="false">
      <c r="A372" s="20" t="s">
        <v>1129</v>
      </c>
      <c r="B372" s="20" t="n">
        <v>2025</v>
      </c>
      <c r="C372" s="21" t="n">
        <v>17</v>
      </c>
      <c r="D372" s="22" t="n">
        <v>2671.55</v>
      </c>
      <c r="E372" s="20" t="n">
        <f aca="false">IFERROR(INDEX('TRANS'!$B:$B,MATCH($A372,'TRANS'!$A:$A,0)),IFERROR(INDEX('TRANS'!$B:$B,MATCH(TRIM(SUBSTITUTE($A372,CHAR(160)," ")),'TRANS'!$D:$D,0)),""))</f>
        <v>4413197</v>
      </c>
      <c r="F372" s="20" t="str">
        <f aca="false">IF($E372="","Unmatched","Matched")</f>
        <v>Matched</v>
      </c>
    </row>
    <row r="373" customFormat="false" ht="15" hidden="false" customHeight="false" outlineLevel="0" collapsed="false">
      <c r="A373" s="20" t="s">
        <v>1129</v>
      </c>
      <c r="B373" s="20" t="n">
        <v>2026</v>
      </c>
      <c r="C373" s="21" t="n">
        <v>11</v>
      </c>
      <c r="D373" s="22" t="n">
        <v>1601.52</v>
      </c>
      <c r="E373" s="20" t="n">
        <f aca="false">IFERROR(INDEX('TRANS'!$B:$B,MATCH($A373,'TRANS'!$A:$A,0)),IFERROR(INDEX('TRANS'!$B:$B,MATCH(TRIM(SUBSTITUTE($A373,CHAR(160)," ")),'TRANS'!$D:$D,0)),""))</f>
        <v>4413197</v>
      </c>
      <c r="F373" s="20" t="str">
        <f aca="false">IF($E373="","Unmatched","Matched")</f>
        <v>Matched</v>
      </c>
    </row>
    <row r="374" customFormat="false" ht="15" hidden="false" customHeight="false" outlineLevel="0" collapsed="false">
      <c r="A374" s="20" t="s">
        <v>1130</v>
      </c>
      <c r="B374" s="20" t="n">
        <v>2025</v>
      </c>
      <c r="C374" s="21" t="n">
        <v>12</v>
      </c>
      <c r="D374" s="22" t="n">
        <v>1874.53</v>
      </c>
      <c r="E374" s="20" t="n">
        <f aca="false">IFERROR(INDEX('TRANS'!$B:$B,MATCH($A374,'TRANS'!$A:$A,0)),IFERROR(INDEX('TRANS'!$B:$B,MATCH(TRIM(SUBSTITUTE($A374,CHAR(160)," ")),'TRANS'!$D:$D,0)),""))</f>
        <v>4413196</v>
      </c>
      <c r="F374" s="20" t="str">
        <f aca="false">IF($E374="","Unmatched","Matched")</f>
        <v>Matched</v>
      </c>
    </row>
    <row r="375" customFormat="false" ht="15" hidden="false" customHeight="false" outlineLevel="0" collapsed="false">
      <c r="A375" s="20" t="s">
        <v>1130</v>
      </c>
      <c r="B375" s="20" t="n">
        <v>2026</v>
      </c>
      <c r="C375" s="21" t="n">
        <v>2</v>
      </c>
      <c r="D375" s="22" t="n">
        <v>280.02</v>
      </c>
      <c r="E375" s="20" t="n">
        <f aca="false">IFERROR(INDEX('TRANS'!$B:$B,MATCH($A375,'TRANS'!$A:$A,0)),IFERROR(INDEX('TRANS'!$B:$B,MATCH(TRIM(SUBSTITUTE($A375,CHAR(160)," ")),'TRANS'!$D:$D,0)),""))</f>
        <v>4413196</v>
      </c>
      <c r="F375" s="20" t="str">
        <f aca="false">IF($E375="","Unmatched","Matched")</f>
        <v>Matched</v>
      </c>
    </row>
    <row r="376" customFormat="false" ht="15" hidden="false" customHeight="false" outlineLevel="0" collapsed="false">
      <c r="A376" s="20" t="s">
        <v>1131</v>
      </c>
      <c r="B376" s="20" t="n">
        <v>2025</v>
      </c>
      <c r="C376" s="21" t="n">
        <v>1</v>
      </c>
      <c r="D376" s="22" t="n">
        <v>127</v>
      </c>
      <c r="E376" s="20" t="n">
        <f aca="false">IFERROR(INDEX('TRANS'!$B:$B,MATCH($A376,'TRANS'!$A:$A,0)),IFERROR(INDEX('TRANS'!$B:$B,MATCH(TRIM(SUBSTITUTE($A376,CHAR(160)," ")),'TRANS'!$D:$D,0)),""))</f>
        <v>4413195</v>
      </c>
      <c r="F376" s="20" t="str">
        <f aca="false">IF($E376="","Unmatched","Matched")</f>
        <v>Matched</v>
      </c>
    </row>
    <row r="377" customFormat="false" ht="15" hidden="false" customHeight="false" outlineLevel="0" collapsed="false">
      <c r="A377" s="20" t="s">
        <v>1131</v>
      </c>
      <c r="B377" s="20" t="n">
        <v>2026</v>
      </c>
      <c r="C377" s="21" t="n">
        <v>1</v>
      </c>
      <c r="D377" s="22" t="n">
        <v>140</v>
      </c>
      <c r="E377" s="20" t="n">
        <f aca="false">IFERROR(INDEX('TRANS'!$B:$B,MATCH($A377,'TRANS'!$A:$A,0)),IFERROR(INDEX('TRANS'!$B:$B,MATCH(TRIM(SUBSTITUTE($A377,CHAR(160)," ")),'TRANS'!$D:$D,0)),""))</f>
        <v>4413195</v>
      </c>
      <c r="F377" s="20" t="str">
        <f aca="false">IF($E377="","Unmatched","Matched")</f>
        <v>Matched</v>
      </c>
    </row>
    <row r="378" customFormat="false" ht="15" hidden="false" customHeight="false" outlineLevel="0" collapsed="false">
      <c r="A378" s="20" t="s">
        <v>1132</v>
      </c>
      <c r="B378" s="20" t="n">
        <v>2025</v>
      </c>
      <c r="C378" s="21" t="n">
        <v>16</v>
      </c>
      <c r="D378" s="22" t="n">
        <v>2373.61</v>
      </c>
      <c r="E378" s="20" t="n">
        <f aca="false">IFERROR(INDEX('TRANS'!$B:$B,MATCH($A378,'TRANS'!$A:$A,0)),IFERROR(INDEX('TRANS'!$B:$B,MATCH(TRIM(SUBSTITUTE($A378,CHAR(160)," ")),'TRANS'!$D:$D,0)),""))</f>
        <v>4413198</v>
      </c>
      <c r="F378" s="20" t="str">
        <f aca="false">IF($E378="","Unmatched","Matched")</f>
        <v>Matched</v>
      </c>
    </row>
    <row r="379" customFormat="false" ht="15" hidden="false" customHeight="false" outlineLevel="0" collapsed="false">
      <c r="A379" s="20" t="s">
        <v>1132</v>
      </c>
      <c r="B379" s="20" t="n">
        <v>2026</v>
      </c>
      <c r="C379" s="21" t="n">
        <v>11</v>
      </c>
      <c r="D379" s="22" t="n">
        <v>1724.5</v>
      </c>
      <c r="E379" s="20" t="n">
        <f aca="false">IFERROR(INDEX('TRANS'!$B:$B,MATCH($A379,'TRANS'!$A:$A,0)),IFERROR(INDEX('TRANS'!$B:$B,MATCH(TRIM(SUBSTITUTE($A379,CHAR(160)," ")),'TRANS'!$D:$D,0)),""))</f>
        <v>4413198</v>
      </c>
      <c r="F379" s="20" t="str">
        <f aca="false">IF($E379="","Unmatched","Matched")</f>
        <v>Matched</v>
      </c>
    </row>
    <row r="380" customFormat="false" ht="15" hidden="false" customHeight="false" outlineLevel="0" collapsed="false">
      <c r="A380" s="20" t="s">
        <v>1133</v>
      </c>
      <c r="B380" s="20" t="n">
        <v>2025</v>
      </c>
      <c r="C380" s="21" t="n">
        <v>11</v>
      </c>
      <c r="D380" s="22" t="n">
        <v>1598.55</v>
      </c>
      <c r="E380" s="20" t="n">
        <f aca="false">IFERROR(INDEX('TRANS'!$B:$B,MATCH($A380,'TRANS'!$A:$A,0)),IFERROR(INDEX('TRANS'!$B:$B,MATCH(TRIM(SUBSTITUTE($A380,CHAR(160)," ")),'TRANS'!$D:$D,0)),""))</f>
        <v>4413204</v>
      </c>
      <c r="F380" s="20" t="str">
        <f aca="false">IF($E380="","Unmatched","Matched")</f>
        <v>Matched</v>
      </c>
    </row>
    <row r="381" customFormat="false" ht="15" hidden="false" customHeight="false" outlineLevel="0" collapsed="false">
      <c r="A381" s="20" t="s">
        <v>1133</v>
      </c>
      <c r="B381" s="20" t="n">
        <v>2026</v>
      </c>
      <c r="C381" s="21" t="n">
        <v>8</v>
      </c>
      <c r="D381" s="22" t="n">
        <v>1181.51</v>
      </c>
      <c r="E381" s="20" t="n">
        <f aca="false">IFERROR(INDEX('TRANS'!$B:$B,MATCH($A381,'TRANS'!$A:$A,0)),IFERROR(INDEX('TRANS'!$B:$B,MATCH(TRIM(SUBSTITUTE($A381,CHAR(160)," ")),'TRANS'!$D:$D,0)),""))</f>
        <v>4413204</v>
      </c>
      <c r="F381" s="20" t="str">
        <f aca="false">IF($E381="","Unmatched","Matched")</f>
        <v>Matched</v>
      </c>
    </row>
    <row r="382" customFormat="false" ht="15" hidden="false" customHeight="false" outlineLevel="0" collapsed="false">
      <c r="A382" s="20" t="s">
        <v>1190</v>
      </c>
      <c r="B382" s="20" t="n">
        <v>2025</v>
      </c>
      <c r="C382" s="21" t="n">
        <v>1</v>
      </c>
      <c r="D382" s="22" t="n">
        <v>89</v>
      </c>
      <c r="E382" s="20" t="n">
        <f aca="false">IFERROR(INDEX('TRANS'!$B:$B,MATCH($A382,'TRANS'!$A:$A,0)),IFERROR(INDEX('TRANS'!$B:$B,MATCH(TRIM(SUBSTITUTE($A382,CHAR(160)," ")),'TRANS'!$D:$D,0)),""))</f>
        <v>4408087</v>
      </c>
      <c r="F382" s="20" t="str">
        <f aca="false">IF($E382="","Unmatched","Matched")</f>
        <v>Matched</v>
      </c>
    </row>
    <row r="383" customFormat="false" ht="15" hidden="false" customHeight="false" outlineLevel="0" collapsed="false">
      <c r="A383" s="20" t="s">
        <v>1194</v>
      </c>
      <c r="B383" s="20" t="n">
        <v>2025</v>
      </c>
      <c r="C383" s="21" t="n">
        <v>1</v>
      </c>
      <c r="D383" s="22" t="n">
        <v>30.89</v>
      </c>
      <c r="E383" s="20" t="n">
        <f aca="false">IFERROR(INDEX('TRANS'!$B:$B,MATCH($A383,'TRANS'!$A:$A,0)),IFERROR(INDEX('TRANS'!$B:$B,MATCH(TRIM(SUBSTITUTE($A383,CHAR(160)," ")),'TRANS'!$D:$D,0)),""))</f>
        <v>4413142</v>
      </c>
      <c r="F383" s="20" t="str">
        <f aca="false">IF($E383="","Unmatched","Matched")</f>
        <v>Matched</v>
      </c>
    </row>
    <row r="384" customFormat="false" ht="15" hidden="false" customHeight="false" outlineLevel="0" collapsed="false">
      <c r="A384" s="20" t="s">
        <v>1380</v>
      </c>
      <c r="B384" s="20" t="n">
        <v>2025</v>
      </c>
      <c r="C384" s="21" t="n">
        <v>7</v>
      </c>
      <c r="D384" s="22" t="n">
        <v>280.94</v>
      </c>
      <c r="E384" s="20" t="n">
        <f aca="false">IFERROR(INDEX('TRANS'!$B:$B,MATCH($A384,'TRANS'!$A:$A,0)),IFERROR(INDEX('TRANS'!$B:$B,MATCH(TRIM(SUBSTITUTE($A384,CHAR(160)," ")),'TRANS'!$D:$D,0)),""))</f>
        <v>4415026</v>
      </c>
      <c r="F384" s="20" t="str">
        <f aca="false">IF($E384="","Unmatched","Matched")</f>
        <v>Matched</v>
      </c>
    </row>
    <row r="385" customFormat="false" ht="15" hidden="false" customHeight="false" outlineLevel="0" collapsed="false">
      <c r="A385" s="20" t="s">
        <v>1380</v>
      </c>
      <c r="B385" s="20" t="n">
        <v>2026</v>
      </c>
      <c r="C385" s="21" t="n">
        <v>5</v>
      </c>
      <c r="D385" s="22" t="n">
        <v>234.09</v>
      </c>
      <c r="E385" s="20" t="n">
        <f aca="false">IFERROR(INDEX('TRANS'!$B:$B,MATCH($A385,'TRANS'!$A:$A,0)),IFERROR(INDEX('TRANS'!$B:$B,MATCH(TRIM(SUBSTITUTE($A385,CHAR(160)," ")),'TRANS'!$D:$D,0)),""))</f>
        <v>4415026</v>
      </c>
      <c r="F385" s="20" t="str">
        <f aca="false">IF($E385="","Unmatched","Matched")</f>
        <v>Matched</v>
      </c>
    </row>
    <row r="386" customFormat="false" ht="15" hidden="false" customHeight="false" outlineLevel="0" collapsed="false">
      <c r="A386" s="20" t="s">
        <v>1381</v>
      </c>
      <c r="B386" s="20" t="n">
        <v>2025</v>
      </c>
      <c r="C386" s="21" t="n">
        <v>5</v>
      </c>
      <c r="D386" s="22" t="n">
        <v>187.3</v>
      </c>
      <c r="E386" s="20" t="n">
        <f aca="false">IFERROR(INDEX('TRANS'!$B:$B,MATCH($A386,'TRANS'!$A:$A,0)),IFERROR(INDEX('TRANS'!$B:$B,MATCH(TRIM(SUBSTITUTE($A386,CHAR(160)," ")),'TRANS'!$D:$D,0)),""))</f>
        <v>4415027</v>
      </c>
      <c r="F386" s="20" t="str">
        <f aca="false">IF($E386="","Unmatched","Matched")</f>
        <v>Matched</v>
      </c>
    </row>
    <row r="387" customFormat="false" ht="15" hidden="false" customHeight="false" outlineLevel="0" collapsed="false">
      <c r="A387" s="20" t="s">
        <v>1381</v>
      </c>
      <c r="B387" s="20" t="n">
        <v>2026</v>
      </c>
      <c r="C387" s="21" t="n">
        <v>1</v>
      </c>
      <c r="D387" s="22" t="n">
        <v>46.82</v>
      </c>
      <c r="E387" s="20" t="n">
        <f aca="false">IFERROR(INDEX('TRANS'!$B:$B,MATCH($A387,'TRANS'!$A:$A,0)),IFERROR(INDEX('TRANS'!$B:$B,MATCH(TRIM(SUBSTITUTE($A387,CHAR(160)," ")),'TRANS'!$D:$D,0)),""))</f>
        <v>4415027</v>
      </c>
      <c r="F387" s="20" t="str">
        <f aca="false">IF($E387="","Unmatched","Matched")</f>
        <v>Matched</v>
      </c>
    </row>
    <row r="388" customFormat="false" ht="15" hidden="false" customHeight="false" outlineLevel="0" collapsed="false">
      <c r="A388" s="20" t="s">
        <v>970</v>
      </c>
      <c r="B388" s="20" t="n">
        <v>2025</v>
      </c>
      <c r="C388" s="21" t="n">
        <v>15</v>
      </c>
      <c r="D388" s="22" t="n">
        <v>1434.44</v>
      </c>
      <c r="E388" s="20" t="n">
        <f aca="false">IFERROR(INDEX('TRANS'!$B:$B,MATCH($A388,'TRANS'!$A:$A,0)),IFERROR(INDEX('TRANS'!$B:$B,MATCH(TRIM(SUBSTITUTE($A388,CHAR(160)," ")),'TRANS'!$D:$D,0)),""))</f>
        <v>4413328</v>
      </c>
      <c r="F388" s="20" t="str">
        <f aca="false">IF($E388="","Unmatched","Matched")</f>
        <v>Matched</v>
      </c>
    </row>
    <row r="389" customFormat="false" ht="15" hidden="false" customHeight="false" outlineLevel="0" collapsed="false">
      <c r="A389" s="20" t="s">
        <v>970</v>
      </c>
      <c r="B389" s="20" t="n">
        <v>2026</v>
      </c>
      <c r="C389" s="21" t="n">
        <v>8</v>
      </c>
      <c r="D389" s="22" t="n">
        <v>824.57</v>
      </c>
      <c r="E389" s="20" t="n">
        <f aca="false">IFERROR(INDEX('TRANS'!$B:$B,MATCH($A389,'TRANS'!$A:$A,0)),IFERROR(INDEX('TRANS'!$B:$B,MATCH(TRIM(SUBSTITUTE($A389,CHAR(160)," ")),'TRANS'!$D:$D,0)),""))</f>
        <v>4413328</v>
      </c>
      <c r="F389" s="20" t="str">
        <f aca="false">IF($E389="","Unmatched","Matched")</f>
        <v>Matched</v>
      </c>
    </row>
    <row r="390" customFormat="false" ht="15" hidden="false" customHeight="false" outlineLevel="0" collapsed="false">
      <c r="A390" s="20" t="s">
        <v>1134</v>
      </c>
      <c r="B390" s="20" t="n">
        <v>2025</v>
      </c>
      <c r="C390" s="21" t="n">
        <v>1</v>
      </c>
      <c r="D390" s="22" t="n">
        <v>72.61</v>
      </c>
      <c r="E390" s="20" t="n">
        <f aca="false">IFERROR(INDEX('TRANS'!$B:$B,MATCH($A390,'TRANS'!$A:$A,0)),IFERROR(INDEX('TRANS'!$B:$B,MATCH(TRIM(SUBSTITUTE($A390,CHAR(160)," ")),'TRANS'!$D:$D,0)),""))</f>
        <v>4413456</v>
      </c>
      <c r="F390" s="20" t="str">
        <f aca="false">IF($E390="","Unmatched","Matched")</f>
        <v>Matched</v>
      </c>
    </row>
    <row r="391" customFormat="false" ht="15" hidden="false" customHeight="false" outlineLevel="0" collapsed="false">
      <c r="A391" s="20" t="s">
        <v>1134</v>
      </c>
      <c r="B391" s="20" t="n">
        <v>2026</v>
      </c>
      <c r="C391" s="21" t="n">
        <v>4</v>
      </c>
      <c r="D391" s="22" t="n">
        <v>318.6</v>
      </c>
      <c r="E391" s="20" t="n">
        <f aca="false">IFERROR(INDEX('TRANS'!$B:$B,MATCH($A391,'TRANS'!$A:$A,0)),IFERROR(INDEX('TRANS'!$B:$B,MATCH(TRIM(SUBSTITUTE($A391,CHAR(160)," ")),'TRANS'!$D:$D,0)),""))</f>
        <v>4413456</v>
      </c>
      <c r="F391" s="20" t="str">
        <f aca="false">IF($E391="","Unmatched","Matched")</f>
        <v>Matched</v>
      </c>
    </row>
    <row r="392" customFormat="false" ht="15" hidden="false" customHeight="false" outlineLevel="0" collapsed="false">
      <c r="A392" s="20" t="s">
        <v>1143</v>
      </c>
      <c r="B392" s="20" t="n">
        <v>2025</v>
      </c>
      <c r="C392" s="21" t="n">
        <v>4</v>
      </c>
      <c r="D392" s="22" t="n">
        <v>114.18</v>
      </c>
      <c r="E392" s="20" t="n">
        <f aca="false">IFERROR(INDEX('TRANS'!$B:$B,MATCH($A392,'TRANS'!$A:$A,0)),IFERROR(INDEX('TRANS'!$B:$B,MATCH(TRIM(SUBSTITUTE($A392,CHAR(160)," ")),'TRANS'!$D:$D,0)),""))</f>
        <v>4420023</v>
      </c>
      <c r="F392" s="20" t="str">
        <f aca="false">IF($E392="","Unmatched","Matched")</f>
        <v>Matched</v>
      </c>
    </row>
    <row r="393" customFormat="false" ht="15" hidden="false" customHeight="false" outlineLevel="0" collapsed="false">
      <c r="A393" s="20" t="s">
        <v>1143</v>
      </c>
      <c r="B393" s="20" t="n">
        <v>2026</v>
      </c>
      <c r="C393" s="21" t="n">
        <v>8</v>
      </c>
      <c r="D393" s="22" t="n">
        <v>228.35</v>
      </c>
      <c r="E393" s="20" t="n">
        <f aca="false">IFERROR(INDEX('TRANS'!$B:$B,MATCH($A393,'TRANS'!$A:$A,0)),IFERROR(INDEX('TRANS'!$B:$B,MATCH(TRIM(SUBSTITUTE($A393,CHAR(160)," ")),'TRANS'!$D:$D,0)),""))</f>
        <v>4420023</v>
      </c>
      <c r="F393" s="20" t="str">
        <f aca="false">IF($E393="","Unmatched","Matched")</f>
        <v>Matched</v>
      </c>
    </row>
    <row r="394" customFormat="false" ht="15" hidden="false" customHeight="false" outlineLevel="0" collapsed="false">
      <c r="A394" s="20" t="s">
        <v>1167</v>
      </c>
      <c r="B394" s="20" t="n">
        <v>2025</v>
      </c>
      <c r="C394" s="21" t="n">
        <v>2</v>
      </c>
      <c r="D394" s="22" t="n">
        <v>147.09</v>
      </c>
      <c r="E394" s="20" t="n">
        <f aca="false">IFERROR(INDEX('TRANS'!$B:$B,MATCH($A394,'TRANS'!$A:$A,0)),IFERROR(INDEX('TRANS'!$B:$B,MATCH(TRIM(SUBSTITUTE($A394,CHAR(160)," ")),'TRANS'!$D:$D,0)),""))</f>
        <v>4413449</v>
      </c>
      <c r="F394" s="20" t="str">
        <f aca="false">IF($E394="","Unmatched","Matched")</f>
        <v>Matched</v>
      </c>
    </row>
    <row r="395" customFormat="false" ht="15" hidden="false" customHeight="false" outlineLevel="0" collapsed="false">
      <c r="A395" s="20" t="s">
        <v>1383</v>
      </c>
      <c r="B395" s="20" t="n">
        <v>2025</v>
      </c>
      <c r="C395" s="21" t="n">
        <v>6</v>
      </c>
      <c r="D395" s="22" t="n">
        <v>545.68</v>
      </c>
      <c r="E395" s="20" t="n">
        <f aca="false">IFERROR(INDEX('TRANS'!$B:$B,MATCH($A395,'TRANS'!$A:$A,0)),IFERROR(INDEX('TRANS'!$B:$B,MATCH(TRIM(SUBSTITUTE($A395,CHAR(160)," ")),'TRANS'!$D:$D,0)),""))</f>
        <v>4408248</v>
      </c>
      <c r="F395" s="20" t="str">
        <f aca="false">IF($E395="","Unmatched","Matched")</f>
        <v>Matched</v>
      </c>
    </row>
    <row r="396" customFormat="false" ht="15" hidden="false" customHeight="false" outlineLevel="0" collapsed="false">
      <c r="A396" s="20" t="s">
        <v>1383</v>
      </c>
      <c r="B396" s="20" t="n">
        <v>2026</v>
      </c>
      <c r="C396" s="21" t="n">
        <v>3</v>
      </c>
      <c r="D396" s="22" t="n">
        <v>281.02</v>
      </c>
      <c r="E396" s="20" t="n">
        <f aca="false">IFERROR(INDEX('TRANS'!$B:$B,MATCH($A396,'TRANS'!$A:$A,0)),IFERROR(INDEX('TRANS'!$B:$B,MATCH(TRIM(SUBSTITUTE($A396,CHAR(160)," ")),'TRANS'!$D:$D,0)),""))</f>
        <v>4408248</v>
      </c>
      <c r="F396" s="20" t="str">
        <f aca="false">IF($E396="","Unmatched","Matched")</f>
        <v>Matched</v>
      </c>
    </row>
    <row r="397" customFormat="false" ht="15" hidden="false" customHeight="false" outlineLevel="0" collapsed="false">
      <c r="A397" s="20" t="s">
        <v>1385</v>
      </c>
      <c r="B397" s="20" t="n">
        <v>2025</v>
      </c>
      <c r="C397" s="21" t="n">
        <v>9</v>
      </c>
      <c r="D397" s="22" t="n">
        <v>739.69</v>
      </c>
      <c r="E397" s="20" t="n">
        <f aca="false">IFERROR(INDEX('TRANS'!$B:$B,MATCH($A397,'TRANS'!$A:$A,0)),IFERROR(INDEX('TRANS'!$B:$B,MATCH(TRIM(SUBSTITUTE($A397,CHAR(160)," ")),'TRANS'!$D:$D,0)),""))</f>
        <v>4408250</v>
      </c>
      <c r="F397" s="20" t="str">
        <f aca="false">IF($E397="","Unmatched","Matched")</f>
        <v>Matched</v>
      </c>
    </row>
    <row r="398" customFormat="false" ht="15" hidden="false" customHeight="false" outlineLevel="0" collapsed="false">
      <c r="A398" s="20" t="s">
        <v>1385</v>
      </c>
      <c r="B398" s="20" t="n">
        <v>2026</v>
      </c>
      <c r="C398" s="21" t="n">
        <v>3</v>
      </c>
      <c r="D398" s="22" t="n">
        <v>281.03</v>
      </c>
      <c r="E398" s="20" t="n">
        <f aca="false">IFERROR(INDEX('TRANS'!$B:$B,MATCH($A398,'TRANS'!$A:$A,0)),IFERROR(INDEX('TRANS'!$B:$B,MATCH(TRIM(SUBSTITUTE($A398,CHAR(160)," ")),'TRANS'!$D:$D,0)),""))</f>
        <v>4408250</v>
      </c>
      <c r="F398" s="20" t="str">
        <f aca="false">IF($E398="","Unmatched","Matched")</f>
        <v>Matched</v>
      </c>
    </row>
    <row r="399" customFormat="false" ht="15" hidden="false" customHeight="false" outlineLevel="0" collapsed="false">
      <c r="A399" s="20" t="s">
        <v>1390</v>
      </c>
      <c r="B399" s="20" t="n">
        <v>2025</v>
      </c>
      <c r="C399" s="21" t="n">
        <v>4</v>
      </c>
      <c r="D399" s="22" t="n">
        <v>309.17</v>
      </c>
      <c r="E399" s="20" t="n">
        <f aca="false">IFERROR(INDEX('TRANS'!$B:$B,MATCH($A399,'TRANS'!$A:$A,0)),IFERROR(INDEX('TRANS'!$B:$B,MATCH(TRIM(SUBSTITUTE($A399,CHAR(160)," ")),'TRANS'!$D:$D,0)),""))</f>
        <v>4413426</v>
      </c>
      <c r="F399" s="20" t="str">
        <f aca="false">IF($E399="","Unmatched","Matched")</f>
        <v>Matched</v>
      </c>
    </row>
    <row r="400" customFormat="false" ht="15" hidden="false" customHeight="false" outlineLevel="0" collapsed="false">
      <c r="A400" s="20" t="s">
        <v>1393</v>
      </c>
      <c r="B400" s="20" t="n">
        <v>2025</v>
      </c>
      <c r="C400" s="21" t="n">
        <v>1</v>
      </c>
      <c r="D400" s="22" t="n">
        <v>77.29</v>
      </c>
      <c r="E400" s="20" t="n">
        <f aca="false">IFERROR(INDEX('TRANS'!$B:$B,MATCH($A400,'TRANS'!$A:$A,0)),IFERROR(INDEX('TRANS'!$B:$B,MATCH(TRIM(SUBSTITUTE($A400,CHAR(160)," ")),'TRANS'!$D:$D,0)),""))</f>
        <v>4413427</v>
      </c>
      <c r="F400" s="20" t="str">
        <f aca="false">IF($E400="","Unmatched","Matched")</f>
        <v>Matched</v>
      </c>
    </row>
    <row r="401" customFormat="false" ht="15" hidden="false" customHeight="false" outlineLevel="0" collapsed="false">
      <c r="A401" s="20" t="s">
        <v>1394</v>
      </c>
      <c r="B401" s="20" t="n">
        <v>2025</v>
      </c>
      <c r="C401" s="21" t="n">
        <v>2</v>
      </c>
      <c r="D401" s="22" t="n">
        <v>290.52</v>
      </c>
      <c r="E401" s="20" t="n">
        <f aca="false">IFERROR(INDEX('TRANS'!$B:$B,MATCH($A401,'TRANS'!$A:$A,0)),IFERROR(INDEX('TRANS'!$B:$B,MATCH(TRIM(SUBSTITUTE($A401,CHAR(160)," ")),'TRANS'!$D:$D,0)),""))</f>
        <v>4413417</v>
      </c>
      <c r="F401" s="20" t="str">
        <f aca="false">IF($E401="","Unmatched","Matched")</f>
        <v>Matched</v>
      </c>
    </row>
    <row r="402" customFormat="false" ht="15" hidden="false" customHeight="false" outlineLevel="0" collapsed="false">
      <c r="A402" s="20" t="s">
        <v>1394</v>
      </c>
      <c r="B402" s="20" t="n">
        <v>2026</v>
      </c>
      <c r="C402" s="21" t="n">
        <v>6</v>
      </c>
      <c r="D402" s="22" t="n">
        <v>984.14</v>
      </c>
      <c r="E402" s="20" t="n">
        <f aca="false">IFERROR(INDEX('TRANS'!$B:$B,MATCH($A402,'TRANS'!$A:$A,0)),IFERROR(INDEX('TRANS'!$B:$B,MATCH(TRIM(SUBSTITUTE($A402,CHAR(160)," ")),'TRANS'!$D:$D,0)),""))</f>
        <v>4413417</v>
      </c>
      <c r="F402" s="20" t="str">
        <f aca="false">IF($E402="","Unmatched","Matched")</f>
        <v>Matched</v>
      </c>
    </row>
    <row r="403" customFormat="false" ht="15" hidden="false" customHeight="false" outlineLevel="0" collapsed="false">
      <c r="A403" s="20" t="s">
        <v>1395</v>
      </c>
      <c r="B403" s="20" t="n">
        <v>2025</v>
      </c>
      <c r="C403" s="21" t="n">
        <v>9</v>
      </c>
      <c r="D403" s="22" t="n">
        <v>1397.67</v>
      </c>
      <c r="E403" s="20" t="n">
        <f aca="false">IFERROR(INDEX('TRANS'!$B:$B,MATCH($A403,'TRANS'!$A:$A,0)),IFERROR(INDEX('TRANS'!$B:$B,MATCH(TRIM(SUBSTITUTE($A403,CHAR(160)," ")),'TRANS'!$D:$D,0)),""))</f>
        <v>4413416</v>
      </c>
      <c r="F403" s="20" t="str">
        <f aca="false">IF($E403="","Unmatched","Matched")</f>
        <v>Matched</v>
      </c>
    </row>
    <row r="404" customFormat="false" ht="15" hidden="false" customHeight="false" outlineLevel="0" collapsed="false">
      <c r="A404" s="20" t="s">
        <v>1395</v>
      </c>
      <c r="B404" s="20" t="n">
        <v>2026</v>
      </c>
      <c r="C404" s="21" t="n">
        <v>3</v>
      </c>
      <c r="D404" s="22" t="n">
        <v>492.08</v>
      </c>
      <c r="E404" s="20" t="n">
        <f aca="false">IFERROR(INDEX('TRANS'!$B:$B,MATCH($A404,'TRANS'!$A:$A,0)),IFERROR(INDEX('TRANS'!$B:$B,MATCH(TRIM(SUBSTITUTE($A404,CHAR(160)," ")),'TRANS'!$D:$D,0)),""))</f>
        <v>4413416</v>
      </c>
      <c r="F404" s="20" t="str">
        <f aca="false">IF($E404="","Unmatched","Matched")</f>
        <v>Matched</v>
      </c>
    </row>
    <row r="405" customFormat="false" ht="15" hidden="false" customHeight="false" outlineLevel="0" collapsed="false">
      <c r="A405" s="20" t="s">
        <v>1397</v>
      </c>
      <c r="B405" s="20" t="n">
        <v>2025</v>
      </c>
      <c r="C405" s="21" t="n">
        <v>1</v>
      </c>
      <c r="D405" s="22" t="n">
        <v>145.26</v>
      </c>
      <c r="E405" s="20" t="n">
        <f aca="false">IFERROR(INDEX('TRANS'!$B:$B,MATCH($A405,'TRANS'!$A:$A,0)),IFERROR(INDEX('TRANS'!$B:$B,MATCH(TRIM(SUBSTITUTE($A405,CHAR(160)," ")),'TRANS'!$D:$D,0)),""))</f>
        <v>4413418</v>
      </c>
      <c r="F405" s="20" t="str">
        <f aca="false">IF($E405="","Unmatched","Matched")</f>
        <v>Matched</v>
      </c>
    </row>
    <row r="406" customFormat="false" ht="15" hidden="false" customHeight="false" outlineLevel="0" collapsed="false">
      <c r="A406" s="20" t="s">
        <v>1399</v>
      </c>
      <c r="B406" s="20" t="n">
        <v>2025</v>
      </c>
      <c r="C406" s="21" t="n">
        <v>6</v>
      </c>
      <c r="D406" s="22" t="n">
        <v>839.9</v>
      </c>
      <c r="E406" s="20" t="n">
        <f aca="false">IFERROR(INDEX('TRANS'!$B:$B,MATCH($A406,'TRANS'!$A:$A,0)),IFERROR(INDEX('TRANS'!$B:$B,MATCH(TRIM(SUBSTITUTE($A406,CHAR(160)," ")),'TRANS'!$D:$D,0)),""))</f>
        <v>4413440</v>
      </c>
      <c r="F406" s="20" t="str">
        <f aca="false">IF($E406="","Unmatched","Matched")</f>
        <v>Matched</v>
      </c>
    </row>
    <row r="407" customFormat="false" ht="15" hidden="false" customHeight="false" outlineLevel="0" collapsed="false">
      <c r="A407" s="20" t="s">
        <v>1399</v>
      </c>
      <c r="B407" s="20" t="n">
        <v>2026</v>
      </c>
      <c r="C407" s="21" t="n">
        <v>6</v>
      </c>
      <c r="D407" s="22" t="n">
        <v>843.42</v>
      </c>
      <c r="E407" s="20" t="n">
        <f aca="false">IFERROR(INDEX('TRANS'!$B:$B,MATCH($A407,'TRANS'!$A:$A,0)),IFERROR(INDEX('TRANS'!$B:$B,MATCH(TRIM(SUBSTITUTE($A407,CHAR(160)," ")),'TRANS'!$D:$D,0)),""))</f>
        <v>4413440</v>
      </c>
      <c r="F407" s="20" t="str">
        <f aca="false">IF($E407="","Unmatched","Matched")</f>
        <v>Matched</v>
      </c>
    </row>
    <row r="408" customFormat="false" ht="15" hidden="false" customHeight="false" outlineLevel="0" collapsed="false">
      <c r="A408" s="20" t="s">
        <v>1400</v>
      </c>
      <c r="B408" s="20" t="n">
        <v>2025</v>
      </c>
      <c r="C408" s="21" t="n">
        <v>6</v>
      </c>
      <c r="D408" s="22" t="n">
        <v>836.38</v>
      </c>
      <c r="E408" s="20" t="n">
        <f aca="false">IFERROR(INDEX('TRANS'!$B:$B,MATCH($A408,'TRANS'!$A:$A,0)),IFERROR(INDEX('TRANS'!$B:$B,MATCH(TRIM(SUBSTITUTE($A408,CHAR(160)," ")),'TRANS'!$D:$D,0)),""))</f>
        <v>4413439</v>
      </c>
      <c r="F408" s="20" t="str">
        <f aca="false">IF($E408="","Unmatched","Matched")</f>
        <v>Matched</v>
      </c>
    </row>
    <row r="409" customFormat="false" ht="15" hidden="false" customHeight="false" outlineLevel="0" collapsed="false">
      <c r="A409" s="20" t="s">
        <v>1400</v>
      </c>
      <c r="B409" s="20" t="n">
        <v>2026</v>
      </c>
      <c r="C409" s="21" t="n">
        <v>7</v>
      </c>
      <c r="D409" s="22" t="n">
        <v>984</v>
      </c>
      <c r="E409" s="20" t="n">
        <f aca="false">IFERROR(INDEX('TRANS'!$B:$B,MATCH($A409,'TRANS'!$A:$A,0)),IFERROR(INDEX('TRANS'!$B:$B,MATCH(TRIM(SUBSTITUTE($A409,CHAR(160)," ")),'TRANS'!$D:$D,0)),""))</f>
        <v>4413439</v>
      </c>
      <c r="F409" s="20" t="str">
        <f aca="false">IF($E409="","Unmatched","Matched")</f>
        <v>Matched</v>
      </c>
    </row>
    <row r="410" customFormat="false" ht="15" hidden="false" customHeight="false" outlineLevel="0" collapsed="false">
      <c r="A410" s="20" t="s">
        <v>973</v>
      </c>
      <c r="B410" s="20" t="n">
        <v>2025</v>
      </c>
      <c r="C410" s="21" t="n">
        <v>9</v>
      </c>
      <c r="D410" s="22" t="n">
        <v>1247.53</v>
      </c>
      <c r="E410" s="20" t="n">
        <f aca="false">IFERROR(INDEX('TRANS'!$B:$B,MATCH($A410,'TRANS'!$A:$A,0)),IFERROR(INDEX('TRANS'!$B:$B,MATCH(TRIM(SUBSTITUTE($A410,CHAR(160)," ")),'TRANS'!$D:$D,0)),""))</f>
        <v>4413438</v>
      </c>
      <c r="F410" s="20" t="str">
        <f aca="false">IF($E410="","Unmatched","Matched")</f>
        <v>Matched</v>
      </c>
    </row>
    <row r="411" customFormat="false" ht="15" hidden="false" customHeight="false" outlineLevel="0" collapsed="false">
      <c r="A411" s="20" t="s">
        <v>973</v>
      </c>
      <c r="B411" s="20" t="n">
        <v>2026</v>
      </c>
      <c r="C411" s="21" t="n">
        <v>4</v>
      </c>
      <c r="D411" s="22" t="n">
        <v>562.28</v>
      </c>
      <c r="E411" s="20" t="n">
        <f aca="false">IFERROR(INDEX('TRANS'!$B:$B,MATCH($A411,'TRANS'!$A:$A,0)),IFERROR(INDEX('TRANS'!$B:$B,MATCH(TRIM(SUBSTITUTE($A411,CHAR(160)," ")),'TRANS'!$D:$D,0)),""))</f>
        <v>4413438</v>
      </c>
      <c r="F411" s="20" t="str">
        <f aca="false">IF($E411="","Unmatched","Matched")</f>
        <v>Matched</v>
      </c>
    </row>
    <row r="412" customFormat="false" ht="15" hidden="false" customHeight="false" outlineLevel="0" collapsed="false">
      <c r="A412" s="20" t="s">
        <v>974</v>
      </c>
      <c r="B412" s="20" t="n">
        <v>2025</v>
      </c>
      <c r="C412" s="21" t="n">
        <v>1</v>
      </c>
      <c r="D412" s="22" t="n">
        <v>137.05</v>
      </c>
      <c r="E412" s="20" t="n">
        <f aca="false">IFERROR(INDEX('TRANS'!$B:$B,MATCH($A412,'TRANS'!$A:$A,0)),IFERROR(INDEX('TRANS'!$B:$B,MATCH(TRIM(SUBSTITUTE($A412,CHAR(160)," ")),'TRANS'!$D:$D,0)),""))</f>
        <v>4413442</v>
      </c>
      <c r="F412" s="20" t="str">
        <f aca="false">IF($E412="","Unmatched","Matched")</f>
        <v>Matched</v>
      </c>
    </row>
    <row r="413" customFormat="false" ht="15" hidden="false" customHeight="false" outlineLevel="0" collapsed="false">
      <c r="A413" s="20" t="s">
        <v>974</v>
      </c>
      <c r="B413" s="20" t="n">
        <v>2026</v>
      </c>
      <c r="C413" s="21" t="n">
        <v>2</v>
      </c>
      <c r="D413" s="22" t="n">
        <v>281.14</v>
      </c>
      <c r="E413" s="20" t="n">
        <f aca="false">IFERROR(INDEX('TRANS'!$B:$B,MATCH($A413,'TRANS'!$A:$A,0)),IFERROR(INDEX('TRANS'!$B:$B,MATCH(TRIM(SUBSTITUTE($A413,CHAR(160)," ")),'TRANS'!$D:$D,0)),""))</f>
        <v>4413442</v>
      </c>
      <c r="F413" s="20" t="str">
        <f aca="false">IF($E413="","Unmatched","Matched")</f>
        <v>Matched</v>
      </c>
    </row>
    <row r="414" customFormat="false" ht="15" hidden="false" customHeight="false" outlineLevel="0" collapsed="false">
      <c r="A414" s="20" t="s">
        <v>1402</v>
      </c>
      <c r="B414" s="20" t="n">
        <v>2025</v>
      </c>
      <c r="C414" s="21" t="n">
        <v>4</v>
      </c>
      <c r="D414" s="22" t="n">
        <v>358.32</v>
      </c>
      <c r="E414" s="20" t="n">
        <f aca="false">IFERROR(INDEX('TRANS'!$B:$B,MATCH($A414,'TRANS'!$A:$A,0)),IFERROR(INDEX('TRANS'!$B:$B,MATCH(TRIM(SUBSTITUTE($A414,CHAR(160)," ")),'TRANS'!$D:$D,0)),""))</f>
        <v>4413407</v>
      </c>
      <c r="F414" s="20" t="str">
        <f aca="false">IF($E414="","Unmatched","Matched")</f>
        <v>Matched</v>
      </c>
    </row>
    <row r="415" customFormat="false" ht="15" hidden="false" customHeight="false" outlineLevel="0" collapsed="false">
      <c r="A415" s="20" t="s">
        <v>1402</v>
      </c>
      <c r="B415" s="20" t="n">
        <v>2026</v>
      </c>
      <c r="C415" s="21" t="n">
        <v>6</v>
      </c>
      <c r="D415" s="22" t="n">
        <v>562.04</v>
      </c>
      <c r="E415" s="20" t="n">
        <f aca="false">IFERROR(INDEX('TRANS'!$B:$B,MATCH($A415,'TRANS'!$A:$A,0)),IFERROR(INDEX('TRANS'!$B:$B,MATCH(TRIM(SUBSTITUTE($A415,CHAR(160)," ")),'TRANS'!$D:$D,0)),""))</f>
        <v>4413407</v>
      </c>
      <c r="F415" s="20" t="str">
        <f aca="false">IF($E415="","Unmatched","Matched")</f>
        <v>Matched</v>
      </c>
    </row>
    <row r="416" customFormat="false" ht="15" hidden="false" customHeight="false" outlineLevel="0" collapsed="false">
      <c r="A416" s="20" t="s">
        <v>1403</v>
      </c>
      <c r="B416" s="20" t="n">
        <v>2025</v>
      </c>
      <c r="C416" s="21" t="n">
        <v>5</v>
      </c>
      <c r="D416" s="22" t="n">
        <v>433.9</v>
      </c>
      <c r="E416" s="20" t="n">
        <f aca="false">IFERROR(INDEX('TRANS'!$B:$B,MATCH($A416,'TRANS'!$A:$A,0)),IFERROR(INDEX('TRANS'!$B:$B,MATCH(TRIM(SUBSTITUTE($A416,CHAR(160)," ")),'TRANS'!$D:$D,0)),""))</f>
        <v>4413406</v>
      </c>
      <c r="F416" s="20" t="str">
        <f aca="false">IF($E416="","Unmatched","Matched")</f>
        <v>Matched</v>
      </c>
    </row>
    <row r="417" customFormat="false" ht="15" hidden="false" customHeight="false" outlineLevel="0" collapsed="false">
      <c r="A417" s="20" t="s">
        <v>1403</v>
      </c>
      <c r="B417" s="20" t="n">
        <v>2026</v>
      </c>
      <c r="C417" s="21" t="n">
        <v>2</v>
      </c>
      <c r="D417" s="22" t="n">
        <v>187.35</v>
      </c>
      <c r="E417" s="20" t="n">
        <f aca="false">IFERROR(INDEX('TRANS'!$B:$B,MATCH($A417,'TRANS'!$A:$A,0)),IFERROR(INDEX('TRANS'!$B:$B,MATCH(TRIM(SUBSTITUTE($A417,CHAR(160)," ")),'TRANS'!$D:$D,0)),""))</f>
        <v>4413406</v>
      </c>
      <c r="F417" s="20" t="str">
        <f aca="false">IF($E417="","Unmatched","Matched")</f>
        <v>Matched</v>
      </c>
    </row>
    <row r="418" customFormat="false" ht="15" hidden="false" customHeight="false" outlineLevel="0" collapsed="false">
      <c r="A418" s="20" t="s">
        <v>1404</v>
      </c>
      <c r="B418" s="20" t="n">
        <v>2025</v>
      </c>
      <c r="C418" s="21" t="n">
        <v>2</v>
      </c>
      <c r="D418" s="22" t="n">
        <v>154.58</v>
      </c>
      <c r="E418" s="20" t="n">
        <f aca="false">IFERROR(INDEX('TRANS'!$B:$B,MATCH($A418,'TRANS'!$A:$A,0)),IFERROR(INDEX('TRANS'!$B:$B,MATCH(TRIM(SUBSTITUTE($A418,CHAR(160)," ")),'TRANS'!$D:$D,0)),""))</f>
        <v>4413408</v>
      </c>
      <c r="F418" s="20" t="str">
        <f aca="false">IF($E418="","Unmatched","Matched")</f>
        <v>Matched</v>
      </c>
    </row>
    <row r="419" customFormat="false" ht="15" hidden="false" customHeight="false" outlineLevel="0" collapsed="false">
      <c r="A419" s="20" t="s">
        <v>1404</v>
      </c>
      <c r="B419" s="20" t="n">
        <v>2026</v>
      </c>
      <c r="C419" s="21" t="n">
        <v>4</v>
      </c>
      <c r="D419" s="22" t="n">
        <v>374.69</v>
      </c>
      <c r="E419" s="20" t="n">
        <f aca="false">IFERROR(INDEX('TRANS'!$B:$B,MATCH($A419,'TRANS'!$A:$A,0)),IFERROR(INDEX('TRANS'!$B:$B,MATCH(TRIM(SUBSTITUTE($A419,CHAR(160)," ")),'TRANS'!$D:$D,0)),""))</f>
        <v>4413408</v>
      </c>
      <c r="F419" s="20" t="str">
        <f aca="false">IF($E419="","Unmatched","Matched")</f>
        <v>Matched</v>
      </c>
    </row>
    <row r="420" customFormat="false" ht="15" hidden="false" customHeight="false" outlineLevel="0" collapsed="false">
      <c r="A420" s="20" t="s">
        <v>1011</v>
      </c>
      <c r="B420" s="20" t="n">
        <v>2025</v>
      </c>
      <c r="C420" s="21" t="n">
        <v>11</v>
      </c>
      <c r="D420" s="22" t="n">
        <v>702.32</v>
      </c>
      <c r="E420" s="20" t="n">
        <f aca="false">IFERROR(INDEX('TRANS'!$B:$B,MATCH($A420,'TRANS'!$A:$A,0)),IFERROR(INDEX('TRANS'!$B:$B,MATCH(TRIM(SUBSTITUTE($A420,CHAR(160)," ")),'TRANS'!$D:$D,0)),""))</f>
        <v>4403035</v>
      </c>
      <c r="F420" s="20" t="str">
        <f aca="false">IF($E420="","Unmatched","Matched")</f>
        <v>Matched</v>
      </c>
    </row>
    <row r="421" customFormat="false" ht="15" hidden="false" customHeight="false" outlineLevel="0" collapsed="false">
      <c r="A421" s="20" t="s">
        <v>1010</v>
      </c>
      <c r="B421" s="20" t="n">
        <v>2025</v>
      </c>
      <c r="C421" s="21" t="n">
        <v>5</v>
      </c>
      <c r="D421" s="22" t="n">
        <v>295</v>
      </c>
      <c r="E421" s="20" t="n">
        <f aca="false">IFERROR(INDEX('TRANS'!$B:$B,MATCH($A421,'TRANS'!$A:$A,0)),IFERROR(INDEX('TRANS'!$B:$B,MATCH(TRIM(SUBSTITUTE($A421,CHAR(160)," ")),'TRANS'!$D:$D,0)),""))</f>
        <v>4403034</v>
      </c>
      <c r="F421" s="20" t="str">
        <f aca="false">IF($E421="","Unmatched","Matched")</f>
        <v>Matched</v>
      </c>
    </row>
    <row r="422" customFormat="false" ht="15" hidden="false" customHeight="false" outlineLevel="0" collapsed="false">
      <c r="A422" s="20" t="s">
        <v>1087</v>
      </c>
      <c r="B422" s="20" t="n">
        <v>2025</v>
      </c>
      <c r="C422" s="21" t="n">
        <v>1</v>
      </c>
      <c r="D422" s="22" t="n">
        <v>94.5</v>
      </c>
      <c r="E422" s="20" t="n">
        <f aca="false">IFERROR(INDEX('TRANS'!$B:$B,MATCH($A422,'TRANS'!$A:$A,0)),IFERROR(INDEX('TRANS'!$B:$B,MATCH(TRIM(SUBSTITUTE($A422,CHAR(160)," ")),'TRANS'!$D:$D,0)),""))</f>
        <v>4408091</v>
      </c>
      <c r="F422" s="20" t="str">
        <f aca="false">IF($E422="","Unmatched","Matched")</f>
        <v>Matched</v>
      </c>
    </row>
    <row r="423" customFormat="false" ht="15" hidden="false" customHeight="false" outlineLevel="0" collapsed="false">
      <c r="A423" s="20" t="s">
        <v>1317</v>
      </c>
      <c r="B423" s="20" t="n">
        <v>2025</v>
      </c>
      <c r="C423" s="21" t="n">
        <v>10</v>
      </c>
      <c r="D423" s="22" t="n">
        <v>459.57</v>
      </c>
      <c r="E423" s="20" t="n">
        <f aca="false">IFERROR(INDEX('TRANS'!$B:$B,MATCH($A423,'TRANS'!$A:$A,0)),IFERROR(INDEX('TRANS'!$B:$B,MATCH(TRIM(SUBSTITUTE($A423,CHAR(160)," ")),'TRANS'!$D:$D,0)),""))</f>
        <v>4408099</v>
      </c>
      <c r="F423" s="20" t="str">
        <f aca="false">IF($E423="","Unmatched","Matched")</f>
        <v>Matched</v>
      </c>
    </row>
    <row r="424" customFormat="false" ht="15" hidden="false" customHeight="false" outlineLevel="0" collapsed="false">
      <c r="A424" s="20" t="s">
        <v>1317</v>
      </c>
      <c r="B424" s="20" t="n">
        <v>2026</v>
      </c>
      <c r="C424" s="21" t="n">
        <v>4</v>
      </c>
      <c r="D424" s="22" t="n">
        <v>187.3</v>
      </c>
      <c r="E424" s="20" t="n">
        <f aca="false">IFERROR(INDEX('TRANS'!$B:$B,MATCH($A424,'TRANS'!$A:$A,0)),IFERROR(INDEX('TRANS'!$B:$B,MATCH(TRIM(SUBSTITUTE($A424,CHAR(160)," ")),'TRANS'!$D:$D,0)),""))</f>
        <v>4408099</v>
      </c>
      <c r="F424" s="20" t="str">
        <f aca="false">IF($E424="","Unmatched","Matched")</f>
        <v>Matched</v>
      </c>
    </row>
    <row r="425" customFormat="false" ht="15" hidden="false" customHeight="false" outlineLevel="0" collapsed="false">
      <c r="A425" s="20" t="s">
        <v>134</v>
      </c>
      <c r="B425" s="20" t="n">
        <v>2025</v>
      </c>
      <c r="C425" s="21" t="n">
        <v>2</v>
      </c>
      <c r="D425" s="22" t="n">
        <v>215.52</v>
      </c>
      <c r="E425" s="20" t="str">
        <f aca="false">IFERROR(INDEX('TRANS'!$B:$B,MATCH($A425,'TRANS'!$A:$A,0)),IFERROR(INDEX('TRANS'!$B:$B,MATCH(TRIM(SUBSTITUTE($A425,CHAR(160)," ")),'TRANS'!$D:$D,0)),""))</f>
        <v/>
      </c>
      <c r="F425" s="20" t="str">
        <f aca="false">IF($E425="","Unmatched","Matched")</f>
        <v>Unmatched</v>
      </c>
    </row>
    <row r="426" customFormat="false" ht="15" hidden="false" customHeight="false" outlineLevel="0" collapsed="false">
      <c r="A426" s="20" t="s">
        <v>135</v>
      </c>
      <c r="B426" s="20" t="n">
        <v>2025</v>
      </c>
      <c r="C426" s="21" t="n">
        <v>1</v>
      </c>
      <c r="D426" s="22" t="n">
        <v>107.76</v>
      </c>
      <c r="E426" s="20" t="str">
        <f aca="false">IFERROR(INDEX('TRANS'!$B:$B,MATCH($A426,'TRANS'!$A:$A,0)),IFERROR(INDEX('TRANS'!$B:$B,MATCH(TRIM(SUBSTITUTE($A426,CHAR(160)," ")),'TRANS'!$D:$D,0)),""))</f>
        <v/>
      </c>
      <c r="F426" s="20" t="str">
        <f aca="false">IF($E426="","Unmatched","Matched")</f>
        <v>Unmatched</v>
      </c>
    </row>
    <row r="427" customFormat="false" ht="15" hidden="false" customHeight="false" outlineLevel="0" collapsed="false">
      <c r="A427" s="20" t="s">
        <v>1378</v>
      </c>
      <c r="B427" s="20" t="n">
        <v>2025</v>
      </c>
      <c r="C427" s="21" t="n">
        <v>2</v>
      </c>
      <c r="D427" s="22" t="n">
        <v>207.91</v>
      </c>
      <c r="E427" s="20" t="n">
        <f aca="false">IFERROR(INDEX('TRANS'!$B:$B,MATCH($A427,'TRANS'!$A:$A,0)),IFERROR(INDEX('TRANS'!$B:$B,MATCH(TRIM(SUBSTITUTE($A427,CHAR(160)," ")),'TRANS'!$D:$D,0)),""))</f>
        <v>4413180</v>
      </c>
      <c r="F427" s="20" t="str">
        <f aca="false">IF($E427="","Unmatched","Matched")</f>
        <v>Matched</v>
      </c>
    </row>
    <row r="428" customFormat="false" ht="15" hidden="false" customHeight="false" outlineLevel="0" collapsed="false">
      <c r="A428" s="20" t="s">
        <v>982</v>
      </c>
      <c r="B428" s="20" t="n">
        <v>2025</v>
      </c>
      <c r="C428" s="21" t="n">
        <v>1</v>
      </c>
      <c r="D428" s="22" t="n">
        <v>105.42</v>
      </c>
      <c r="E428" s="20" t="n">
        <f aca="false">IFERROR(INDEX('TRANS'!$B:$B,MATCH($A428,'TRANS'!$A:$A,0)),IFERROR(INDEX('TRANS'!$B:$B,MATCH(TRIM(SUBSTITUTE($A428,CHAR(160)," ")),'TRANS'!$D:$D,0)),""))</f>
        <v>4413184</v>
      </c>
      <c r="F428" s="20" t="str">
        <f aca="false">IF($E428="","Unmatched","Matched")</f>
        <v>Matched</v>
      </c>
    </row>
    <row r="429" customFormat="false" ht="15" hidden="false" customHeight="false" outlineLevel="0" collapsed="false">
      <c r="A429" s="20" t="s">
        <v>986</v>
      </c>
      <c r="B429" s="20" t="n">
        <v>2025</v>
      </c>
      <c r="C429" s="21" t="n">
        <v>1</v>
      </c>
      <c r="D429" s="22" t="n">
        <v>103.96</v>
      </c>
      <c r="E429" s="20" t="n">
        <f aca="false">IFERROR(INDEX('TRANS'!$B:$B,MATCH($A429,'TRANS'!$A:$A,0)),IFERROR(INDEX('TRANS'!$B:$B,MATCH(TRIM(SUBSTITUTE($A429,CHAR(160)," ")),'TRANS'!$D:$D,0)),""))</f>
        <v>4413286</v>
      </c>
      <c r="F429" s="20" t="str">
        <f aca="false">IF($E429="","Unmatched","Matched")</f>
        <v>Matched</v>
      </c>
    </row>
    <row r="430" customFormat="false" ht="15" hidden="false" customHeight="false" outlineLevel="0" collapsed="false">
      <c r="A430" s="20" t="s">
        <v>1021</v>
      </c>
      <c r="B430" s="20" t="n">
        <v>2025</v>
      </c>
      <c r="C430" s="21" t="n">
        <v>1</v>
      </c>
      <c r="D430" s="22" t="n">
        <v>74.97</v>
      </c>
      <c r="E430" s="20" t="n">
        <f aca="false">IFERROR(INDEX('TRANS'!$B:$B,MATCH($A430,'TRANS'!$A:$A,0)),IFERROR(INDEX('TRANS'!$B:$B,MATCH(TRIM(SUBSTITUTE($A430,CHAR(160)," ")),'TRANS'!$D:$D,0)),""))</f>
        <v>4408222</v>
      </c>
      <c r="F430" s="20" t="str">
        <f aca="false">IF($E430="","Unmatched","Matched")</f>
        <v>Matched</v>
      </c>
    </row>
    <row r="431" customFormat="false" ht="15" hidden="false" customHeight="false" outlineLevel="0" collapsed="false">
      <c r="A431" s="20" t="s">
        <v>1053</v>
      </c>
      <c r="B431" s="20" t="n">
        <v>2025</v>
      </c>
      <c r="C431" s="21" t="n">
        <v>1</v>
      </c>
      <c r="D431" s="22" t="n">
        <v>85</v>
      </c>
      <c r="E431" s="20" t="n">
        <f aca="false">IFERROR(INDEX('TRANS'!$B:$B,MATCH($A431,'TRANS'!$A:$A,0)),IFERROR(INDEX('TRANS'!$B:$B,MATCH(TRIM(SUBSTITUTE($A431,CHAR(160)," ")),'TRANS'!$D:$D,0)),""))</f>
        <v>4408116</v>
      </c>
      <c r="F431" s="20" t="str">
        <f aca="false">IF($E431="","Unmatched","Matched")</f>
        <v>Matched</v>
      </c>
    </row>
    <row r="432" customFormat="false" ht="15" hidden="false" customHeight="false" outlineLevel="0" collapsed="false">
      <c r="A432" s="20" t="s">
        <v>1068</v>
      </c>
      <c r="B432" s="20" t="n">
        <v>2025</v>
      </c>
      <c r="C432" s="21" t="n">
        <v>1</v>
      </c>
      <c r="D432" s="22" t="n">
        <v>156.98</v>
      </c>
      <c r="E432" s="20" t="n">
        <f aca="false">IFERROR(INDEX('TRANS'!$B:$B,MATCH($A432,'TRANS'!$A:$A,0)),IFERROR(INDEX('TRANS'!$B:$B,MATCH(TRIM(SUBSTITUTE($A432,CHAR(160)," ")),'TRANS'!$D:$D,0)),""))</f>
        <v>4408154</v>
      </c>
      <c r="F432" s="20" t="str">
        <f aca="false">IF($E432="","Unmatched","Matched")</f>
        <v>Matched</v>
      </c>
    </row>
    <row r="433" customFormat="false" ht="15" hidden="false" customHeight="false" outlineLevel="0" collapsed="false">
      <c r="A433" s="20" t="s">
        <v>1304</v>
      </c>
      <c r="B433" s="20" t="n">
        <v>2025</v>
      </c>
      <c r="C433" s="21" t="n">
        <v>1</v>
      </c>
      <c r="D433" s="22" t="n">
        <v>103.07</v>
      </c>
      <c r="E433" s="20" t="n">
        <f aca="false">IFERROR(INDEX('TRANS'!$B:$B,MATCH($A433,'TRANS'!$A:$A,0)),IFERROR(INDEX('TRANS'!$B:$B,MATCH(TRIM(SUBSTITUTE($A433,CHAR(160)," ")),'TRANS'!$D:$D,0)),""))</f>
        <v>4415006</v>
      </c>
      <c r="F433" s="20" t="str">
        <f aca="false">IF($E433="","Unmatched","Matched")</f>
        <v>Matched</v>
      </c>
    </row>
    <row r="434" customFormat="false" ht="15" hidden="false" customHeight="false" outlineLevel="0" collapsed="false">
      <c r="A434" s="20" t="s">
        <v>1227</v>
      </c>
      <c r="B434" s="20" t="n">
        <v>2025</v>
      </c>
      <c r="C434" s="21" t="n">
        <v>2</v>
      </c>
      <c r="D434" s="22" t="n">
        <v>184.59</v>
      </c>
      <c r="E434" s="20" t="n">
        <f aca="false">IFERROR(INDEX('TRANS'!$B:$B,MATCH($A434,'TRANS'!$A:$A,0)),IFERROR(INDEX('TRANS'!$B:$B,MATCH(TRIM(SUBSTITUTE($A434,CHAR(160)," ")),'TRANS'!$D:$D,0)),""))</f>
        <v>4416001</v>
      </c>
      <c r="F434" s="20" t="str">
        <f aca="false">IF($E434="","Unmatched","Matched")</f>
        <v>Matched</v>
      </c>
    </row>
    <row r="435" customFormat="false" ht="15" hidden="false" customHeight="false" outlineLevel="0" collapsed="false">
      <c r="A435" s="20" t="s">
        <v>1368</v>
      </c>
      <c r="B435" s="20" t="n">
        <v>2025</v>
      </c>
      <c r="C435" s="21" t="n">
        <v>11</v>
      </c>
      <c r="D435" s="22" t="n">
        <v>167.37</v>
      </c>
      <c r="E435" s="20" t="n">
        <f aca="false">IFERROR(INDEX('TRANS'!$B:$B,MATCH($A435,'TRANS'!$A:$A,0)),IFERROR(INDEX('TRANS'!$B:$B,MATCH(TRIM(SUBSTITUTE($A435,CHAR(160)," ")),'TRANS'!$D:$D,0)),""))</f>
        <v>4420003</v>
      </c>
      <c r="F435" s="20" t="str">
        <f aca="false">IF($E435="","Unmatched","Matched")</f>
        <v>Matched</v>
      </c>
    </row>
    <row r="436" customFormat="false" ht="15" hidden="false" customHeight="false" outlineLevel="0" collapsed="false">
      <c r="A436" s="20" t="s">
        <v>1368</v>
      </c>
      <c r="B436" s="20" t="n">
        <v>2026</v>
      </c>
      <c r="C436" s="21" t="n">
        <v>1</v>
      </c>
      <c r="D436" s="22" t="n">
        <v>15.42</v>
      </c>
      <c r="E436" s="20" t="n">
        <f aca="false">IFERROR(INDEX('TRANS'!$B:$B,MATCH($A436,'TRANS'!$A:$A,0)),IFERROR(INDEX('TRANS'!$B:$B,MATCH(TRIM(SUBSTITUTE($A436,CHAR(160)," ")),'TRANS'!$D:$D,0)),""))</f>
        <v>4420003</v>
      </c>
      <c r="F436" s="20" t="str">
        <f aca="false">IF($E436="","Unmatched","Matched")</f>
        <v>Matched</v>
      </c>
    </row>
    <row r="437" customFormat="false" ht="15" hidden="false" customHeight="false" outlineLevel="0" collapsed="false">
      <c r="A437" s="20" t="s">
        <v>1311</v>
      </c>
      <c r="B437" s="20" t="n">
        <v>2025</v>
      </c>
      <c r="C437" s="21" t="n">
        <v>2</v>
      </c>
      <c r="D437" s="22" t="n">
        <v>70.98</v>
      </c>
      <c r="E437" s="20" t="n">
        <f aca="false">IFERROR(INDEX('TRANS'!$B:$B,MATCH($A437,'TRANS'!$A:$A,0)),IFERROR(INDEX('TRANS'!$B:$B,MATCH(TRIM(SUBSTITUTE($A437,CHAR(160)," ")),'TRANS'!$D:$D,0)),""))</f>
        <v>4408095</v>
      </c>
      <c r="F437" s="20" t="str">
        <f aca="false">IF($E437="","Unmatched","Matched")</f>
        <v>Matched</v>
      </c>
    </row>
    <row r="438" customFormat="false" ht="15" hidden="false" customHeight="false" outlineLevel="0" collapsed="false">
      <c r="A438" s="20" t="s">
        <v>1312</v>
      </c>
      <c r="B438" s="20" t="n">
        <v>2025</v>
      </c>
      <c r="C438" s="21" t="n">
        <v>2</v>
      </c>
      <c r="D438" s="22" t="n">
        <v>70.98</v>
      </c>
      <c r="E438" s="20" t="n">
        <f aca="false">IFERROR(INDEX('TRANS'!$B:$B,MATCH($A438,'TRANS'!$A:$A,0)),IFERROR(INDEX('TRANS'!$B:$B,MATCH(TRIM(SUBSTITUTE($A438,CHAR(160)," ")),'TRANS'!$D:$D,0)),""))</f>
        <v>4408094</v>
      </c>
      <c r="F438" s="20" t="str">
        <f aca="false">IF($E438="","Unmatched","Matched")</f>
        <v>Matched</v>
      </c>
    </row>
    <row r="439" customFormat="false" ht="15" hidden="false" customHeight="false" outlineLevel="0" collapsed="false">
      <c r="A439" s="20" t="s">
        <v>1043</v>
      </c>
      <c r="B439" s="20" t="n">
        <v>2026</v>
      </c>
      <c r="C439" s="21" t="n">
        <v>1</v>
      </c>
      <c r="D439" s="22" t="n">
        <v>85</v>
      </c>
      <c r="E439" s="20" t="n">
        <f aca="false">IFERROR(INDEX('TRANS'!$B:$B,MATCH($A439,'TRANS'!$A:$A,0)),IFERROR(INDEX('TRANS'!$B:$B,MATCH(TRIM(SUBSTITUTE($A439,CHAR(160)," ")),'TRANS'!$D:$D,0)),""))</f>
        <v>4408033</v>
      </c>
      <c r="F439" s="20" t="str">
        <f aca="false">IF($E439="","Unmatched","Matched")</f>
        <v>Matched</v>
      </c>
    </row>
    <row r="440" customFormat="false" ht="15" hidden="false" customHeight="false" outlineLevel="0" collapsed="false">
      <c r="A440" s="20" t="s">
        <v>1069</v>
      </c>
      <c r="B440" s="20" t="n">
        <v>2026</v>
      </c>
      <c r="C440" s="21" t="n">
        <v>3</v>
      </c>
      <c r="D440" s="22" t="n">
        <v>428.93</v>
      </c>
      <c r="E440" s="20" t="n">
        <f aca="false">IFERROR(INDEX('TRANS'!$B:$B,MATCH($A440,'TRANS'!$A:$A,0)),IFERROR(INDEX('TRANS'!$B:$B,MATCH(TRIM(SUBSTITUTE($A440,CHAR(160)," ")),'TRANS'!$D:$D,0)),""))</f>
        <v>4408179</v>
      </c>
      <c r="F440" s="20" t="str">
        <f aca="false">IF($E440="","Unmatched","Matched")</f>
        <v>Matched</v>
      </c>
    </row>
    <row r="441" customFormat="false" ht="15" hidden="false" customHeight="false" outlineLevel="0" collapsed="false">
      <c r="A441" s="20" t="s">
        <v>116</v>
      </c>
      <c r="B441" s="20" t="n">
        <v>2025</v>
      </c>
      <c r="C441" s="21" t="n">
        <v>1</v>
      </c>
      <c r="D441" s="22" t="n">
        <v>80.32</v>
      </c>
      <c r="E441" s="20" t="str">
        <f aca="false">IFERROR(INDEX('TRANS'!$B:$B,MATCH($A441,'TRANS'!$A:$A,0)),IFERROR(INDEX('TRANS'!$B:$B,MATCH(TRIM(SUBSTITUTE($A441,CHAR(160)," ")),'TRANS'!$D:$D,0)),""))</f>
        <v/>
      </c>
      <c r="F441" s="20" t="str">
        <f aca="false">IF($E441="","Unmatched","Matched")</f>
        <v>Unmatched</v>
      </c>
    </row>
    <row r="442" customFormat="false" ht="15" hidden="false" customHeight="false" outlineLevel="0" collapsed="false">
      <c r="A442" s="20" t="s">
        <v>116</v>
      </c>
      <c r="B442" s="20" t="n">
        <v>2026</v>
      </c>
      <c r="C442" s="21" t="n">
        <v>2</v>
      </c>
      <c r="D442" s="22" t="n">
        <v>168.64</v>
      </c>
      <c r="E442" s="20" t="str">
        <f aca="false">IFERROR(INDEX('TRANS'!$B:$B,MATCH($A442,'TRANS'!$A:$A,0)),IFERROR(INDEX('TRANS'!$B:$B,MATCH(TRIM(SUBSTITUTE($A442,CHAR(160)," ")),'TRANS'!$D:$D,0)),""))</f>
        <v/>
      </c>
      <c r="F442" s="20" t="str">
        <f aca="false">IF($E442="","Unmatched","Matched")</f>
        <v>Unmatched</v>
      </c>
    </row>
    <row r="443" customFormat="false" ht="15" hidden="false" customHeight="false" outlineLevel="0" collapsed="false">
      <c r="A443" s="20" t="s">
        <v>1187</v>
      </c>
      <c r="B443" s="20" t="n">
        <v>2025</v>
      </c>
      <c r="C443" s="21" t="n">
        <v>1</v>
      </c>
      <c r="D443" s="22" t="n">
        <v>187.45</v>
      </c>
      <c r="E443" s="20" t="n">
        <f aca="false">IFERROR(INDEX('TRANS'!$B:$B,MATCH($A443,'TRANS'!$A:$A,0)),IFERROR(INDEX('TRANS'!$B:$B,MATCH(TRIM(SUBSTITUTE($A443,CHAR(160)," ")),'TRANS'!$D:$D,0)),""))</f>
        <v>4408082</v>
      </c>
      <c r="F443" s="20" t="str">
        <f aca="false">IF($E443="","Unmatched","Matched")</f>
        <v>Matched</v>
      </c>
    </row>
    <row r="444" customFormat="false" ht="15" hidden="false" customHeight="false" outlineLevel="0" collapsed="false">
      <c r="A444" s="20" t="s">
        <v>1187</v>
      </c>
      <c r="B444" s="20" t="n">
        <v>2026</v>
      </c>
      <c r="C444" s="21" t="n">
        <v>4</v>
      </c>
      <c r="D444" s="22" t="n">
        <v>702.35</v>
      </c>
      <c r="E444" s="20" t="n">
        <f aca="false">IFERROR(INDEX('TRANS'!$B:$B,MATCH($A444,'TRANS'!$A:$A,0)),IFERROR(INDEX('TRANS'!$B:$B,MATCH(TRIM(SUBSTITUTE($A444,CHAR(160)," ")),'TRANS'!$D:$D,0)),""))</f>
        <v>4408082</v>
      </c>
      <c r="F444" s="20" t="str">
        <f aca="false">IF($E444="","Unmatched","Matched")</f>
        <v>Matched</v>
      </c>
    </row>
    <row r="445" customFormat="false" ht="15" hidden="false" customHeight="false" outlineLevel="0" collapsed="false">
      <c r="A445" s="20" t="s">
        <v>1126</v>
      </c>
      <c r="B445" s="20" t="n">
        <v>2025</v>
      </c>
      <c r="C445" s="21" t="n">
        <v>1</v>
      </c>
      <c r="D445" s="22" t="n">
        <v>210.88</v>
      </c>
      <c r="E445" s="20" t="n">
        <f aca="false">IFERROR(INDEX('TRANS'!$B:$B,MATCH($A445,'TRANS'!$A:$A,0)),IFERROR(INDEX('TRANS'!$B:$B,MATCH(TRIM(SUBSTITUTE($A445,CHAR(160)," ")),'TRANS'!$D:$D,0)),""))</f>
        <v>4413133</v>
      </c>
      <c r="F445" s="20" t="str">
        <f aca="false">IF($E445="","Unmatched","Matched")</f>
        <v>Matched</v>
      </c>
    </row>
    <row r="446" customFormat="false" ht="15" hidden="false" customHeight="false" outlineLevel="0" collapsed="false">
      <c r="A446" s="20" t="s">
        <v>1126</v>
      </c>
      <c r="B446" s="20" t="n">
        <v>2026</v>
      </c>
      <c r="C446" s="21" t="n">
        <v>1</v>
      </c>
      <c r="D446" s="22" t="n">
        <v>160</v>
      </c>
      <c r="E446" s="20" t="n">
        <f aca="false">IFERROR(INDEX('TRANS'!$B:$B,MATCH($A446,'TRANS'!$A:$A,0)),IFERROR(INDEX('TRANS'!$B:$B,MATCH(TRIM(SUBSTITUTE($A446,CHAR(160)," ")),'TRANS'!$D:$D,0)),""))</f>
        <v>4413133</v>
      </c>
      <c r="F446" s="20" t="str">
        <f aca="false">IF($E446="","Unmatched","Matched")</f>
        <v>Matched</v>
      </c>
    </row>
    <row r="447" customFormat="false" ht="15" hidden="false" customHeight="false" outlineLevel="0" collapsed="false">
      <c r="A447" s="20" t="s">
        <v>1128</v>
      </c>
      <c r="B447" s="20" t="n">
        <v>2026</v>
      </c>
      <c r="C447" s="21" t="n">
        <v>1</v>
      </c>
      <c r="D447" s="22" t="n">
        <v>160</v>
      </c>
      <c r="E447" s="20" t="n">
        <f aca="false">IFERROR(INDEX('TRANS'!$B:$B,MATCH($A447,'TRANS'!$A:$A,0)),IFERROR(INDEX('TRANS'!$B:$B,MATCH(TRIM(SUBSTITUTE($A447,CHAR(160)," ")),'TRANS'!$D:$D,0)),""))</f>
        <v>4413134</v>
      </c>
      <c r="F447" s="20" t="str">
        <f aca="false">IF($E447="","Unmatched","Matched")</f>
        <v>Matched</v>
      </c>
    </row>
    <row r="448" customFormat="false" ht="15" hidden="false" customHeight="false" outlineLevel="0" collapsed="false">
      <c r="A448" s="20" t="s">
        <v>131</v>
      </c>
      <c r="B448" s="20" t="n">
        <v>2026</v>
      </c>
      <c r="C448" s="21" t="n">
        <v>1</v>
      </c>
      <c r="D448" s="22" t="n">
        <v>350</v>
      </c>
      <c r="E448" s="20" t="str">
        <f aca="false">IFERROR(INDEX('TRANS'!$B:$B,MATCH($A448,'TRANS'!$A:$A,0)),IFERROR(INDEX('TRANS'!$B:$B,MATCH(TRIM(SUBSTITUTE($A448,CHAR(160)," ")),'TRANS'!$D:$D,0)),""))</f>
        <v/>
      </c>
      <c r="F448" s="20" t="str">
        <f aca="false">IF($E448="","Unmatched","Matched")</f>
        <v>Unmatched</v>
      </c>
    </row>
    <row r="449" customFormat="false" ht="15" hidden="false" customHeight="false" outlineLevel="0" collapsed="false">
      <c r="A449" s="20" t="s">
        <v>1035</v>
      </c>
      <c r="B449" s="20" t="n">
        <v>2025</v>
      </c>
      <c r="C449" s="21" t="n">
        <v>10</v>
      </c>
      <c r="D449" s="22" t="n">
        <v>1300</v>
      </c>
      <c r="E449" s="20" t="n">
        <f aca="false">IFERROR(INDEX('TRANS'!$B:$B,MATCH($A449,'TRANS'!$A:$A,0)),IFERROR(INDEX('TRANS'!$B:$B,MATCH(TRIM(SUBSTITUTE($A449,CHAR(160)," ")),'TRANS'!$D:$D,0)),""))</f>
        <v>4408027</v>
      </c>
      <c r="F449" s="20" t="str">
        <f aca="false">IF($E449="","Unmatched","Matched")</f>
        <v>Matched</v>
      </c>
    </row>
    <row r="450" customFormat="false" ht="15" hidden="false" customHeight="false" outlineLevel="0" collapsed="false">
      <c r="A450" s="20" t="s">
        <v>1037</v>
      </c>
      <c r="B450" s="20" t="n">
        <v>2025</v>
      </c>
      <c r="C450" s="21" t="n">
        <v>11</v>
      </c>
      <c r="D450" s="22" t="n">
        <v>1451.23</v>
      </c>
      <c r="E450" s="20" t="n">
        <f aca="false">IFERROR(INDEX('TRANS'!$B:$B,MATCH($A450,'TRANS'!$A:$A,0)),IFERROR(INDEX('TRANS'!$B:$B,MATCH(TRIM(SUBSTITUTE($A450,CHAR(160)," ")),'TRANS'!$D:$D,0)),""))</f>
        <v>4408028</v>
      </c>
      <c r="F450" s="20" t="str">
        <f aca="false">IF($E450="","Unmatched","Matched")</f>
        <v>Matched</v>
      </c>
    </row>
    <row r="451" customFormat="false" ht="15" hidden="false" customHeight="false" outlineLevel="0" collapsed="false">
      <c r="A451" s="20" t="s">
        <v>1039</v>
      </c>
      <c r="B451" s="20" t="n">
        <v>2025</v>
      </c>
      <c r="C451" s="21" t="n">
        <v>10</v>
      </c>
      <c r="D451" s="22" t="n">
        <v>1300</v>
      </c>
      <c r="E451" s="20" t="n">
        <f aca="false">IFERROR(INDEX('TRANS'!$B:$B,MATCH($A451,'TRANS'!$A:$A,0)),IFERROR(INDEX('TRANS'!$B:$B,MATCH(TRIM(SUBSTITUTE($A451,CHAR(160)," ")),'TRANS'!$D:$D,0)),""))</f>
        <v>4408029</v>
      </c>
      <c r="F451" s="20" t="str">
        <f aca="false">IF($E451="","Unmatched","Matched")</f>
        <v>Matched</v>
      </c>
    </row>
    <row r="452" customFormat="false" ht="15" hidden="false" customHeight="false" outlineLevel="0" collapsed="false">
      <c r="A452" s="20" t="s">
        <v>70</v>
      </c>
      <c r="B452" s="20" t="n">
        <v>2025</v>
      </c>
      <c r="C452" s="21" t="n">
        <v>10</v>
      </c>
      <c r="D452" s="22" t="n">
        <v>1300</v>
      </c>
      <c r="E452" s="20" t="str">
        <f aca="false">IFERROR(INDEX('TRANS'!$B:$B,MATCH($A452,'TRANS'!$A:$A,0)),IFERROR(INDEX('TRANS'!$B:$B,MATCH(TRIM(SUBSTITUTE($A452,CHAR(160)," ")),'TRANS'!$D:$D,0)),""))</f>
        <v/>
      </c>
      <c r="F452" s="20" t="str">
        <f aca="false">IF($E452="","Unmatched","Matched")</f>
        <v>Unmatched</v>
      </c>
    </row>
    <row r="453" customFormat="false" ht="15" hidden="false" customHeight="false" outlineLevel="0" collapsed="false">
      <c r="A453" s="20" t="s">
        <v>65</v>
      </c>
      <c r="B453" s="20" t="n">
        <v>2025</v>
      </c>
      <c r="C453" s="21" t="n">
        <v>0</v>
      </c>
      <c r="D453" s="22" t="n">
        <v>0.01</v>
      </c>
      <c r="E453" s="20" t="str">
        <f aca="false">IFERROR(INDEX('TRANS'!$B:$B,MATCH($A453,'TRANS'!$A:$A,0)),IFERROR(INDEX('TRANS'!$B:$B,MATCH(TRIM(SUBSTITUTE($A453,CHAR(160)," ")),'TRANS'!$D:$D,0)),""))</f>
        <v/>
      </c>
      <c r="F453" s="20" t="str">
        <f aca="false">IF($E453="","Unmatched","Matched")</f>
        <v>Unmatched</v>
      </c>
    </row>
    <row r="454" customFormat="false" ht="15" hidden="false" customHeight="false" outlineLevel="0" collapsed="false">
      <c r="A454" s="20" t="s">
        <v>1017</v>
      </c>
      <c r="B454" s="20" t="n">
        <v>2025</v>
      </c>
      <c r="C454" s="21" t="n">
        <v>1</v>
      </c>
      <c r="D454" s="22" t="n">
        <v>117.14</v>
      </c>
      <c r="E454" s="20" t="n">
        <f aca="false">IFERROR(INDEX('TRANS'!$B:$B,MATCH($A454,'TRANS'!$A:$A,0)),IFERROR(INDEX('TRANS'!$B:$B,MATCH(TRIM(SUBSTITUTE($A454,CHAR(160)," ")),'TRANS'!$D:$D,0)),""))</f>
        <v>4408192</v>
      </c>
      <c r="F454" s="20" t="str">
        <f aca="false">IF($E454="","Unmatched","Matched")</f>
        <v>Matched</v>
      </c>
    </row>
    <row r="455" customFormat="false" ht="15" hidden="false" customHeight="false" outlineLevel="0" collapsed="false">
      <c r="A455" s="20" t="s">
        <v>1017</v>
      </c>
      <c r="B455" s="20" t="n">
        <v>2026</v>
      </c>
      <c r="C455" s="21" t="n">
        <v>1</v>
      </c>
      <c r="D455" s="22" t="n">
        <v>117.13</v>
      </c>
      <c r="E455" s="20" t="n">
        <f aca="false">IFERROR(INDEX('TRANS'!$B:$B,MATCH($A455,'TRANS'!$A:$A,0)),IFERROR(INDEX('TRANS'!$B:$B,MATCH(TRIM(SUBSTITUTE($A455,CHAR(160)," ")),'TRANS'!$D:$D,0)),""))</f>
        <v>4408192</v>
      </c>
      <c r="F455" s="20" t="str">
        <f aca="false">IF($E455="","Unmatched","Matched")</f>
        <v>Matched</v>
      </c>
    </row>
    <row r="456" customFormat="false" ht="15" hidden="false" customHeight="false" outlineLevel="0" collapsed="false">
      <c r="A456" s="20" t="s">
        <v>1023</v>
      </c>
      <c r="B456" s="20" t="n">
        <v>2026</v>
      </c>
      <c r="C456" s="21" t="n">
        <v>1</v>
      </c>
      <c r="D456" s="22" t="n">
        <v>117.14</v>
      </c>
      <c r="E456" s="20" t="n">
        <f aca="false">IFERROR(INDEX('TRANS'!$B:$B,MATCH($A456,'TRANS'!$A:$A,0)),IFERROR(INDEX('TRANS'!$B:$B,MATCH(TRIM(SUBSTITUTE($A456,CHAR(160)," ")),'TRANS'!$D:$D,0)),""))</f>
        <v>4408218</v>
      </c>
      <c r="F456" s="20" t="str">
        <f aca="false">IF($E456="","Unmatched","Matched")</f>
        <v>Matched</v>
      </c>
    </row>
    <row r="457" customFormat="false" ht="15" hidden="false" customHeight="false" outlineLevel="0" collapsed="false">
      <c r="A457" s="20" t="s">
        <v>1027</v>
      </c>
      <c r="B457" s="20" t="n">
        <v>2026</v>
      </c>
      <c r="C457" s="21" t="n">
        <v>1</v>
      </c>
      <c r="D457" s="22" t="n">
        <v>262.45</v>
      </c>
      <c r="E457" s="20" t="n">
        <f aca="false">IFERROR(INDEX('TRANS'!$B:$B,MATCH($A457,'TRANS'!$A:$A,0)),IFERROR(INDEX('TRANS'!$B:$B,MATCH(TRIM(SUBSTITUTE($A457,CHAR(160)," ")),'TRANS'!$D:$D,0)),""))</f>
        <v>4408016</v>
      </c>
      <c r="F457" s="20" t="str">
        <f aca="false">IF($E457="","Unmatched","Matched")</f>
        <v>Matched</v>
      </c>
    </row>
    <row r="458" customFormat="false" ht="15" hidden="false" customHeight="false" outlineLevel="0" collapsed="false">
      <c r="A458" s="20" t="s">
        <v>1031</v>
      </c>
      <c r="B458" s="20" t="n">
        <v>2026</v>
      </c>
      <c r="C458" s="21" t="n">
        <v>1</v>
      </c>
      <c r="D458" s="22" t="n">
        <v>262.46</v>
      </c>
      <c r="E458" s="20" t="n">
        <f aca="false">IFERROR(INDEX('TRANS'!$B:$B,MATCH($A458,'TRANS'!$A:$A,0)),IFERROR(INDEX('TRANS'!$B:$B,MATCH(TRIM(SUBSTITUTE($A458,CHAR(160)," ")),'TRANS'!$D:$D,0)),""))</f>
        <v>4408017</v>
      </c>
      <c r="F458" s="20" t="str">
        <f aca="false">IF($E458="","Unmatched","Matched")</f>
        <v>Matched</v>
      </c>
    </row>
    <row r="459" customFormat="false" ht="15" hidden="false" customHeight="false" outlineLevel="0" collapsed="false">
      <c r="A459" s="20" t="s">
        <v>1033</v>
      </c>
      <c r="B459" s="20" t="n">
        <v>2025</v>
      </c>
      <c r="C459" s="21" t="n">
        <v>1</v>
      </c>
      <c r="D459" s="22" t="n">
        <v>262.45</v>
      </c>
      <c r="E459" s="20" t="n">
        <f aca="false">IFERROR(INDEX('TRANS'!$B:$B,MATCH($A459,'TRANS'!$A:$A,0)),IFERROR(INDEX('TRANS'!$B:$B,MATCH(TRIM(SUBSTITUTE($A459,CHAR(160)," ")),'TRANS'!$D:$D,0)),""))</f>
        <v>4408018</v>
      </c>
      <c r="F459" s="20" t="str">
        <f aca="false">IF($E459="","Unmatched","Matched")</f>
        <v>Matched</v>
      </c>
    </row>
    <row r="460" customFormat="false" ht="15" hidden="false" customHeight="false" outlineLevel="0" collapsed="false">
      <c r="A460" s="20" t="s">
        <v>1054</v>
      </c>
      <c r="B460" s="20" t="n">
        <v>2025</v>
      </c>
      <c r="C460" s="21" t="n">
        <v>2</v>
      </c>
      <c r="D460" s="22" t="n">
        <v>220.22</v>
      </c>
      <c r="E460" s="20" t="n">
        <f aca="false">IFERROR(INDEX('TRANS'!$B:$B,MATCH($A460,'TRANS'!$A:$A,0)),IFERROR(INDEX('TRANS'!$B:$B,MATCH(TRIM(SUBSTITUTE($A460,CHAR(160)," ")),'TRANS'!$D:$D,0)),""))</f>
        <v>4408132</v>
      </c>
      <c r="F460" s="20" t="str">
        <f aca="false">IF($E460="","Unmatched","Matched")</f>
        <v>Matched</v>
      </c>
    </row>
    <row r="461" customFormat="false" ht="15" hidden="false" customHeight="false" outlineLevel="0" collapsed="false">
      <c r="A461" s="20" t="s">
        <v>1054</v>
      </c>
      <c r="B461" s="20" t="n">
        <v>2026</v>
      </c>
      <c r="C461" s="21" t="n">
        <v>3</v>
      </c>
      <c r="D461" s="22" t="n">
        <v>255</v>
      </c>
      <c r="E461" s="20" t="n">
        <f aca="false">IFERROR(INDEX('TRANS'!$B:$B,MATCH($A461,'TRANS'!$A:$A,0)),IFERROR(INDEX('TRANS'!$B:$B,MATCH(TRIM(SUBSTITUTE($A461,CHAR(160)," ")),'TRANS'!$D:$D,0)),""))</f>
        <v>4408132</v>
      </c>
      <c r="F461" s="20" t="str">
        <f aca="false">IF($E461="","Unmatched","Matched")</f>
        <v>Matched</v>
      </c>
    </row>
    <row r="462" customFormat="false" ht="15" hidden="false" customHeight="false" outlineLevel="0" collapsed="false">
      <c r="A462" s="20" t="s">
        <v>74</v>
      </c>
      <c r="B462" s="20" t="n">
        <v>2026</v>
      </c>
      <c r="C462" s="21" t="n">
        <v>1</v>
      </c>
      <c r="D462" s="22" t="n">
        <v>156.97</v>
      </c>
      <c r="E462" s="20" t="str">
        <f aca="false">IFERROR(INDEX('TRANS'!$B:$B,MATCH($A462,'TRANS'!$A:$A,0)),IFERROR(INDEX('TRANS'!$B:$B,MATCH(TRIM(SUBSTITUTE($A462,CHAR(160)," ")),'TRANS'!$D:$D,0)),""))</f>
        <v/>
      </c>
      <c r="F462" s="20" t="str">
        <f aca="false">IF($E462="","Unmatched","Matched")</f>
        <v>Unmatched</v>
      </c>
    </row>
    <row r="463" customFormat="false" ht="15" hidden="false" customHeight="false" outlineLevel="0" collapsed="false">
      <c r="A463" s="20" t="s">
        <v>75</v>
      </c>
      <c r="B463" s="20" t="n">
        <v>2025</v>
      </c>
      <c r="C463" s="21" t="n">
        <v>1</v>
      </c>
      <c r="D463" s="22" t="n">
        <v>156.98</v>
      </c>
      <c r="E463" s="20" t="str">
        <f aca="false">IFERROR(INDEX('TRANS'!$B:$B,MATCH($A463,'TRANS'!$A:$A,0)),IFERROR(INDEX('TRANS'!$B:$B,MATCH(TRIM(SUBSTITUTE($A463,CHAR(160)," ")),'TRANS'!$D:$D,0)),""))</f>
        <v/>
      </c>
      <c r="F463" s="20" t="str">
        <f aca="false">IF($E463="","Unmatched","Matched")</f>
        <v>Unmatched</v>
      </c>
    </row>
    <row r="464" customFormat="false" ht="15" hidden="false" customHeight="false" outlineLevel="0" collapsed="false">
      <c r="A464" s="20" t="s">
        <v>1071</v>
      </c>
      <c r="B464" s="20" t="n">
        <v>2025</v>
      </c>
      <c r="C464" s="21" t="n">
        <v>3</v>
      </c>
      <c r="D464" s="22" t="n">
        <v>694.88</v>
      </c>
      <c r="E464" s="20" t="n">
        <f aca="false">IFERROR(INDEX('TRANS'!$B:$B,MATCH($A464,'TRANS'!$A:$A,0)),IFERROR(INDEX('TRANS'!$B:$B,MATCH(TRIM(SUBSTITUTE($A464,CHAR(160)," ")),'TRANS'!$D:$D,0)),""))</f>
        <v>4408203</v>
      </c>
      <c r="F464" s="20" t="str">
        <f aca="false">IF($E464="","Unmatched","Matched")</f>
        <v>Matched</v>
      </c>
    </row>
    <row r="465" customFormat="false" ht="15" hidden="false" customHeight="false" outlineLevel="0" collapsed="false">
      <c r="A465" s="20" t="s">
        <v>1071</v>
      </c>
      <c r="B465" s="20" t="n">
        <v>2026</v>
      </c>
      <c r="C465" s="21" t="n">
        <v>1</v>
      </c>
      <c r="D465" s="22" t="n">
        <v>262.45</v>
      </c>
      <c r="E465" s="20" t="n">
        <f aca="false">IFERROR(INDEX('TRANS'!$B:$B,MATCH($A465,'TRANS'!$A:$A,0)),IFERROR(INDEX('TRANS'!$B:$B,MATCH(TRIM(SUBSTITUTE($A465,CHAR(160)," ")),'TRANS'!$D:$D,0)),""))</f>
        <v>4408203</v>
      </c>
      <c r="F465" s="20" t="str">
        <f aca="false">IF($E465="","Unmatched","Matched")</f>
        <v>Matched</v>
      </c>
    </row>
    <row r="466" customFormat="false" ht="15" hidden="false" customHeight="false" outlineLevel="0" collapsed="false">
      <c r="A466" s="20" t="s">
        <v>76</v>
      </c>
      <c r="B466" s="20" t="n">
        <v>2025</v>
      </c>
      <c r="C466" s="21" t="n">
        <v>1</v>
      </c>
      <c r="D466" s="22" t="n">
        <v>140.57</v>
      </c>
      <c r="E466" s="20" t="str">
        <f aca="false">IFERROR(INDEX('TRANS'!$B:$B,MATCH($A466,'TRANS'!$A:$A,0)),IFERROR(INDEX('TRANS'!$B:$B,MATCH(TRIM(SUBSTITUTE($A466,CHAR(160)," ")),'TRANS'!$D:$D,0)),""))</f>
        <v/>
      </c>
      <c r="F466" s="20" t="str">
        <f aca="false">IF($E466="","Unmatched","Matched")</f>
        <v>Unmatched</v>
      </c>
    </row>
    <row r="467" customFormat="false" ht="15" hidden="false" customHeight="false" outlineLevel="0" collapsed="false">
      <c r="A467" s="20" t="s">
        <v>76</v>
      </c>
      <c r="B467" s="20" t="n">
        <v>2026</v>
      </c>
      <c r="C467" s="21" t="n">
        <v>1</v>
      </c>
      <c r="D467" s="22" t="n">
        <v>140.58</v>
      </c>
      <c r="E467" s="20" t="str">
        <f aca="false">IFERROR(INDEX('TRANS'!$B:$B,MATCH($A467,'TRANS'!$A:$A,0)),IFERROR(INDEX('TRANS'!$B:$B,MATCH(TRIM(SUBSTITUTE($A467,CHAR(160)," ")),'TRANS'!$D:$D,0)),""))</f>
        <v/>
      </c>
      <c r="F467" s="20" t="str">
        <f aca="false">IF($E467="","Unmatched","Matched")</f>
        <v>Unmatched</v>
      </c>
    </row>
    <row r="468" customFormat="false" ht="15" hidden="false" customHeight="false" outlineLevel="0" collapsed="false">
      <c r="A468" s="20" t="s">
        <v>77</v>
      </c>
      <c r="B468" s="20" t="n">
        <v>2026</v>
      </c>
      <c r="C468" s="21" t="n">
        <v>2</v>
      </c>
      <c r="D468" s="22" t="n">
        <v>281.14</v>
      </c>
      <c r="E468" s="20" t="str">
        <f aca="false">IFERROR(INDEX('TRANS'!$B:$B,MATCH($A468,'TRANS'!$A:$A,0)),IFERROR(INDEX('TRANS'!$B:$B,MATCH(TRIM(SUBSTITUTE($A468,CHAR(160)," ")),'TRANS'!$D:$D,0)),""))</f>
        <v/>
      </c>
      <c r="F468" s="20" t="str">
        <f aca="false">IF($E468="","Unmatched","Matched")</f>
        <v>Unmatched</v>
      </c>
    </row>
    <row r="469" customFormat="false" ht="15" hidden="false" customHeight="false" outlineLevel="0" collapsed="false">
      <c r="A469" s="20" t="s">
        <v>1072</v>
      </c>
      <c r="B469" s="20" t="n">
        <v>2025</v>
      </c>
      <c r="C469" s="21" t="n">
        <v>1</v>
      </c>
      <c r="D469" s="22" t="n">
        <v>132.32</v>
      </c>
      <c r="E469" s="20" t="n">
        <f aca="false">IFERROR(INDEX('TRANS'!$B:$B,MATCH($A469,'TRANS'!$A:$A,0)),IFERROR(INDEX('TRANS'!$B:$B,MATCH(TRIM(SUBSTITUTE($A469,CHAR(160)," ")),'TRANS'!$D:$D,0)),""))</f>
        <v>4408131</v>
      </c>
      <c r="F469" s="20" t="str">
        <f aca="false">IF($E469="","Unmatched","Matched")</f>
        <v>Matched</v>
      </c>
    </row>
    <row r="470" customFormat="false" ht="15" hidden="false" customHeight="false" outlineLevel="0" collapsed="false">
      <c r="A470" s="20" t="s">
        <v>78</v>
      </c>
      <c r="B470" s="20" t="n">
        <v>2025</v>
      </c>
      <c r="C470" s="21" t="n">
        <v>1</v>
      </c>
      <c r="D470" s="22" t="n">
        <v>140.58</v>
      </c>
      <c r="E470" s="20" t="str">
        <f aca="false">IFERROR(INDEX('TRANS'!$B:$B,MATCH($A470,'TRANS'!$A:$A,0)),IFERROR(INDEX('TRANS'!$B:$B,MATCH(TRIM(SUBSTITUTE($A470,CHAR(160)," ")),'TRANS'!$D:$D,0)),""))</f>
        <v/>
      </c>
      <c r="F470" s="20" t="str">
        <f aca="false">IF($E470="","Unmatched","Matched")</f>
        <v>Unmatched</v>
      </c>
    </row>
    <row r="471" customFormat="false" ht="15" hidden="false" customHeight="false" outlineLevel="0" collapsed="false">
      <c r="A471" s="20" t="s">
        <v>79</v>
      </c>
      <c r="B471" s="20" t="n">
        <v>2025</v>
      </c>
      <c r="C471" s="21" t="n">
        <v>1</v>
      </c>
      <c r="D471" s="22" t="n">
        <v>132.33</v>
      </c>
      <c r="E471" s="20" t="str">
        <f aca="false">IFERROR(INDEX('TRANS'!$B:$B,MATCH($A471,'TRANS'!$A:$A,0)),IFERROR(INDEX('TRANS'!$B:$B,MATCH(TRIM(SUBSTITUTE($A471,CHAR(160)," ")),'TRANS'!$D:$D,0)),""))</f>
        <v/>
      </c>
      <c r="F471" s="20" t="str">
        <f aca="false">IF($E471="","Unmatched","Matched")</f>
        <v>Unmatched</v>
      </c>
    </row>
    <row r="472" customFormat="false" ht="15" hidden="false" customHeight="false" outlineLevel="0" collapsed="false">
      <c r="A472" s="20" t="s">
        <v>84</v>
      </c>
      <c r="B472" s="20" t="n">
        <v>2026</v>
      </c>
      <c r="C472" s="21" t="n">
        <v>1</v>
      </c>
      <c r="D472" s="22" t="n">
        <v>309.32</v>
      </c>
      <c r="E472" s="20" t="str">
        <f aca="false">IFERROR(INDEX('TRANS'!$B:$B,MATCH($A472,'TRANS'!$A:$A,0)),IFERROR(INDEX('TRANS'!$B:$B,MATCH(TRIM(SUBSTITUTE($A472,CHAR(160)," ")),'TRANS'!$D:$D,0)),""))</f>
        <v/>
      </c>
      <c r="F472" s="20" t="str">
        <f aca="false">IF($E472="","Unmatched","Matched")</f>
        <v>Unmatched</v>
      </c>
    </row>
    <row r="473" customFormat="false" ht="15" hidden="false" customHeight="false" outlineLevel="0" collapsed="false">
      <c r="A473" s="20" t="s">
        <v>1282</v>
      </c>
      <c r="B473" s="20" t="n">
        <v>2026</v>
      </c>
      <c r="C473" s="21" t="n">
        <v>3</v>
      </c>
      <c r="D473" s="22" t="n">
        <v>119.39</v>
      </c>
      <c r="E473" s="20" t="n">
        <f aca="false">IFERROR(INDEX('TRANS'!$B:$B,MATCH($A473,'TRANS'!$A:$A,0)),IFERROR(INDEX('TRANS'!$B:$B,MATCH(TRIM(SUBSTITUTE($A473,CHAR(160)," ")),'TRANS'!$D:$D,0)),""))</f>
        <v>4411021</v>
      </c>
      <c r="F473" s="20" t="str">
        <f aca="false">IF($E473="","Unmatched","Matched")</f>
        <v>Matched</v>
      </c>
    </row>
    <row r="474" customFormat="false" ht="15" hidden="false" customHeight="false" outlineLevel="0" collapsed="false">
      <c r="A474" s="20" t="s">
        <v>1283</v>
      </c>
      <c r="B474" s="20" t="n">
        <v>2025</v>
      </c>
      <c r="C474" s="21" t="n">
        <v>5</v>
      </c>
      <c r="D474" s="22" t="n">
        <v>185.81</v>
      </c>
      <c r="E474" s="20" t="n">
        <f aca="false">IFERROR(INDEX('TRANS'!$B:$B,MATCH($A474,'TRANS'!$A:$A,0)),IFERROR(INDEX('TRANS'!$B:$B,MATCH(TRIM(SUBSTITUTE($A474,CHAR(160)," ")),'TRANS'!$D:$D,0)),""))</f>
        <v>4411022</v>
      </c>
      <c r="F474" s="20" t="str">
        <f aca="false">IF($E474="","Unmatched","Matched")</f>
        <v>Matched</v>
      </c>
    </row>
    <row r="475" customFormat="false" ht="15" hidden="false" customHeight="false" outlineLevel="0" collapsed="false">
      <c r="A475" s="20" t="s">
        <v>1283</v>
      </c>
      <c r="B475" s="20" t="n">
        <v>2026</v>
      </c>
      <c r="C475" s="21" t="n">
        <v>2</v>
      </c>
      <c r="D475" s="22" t="n">
        <v>79.6</v>
      </c>
      <c r="E475" s="20" t="n">
        <f aca="false">IFERROR(INDEX('TRANS'!$B:$B,MATCH($A475,'TRANS'!$A:$A,0)),IFERROR(INDEX('TRANS'!$B:$B,MATCH(TRIM(SUBSTITUTE($A475,CHAR(160)," ")),'TRANS'!$D:$D,0)),""))</f>
        <v>4411022</v>
      </c>
      <c r="F475" s="20" t="str">
        <f aca="false">IF($E475="","Unmatched","Matched")</f>
        <v>Matched</v>
      </c>
    </row>
    <row r="476" customFormat="false" ht="15" hidden="false" customHeight="false" outlineLevel="0" collapsed="false">
      <c r="A476" s="20" t="s">
        <v>1284</v>
      </c>
      <c r="B476" s="20" t="n">
        <v>2025</v>
      </c>
      <c r="C476" s="21" t="n">
        <v>4</v>
      </c>
      <c r="D476" s="22" t="n">
        <v>150.4</v>
      </c>
      <c r="E476" s="20" t="n">
        <f aca="false">IFERROR(INDEX('TRANS'!$B:$B,MATCH($A476,'TRANS'!$A:$A,0)),IFERROR(INDEX('TRANS'!$B:$B,MATCH(TRIM(SUBSTITUTE($A476,CHAR(160)," ")),'TRANS'!$D:$D,0)),""))</f>
        <v>4411023</v>
      </c>
      <c r="F476" s="20" t="str">
        <f aca="false">IF($E476="","Unmatched","Matched")</f>
        <v>Matched</v>
      </c>
    </row>
    <row r="477" customFormat="false" ht="15" hidden="false" customHeight="false" outlineLevel="0" collapsed="false">
      <c r="A477" s="20" t="s">
        <v>1284</v>
      </c>
      <c r="B477" s="20" t="n">
        <v>2026</v>
      </c>
      <c r="C477" s="21" t="n">
        <v>3</v>
      </c>
      <c r="D477" s="22" t="n">
        <v>119.38</v>
      </c>
      <c r="E477" s="20" t="n">
        <f aca="false">IFERROR(INDEX('TRANS'!$B:$B,MATCH($A477,'TRANS'!$A:$A,0)),IFERROR(INDEX('TRANS'!$B:$B,MATCH(TRIM(SUBSTITUTE($A477,CHAR(160)," ")),'TRANS'!$D:$D,0)),""))</f>
        <v>4411023</v>
      </c>
      <c r="F477" s="20" t="str">
        <f aca="false">IF($E477="","Unmatched","Matched")</f>
        <v>Matched</v>
      </c>
    </row>
    <row r="478" customFormat="false" ht="15" hidden="false" customHeight="false" outlineLevel="0" collapsed="false">
      <c r="A478" s="20" t="s">
        <v>1295</v>
      </c>
      <c r="B478" s="20" t="n">
        <v>2026</v>
      </c>
      <c r="C478" s="21" t="n">
        <v>2</v>
      </c>
      <c r="D478" s="22" t="n">
        <v>206.14</v>
      </c>
      <c r="E478" s="20" t="n">
        <f aca="false">IFERROR(INDEX('TRANS'!$B:$B,MATCH($A478,'TRANS'!$A:$A,0)),IFERROR(INDEX('TRANS'!$B:$B,MATCH(TRIM(SUBSTITUTE($A478,CHAR(160)," ")),'TRANS'!$D:$D,0)),""))</f>
        <v>4415000</v>
      </c>
      <c r="F478" s="20" t="str">
        <f aca="false">IF($E478="","Unmatched","Matched")</f>
        <v>Matched</v>
      </c>
    </row>
    <row r="479" customFormat="false" ht="15" hidden="false" customHeight="false" outlineLevel="0" collapsed="false">
      <c r="A479" s="20" t="s">
        <v>1302</v>
      </c>
      <c r="B479" s="20" t="n">
        <v>2026</v>
      </c>
      <c r="C479" s="21" t="n">
        <v>1</v>
      </c>
      <c r="D479" s="22" t="n">
        <v>103.09</v>
      </c>
      <c r="E479" s="20" t="n">
        <f aca="false">IFERROR(INDEX('TRANS'!$B:$B,MATCH($A479,'TRANS'!$A:$A,0)),IFERROR(INDEX('TRANS'!$B:$B,MATCH(TRIM(SUBSTITUTE($A479,CHAR(160)," ")),'TRANS'!$D:$D,0)),""))</f>
        <v>4415025</v>
      </c>
      <c r="F479" s="20" t="str">
        <f aca="false">IF($E479="","Unmatched","Matched")</f>
        <v>Matched</v>
      </c>
    </row>
    <row r="480" customFormat="false" ht="15" hidden="false" customHeight="false" outlineLevel="0" collapsed="false">
      <c r="A480" s="20" t="s">
        <v>87</v>
      </c>
      <c r="B480" s="20" t="n">
        <v>2025</v>
      </c>
      <c r="C480" s="21" t="n">
        <v>6</v>
      </c>
      <c r="D480" s="22" t="n">
        <v>711.22</v>
      </c>
      <c r="E480" s="20" t="str">
        <f aca="false">IFERROR(INDEX('TRANS'!$B:$B,MATCH($A480,'TRANS'!$A:$A,0)),IFERROR(INDEX('TRANS'!$B:$B,MATCH(TRIM(SUBSTITUTE($A480,CHAR(160)," ")),'TRANS'!$D:$D,0)),""))</f>
        <v/>
      </c>
      <c r="F480" s="20" t="str">
        <f aca="false">IF($E480="","Unmatched","Matched")</f>
        <v>Unmatched</v>
      </c>
    </row>
    <row r="481" customFormat="false" ht="15" hidden="false" customHeight="false" outlineLevel="0" collapsed="false">
      <c r="A481" s="20" t="s">
        <v>88</v>
      </c>
      <c r="B481" s="20" t="n">
        <v>2025</v>
      </c>
      <c r="C481" s="21" t="n">
        <v>2</v>
      </c>
      <c r="D481" s="22" t="n">
        <v>187.4</v>
      </c>
      <c r="E481" s="20" t="str">
        <f aca="false">IFERROR(INDEX('TRANS'!$B:$B,MATCH($A481,'TRANS'!$A:$A,0)),IFERROR(INDEX('TRANS'!$B:$B,MATCH(TRIM(SUBSTITUTE($A481,CHAR(160)," ")),'TRANS'!$D:$D,0)),""))</f>
        <v/>
      </c>
      <c r="F481" s="20" t="str">
        <f aca="false">IF($E481="","Unmatched","Matched")</f>
        <v>Unmatched</v>
      </c>
    </row>
    <row r="482" customFormat="false" ht="15" hidden="false" customHeight="false" outlineLevel="0" collapsed="false">
      <c r="A482" s="20" t="s">
        <v>1156</v>
      </c>
      <c r="B482" s="20" t="n">
        <v>2026</v>
      </c>
      <c r="C482" s="21" t="n">
        <v>3</v>
      </c>
      <c r="D482" s="22" t="n">
        <v>281.09</v>
      </c>
      <c r="E482" s="20" t="n">
        <f aca="false">IFERROR(INDEX('TRANS'!$B:$B,MATCH($A482,'TRANS'!$A:$A,0)),IFERROR(INDEX('TRANS'!$B:$B,MATCH(TRIM(SUBSTITUTE($A482,CHAR(160)," ")),'TRANS'!$D:$D,0)),""))</f>
        <v>4413155</v>
      </c>
      <c r="F482" s="20" t="str">
        <f aca="false">IF($E482="","Unmatched","Matched")</f>
        <v>Matched</v>
      </c>
    </row>
    <row r="483" customFormat="false" ht="15" hidden="false" customHeight="false" outlineLevel="0" collapsed="false">
      <c r="A483" s="20" t="s">
        <v>1157</v>
      </c>
      <c r="B483" s="20" t="n">
        <v>2025</v>
      </c>
      <c r="C483" s="21" t="n">
        <v>8</v>
      </c>
      <c r="D483" s="22" t="n">
        <v>741.79</v>
      </c>
      <c r="E483" s="20" t="n">
        <f aca="false">IFERROR(INDEX('TRANS'!$B:$B,MATCH($A483,'TRANS'!$A:$A,0)),IFERROR(INDEX('TRANS'!$B:$B,MATCH(TRIM(SUBSTITUTE($A483,CHAR(160)," ")),'TRANS'!$D:$D,0)),""))</f>
        <v>4413156</v>
      </c>
      <c r="F483" s="20" t="str">
        <f aca="false">IF($E483="","Unmatched","Matched")</f>
        <v>Matched</v>
      </c>
    </row>
    <row r="484" customFormat="false" ht="15" hidden="false" customHeight="false" outlineLevel="0" collapsed="false">
      <c r="A484" s="20" t="s">
        <v>1158</v>
      </c>
      <c r="B484" s="20" t="n">
        <v>2025</v>
      </c>
      <c r="C484" s="21" t="n">
        <v>6</v>
      </c>
      <c r="D484" s="22" t="n">
        <v>560.63</v>
      </c>
      <c r="E484" s="20" t="n">
        <f aca="false">IFERROR(INDEX('TRANS'!$B:$B,MATCH($A484,'TRANS'!$A:$A,0)),IFERROR(INDEX('TRANS'!$B:$B,MATCH(TRIM(SUBSTITUTE($A484,CHAR(160)," ")),'TRANS'!$D:$D,0)),""))</f>
        <v>4413157</v>
      </c>
      <c r="F484" s="20" t="str">
        <f aca="false">IF($E484="","Unmatched","Matched")</f>
        <v>Matched</v>
      </c>
    </row>
    <row r="485" customFormat="false" ht="15" hidden="false" customHeight="false" outlineLevel="0" collapsed="false">
      <c r="A485" s="20" t="s">
        <v>1159</v>
      </c>
      <c r="B485" s="20" t="n">
        <v>2026</v>
      </c>
      <c r="C485" s="21" t="n">
        <v>2</v>
      </c>
      <c r="D485" s="22" t="n">
        <v>187.4</v>
      </c>
      <c r="E485" s="20" t="n">
        <f aca="false">IFERROR(INDEX('TRANS'!$B:$B,MATCH($A485,'TRANS'!$A:$A,0)),IFERROR(INDEX('TRANS'!$B:$B,MATCH(TRIM(SUBSTITUTE($A485,CHAR(160)," ")),'TRANS'!$D:$D,0)),""))</f>
        <v>4413158</v>
      </c>
      <c r="F485" s="20" t="str">
        <f aca="false">IF($E485="","Unmatched","Matched")</f>
        <v>Matched</v>
      </c>
    </row>
    <row r="486" customFormat="false" ht="15" hidden="false" customHeight="false" outlineLevel="0" collapsed="false">
      <c r="A486" s="20" t="s">
        <v>89</v>
      </c>
      <c r="B486" s="20" t="n">
        <v>2026</v>
      </c>
      <c r="C486" s="21" t="n">
        <v>1</v>
      </c>
      <c r="D486" s="22" t="n">
        <v>212.75</v>
      </c>
      <c r="E486" s="20" t="str">
        <f aca="false">IFERROR(INDEX('TRANS'!$B:$B,MATCH($A486,'TRANS'!$A:$A,0)),IFERROR(INDEX('TRANS'!$B:$B,MATCH(TRIM(SUBSTITUTE($A486,CHAR(160)," ")),'TRANS'!$D:$D,0)),""))</f>
        <v/>
      </c>
      <c r="F486" s="20" t="str">
        <f aca="false">IF($E486="","Unmatched","Matched")</f>
        <v>Unmatched</v>
      </c>
    </row>
    <row r="487" customFormat="false" ht="15" hidden="false" customHeight="false" outlineLevel="0" collapsed="false">
      <c r="A487" s="20" t="s">
        <v>91</v>
      </c>
      <c r="B487" s="20" t="n">
        <v>2026</v>
      </c>
      <c r="C487" s="21" t="n">
        <v>1</v>
      </c>
      <c r="D487" s="22" t="n">
        <v>123.23</v>
      </c>
      <c r="E487" s="20" t="str">
        <f aca="false">IFERROR(INDEX('TRANS'!$B:$B,MATCH($A487,'TRANS'!$A:$A,0)),IFERROR(INDEX('TRANS'!$B:$B,MATCH(TRIM(SUBSTITUTE($A487,CHAR(160)," ")),'TRANS'!$D:$D,0)),""))</f>
        <v/>
      </c>
      <c r="F487" s="20" t="str">
        <f aca="false">IF($E487="","Unmatched","Matched")</f>
        <v>Unmatched</v>
      </c>
    </row>
    <row r="488" customFormat="false" ht="15" hidden="false" customHeight="false" outlineLevel="0" collapsed="false">
      <c r="A488" s="20" t="s">
        <v>92</v>
      </c>
      <c r="B488" s="20" t="n">
        <v>2025</v>
      </c>
      <c r="C488" s="21" t="n">
        <v>1</v>
      </c>
      <c r="D488" s="22" t="n">
        <v>123.23</v>
      </c>
      <c r="E488" s="20" t="str">
        <f aca="false">IFERROR(INDEX('TRANS'!$B:$B,MATCH($A488,'TRANS'!$A:$A,0)),IFERROR(INDEX('TRANS'!$B:$B,MATCH(TRIM(SUBSTITUTE($A488,CHAR(160)," ")),'TRANS'!$D:$D,0)),""))</f>
        <v/>
      </c>
      <c r="F488" s="20" t="str">
        <f aca="false">IF($E488="","Unmatched","Matched")</f>
        <v>Unmatched</v>
      </c>
    </row>
    <row r="489" customFormat="false" ht="15" hidden="false" customHeight="false" outlineLevel="0" collapsed="false">
      <c r="A489" s="20" t="s">
        <v>1339</v>
      </c>
      <c r="B489" s="20" t="n">
        <v>2025</v>
      </c>
      <c r="C489" s="21" t="n">
        <v>1</v>
      </c>
      <c r="D489" s="22" t="n">
        <v>70.26</v>
      </c>
      <c r="E489" s="20" t="n">
        <f aca="false">IFERROR(INDEX('TRANS'!$B:$B,MATCH($A489,'TRANS'!$A:$A,0)),IFERROR(INDEX('TRANS'!$B:$B,MATCH(TRIM(SUBSTITUTE($A489,CHAR(160)," ")),'TRANS'!$D:$D,0)),""))</f>
        <v>4413161</v>
      </c>
      <c r="F489" s="20" t="str">
        <f aca="false">IF($E489="","Unmatched","Matched")</f>
        <v>Matched</v>
      </c>
    </row>
    <row r="490" customFormat="false" ht="15" hidden="false" customHeight="false" outlineLevel="0" collapsed="false">
      <c r="A490" s="20" t="s">
        <v>1339</v>
      </c>
      <c r="B490" s="20" t="n">
        <v>2026</v>
      </c>
      <c r="C490" s="21" t="n">
        <v>1</v>
      </c>
      <c r="D490" s="22" t="n">
        <v>70.26</v>
      </c>
      <c r="E490" s="20" t="n">
        <f aca="false">IFERROR(INDEX('TRANS'!$B:$B,MATCH($A490,'TRANS'!$A:$A,0)),IFERROR(INDEX('TRANS'!$B:$B,MATCH(TRIM(SUBSTITUTE($A490,CHAR(160)," ")),'TRANS'!$D:$D,0)),""))</f>
        <v>4413161</v>
      </c>
      <c r="F490" s="20" t="str">
        <f aca="false">IF($E490="","Unmatched","Matched")</f>
        <v>Matched</v>
      </c>
    </row>
    <row r="491" customFormat="false" ht="15" hidden="false" customHeight="false" outlineLevel="0" collapsed="false">
      <c r="A491" s="20" t="s">
        <v>1111</v>
      </c>
      <c r="B491" s="20" t="n">
        <v>2025</v>
      </c>
      <c r="C491" s="21" t="n">
        <v>15</v>
      </c>
      <c r="D491" s="22" t="n">
        <v>692.54</v>
      </c>
      <c r="E491" s="20" t="n">
        <f aca="false">IFERROR(INDEX('TRANS'!$B:$B,MATCH($A491,'TRANS'!$A:$A,0)),IFERROR(INDEX('TRANS'!$B:$B,MATCH(TRIM(SUBSTITUTE($A491,CHAR(160)," ")),'TRANS'!$D:$D,0)),""))</f>
        <v>4421008</v>
      </c>
      <c r="F491" s="20" t="str">
        <f aca="false">IF($E491="","Unmatched","Matched")</f>
        <v>Matched</v>
      </c>
    </row>
    <row r="492" customFormat="false" ht="15" hidden="false" customHeight="false" outlineLevel="0" collapsed="false">
      <c r="A492" s="20" t="s">
        <v>1111</v>
      </c>
      <c r="B492" s="20" t="n">
        <v>2026</v>
      </c>
      <c r="C492" s="21" t="n">
        <v>9</v>
      </c>
      <c r="D492" s="22" t="n">
        <v>421.39</v>
      </c>
      <c r="E492" s="20" t="n">
        <f aca="false">IFERROR(INDEX('TRANS'!$B:$B,MATCH($A492,'TRANS'!$A:$A,0)),IFERROR(INDEX('TRANS'!$B:$B,MATCH(TRIM(SUBSTITUTE($A492,CHAR(160)," ")),'TRANS'!$D:$D,0)),""))</f>
        <v>4421008</v>
      </c>
      <c r="F492" s="20" t="str">
        <f aca="false">IF($E492="","Unmatched","Matched")</f>
        <v>Matched</v>
      </c>
    </row>
    <row r="493" customFormat="false" ht="15" hidden="false" customHeight="false" outlineLevel="0" collapsed="false">
      <c r="A493" s="20" t="s">
        <v>1238</v>
      </c>
      <c r="B493" s="20" t="n">
        <v>2026</v>
      </c>
      <c r="C493" s="21" t="n">
        <v>4</v>
      </c>
      <c r="D493" s="22" t="n">
        <v>131.1</v>
      </c>
      <c r="E493" s="20" t="n">
        <f aca="false">IFERROR(INDEX('TRANS'!$B:$B,MATCH($A493,'TRANS'!$A:$A,0)),IFERROR(INDEX('TRANS'!$B:$B,MATCH(TRIM(SUBSTITUTE($A493,CHAR(160)," ")),'TRANS'!$D:$D,0)),""))</f>
        <v>4413058</v>
      </c>
      <c r="F493" s="20" t="str">
        <f aca="false">IF($E493="","Unmatched","Matched")</f>
        <v>Matched</v>
      </c>
    </row>
    <row r="494" customFormat="false" ht="15" hidden="false" customHeight="false" outlineLevel="0" collapsed="false">
      <c r="A494" s="20" t="s">
        <v>1248</v>
      </c>
      <c r="B494" s="20" t="n">
        <v>2026</v>
      </c>
      <c r="C494" s="21" t="n">
        <v>6</v>
      </c>
      <c r="D494" s="22" t="n">
        <v>100.93</v>
      </c>
      <c r="E494" s="20" t="n">
        <f aca="false">IFERROR(INDEX('TRANS'!$B:$B,MATCH($A494,'TRANS'!$A:$A,0)),IFERROR(INDEX('TRANS'!$B:$B,MATCH(TRIM(SUBSTITUTE($A494,CHAR(160)," ")),'TRANS'!$D:$D,0)),""))</f>
        <v>4413063</v>
      </c>
      <c r="F494" s="20" t="str">
        <f aca="false">IF($E494="","Unmatched","Matched")</f>
        <v>Matched</v>
      </c>
    </row>
    <row r="495" customFormat="false" ht="15" hidden="false" customHeight="false" outlineLevel="0" collapsed="false">
      <c r="A495" s="20" t="s">
        <v>1249</v>
      </c>
      <c r="B495" s="20" t="n">
        <v>2025</v>
      </c>
      <c r="C495" s="21" t="n">
        <v>9</v>
      </c>
      <c r="D495" s="22" t="n">
        <v>328.87</v>
      </c>
      <c r="E495" s="20" t="n">
        <f aca="false">IFERROR(INDEX('TRANS'!$B:$B,MATCH($A495,'TRANS'!$A:$A,0)),IFERROR(INDEX('TRANS'!$B:$B,MATCH(TRIM(SUBSTITUTE($A495,CHAR(160)," ")),'TRANS'!$D:$D,0)),""))</f>
        <v>4421003</v>
      </c>
      <c r="F495" s="20" t="str">
        <f aca="false">IF($E495="","Unmatched","Matched")</f>
        <v>Matched</v>
      </c>
    </row>
    <row r="496" customFormat="false" ht="15" hidden="false" customHeight="false" outlineLevel="0" collapsed="false">
      <c r="A496" s="20" t="s">
        <v>1249</v>
      </c>
      <c r="B496" s="20" t="n">
        <v>2026</v>
      </c>
      <c r="C496" s="21" t="n">
        <v>3</v>
      </c>
      <c r="D496" s="22" t="n">
        <v>112.36</v>
      </c>
      <c r="E496" s="20" t="n">
        <f aca="false">IFERROR(INDEX('TRANS'!$B:$B,MATCH($A496,'TRANS'!$A:$A,0)),IFERROR(INDEX('TRANS'!$B:$B,MATCH(TRIM(SUBSTITUTE($A496,CHAR(160)," ")),'TRANS'!$D:$D,0)),""))</f>
        <v>4421003</v>
      </c>
      <c r="F496" s="20" t="str">
        <f aca="false">IF($E496="","Unmatched","Matched")</f>
        <v>Matched</v>
      </c>
    </row>
    <row r="497" customFormat="false" ht="15" hidden="false" customHeight="false" outlineLevel="0" collapsed="false">
      <c r="A497" s="20" t="s">
        <v>1364</v>
      </c>
      <c r="B497" s="20" t="n">
        <v>2025</v>
      </c>
      <c r="C497" s="21" t="n">
        <v>2</v>
      </c>
      <c r="D497" s="22" t="n">
        <v>26.16</v>
      </c>
      <c r="E497" s="20" t="n">
        <f aca="false">IFERROR(INDEX('TRANS'!$B:$B,MATCH($A497,'TRANS'!$A:$A,0)),IFERROR(INDEX('TRANS'!$B:$B,MATCH(TRIM(SUBSTITUTE($A497,CHAR(160)," ")),'TRANS'!$D:$D,0)),""))</f>
        <v>4420000</v>
      </c>
      <c r="F497" s="20" t="str">
        <f aca="false">IF($E497="","Unmatched","Matched")</f>
        <v>Matched</v>
      </c>
    </row>
    <row r="498" customFormat="false" ht="15" hidden="false" customHeight="false" outlineLevel="0" collapsed="false">
      <c r="A498" s="20" t="s">
        <v>1366</v>
      </c>
      <c r="B498" s="20" t="n">
        <v>2025</v>
      </c>
      <c r="C498" s="21" t="n">
        <v>11</v>
      </c>
      <c r="D498" s="22" t="n">
        <v>132.15</v>
      </c>
      <c r="E498" s="20" t="n">
        <f aca="false">IFERROR(INDEX('TRANS'!$B:$B,MATCH($A498,'TRANS'!$A:$A,0)),IFERROR(INDEX('TRANS'!$B:$B,MATCH(TRIM(SUBSTITUTE($A498,CHAR(160)," ")),'TRANS'!$D:$D,0)),""))</f>
        <v>4420001</v>
      </c>
      <c r="F498" s="20" t="str">
        <f aca="false">IF($E498="","Unmatched","Matched")</f>
        <v>Matched</v>
      </c>
    </row>
    <row r="499" customFormat="false" ht="15" hidden="false" customHeight="false" outlineLevel="0" collapsed="false">
      <c r="A499" s="20" t="s">
        <v>1366</v>
      </c>
      <c r="B499" s="20" t="n">
        <v>2026</v>
      </c>
      <c r="C499" s="21" t="n">
        <v>2</v>
      </c>
      <c r="D499" s="22" t="n">
        <v>24.28</v>
      </c>
      <c r="E499" s="20" t="n">
        <f aca="false">IFERROR(INDEX('TRANS'!$B:$B,MATCH($A499,'TRANS'!$A:$A,0)),IFERROR(INDEX('TRANS'!$B:$B,MATCH(TRIM(SUBSTITUTE($A499,CHAR(160)," ")),'TRANS'!$D:$D,0)),""))</f>
        <v>4420001</v>
      </c>
      <c r="F499" s="20" t="str">
        <f aca="false">IF($E499="","Unmatched","Matched")</f>
        <v>Matched</v>
      </c>
    </row>
    <row r="500" customFormat="false" ht="15" hidden="false" customHeight="false" outlineLevel="0" collapsed="false">
      <c r="A500" s="20" t="s">
        <v>1009</v>
      </c>
      <c r="B500" s="20" t="n">
        <v>2025</v>
      </c>
      <c r="C500" s="21" t="n">
        <v>38</v>
      </c>
      <c r="D500" s="22" t="n">
        <v>1202.72</v>
      </c>
      <c r="E500" s="20" t="n">
        <f aca="false">IFERROR(INDEX('TRANS'!$B:$B,MATCH($A500,'TRANS'!$A:$A,0)),IFERROR(INDEX('TRANS'!$B:$B,MATCH(TRIM(SUBSTITUTE($A500,CHAR(160)," ")),'TRANS'!$D:$D,0)),""))</f>
        <v>4403005</v>
      </c>
      <c r="F500" s="20" t="str">
        <f aca="false">IF($E500="","Unmatched","Matched")</f>
        <v>Matched</v>
      </c>
    </row>
    <row r="501" customFormat="false" ht="15" hidden="false" customHeight="false" outlineLevel="0" collapsed="false">
      <c r="A501" s="20" t="s">
        <v>98</v>
      </c>
      <c r="B501" s="20" t="n">
        <v>2026</v>
      </c>
      <c r="C501" s="21" t="n">
        <v>1</v>
      </c>
      <c r="D501" s="22" t="n">
        <v>28.08</v>
      </c>
      <c r="E501" s="20" t="str">
        <f aca="false">IFERROR(INDEX('TRANS'!$B:$B,MATCH($A501,'TRANS'!$A:$A,0)),IFERROR(INDEX('TRANS'!$B:$B,MATCH(TRIM(SUBSTITUTE($A501,CHAR(160)," ")),'TRANS'!$D:$D,0)),""))</f>
        <v/>
      </c>
      <c r="F501" s="20" t="str">
        <f aca="false">IF($E501="","Unmatched","Matched")</f>
        <v>Unmatched</v>
      </c>
    </row>
    <row r="502" customFormat="false" ht="15" hidden="false" customHeight="false" outlineLevel="0" collapsed="false">
      <c r="A502" s="20" t="s">
        <v>1000</v>
      </c>
      <c r="B502" s="20" t="n">
        <v>2026</v>
      </c>
      <c r="C502" s="21" t="n">
        <v>2</v>
      </c>
      <c r="D502" s="22" t="n">
        <v>56.16</v>
      </c>
      <c r="E502" s="20" t="n">
        <f aca="false">IFERROR(INDEX('TRANS'!$B:$B,MATCH($A502,'TRANS'!$A:$A,0)),IFERROR(INDEX('TRANS'!$B:$B,MATCH(TRIM(SUBSTITUTE($A502,CHAR(160)," ")),'TRANS'!$D:$D,0)),""))</f>
        <v>4403023</v>
      </c>
      <c r="F502" s="20" t="str">
        <f aca="false">IF($E502="","Unmatched","Matched")</f>
        <v>Matched</v>
      </c>
    </row>
    <row r="503" customFormat="false" ht="15" hidden="false" customHeight="false" outlineLevel="0" collapsed="false">
      <c r="A503" s="20" t="s">
        <v>1003</v>
      </c>
      <c r="B503" s="20" t="n">
        <v>2026</v>
      </c>
      <c r="C503" s="21" t="n">
        <v>9</v>
      </c>
      <c r="D503" s="22" t="n">
        <v>273.78</v>
      </c>
      <c r="E503" s="20" t="n">
        <f aca="false">IFERROR(INDEX('TRANS'!$B:$B,MATCH($A503,'TRANS'!$A:$A,0)),IFERROR(INDEX('TRANS'!$B:$B,MATCH(TRIM(SUBSTITUTE($A503,CHAR(160)," ")),'TRANS'!$D:$D,0)),""))</f>
        <v>4403044</v>
      </c>
      <c r="F503" s="20" t="str">
        <f aca="false">IF($E503="","Unmatched","Matched")</f>
        <v>Matched</v>
      </c>
    </row>
    <row r="504" customFormat="false" ht="15" hidden="false" customHeight="false" outlineLevel="0" collapsed="false">
      <c r="A504" s="20" t="s">
        <v>1004</v>
      </c>
      <c r="B504" s="20" t="n">
        <v>2026</v>
      </c>
      <c r="C504" s="21" t="n">
        <v>22</v>
      </c>
      <c r="D504" s="22" t="n">
        <v>669.24</v>
      </c>
      <c r="E504" s="20" t="n">
        <f aca="false">IFERROR(INDEX('TRANS'!$B:$B,MATCH($A504,'TRANS'!$A:$A,0)),IFERROR(INDEX('TRANS'!$B:$B,MATCH(TRIM(SUBSTITUTE($A504,CHAR(160)," ")),'TRANS'!$D:$D,0)),""))</f>
        <v>4403045</v>
      </c>
      <c r="F504" s="20" t="str">
        <f aca="false">IF($E504="","Unmatched","Matched")</f>
        <v>Matched</v>
      </c>
    </row>
    <row r="505" customFormat="false" ht="15" hidden="false" customHeight="false" outlineLevel="0" collapsed="false">
      <c r="A505" s="20" t="s">
        <v>932</v>
      </c>
      <c r="B505" s="20" t="n">
        <v>2025</v>
      </c>
      <c r="C505" s="21" t="n">
        <v>6</v>
      </c>
      <c r="D505" s="22" t="n">
        <v>567.81</v>
      </c>
      <c r="E505" s="20" t="n">
        <f aca="false">IFERROR(INDEX('TRANS'!$B:$B,MATCH($A505,'TRANS'!$A:$A,0)),IFERROR(INDEX('TRANS'!$B:$B,MATCH(TRIM(SUBSTITUTE($A505,CHAR(160)," ")),'TRANS'!$D:$D,0)),""))</f>
        <v>4420017</v>
      </c>
      <c r="F505" s="20" t="str">
        <f aca="false">IF($E505="","Unmatched","Matched")</f>
        <v>Matched</v>
      </c>
    </row>
    <row r="506" customFormat="false" ht="15" hidden="false" customHeight="false" outlineLevel="0" collapsed="false">
      <c r="A506" s="20" t="s">
        <v>932</v>
      </c>
      <c r="B506" s="20" t="n">
        <v>2026</v>
      </c>
      <c r="C506" s="21" t="n">
        <v>4</v>
      </c>
      <c r="D506" s="22" t="n">
        <v>378.54</v>
      </c>
      <c r="E506" s="20" t="n">
        <f aca="false">IFERROR(INDEX('TRANS'!$B:$B,MATCH($A506,'TRANS'!$A:$A,0)),IFERROR(INDEX('TRANS'!$B:$B,MATCH(TRIM(SUBSTITUTE($A506,CHAR(160)," ")),'TRANS'!$D:$D,0)),""))</f>
        <v>4420017</v>
      </c>
      <c r="F506" s="20" t="str">
        <f aca="false">IF($E506="","Unmatched","Matched")</f>
        <v>Matched</v>
      </c>
    </row>
    <row r="507" customFormat="false" ht="15" hidden="false" customHeight="false" outlineLevel="0" collapsed="false">
      <c r="A507" s="20" t="s">
        <v>936</v>
      </c>
      <c r="B507" s="20" t="n">
        <v>2026</v>
      </c>
      <c r="C507" s="21" t="n">
        <v>1</v>
      </c>
      <c r="D507" s="22" t="n">
        <v>126.51</v>
      </c>
      <c r="E507" s="20" t="n">
        <f aca="false">IFERROR(INDEX('TRANS'!$B:$B,MATCH($A507,'TRANS'!$A:$A,0)),IFERROR(INDEX('TRANS'!$B:$B,MATCH(TRIM(SUBSTITUTE($A507,CHAR(160)," ")),'TRANS'!$D:$D,0)),""))</f>
        <v>4413073</v>
      </c>
      <c r="F507" s="20" t="str">
        <f aca="false">IF($E507="","Unmatched","Matched")</f>
        <v>Matched</v>
      </c>
    </row>
    <row r="508" customFormat="false" ht="15" hidden="false" customHeight="false" outlineLevel="0" collapsed="false">
      <c r="A508" s="20" t="s">
        <v>104</v>
      </c>
      <c r="B508" s="20" t="n">
        <v>2025</v>
      </c>
      <c r="C508" s="21" t="n">
        <v>1</v>
      </c>
      <c r="D508" s="22" t="n">
        <v>187.45</v>
      </c>
      <c r="E508" s="20" t="str">
        <f aca="false">IFERROR(INDEX('TRANS'!$B:$B,MATCH($A508,'TRANS'!$A:$A,0)),IFERROR(INDEX('TRANS'!$B:$B,MATCH(TRIM(SUBSTITUTE($A508,CHAR(160)," ")),'TRANS'!$D:$D,0)),""))</f>
        <v/>
      </c>
      <c r="F508" s="20" t="str">
        <f aca="false">IF($E508="","Unmatched","Matched")</f>
        <v>Unmatched</v>
      </c>
    </row>
    <row r="509" customFormat="false" ht="15" hidden="false" customHeight="false" outlineLevel="0" collapsed="false">
      <c r="A509" s="20" t="s">
        <v>107</v>
      </c>
      <c r="B509" s="20" t="n">
        <v>2026</v>
      </c>
      <c r="C509" s="21" t="n">
        <v>1</v>
      </c>
      <c r="D509" s="22" t="n">
        <v>330.88</v>
      </c>
      <c r="E509" s="20" t="str">
        <f aca="false">IFERROR(INDEX('TRANS'!$B:$B,MATCH($A509,'TRANS'!$A:$A,0)),IFERROR(INDEX('TRANS'!$B:$B,MATCH(TRIM(SUBSTITUTE($A509,CHAR(160)," ")),'TRANS'!$D:$D,0)),""))</f>
        <v/>
      </c>
      <c r="F509" s="20" t="str">
        <f aca="false">IF($E509="","Unmatched","Matched")</f>
        <v>Unmatched</v>
      </c>
    </row>
    <row r="510" customFormat="false" ht="15" hidden="false" customHeight="false" outlineLevel="0" collapsed="false">
      <c r="A510" s="20" t="s">
        <v>1180</v>
      </c>
      <c r="B510" s="20" t="n">
        <v>2025</v>
      </c>
      <c r="C510" s="21" t="n">
        <v>4</v>
      </c>
      <c r="D510" s="22" t="n">
        <v>746.67</v>
      </c>
      <c r="E510" s="20" t="n">
        <f aca="false">IFERROR(INDEX('TRANS'!$B:$B,MATCH($A510,'TRANS'!$A:$A,0)),IFERROR(INDEX('TRANS'!$B:$B,MATCH(TRIM(SUBSTITUTE($A510,CHAR(160)," ")),'TRANS'!$D:$D,0)),""))</f>
        <v>4408076</v>
      </c>
      <c r="F510" s="20" t="str">
        <f aca="false">IF($E510="","Unmatched","Matched")</f>
        <v>Matched</v>
      </c>
    </row>
    <row r="511" customFormat="false" ht="15" hidden="false" customHeight="false" outlineLevel="0" collapsed="false">
      <c r="A511" s="20" t="s">
        <v>1180</v>
      </c>
      <c r="B511" s="20" t="n">
        <v>2026</v>
      </c>
      <c r="C511" s="21" t="n">
        <v>6</v>
      </c>
      <c r="D511" s="22" t="n">
        <v>1029.79</v>
      </c>
      <c r="E511" s="20" t="n">
        <f aca="false">IFERROR(INDEX('TRANS'!$B:$B,MATCH($A511,'TRANS'!$A:$A,0)),IFERROR(INDEX('TRANS'!$B:$B,MATCH(TRIM(SUBSTITUTE($A511,CHAR(160)," ")),'TRANS'!$D:$D,0)),""))</f>
        <v>4408076</v>
      </c>
      <c r="F511" s="20" t="str">
        <f aca="false">IF($E511="","Unmatched","Matched")</f>
        <v>Matched</v>
      </c>
    </row>
    <row r="512" customFormat="false" ht="15" hidden="false" customHeight="false" outlineLevel="0" collapsed="false">
      <c r="A512" s="20" t="s">
        <v>1182</v>
      </c>
      <c r="B512" s="20" t="n">
        <v>2025</v>
      </c>
      <c r="C512" s="21" t="n">
        <v>1</v>
      </c>
      <c r="D512" s="22" t="n">
        <v>187.45</v>
      </c>
      <c r="E512" s="20" t="n">
        <f aca="false">IFERROR(INDEX('TRANS'!$B:$B,MATCH($A512,'TRANS'!$A:$A,0)),IFERROR(INDEX('TRANS'!$B:$B,MATCH(TRIM(SUBSTITUTE($A512,CHAR(160)," ")),'TRANS'!$D:$D,0)),""))</f>
        <v>4408075</v>
      </c>
      <c r="F512" s="20" t="str">
        <f aca="false">IF($E512="","Unmatched","Matched")</f>
        <v>Matched</v>
      </c>
    </row>
    <row r="513" customFormat="false" ht="15" hidden="false" customHeight="false" outlineLevel="0" collapsed="false">
      <c r="A513" s="20" t="s">
        <v>1183</v>
      </c>
      <c r="B513" s="20" t="n">
        <v>2025</v>
      </c>
      <c r="C513" s="21" t="n">
        <v>2</v>
      </c>
      <c r="D513" s="22" t="n">
        <v>371.77</v>
      </c>
      <c r="E513" s="20" t="n">
        <f aca="false">IFERROR(INDEX('TRANS'!$B:$B,MATCH($A513,'TRANS'!$A:$A,0)),IFERROR(INDEX('TRANS'!$B:$B,MATCH(TRIM(SUBSTITUTE($A513,CHAR(160)," ")),'TRANS'!$D:$D,0)),""))</f>
        <v>4408078</v>
      </c>
      <c r="F513" s="20" t="str">
        <f aca="false">IF($E513="","Unmatched","Matched")</f>
        <v>Matched</v>
      </c>
    </row>
    <row r="514" customFormat="false" ht="15" hidden="false" customHeight="false" outlineLevel="0" collapsed="false">
      <c r="A514" s="20" t="s">
        <v>119</v>
      </c>
      <c r="B514" s="20" t="n">
        <v>2026</v>
      </c>
      <c r="C514" s="21" t="n">
        <v>1</v>
      </c>
      <c r="D514" s="22" t="n">
        <v>187.45</v>
      </c>
      <c r="E514" s="20" t="str">
        <f aca="false">IFERROR(INDEX('TRANS'!$B:$B,MATCH($A514,'TRANS'!$A:$A,0)),IFERROR(INDEX('TRANS'!$B:$B,MATCH(TRIM(SUBSTITUTE($A514,CHAR(160)," ")),'TRANS'!$D:$D,0)),""))</f>
        <v/>
      </c>
      <c r="F514" s="20" t="str">
        <f aca="false">IF($E514="","Unmatched","Matched")</f>
        <v>Unmatched</v>
      </c>
    </row>
    <row r="515" customFormat="false" ht="15" hidden="false" customHeight="false" outlineLevel="0" collapsed="false">
      <c r="A515" s="20" t="s">
        <v>1079</v>
      </c>
      <c r="B515" s="20" t="n">
        <v>2025</v>
      </c>
      <c r="C515" s="21" t="n">
        <v>1</v>
      </c>
      <c r="D515" s="22" t="n">
        <v>260</v>
      </c>
      <c r="E515" s="20" t="n">
        <f aca="false">IFERROR(INDEX('TRANS'!$B:$B,MATCH($A515,'TRANS'!$A:$A,0)),IFERROR(INDEX('TRANS'!$B:$B,MATCH(TRIM(SUBSTITUTE($A515,CHAR(160)," ")),'TRANS'!$D:$D,0)),""))</f>
        <v>4408271</v>
      </c>
      <c r="F515" s="20" t="str">
        <f aca="false">IF($E515="","Unmatched","Matched")</f>
        <v>Matched</v>
      </c>
    </row>
    <row r="516" customFormat="false" ht="15" hidden="false" customHeight="false" outlineLevel="0" collapsed="false">
      <c r="A516" s="20" t="s">
        <v>1079</v>
      </c>
      <c r="B516" s="20" t="n">
        <v>2026</v>
      </c>
      <c r="C516" s="21" t="n">
        <v>2</v>
      </c>
      <c r="D516" s="22" t="n">
        <v>583.38</v>
      </c>
      <c r="E516" s="20" t="n">
        <f aca="false">IFERROR(INDEX('TRANS'!$B:$B,MATCH($A516,'TRANS'!$A:$A,0)),IFERROR(INDEX('TRANS'!$B:$B,MATCH(TRIM(SUBSTITUTE($A516,CHAR(160)," ")),'TRANS'!$D:$D,0)),""))</f>
        <v>4408271</v>
      </c>
      <c r="F516" s="20" t="str">
        <f aca="false">IF($E516="","Unmatched","Matched")</f>
        <v>Matched</v>
      </c>
    </row>
    <row r="517" customFormat="false" ht="15" hidden="false" customHeight="false" outlineLevel="0" collapsed="false">
      <c r="A517" s="20" t="s">
        <v>1121</v>
      </c>
      <c r="B517" s="20" t="n">
        <v>2026</v>
      </c>
      <c r="C517" s="21" t="n">
        <v>1</v>
      </c>
      <c r="D517" s="22" t="n">
        <v>164.01</v>
      </c>
      <c r="E517" s="20" t="n">
        <f aca="false">IFERROR(INDEX('TRANS'!$B:$B,MATCH($A517,'TRANS'!$A:$A,0)),IFERROR(INDEX('TRANS'!$B:$B,MATCH(TRIM(SUBSTITUTE($A517,CHAR(160)," ")),'TRANS'!$D:$D,0)),""))</f>
        <v>4413127</v>
      </c>
      <c r="F517" s="20" t="str">
        <f aca="false">IF($E517="","Unmatched","Matched")</f>
        <v>Matched</v>
      </c>
    </row>
    <row r="518" customFormat="false" ht="15" hidden="false" customHeight="false" outlineLevel="0" collapsed="false">
      <c r="A518" s="20" t="s">
        <v>1127</v>
      </c>
      <c r="B518" s="20" t="n">
        <v>2026</v>
      </c>
      <c r="C518" s="21" t="n">
        <v>1</v>
      </c>
      <c r="D518" s="22" t="n">
        <v>210.88</v>
      </c>
      <c r="E518" s="20" t="n">
        <f aca="false">IFERROR(INDEX('TRANS'!$B:$B,MATCH($A518,'TRANS'!$A:$A,0)),IFERROR(INDEX('TRANS'!$B:$B,MATCH(TRIM(SUBSTITUTE($A518,CHAR(160)," ")),'TRANS'!$D:$D,0)),""))</f>
        <v>4413131</v>
      </c>
      <c r="F518" s="20" t="str">
        <f aca="false">IF($E518="","Unmatched","Matched")</f>
        <v>Matched</v>
      </c>
    </row>
    <row r="519" customFormat="false" ht="15" hidden="false" customHeight="false" outlineLevel="0" collapsed="false">
      <c r="A519" s="20" t="s">
        <v>124</v>
      </c>
      <c r="B519" s="20" t="n">
        <v>2025</v>
      </c>
      <c r="C519" s="21" t="n">
        <v>1</v>
      </c>
      <c r="D519" s="22" t="n">
        <v>472.68</v>
      </c>
      <c r="E519" s="20" t="str">
        <f aca="false">IFERROR(INDEX('TRANS'!$B:$B,MATCH($A519,'TRANS'!$A:$A,0)),IFERROR(INDEX('TRANS'!$B:$B,MATCH(TRIM(SUBSTITUTE($A519,CHAR(160)," ")),'TRANS'!$D:$D,0)),""))</f>
        <v/>
      </c>
      <c r="F519" s="20" t="str">
        <f aca="false">IF($E519="","Unmatched","Matched")</f>
        <v>Unmatched</v>
      </c>
    </row>
    <row r="520" customFormat="false" ht="15" hidden="false" customHeight="false" outlineLevel="0" collapsed="false">
      <c r="A520" s="20" t="s">
        <v>125</v>
      </c>
      <c r="B520" s="20" t="n">
        <v>2025</v>
      </c>
      <c r="C520" s="21" t="n">
        <v>1</v>
      </c>
      <c r="D520" s="22" t="n">
        <v>472.7</v>
      </c>
      <c r="E520" s="20" t="str">
        <f aca="false">IFERROR(INDEX('TRANS'!$B:$B,MATCH($A520,'TRANS'!$A:$A,0)),IFERROR(INDEX('TRANS'!$B:$B,MATCH(TRIM(SUBSTITUTE($A520,CHAR(160)," ")),'TRANS'!$D:$D,0)),""))</f>
        <v/>
      </c>
      <c r="F520" s="20" t="str">
        <f aca="false">IF($E520="","Unmatched","Matched")</f>
        <v>Unmatched</v>
      </c>
    </row>
    <row r="521" customFormat="false" ht="15" hidden="false" customHeight="false" outlineLevel="0" collapsed="false">
      <c r="A521" s="20" t="s">
        <v>127</v>
      </c>
      <c r="B521" s="20" t="n">
        <v>2025</v>
      </c>
      <c r="C521" s="21" t="n">
        <v>1</v>
      </c>
      <c r="D521" s="22" t="n">
        <v>165.41</v>
      </c>
      <c r="E521" s="20" t="str">
        <f aca="false">IFERROR(INDEX('TRANS'!$B:$B,MATCH($A521,'TRANS'!$A:$A,0)),IFERROR(INDEX('TRANS'!$B:$B,MATCH(TRIM(SUBSTITUTE($A521,CHAR(160)," ")),'TRANS'!$D:$D,0)),""))</f>
        <v/>
      </c>
      <c r="F521" s="20" t="str">
        <f aca="false">IF($E521="","Unmatched","Matched")</f>
        <v>Unmatched</v>
      </c>
    </row>
    <row r="522" customFormat="false" ht="15" hidden="false" customHeight="false" outlineLevel="0" collapsed="false">
      <c r="A522" s="20" t="s">
        <v>1417</v>
      </c>
      <c r="B522" s="20" t="n">
        <v>2025</v>
      </c>
      <c r="C522" s="21" t="n">
        <v>3</v>
      </c>
      <c r="D522" s="22" t="n">
        <v>31.5</v>
      </c>
      <c r="E522" s="20" t="n">
        <f aca="false">IFERROR(INDEX('TRANS'!$B:$B,MATCH($A522,'TRANS'!$A:$A,0)),IFERROR(INDEX('TRANS'!$B:$B,MATCH(TRIM(SUBSTITUTE($A522,CHAR(160)," ")),'TRANS'!$D:$D,0)),""))</f>
        <v>4422031</v>
      </c>
      <c r="F522" s="20" t="str">
        <f aca="false">IF($E522="","Unmatched","Matched")</f>
        <v>Matched</v>
      </c>
    </row>
    <row r="523" customFormat="false" ht="15" hidden="false" customHeight="false" outlineLevel="0" collapsed="false">
      <c r="A523" s="20" t="s">
        <v>1417</v>
      </c>
      <c r="B523" s="20" t="n">
        <v>2026</v>
      </c>
      <c r="C523" s="21" t="n">
        <v>4</v>
      </c>
      <c r="D523" s="22" t="n">
        <v>50.43</v>
      </c>
      <c r="E523" s="20" t="n">
        <f aca="false">IFERROR(INDEX('TRANS'!$B:$B,MATCH($A523,'TRANS'!$A:$A,0)),IFERROR(INDEX('TRANS'!$B:$B,MATCH(TRIM(SUBSTITUTE($A523,CHAR(160)," ")),'TRANS'!$D:$D,0)),""))</f>
        <v>4422031</v>
      </c>
      <c r="F523" s="20" t="str">
        <f aca="false">IF($E523="","Unmatched","Matched")</f>
        <v>Matched</v>
      </c>
    </row>
    <row r="524" customFormat="false" ht="15" hidden="false" customHeight="false" outlineLevel="0" collapsed="false">
      <c r="A524" s="20" t="s">
        <v>1419</v>
      </c>
      <c r="B524" s="20" t="n">
        <v>2026</v>
      </c>
      <c r="C524" s="21" t="n">
        <v>2</v>
      </c>
      <c r="D524" s="22" t="n">
        <v>25.22</v>
      </c>
      <c r="E524" s="20" t="n">
        <f aca="false">IFERROR(INDEX('TRANS'!$B:$B,MATCH($A524,'TRANS'!$A:$A,0)),IFERROR(INDEX('TRANS'!$B:$B,MATCH(TRIM(SUBSTITUTE($A524,CHAR(160)," ")),'TRANS'!$D:$D,0)),""))</f>
        <v>4422034</v>
      </c>
      <c r="F524" s="20" t="str">
        <f aca="false">IF($E524="","Unmatched","Matched")</f>
        <v>Matched</v>
      </c>
    </row>
    <row r="525" customFormat="false" ht="15" hidden="false" customHeight="false" outlineLevel="0" collapsed="false">
      <c r="A525" s="20" t="s">
        <v>1103</v>
      </c>
      <c r="B525" s="20" t="n">
        <v>2025</v>
      </c>
      <c r="C525" s="21" t="n">
        <v>7</v>
      </c>
      <c r="D525" s="22" t="n">
        <v>210</v>
      </c>
      <c r="E525" s="20" t="n">
        <f aca="false">IFERROR(INDEX('TRANS'!$B:$B,MATCH($A525,'TRANS'!$A:$A,0)),IFERROR(INDEX('TRANS'!$B:$B,MATCH(TRIM(SUBSTITUTE($A525,CHAR(160)," ")),'TRANS'!$D:$D,0)),""))</f>
        <v>4409017</v>
      </c>
      <c r="F525" s="20" t="str">
        <f aca="false">IF($E525="","Unmatched","Matched")</f>
        <v>Matched</v>
      </c>
    </row>
    <row r="526" customFormat="false" ht="15" hidden="false" customHeight="false" outlineLevel="0" collapsed="false">
      <c r="A526" s="20" t="s">
        <v>1103</v>
      </c>
      <c r="B526" s="20" t="n">
        <v>2026</v>
      </c>
      <c r="C526" s="21" t="n">
        <v>3</v>
      </c>
      <c r="D526" s="22" t="n">
        <v>90</v>
      </c>
      <c r="E526" s="20" t="n">
        <f aca="false">IFERROR(INDEX('TRANS'!$B:$B,MATCH($A526,'TRANS'!$A:$A,0)),IFERROR(INDEX('TRANS'!$B:$B,MATCH(TRIM(SUBSTITUTE($A526,CHAR(160)," ")),'TRANS'!$D:$D,0)),""))</f>
        <v>4409017</v>
      </c>
      <c r="F526" s="20" t="str">
        <f aca="false">IF($E526="","Unmatched","Matched")</f>
        <v>Matched</v>
      </c>
    </row>
    <row r="527" customFormat="false" ht="15" hidden="false" customHeight="false" outlineLevel="0" collapsed="false">
      <c r="A527" s="20" t="s">
        <v>1104</v>
      </c>
      <c r="B527" s="20" t="n">
        <v>2025</v>
      </c>
      <c r="C527" s="21" t="n">
        <v>1</v>
      </c>
      <c r="D527" s="22" t="n">
        <v>30</v>
      </c>
      <c r="E527" s="20" t="n">
        <f aca="false">IFERROR(INDEX('TRANS'!$B:$B,MATCH($A527,'TRANS'!$A:$A,0)),IFERROR(INDEX('TRANS'!$B:$B,MATCH(TRIM(SUBSTITUTE($A527,CHAR(160)," ")),'TRANS'!$D:$D,0)),""))</f>
        <v>4409015</v>
      </c>
      <c r="F527" s="20" t="str">
        <f aca="false">IF($E527="","Unmatched","Matched")</f>
        <v>Matched</v>
      </c>
    </row>
    <row r="528" customFormat="false" ht="15" hidden="false" customHeight="false" outlineLevel="0" collapsed="false">
      <c r="A528" s="20" t="s">
        <v>1104</v>
      </c>
      <c r="B528" s="20" t="n">
        <v>2026</v>
      </c>
      <c r="C528" s="21" t="n">
        <v>3</v>
      </c>
      <c r="D528" s="22" t="n">
        <v>90</v>
      </c>
      <c r="E528" s="20" t="n">
        <f aca="false">IFERROR(INDEX('TRANS'!$B:$B,MATCH($A528,'TRANS'!$A:$A,0)),IFERROR(INDEX('TRANS'!$B:$B,MATCH(TRIM(SUBSTITUTE($A528,CHAR(160)," ")),'TRANS'!$D:$D,0)),""))</f>
        <v>4409015</v>
      </c>
      <c r="F528" s="20" t="str">
        <f aca="false">IF($E528="","Unmatched","Matched")</f>
        <v>Matched</v>
      </c>
    </row>
    <row r="529" customFormat="false" ht="15" hidden="false" customHeight="false" outlineLevel="0" collapsed="false">
      <c r="A529" s="20" t="s">
        <v>1258</v>
      </c>
      <c r="B529" s="20" t="n">
        <v>2025</v>
      </c>
      <c r="C529" s="21" t="n">
        <v>1</v>
      </c>
      <c r="D529" s="22" t="n">
        <v>47.3</v>
      </c>
      <c r="E529" s="20" t="n">
        <f aca="false">IFERROR(INDEX('TRANS'!$B:$B,MATCH($A529,'TRANS'!$A:$A,0)),IFERROR(INDEX('TRANS'!$B:$B,MATCH(TRIM(SUBSTITUTE($A529,CHAR(160)," ")),'TRANS'!$D:$D,0)),""))</f>
        <v>4411015</v>
      </c>
      <c r="F529" s="20" t="str">
        <f aca="false">IF($E529="","Unmatched","Matched")</f>
        <v>Matched</v>
      </c>
    </row>
    <row r="530" customFormat="false" ht="15" hidden="false" customHeight="false" outlineLevel="0" collapsed="false">
      <c r="A530" s="20" t="s">
        <v>1189</v>
      </c>
      <c r="B530" s="20" t="n">
        <v>2026</v>
      </c>
      <c r="C530" s="21" t="n">
        <v>1</v>
      </c>
      <c r="D530" s="22" t="n">
        <v>141.97</v>
      </c>
      <c r="E530" s="20" t="n">
        <f aca="false">IFERROR(INDEX('TRANS'!$B:$B,MATCH($A530,'TRANS'!$A:$A,0)),IFERROR(INDEX('TRANS'!$B:$B,MATCH(TRIM(SUBSTITUTE($A530,CHAR(160)," ")),'TRANS'!$D:$D,0)),""))</f>
        <v>4408084</v>
      </c>
      <c r="F530" s="20" t="str">
        <f aca="false">IF($E530="","Unmatched","Matched")</f>
        <v>Matched</v>
      </c>
    </row>
    <row r="531" customFormat="false" ht="15" hidden="false" customHeight="false" outlineLevel="0" collapsed="false">
      <c r="A531" s="20" t="s">
        <v>971</v>
      </c>
      <c r="B531" s="20" t="n">
        <v>2025</v>
      </c>
      <c r="C531" s="21" t="n">
        <v>5</v>
      </c>
      <c r="D531" s="22" t="n">
        <v>370.66</v>
      </c>
      <c r="E531" s="20" t="n">
        <f aca="false">IFERROR(INDEX('TRANS'!$B:$B,MATCH($A531,'TRANS'!$A:$A,0)),IFERROR(INDEX('TRANS'!$B:$B,MATCH(TRIM(SUBSTITUTE($A531,CHAR(160)," ")),'TRANS'!$D:$D,0)),""))</f>
        <v>4413329</v>
      </c>
      <c r="F531" s="20" t="str">
        <f aca="false">IF($E531="","Unmatched","Matched")</f>
        <v>Matched</v>
      </c>
    </row>
    <row r="532" customFormat="false" ht="15" hidden="false" customHeight="false" outlineLevel="0" collapsed="false">
      <c r="A532" s="20" t="s">
        <v>971</v>
      </c>
      <c r="B532" s="20" t="n">
        <v>2026</v>
      </c>
      <c r="C532" s="21" t="n">
        <v>3</v>
      </c>
      <c r="D532" s="22" t="n">
        <v>224.85</v>
      </c>
      <c r="E532" s="20" t="n">
        <f aca="false">IFERROR(INDEX('TRANS'!$B:$B,MATCH($A532,'TRANS'!$A:$A,0)),IFERROR(INDEX('TRANS'!$B:$B,MATCH(TRIM(SUBSTITUTE($A532,CHAR(160)," ")),'TRANS'!$D:$D,0)),""))</f>
        <v>4413329</v>
      </c>
      <c r="F532" s="20" t="str">
        <f aca="false">IF($E532="","Unmatched","Matched")</f>
        <v>Matched</v>
      </c>
    </row>
    <row r="533" customFormat="false" ht="15" hidden="false" customHeight="false" outlineLevel="0" collapsed="false">
      <c r="A533" s="20" t="s">
        <v>1113</v>
      </c>
      <c r="B533" s="20" t="n">
        <v>2025</v>
      </c>
      <c r="C533" s="21" t="n">
        <v>5</v>
      </c>
      <c r="D533" s="22" t="n">
        <v>67.49</v>
      </c>
      <c r="E533" s="20" t="n">
        <f aca="false">IFERROR(INDEX('TRANS'!$B:$B,MATCH($A533,'TRANS'!$A:$A,0)),IFERROR(INDEX('TRANS'!$B:$B,MATCH(TRIM(SUBSTITUTE($A533,CHAR(160)," ")),'TRANS'!$D:$D,0)),""))</f>
        <v>4413149</v>
      </c>
      <c r="F533" s="20" t="str">
        <f aca="false">IF($E533="","Unmatched","Matched")</f>
        <v>Matched</v>
      </c>
    </row>
    <row r="534" customFormat="false" ht="15" hidden="false" customHeight="false" outlineLevel="0" collapsed="false">
      <c r="A534" s="20" t="s">
        <v>1113</v>
      </c>
      <c r="B534" s="20" t="n">
        <v>2026</v>
      </c>
      <c r="C534" s="21" t="n">
        <v>4</v>
      </c>
      <c r="D534" s="22" t="n">
        <v>56.08</v>
      </c>
      <c r="E534" s="20" t="n">
        <f aca="false">IFERROR(INDEX('TRANS'!$B:$B,MATCH($A534,'TRANS'!$A:$A,0)),IFERROR(INDEX('TRANS'!$B:$B,MATCH(TRIM(SUBSTITUTE($A534,CHAR(160)," ")),'TRANS'!$D:$D,0)),""))</f>
        <v>4413149</v>
      </c>
      <c r="F534" s="20" t="str">
        <f aca="false">IF($E534="","Unmatched","Matched")</f>
        <v>Matched</v>
      </c>
    </row>
    <row r="535" customFormat="false" ht="15" hidden="false" customHeight="false" outlineLevel="0" collapsed="false">
      <c r="A535" s="20" t="s">
        <v>1115</v>
      </c>
      <c r="B535" s="20" t="n">
        <v>2025</v>
      </c>
      <c r="C535" s="21" t="n">
        <v>3</v>
      </c>
      <c r="D535" s="22" t="n">
        <v>70.17</v>
      </c>
      <c r="E535" s="20" t="n">
        <f aca="false">IFERROR(INDEX('TRANS'!$B:$B,MATCH($A535,'TRANS'!$A:$A,0)),IFERROR(INDEX('TRANS'!$B:$B,MATCH(TRIM(SUBSTITUTE($A535,CHAR(160)," ")),'TRANS'!$D:$D,0)),""))</f>
        <v>4409004</v>
      </c>
      <c r="F535" s="20" t="str">
        <f aca="false">IF($E535="","Unmatched","Matched")</f>
        <v>Matched</v>
      </c>
    </row>
    <row r="536" customFormat="false" ht="15" hidden="false" customHeight="false" outlineLevel="0" collapsed="false">
      <c r="A536" s="20" t="s">
        <v>1141</v>
      </c>
      <c r="B536" s="20" t="n">
        <v>2025</v>
      </c>
      <c r="C536" s="21" t="n">
        <v>4</v>
      </c>
      <c r="D536" s="22" t="n">
        <v>94.62</v>
      </c>
      <c r="E536" s="20" t="n">
        <f aca="false">IFERROR(INDEX('TRANS'!$B:$B,MATCH($A536,'TRANS'!$A:$A,0)),IFERROR(INDEX('TRANS'!$B:$B,MATCH(TRIM(SUBSTITUTE($A536,CHAR(160)," ")),'TRANS'!$D:$D,0)),""))</f>
        <v>4413056</v>
      </c>
      <c r="F536" s="20" t="str">
        <f aca="false">IF($E536="","Unmatched","Matched")</f>
        <v>Matched</v>
      </c>
    </row>
    <row r="537" customFormat="false" ht="15" hidden="false" customHeight="false" outlineLevel="0" collapsed="false">
      <c r="A537" s="20" t="s">
        <v>1141</v>
      </c>
      <c r="B537" s="20" t="n">
        <v>2026</v>
      </c>
      <c r="C537" s="21" t="n">
        <v>9</v>
      </c>
      <c r="D537" s="22" t="n">
        <v>214.73</v>
      </c>
      <c r="E537" s="20" t="n">
        <f aca="false">IFERROR(INDEX('TRANS'!$B:$B,MATCH($A537,'TRANS'!$A:$A,0)),IFERROR(INDEX('TRANS'!$B:$B,MATCH(TRIM(SUBSTITUTE($A537,CHAR(160)," ")),'TRANS'!$D:$D,0)),""))</f>
        <v>4413056</v>
      </c>
      <c r="F537" s="20" t="str">
        <f aca="false">IF($E537="","Unmatched","Matched")</f>
        <v>Matched</v>
      </c>
    </row>
    <row r="538" customFormat="false" ht="15" hidden="false" customHeight="false" outlineLevel="0" collapsed="false">
      <c r="A538" s="20" t="s">
        <v>1264</v>
      </c>
      <c r="B538" s="20" t="n">
        <v>2025</v>
      </c>
      <c r="C538" s="21" t="n">
        <v>5</v>
      </c>
      <c r="D538" s="22" t="n">
        <v>126.34</v>
      </c>
      <c r="E538" s="20" t="n">
        <f aca="false">IFERROR(INDEX('TRANS'!$B:$B,MATCH($A538,'TRANS'!$A:$A,0)),IFERROR(INDEX('TRANS'!$B:$B,MATCH(TRIM(SUBSTITUTE($A538,CHAR(160)," ")),'TRANS'!$D:$D,0)),""))</f>
        <v>4417000</v>
      </c>
      <c r="F538" s="20" t="str">
        <f aca="false">IF($E538="","Unmatched","Matched")</f>
        <v>Matched</v>
      </c>
    </row>
    <row r="539" customFormat="false" ht="15" hidden="false" customHeight="false" outlineLevel="0" collapsed="false">
      <c r="A539" s="20" t="s">
        <v>1264</v>
      </c>
      <c r="B539" s="20" t="n">
        <v>2026</v>
      </c>
      <c r="C539" s="21" t="n">
        <v>2</v>
      </c>
      <c r="D539" s="22" t="n">
        <v>50.54</v>
      </c>
      <c r="E539" s="20" t="n">
        <f aca="false">IFERROR(INDEX('TRANS'!$B:$B,MATCH($A539,'TRANS'!$A:$A,0)),IFERROR(INDEX('TRANS'!$B:$B,MATCH(TRIM(SUBSTITUTE($A539,CHAR(160)," ")),'TRANS'!$D:$D,0)),""))</f>
        <v>4417000</v>
      </c>
      <c r="F539" s="20" t="str">
        <f aca="false">IF($E539="","Unmatched","Matched")</f>
        <v>Matched</v>
      </c>
    </row>
    <row r="540" customFormat="false" ht="15" hidden="false" customHeight="false" outlineLevel="0" collapsed="false">
      <c r="A540" s="20" t="s">
        <v>1382</v>
      </c>
      <c r="B540" s="20" t="n">
        <v>2025</v>
      </c>
      <c r="C540" s="21" t="n">
        <v>6</v>
      </c>
      <c r="D540" s="22" t="n">
        <v>512.91</v>
      </c>
      <c r="E540" s="20" t="n">
        <f aca="false">IFERROR(INDEX('TRANS'!$B:$B,MATCH($A540,'TRANS'!$A:$A,0)),IFERROR(INDEX('TRANS'!$B:$B,MATCH(TRIM(SUBSTITUTE($A540,CHAR(160)," ")),'TRANS'!$D:$D,0)),""))</f>
        <v>4408249</v>
      </c>
      <c r="F540" s="20" t="str">
        <f aca="false">IF($E540="","Unmatched","Matched")</f>
        <v>Matched</v>
      </c>
    </row>
    <row r="541" customFormat="false" ht="15" hidden="false" customHeight="false" outlineLevel="0" collapsed="false">
      <c r="A541" s="20" t="s">
        <v>1382</v>
      </c>
      <c r="B541" s="20" t="n">
        <v>2026</v>
      </c>
      <c r="C541" s="21" t="n">
        <v>2</v>
      </c>
      <c r="D541" s="22" t="n">
        <v>187.35</v>
      </c>
      <c r="E541" s="20" t="n">
        <f aca="false">IFERROR(INDEX('TRANS'!$B:$B,MATCH($A541,'TRANS'!$A:$A,0)),IFERROR(INDEX('TRANS'!$B:$B,MATCH(TRIM(SUBSTITUTE($A541,CHAR(160)," ")),'TRANS'!$D:$D,0)),""))</f>
        <v>4408249</v>
      </c>
      <c r="F541" s="20" t="str">
        <f aca="false">IF($E541="","Unmatched","Matched")</f>
        <v>Matched</v>
      </c>
    </row>
    <row r="542" customFormat="false" ht="15" hidden="false" customHeight="false" outlineLevel="0" collapsed="false">
      <c r="A542" s="20" t="s">
        <v>1384</v>
      </c>
      <c r="B542" s="20" t="n">
        <v>2025</v>
      </c>
      <c r="C542" s="21" t="n">
        <v>3</v>
      </c>
      <c r="D542" s="22" t="n">
        <v>248.27</v>
      </c>
      <c r="E542" s="20" t="n">
        <f aca="false">IFERROR(INDEX('TRANS'!$B:$B,MATCH($A542,'TRANS'!$A:$A,0)),IFERROR(INDEX('TRANS'!$B:$B,MATCH(TRIM(SUBSTITUTE($A542,CHAR(160)," ")),'TRANS'!$D:$D,0)),""))</f>
        <v>4408247</v>
      </c>
      <c r="F542" s="20" t="str">
        <f aca="false">IF($E542="","Unmatched","Matched")</f>
        <v>Matched</v>
      </c>
    </row>
    <row r="543" customFormat="false" ht="15" hidden="false" customHeight="false" outlineLevel="0" collapsed="false">
      <c r="A543" s="20" t="s">
        <v>1384</v>
      </c>
      <c r="B543" s="20" t="n">
        <v>2026</v>
      </c>
      <c r="C543" s="21" t="n">
        <v>2</v>
      </c>
      <c r="D543" s="22" t="n">
        <v>187.35</v>
      </c>
      <c r="E543" s="20" t="n">
        <f aca="false">IFERROR(INDEX('TRANS'!$B:$B,MATCH($A543,'TRANS'!$A:$A,0)),IFERROR(INDEX('TRANS'!$B:$B,MATCH(TRIM(SUBSTITUTE($A543,CHAR(160)," ")),'TRANS'!$D:$D,0)),""))</f>
        <v>4408247</v>
      </c>
      <c r="F543" s="20" t="str">
        <f aca="false">IF($E543="","Unmatched","Matched")</f>
        <v>Matched</v>
      </c>
    </row>
    <row r="544" customFormat="false" ht="15" hidden="false" customHeight="false" outlineLevel="0" collapsed="false">
      <c r="A544" s="20" t="s">
        <v>1386</v>
      </c>
      <c r="B544" s="20" t="n">
        <v>2025</v>
      </c>
      <c r="C544" s="21" t="n">
        <v>1</v>
      </c>
      <c r="D544" s="22" t="n">
        <v>77.29</v>
      </c>
      <c r="E544" s="20" t="n">
        <f aca="false">IFERROR(INDEX('TRANS'!$B:$B,MATCH($A544,'TRANS'!$A:$A,0)),IFERROR(INDEX('TRANS'!$B:$B,MATCH(TRIM(SUBSTITUTE($A544,CHAR(160)," ")),'TRANS'!$D:$D,0)),""))</f>
        <v>4413422</v>
      </c>
      <c r="F544" s="20" t="str">
        <f aca="false">IF($E544="","Unmatched","Matched")</f>
        <v>Matched</v>
      </c>
    </row>
    <row r="545" customFormat="false" ht="15" hidden="false" customHeight="false" outlineLevel="0" collapsed="false">
      <c r="A545" s="20" t="s">
        <v>1386</v>
      </c>
      <c r="B545" s="20" t="n">
        <v>2026</v>
      </c>
      <c r="C545" s="21" t="n">
        <v>1</v>
      </c>
      <c r="D545" s="22" t="n">
        <v>93.67</v>
      </c>
      <c r="E545" s="20" t="n">
        <f aca="false">IFERROR(INDEX('TRANS'!$B:$B,MATCH($A545,'TRANS'!$A:$A,0)),IFERROR(INDEX('TRANS'!$B:$B,MATCH(TRIM(SUBSTITUTE($A545,CHAR(160)," ")),'TRANS'!$D:$D,0)),""))</f>
        <v>4413422</v>
      </c>
      <c r="F545" s="20" t="str">
        <f aca="false">IF($E545="","Unmatched","Matched")</f>
        <v>Matched</v>
      </c>
    </row>
    <row r="546" customFormat="false" ht="15" hidden="false" customHeight="false" outlineLevel="0" collapsed="false">
      <c r="A546" s="20" t="s">
        <v>1387</v>
      </c>
      <c r="B546" s="20" t="n">
        <v>2025</v>
      </c>
      <c r="C546" s="21" t="n">
        <v>2</v>
      </c>
      <c r="D546" s="22" t="n">
        <v>154.59</v>
      </c>
      <c r="E546" s="20" t="n">
        <f aca="false">IFERROR(INDEX('TRANS'!$B:$B,MATCH($A546,'TRANS'!$A:$A,0)),IFERROR(INDEX('TRANS'!$B:$B,MATCH(TRIM(SUBSTITUTE($A546,CHAR(160)," ")),'TRANS'!$D:$D,0)),""))</f>
        <v>4413421</v>
      </c>
      <c r="F546" s="20" t="str">
        <f aca="false">IF($E546="","Unmatched","Matched")</f>
        <v>Matched</v>
      </c>
    </row>
    <row r="547" customFormat="false" ht="15" hidden="false" customHeight="false" outlineLevel="0" collapsed="false">
      <c r="A547" s="20" t="s">
        <v>1387</v>
      </c>
      <c r="B547" s="20" t="n">
        <v>2026</v>
      </c>
      <c r="C547" s="21" t="n">
        <v>1</v>
      </c>
      <c r="D547" s="22" t="n">
        <v>93.67</v>
      </c>
      <c r="E547" s="20" t="n">
        <f aca="false">IFERROR(INDEX('TRANS'!$B:$B,MATCH($A547,'TRANS'!$A:$A,0)),IFERROR(INDEX('TRANS'!$B:$B,MATCH(TRIM(SUBSTITUTE($A547,CHAR(160)," ")),'TRANS'!$D:$D,0)),""))</f>
        <v>4413421</v>
      </c>
      <c r="F547" s="20" t="str">
        <f aca="false">IF($E547="","Unmatched","Matched")</f>
        <v>Matched</v>
      </c>
    </row>
    <row r="548" customFormat="false" ht="15" hidden="false" customHeight="false" outlineLevel="0" collapsed="false">
      <c r="A548" s="20" t="s">
        <v>1388</v>
      </c>
      <c r="B548" s="20" t="n">
        <v>2025</v>
      </c>
      <c r="C548" s="21" t="n">
        <v>1</v>
      </c>
      <c r="D548" s="22" t="n">
        <v>77.3</v>
      </c>
      <c r="E548" s="20" t="n">
        <f aca="false">IFERROR(INDEX('TRANS'!$B:$B,MATCH($A548,'TRANS'!$A:$A,0)),IFERROR(INDEX('TRANS'!$B:$B,MATCH(TRIM(SUBSTITUTE($A548,CHAR(160)," ")),'TRANS'!$D:$D,0)),""))</f>
        <v>4413420</v>
      </c>
      <c r="F548" s="20" t="str">
        <f aca="false">IF($E548="","Unmatched","Matched")</f>
        <v>Matched</v>
      </c>
    </row>
    <row r="549" customFormat="false" ht="15" hidden="false" customHeight="false" outlineLevel="0" collapsed="false">
      <c r="A549" s="20" t="s">
        <v>1388</v>
      </c>
      <c r="B549" s="20" t="n">
        <v>2026</v>
      </c>
      <c r="C549" s="21" t="n">
        <v>1</v>
      </c>
      <c r="D549" s="22" t="n">
        <v>93.68</v>
      </c>
      <c r="E549" s="20" t="n">
        <f aca="false">IFERROR(INDEX('TRANS'!$B:$B,MATCH($A549,'TRANS'!$A:$A,0)),IFERROR(INDEX('TRANS'!$B:$B,MATCH(TRIM(SUBSTITUTE($A549,CHAR(160)," ")),'TRANS'!$D:$D,0)),""))</f>
        <v>4413420</v>
      </c>
      <c r="F549" s="20" t="str">
        <f aca="false">IF($E549="","Unmatched","Matched")</f>
        <v>Matched</v>
      </c>
    </row>
    <row r="550" customFormat="false" ht="15" hidden="false" customHeight="false" outlineLevel="0" collapsed="false">
      <c r="A550" s="20" t="s">
        <v>1389</v>
      </c>
      <c r="B550" s="20" t="n">
        <v>2025</v>
      </c>
      <c r="C550" s="21" t="n">
        <v>1</v>
      </c>
      <c r="D550" s="22" t="n">
        <v>93.68</v>
      </c>
      <c r="E550" s="20" t="n">
        <f aca="false">IFERROR(INDEX('TRANS'!$B:$B,MATCH($A550,'TRANS'!$A:$A,0)),IFERROR(INDEX('TRANS'!$B:$B,MATCH(TRIM(SUBSTITUTE($A550,CHAR(160)," ")),'TRANS'!$D:$D,0)),""))</f>
        <v>4413423</v>
      </c>
      <c r="F550" s="20" t="str">
        <f aca="false">IF($E550="","Unmatched","Matched")</f>
        <v>Matched</v>
      </c>
    </row>
    <row r="551" customFormat="false" ht="15" hidden="false" customHeight="false" outlineLevel="0" collapsed="false">
      <c r="A551" s="20" t="s">
        <v>1396</v>
      </c>
      <c r="B551" s="20" t="n">
        <v>2025</v>
      </c>
      <c r="C551" s="21" t="n">
        <v>3</v>
      </c>
      <c r="D551" s="22" t="n">
        <v>447.56</v>
      </c>
      <c r="E551" s="20" t="n">
        <f aca="false">IFERROR(INDEX('TRANS'!$B:$B,MATCH($A551,'TRANS'!$A:$A,0)),IFERROR(INDEX('TRANS'!$B:$B,MATCH(TRIM(SUBSTITUTE($A551,CHAR(160)," ")),'TRANS'!$D:$D,0)),""))</f>
        <v>4413415</v>
      </c>
      <c r="F551" s="20" t="str">
        <f aca="false">IF($E551="","Unmatched","Matched")</f>
        <v>Matched</v>
      </c>
    </row>
    <row r="552" customFormat="false" ht="15" hidden="false" customHeight="false" outlineLevel="0" collapsed="false">
      <c r="A552" s="20" t="s">
        <v>1396</v>
      </c>
      <c r="B552" s="20" t="n">
        <v>2026</v>
      </c>
      <c r="C552" s="21" t="n">
        <v>1</v>
      </c>
      <c r="D552" s="22" t="n">
        <v>164.03</v>
      </c>
      <c r="E552" s="20" t="n">
        <f aca="false">IFERROR(INDEX('TRANS'!$B:$B,MATCH($A552,'TRANS'!$A:$A,0)),IFERROR(INDEX('TRANS'!$B:$B,MATCH(TRIM(SUBSTITUTE($A552,CHAR(160)," ")),'TRANS'!$D:$D,0)),""))</f>
        <v>4413415</v>
      </c>
      <c r="F552" s="20" t="str">
        <f aca="false">IF($E552="","Unmatched","Matched")</f>
        <v>Matched</v>
      </c>
    </row>
    <row r="553" customFormat="false" ht="15" hidden="false" customHeight="false" outlineLevel="0" collapsed="false">
      <c r="A553" s="20" t="s">
        <v>1401</v>
      </c>
      <c r="B553" s="20" t="n">
        <v>2025</v>
      </c>
      <c r="C553" s="21" t="n">
        <v>2</v>
      </c>
      <c r="D553" s="22" t="n">
        <v>281.14</v>
      </c>
      <c r="E553" s="20" t="n">
        <f aca="false">IFERROR(INDEX('TRANS'!$B:$B,MATCH($A553,'TRANS'!$A:$A,0)),IFERROR(INDEX('TRANS'!$B:$B,MATCH(TRIM(SUBSTITUTE($A553,CHAR(160)," ")),'TRANS'!$D:$D,0)),""))</f>
        <v>4413441</v>
      </c>
      <c r="F553" s="20" t="str">
        <f aca="false">IF($E553="","Unmatched","Matched")</f>
        <v>Matched</v>
      </c>
    </row>
    <row r="554" customFormat="false" ht="15" hidden="false" customHeight="false" outlineLevel="0" collapsed="false">
      <c r="A554" s="20" t="s">
        <v>1401</v>
      </c>
      <c r="B554" s="20" t="n">
        <v>2026</v>
      </c>
      <c r="C554" s="21" t="n">
        <v>2</v>
      </c>
      <c r="D554" s="22" t="n">
        <v>281.14</v>
      </c>
      <c r="E554" s="20" t="n">
        <f aca="false">IFERROR(INDEX('TRANS'!$B:$B,MATCH($A554,'TRANS'!$A:$A,0)),IFERROR(INDEX('TRANS'!$B:$B,MATCH(TRIM(SUBSTITUTE($A554,CHAR(160)," ")),'TRANS'!$D:$D,0)),""))</f>
        <v>4413441</v>
      </c>
      <c r="F554" s="20" t="str">
        <f aca="false">IF($E554="","Unmatched","Matched")</f>
        <v>Matched</v>
      </c>
    </row>
    <row r="555" customFormat="false" ht="15" hidden="false" customHeight="false" outlineLevel="0" collapsed="false">
      <c r="A555" s="20" t="s">
        <v>1086</v>
      </c>
      <c r="B555" s="20" t="n">
        <v>2026</v>
      </c>
      <c r="C555" s="21" t="n">
        <v>156</v>
      </c>
      <c r="D555" s="22" t="n">
        <v>13503.3</v>
      </c>
      <c r="E555" s="20" t="n">
        <f aca="false">IFERROR(INDEX('TRANS'!$B:$B,MATCH($A555,'TRANS'!$A:$A,0)),IFERROR(INDEX('TRANS'!$B:$B,MATCH(TRIM(SUBSTITUTE($A555,CHAR(160)," ")),'TRANS'!$D:$D,0)),""))</f>
        <v>4408090</v>
      </c>
      <c r="F555" s="20" t="str">
        <f aca="false">IF($E555="","Unmatched","Matched")</f>
        <v>Matched</v>
      </c>
    </row>
    <row r="556" customFormat="false" ht="15" hidden="false" customHeight="false" outlineLevel="0" collapsed="false">
      <c r="A556" s="20" t="s">
        <v>1089</v>
      </c>
      <c r="B556" s="20" t="n">
        <v>2025</v>
      </c>
      <c r="C556" s="21" t="n">
        <v>4</v>
      </c>
      <c r="D556" s="22" t="n">
        <v>378.4</v>
      </c>
      <c r="E556" s="20" t="n">
        <f aca="false">IFERROR(INDEX('TRANS'!$B:$B,MATCH($A556,'TRANS'!$A:$A,0)),IFERROR(INDEX('TRANS'!$B:$B,MATCH(TRIM(SUBSTITUTE($A556,CHAR(160)," ")),'TRANS'!$D:$D,0)),""))</f>
        <v>4408092</v>
      </c>
      <c r="F556" s="20" t="str">
        <f aca="false">IF($E556="","Unmatched","Matched")</f>
        <v>Matched</v>
      </c>
    </row>
    <row r="557" customFormat="false" ht="15" hidden="false" customHeight="false" outlineLevel="0" collapsed="false">
      <c r="A557" s="20" t="s">
        <v>1089</v>
      </c>
      <c r="B557" s="20" t="n">
        <v>2026</v>
      </c>
      <c r="C557" s="21" t="n">
        <v>3</v>
      </c>
      <c r="D557" s="22" t="n">
        <v>283.91</v>
      </c>
      <c r="E557" s="20" t="n">
        <f aca="false">IFERROR(INDEX('TRANS'!$B:$B,MATCH($A557,'TRANS'!$A:$A,0)),IFERROR(INDEX('TRANS'!$B:$B,MATCH(TRIM(SUBSTITUTE($A557,CHAR(160)," ")),'TRANS'!$D:$D,0)),""))</f>
        <v>4408092</v>
      </c>
      <c r="F557" s="20" t="str">
        <f aca="false">IF($E557="","Unmatched","Matched")</f>
        <v>Matched</v>
      </c>
    </row>
    <row r="558" customFormat="false" ht="15" hidden="false" customHeight="false" outlineLevel="0" collapsed="false">
      <c r="A558" s="20" t="s">
        <v>1090</v>
      </c>
      <c r="B558" s="20" t="n">
        <v>2026</v>
      </c>
      <c r="C558" s="21" t="n">
        <v>2</v>
      </c>
      <c r="D558" s="22" t="n">
        <v>189.27</v>
      </c>
      <c r="E558" s="20" t="n">
        <f aca="false">IFERROR(INDEX('TRANS'!$B:$B,MATCH($A558,'TRANS'!$A:$A,0)),IFERROR(INDEX('TRANS'!$B:$B,MATCH(TRIM(SUBSTITUTE($A558,CHAR(160)," ")),'TRANS'!$D:$D,0)),""))</f>
        <v>4408093</v>
      </c>
      <c r="F558" s="20" t="str">
        <f aca="false">IF($E558="","Unmatched","Matched")</f>
        <v>Matched</v>
      </c>
    </row>
    <row r="559" customFormat="false" ht="15" hidden="false" customHeight="false" outlineLevel="0" collapsed="false">
      <c r="A559" s="20" t="s">
        <v>132</v>
      </c>
      <c r="B559" s="20" t="n">
        <v>2025</v>
      </c>
      <c r="C559" s="21" t="n">
        <v>2</v>
      </c>
      <c r="D559" s="22" t="n">
        <v>140.54</v>
      </c>
      <c r="E559" s="20" t="str">
        <f aca="false">IFERROR(INDEX('TRANS'!$B:$B,MATCH($A559,'TRANS'!$A:$A,0)),IFERROR(INDEX('TRANS'!$B:$B,MATCH(TRIM(SUBSTITUTE($A559,CHAR(160)," ")),'TRANS'!$D:$D,0)),""))</f>
        <v/>
      </c>
      <c r="F559" s="20" t="str">
        <f aca="false">IF($E559="","Unmatched","Matched")</f>
        <v>Unmatched</v>
      </c>
    </row>
    <row r="560" customFormat="false" ht="15" hidden="false" customHeight="false" outlineLevel="0" collapsed="false">
      <c r="A560" s="20" t="s">
        <v>1319</v>
      </c>
      <c r="B560" s="20" t="n">
        <v>2025</v>
      </c>
      <c r="C560" s="21" t="n">
        <v>1</v>
      </c>
      <c r="D560" s="22" t="n">
        <v>70.26</v>
      </c>
      <c r="E560" s="20" t="n">
        <f aca="false">IFERROR(INDEX('TRANS'!$B:$B,MATCH($A560,'TRANS'!$A:$A,0)),IFERROR(INDEX('TRANS'!$B:$B,MATCH(TRIM(SUBSTITUTE($A560,CHAR(160)," ")),'TRANS'!$D:$D,0)),""))</f>
        <v>4415073</v>
      </c>
      <c r="F560" s="20" t="str">
        <f aca="false">IF($E560="","Unmatched","Matched")</f>
        <v>Matched</v>
      </c>
    </row>
    <row r="561" customFormat="false" ht="15" hidden="false" customHeight="false" outlineLevel="0" collapsed="false">
      <c r="A561" s="20" t="s">
        <v>133</v>
      </c>
      <c r="B561" s="20" t="n">
        <v>2025</v>
      </c>
      <c r="C561" s="21" t="n">
        <v>2</v>
      </c>
      <c r="D561" s="22" t="n">
        <v>140.52</v>
      </c>
      <c r="E561" s="20" t="str">
        <f aca="false">IFERROR(INDEX('TRANS'!$B:$B,MATCH($A561,'TRANS'!$A:$A,0)),IFERROR(INDEX('TRANS'!$B:$B,MATCH(TRIM(SUBSTITUTE($A561,CHAR(160)," ")),'TRANS'!$D:$D,0)),""))</f>
        <v/>
      </c>
      <c r="F561" s="20" t="str">
        <f aca="false">IF($E561="","Unmatched","Matched")</f>
        <v>Unmatched</v>
      </c>
    </row>
    <row r="562" customFormat="false" ht="15" hidden="false" customHeight="false" outlineLevel="0" collapsed="false">
      <c r="A562" s="20" t="s">
        <v>138</v>
      </c>
      <c r="B562" s="20" t="n">
        <v>2026</v>
      </c>
      <c r="C562" s="21" t="n">
        <v>1</v>
      </c>
      <c r="D562" s="22" t="n">
        <v>94.63</v>
      </c>
      <c r="E562" s="20" t="str">
        <f aca="false">IFERROR(INDEX('TRANS'!$B:$B,MATCH($A562,'TRANS'!$A:$A,0)),IFERROR(INDEX('TRANS'!$B:$B,MATCH(TRIM(SUBSTITUTE($A562,CHAR(160)," ")),'TRANS'!$D:$D,0)),""))</f>
        <v/>
      </c>
      <c r="F562" s="20" t="str">
        <f aca="false">IF($E562="","Unmatched","Matched")</f>
        <v>Unmatched</v>
      </c>
    </row>
    <row r="563" customFormat="false" ht="15" hidden="false" customHeight="false" outlineLevel="0" collapsed="false">
      <c r="A563" s="20" t="s">
        <v>1136</v>
      </c>
      <c r="B563" s="20" t="n">
        <v>2025</v>
      </c>
      <c r="C563" s="21" t="n">
        <v>3</v>
      </c>
      <c r="D563" s="22" t="n">
        <v>567.13</v>
      </c>
      <c r="E563" s="20" t="n">
        <f aca="false">IFERROR(INDEX('TRANS'!$B:$B,MATCH($A563,'TRANS'!$A:$A,0)),IFERROR(INDEX('TRANS'!$B:$B,MATCH(TRIM(SUBSTITUTE($A563,CHAR(160)," ")),'TRANS'!$D:$D,0)),""))</f>
        <v>4422006</v>
      </c>
      <c r="F563" s="20" t="str">
        <f aca="false">IF($E563="","Unmatched","Matched")</f>
        <v>Matched</v>
      </c>
    </row>
    <row r="564" customFormat="false" ht="15" hidden="false" customHeight="false" outlineLevel="0" collapsed="false">
      <c r="A564" s="20" t="s">
        <v>1136</v>
      </c>
      <c r="B564" s="20" t="n">
        <v>2026</v>
      </c>
      <c r="C564" s="21" t="n">
        <v>2</v>
      </c>
      <c r="D564" s="22" t="n">
        <v>317.45</v>
      </c>
      <c r="E564" s="20" t="n">
        <f aca="false">IFERROR(INDEX('TRANS'!$B:$B,MATCH($A564,'TRANS'!$A:$A,0)),IFERROR(INDEX('TRANS'!$B:$B,MATCH(TRIM(SUBSTITUTE($A564,CHAR(160)," ")),'TRANS'!$D:$D,0)),""))</f>
        <v>4422006</v>
      </c>
      <c r="F564" s="20" t="str">
        <f aca="false">IF($E564="","Unmatched","Matched")</f>
        <v>Matched</v>
      </c>
    </row>
    <row r="565" customFormat="false" ht="15" hidden="false" customHeight="false" outlineLevel="0" collapsed="false">
      <c r="A565" s="20" t="s">
        <v>1137</v>
      </c>
      <c r="B565" s="20" t="n">
        <v>2025</v>
      </c>
      <c r="C565" s="21" t="n">
        <v>5</v>
      </c>
      <c r="D565" s="22" t="n">
        <v>944.73</v>
      </c>
      <c r="E565" s="20" t="n">
        <f aca="false">IFERROR(INDEX('TRANS'!$B:$B,MATCH($A565,'TRANS'!$A:$A,0)),IFERROR(INDEX('TRANS'!$B:$B,MATCH(TRIM(SUBSTITUTE($A565,CHAR(160)," ")),'TRANS'!$D:$D,0)),""))</f>
        <v>4422005</v>
      </c>
      <c r="F565" s="20" t="str">
        <f aca="false">IF($E565="","Unmatched","Matched")</f>
        <v>Matched</v>
      </c>
    </row>
    <row r="566" customFormat="false" ht="15" hidden="false" customHeight="false" outlineLevel="0" collapsed="false">
      <c r="A566" s="20" t="s">
        <v>1137</v>
      </c>
      <c r="B566" s="20" t="n">
        <v>2026</v>
      </c>
      <c r="C566" s="21" t="n">
        <v>1</v>
      </c>
      <c r="D566" s="22" t="n">
        <v>130</v>
      </c>
      <c r="E566" s="20" t="n">
        <f aca="false">IFERROR(INDEX('TRANS'!$B:$B,MATCH($A566,'TRANS'!$A:$A,0)),IFERROR(INDEX('TRANS'!$B:$B,MATCH(TRIM(SUBSTITUTE($A566,CHAR(160)," ")),'TRANS'!$D:$D,0)),""))</f>
        <v>4422005</v>
      </c>
      <c r="F566" s="20" t="str">
        <f aca="false">IF($E566="","Unmatched","Matched")</f>
        <v>Matched</v>
      </c>
    </row>
    <row r="567" customFormat="false" ht="15" hidden="false" customHeight="false" outlineLevel="0" collapsed="false">
      <c r="A567" s="20" t="s">
        <v>1138</v>
      </c>
      <c r="B567" s="20" t="n">
        <v>2025</v>
      </c>
      <c r="C567" s="21" t="n">
        <v>2</v>
      </c>
      <c r="D567" s="22" t="n">
        <v>378.64</v>
      </c>
      <c r="E567" s="20" t="n">
        <f aca="false">IFERROR(INDEX('TRANS'!$B:$B,MATCH($A567,'TRANS'!$A:$A,0)),IFERROR(INDEX('TRANS'!$B:$B,MATCH(TRIM(SUBSTITUTE($A567,CHAR(160)," ")),'TRANS'!$D:$D,0)),""))</f>
        <v>4422004</v>
      </c>
      <c r="F567" s="20" t="str">
        <f aca="false">IF($E567="","Unmatched","Matched")</f>
        <v>Matched</v>
      </c>
    </row>
    <row r="568" customFormat="false" ht="15" hidden="false" customHeight="false" outlineLevel="0" collapsed="false">
      <c r="A568" s="20" t="s">
        <v>1139</v>
      </c>
      <c r="B568" s="20" t="n">
        <v>2025</v>
      </c>
      <c r="C568" s="21" t="n">
        <v>2</v>
      </c>
      <c r="D568" s="22" t="n">
        <v>378.64</v>
      </c>
      <c r="E568" s="20" t="n">
        <f aca="false">IFERROR(INDEX('TRANS'!$B:$B,MATCH($A568,'TRANS'!$A:$A,0)),IFERROR(INDEX('TRANS'!$B:$B,MATCH(TRIM(SUBSTITUTE($A568,CHAR(160)," ")),'TRANS'!$D:$D,0)),""))</f>
        <v>4422007</v>
      </c>
      <c r="F568" s="20" t="str">
        <f aca="false">IF($E568="","Unmatched","Matched")</f>
        <v>Matched</v>
      </c>
    </row>
    <row r="569" customFormat="false" ht="15" hidden="false" customHeight="false" outlineLevel="0" collapsed="false">
      <c r="A569" s="20" t="s">
        <v>1139</v>
      </c>
      <c r="B569" s="20" t="n">
        <v>2026</v>
      </c>
      <c r="C569" s="21" t="n">
        <v>1</v>
      </c>
      <c r="D569" s="22" t="n">
        <v>187.45</v>
      </c>
      <c r="E569" s="20" t="n">
        <f aca="false">IFERROR(INDEX('TRANS'!$B:$B,MATCH($A569,'TRANS'!$A:$A,0)),IFERROR(INDEX('TRANS'!$B:$B,MATCH(TRIM(SUBSTITUTE($A569,CHAR(160)," ")),'TRANS'!$D:$D,0)),""))</f>
        <v>4422007</v>
      </c>
      <c r="F569" s="20" t="str">
        <f aca="false">IF($E569="","Unmatched","Matched")</f>
        <v>Matched</v>
      </c>
    </row>
    <row r="570" customFormat="false" ht="15" hidden="false" customHeight="false" outlineLevel="0" collapsed="false">
      <c r="A570" s="20" t="s">
        <v>1140</v>
      </c>
      <c r="B570" s="20" t="n">
        <v>2025</v>
      </c>
      <c r="C570" s="21" t="n">
        <v>1</v>
      </c>
      <c r="D570" s="22" t="n">
        <v>189.32</v>
      </c>
      <c r="E570" s="20" t="n">
        <f aca="false">IFERROR(INDEX('TRANS'!$B:$B,MATCH($A570,'TRANS'!$A:$A,0)),IFERROR(INDEX('TRANS'!$B:$B,MATCH(TRIM(SUBSTITUTE($A570,CHAR(160)," ")),'TRANS'!$D:$D,0)),""))</f>
        <v>4422009</v>
      </c>
      <c r="F570" s="20" t="str">
        <f aca="false">IF($E570="","Unmatched","Matched")</f>
        <v>Matched</v>
      </c>
    </row>
    <row r="571" customFormat="false" ht="15" hidden="false" customHeight="false" outlineLevel="0" collapsed="false">
      <c r="A571" s="20" t="s">
        <v>97</v>
      </c>
      <c r="B571" s="20" t="n">
        <v>2025</v>
      </c>
      <c r="C571" s="21" t="n">
        <v>6</v>
      </c>
      <c r="D571" s="22" t="n">
        <v>188.76</v>
      </c>
      <c r="E571" s="20" t="str">
        <f aca="false">IFERROR(INDEX('TRANS'!$B:$B,MATCH($A571,'TRANS'!$A:$A,0)),IFERROR(INDEX('TRANS'!$B:$B,MATCH(TRIM(SUBSTITUTE($A571,CHAR(160)," ")),'TRANS'!$D:$D,0)),""))</f>
        <v/>
      </c>
      <c r="F571" s="20" t="str">
        <f aca="false">IF($E571="","Unmatched","Matched")</f>
        <v>Unmatched</v>
      </c>
    </row>
    <row r="572" customFormat="false" ht="15" hidden="false" customHeight="false" outlineLevel="0" collapsed="false">
      <c r="A572" s="20" t="s">
        <v>1120</v>
      </c>
      <c r="B572" s="20" t="n">
        <v>2025</v>
      </c>
      <c r="C572" s="21" t="n">
        <v>1</v>
      </c>
      <c r="D572" s="22" t="n">
        <v>164.01</v>
      </c>
      <c r="E572" s="20" t="n">
        <f aca="false">IFERROR(INDEX('TRANS'!$B:$B,MATCH($A572,'TRANS'!$A:$A,0)),IFERROR(INDEX('TRANS'!$B:$B,MATCH(TRIM(SUBSTITUTE($A572,CHAR(160)," ")),'TRANS'!$D:$D,0)),""))</f>
        <v>4413130</v>
      </c>
      <c r="F572" s="20" t="str">
        <f aca="false">IF($E572="","Unmatched","Matched")</f>
        <v>Matched</v>
      </c>
    </row>
    <row r="573" customFormat="false" ht="15" hidden="false" customHeight="false" outlineLevel="0" collapsed="false">
      <c r="A573" s="20" t="s">
        <v>126</v>
      </c>
      <c r="B573" s="20" t="n">
        <v>2025</v>
      </c>
      <c r="C573" s="21" t="n">
        <v>1</v>
      </c>
      <c r="D573" s="22" t="n">
        <v>472.9</v>
      </c>
      <c r="E573" s="20" t="str">
        <f aca="false">IFERROR(INDEX('TRANS'!$B:$B,MATCH($A573,'TRANS'!$A:$A,0)),IFERROR(INDEX('TRANS'!$B:$B,MATCH(TRIM(SUBSTITUTE($A573,CHAR(160)," ")),'TRANS'!$D:$D,0)),""))</f>
        <v/>
      </c>
      <c r="F573" s="20" t="str">
        <f aca="false">IF($E573="","Unmatched","Matched")</f>
        <v>Unmatched</v>
      </c>
    </row>
    <row r="574" customFormat="false" ht="15" hidden="false" customHeight="false" outlineLevel="0" collapsed="false">
      <c r="A574" s="20" t="s">
        <v>68</v>
      </c>
      <c r="B574" s="20" t="n">
        <v>2025</v>
      </c>
      <c r="C574" s="21" t="n">
        <v>50</v>
      </c>
      <c r="D574" s="22" t="n">
        <v>6250</v>
      </c>
      <c r="E574" s="20" t="str">
        <f aca="false">IFERROR(INDEX('TRANS'!$B:$B,MATCH($A574,'TRANS'!$A:$A,0)),IFERROR(INDEX('TRANS'!$B:$B,MATCH(TRIM(SUBSTITUTE($A574,CHAR(160)," ")),'TRANS'!$D:$D,0)),""))</f>
        <v/>
      </c>
      <c r="F574" s="20" t="str">
        <f aca="false">IF($E574="","Unmatched","Matched")</f>
        <v>Unmatched</v>
      </c>
    </row>
    <row r="575" customFormat="false" ht="15" hidden="false" customHeight="false" outlineLevel="0" collapsed="false">
      <c r="A575" s="20" t="s">
        <v>68</v>
      </c>
      <c r="B575" s="20" t="n">
        <v>2026</v>
      </c>
      <c r="C575" s="21" t="n">
        <v>1</v>
      </c>
      <c r="D575" s="22" t="n">
        <v>234.31</v>
      </c>
      <c r="E575" s="20" t="str">
        <f aca="false">IFERROR(INDEX('TRANS'!$B:$B,MATCH($A575,'TRANS'!$A:$A,0)),IFERROR(INDEX('TRANS'!$B:$B,MATCH(TRIM(SUBSTITUTE($A575,CHAR(160)," ")),'TRANS'!$D:$D,0)),""))</f>
        <v/>
      </c>
      <c r="F575" s="20" t="str">
        <f aca="false">IF($E575="","Unmatched","Matched")</f>
        <v>Unmatched</v>
      </c>
    </row>
    <row r="576" customFormat="false" ht="15" hidden="false" customHeight="false" outlineLevel="0" collapsed="false">
      <c r="A576" s="20" t="s">
        <v>69</v>
      </c>
      <c r="B576" s="20" t="n">
        <v>2025</v>
      </c>
      <c r="C576" s="21" t="n">
        <v>10</v>
      </c>
      <c r="D576" s="22" t="n">
        <v>1250</v>
      </c>
      <c r="E576" s="20" t="str">
        <f aca="false">IFERROR(INDEX('TRANS'!$B:$B,MATCH($A576,'TRANS'!$A:$A,0)),IFERROR(INDEX('TRANS'!$B:$B,MATCH(TRIM(SUBSTITUTE($A576,CHAR(160)," ")),'TRANS'!$D:$D,0)),""))</f>
        <v/>
      </c>
      <c r="F576" s="20" t="str">
        <f aca="false">IF($E576="","Unmatched","Matched")</f>
        <v>Unmatched</v>
      </c>
    </row>
    <row r="577" customFormat="false" ht="15" hidden="false" customHeight="false" outlineLevel="0" collapsed="false">
      <c r="A577" s="20" t="s">
        <v>1267</v>
      </c>
      <c r="B577" s="20" t="n">
        <v>2025</v>
      </c>
      <c r="C577" s="21" t="n">
        <v>1</v>
      </c>
      <c r="D577" s="22" t="n">
        <v>33.23</v>
      </c>
      <c r="E577" s="20" t="n">
        <f aca="false">IFERROR(INDEX('TRANS'!$B:$B,MATCH($A577,'TRANS'!$A:$A,0)),IFERROR(INDEX('TRANS'!$B:$B,MATCH(TRIM(SUBSTITUTE($A577,CHAR(160)," ")),'TRANS'!$D:$D,0)),""))</f>
        <v>4408046</v>
      </c>
      <c r="F577" s="20" t="str">
        <f aca="false">IF($E577="","Unmatched","Matched")</f>
        <v>Matched</v>
      </c>
    </row>
    <row r="578" customFormat="false" ht="15" hidden="false" customHeight="false" outlineLevel="0" collapsed="false">
      <c r="A578" s="20" t="s">
        <v>1340</v>
      </c>
      <c r="B578" s="20" t="n">
        <v>2025</v>
      </c>
      <c r="C578" s="21" t="n">
        <v>1</v>
      </c>
      <c r="D578" s="22" t="n">
        <v>70.26</v>
      </c>
      <c r="E578" s="20" t="n">
        <f aca="false">IFERROR(INDEX('TRANS'!$B:$B,MATCH($A578,'TRANS'!$A:$A,0)),IFERROR(INDEX('TRANS'!$B:$B,MATCH(TRIM(SUBSTITUTE($A578,CHAR(160)," ")),'TRANS'!$D:$D,0)),""))</f>
        <v>4413160</v>
      </c>
      <c r="F578" s="20" t="str">
        <f aca="false">IF($E578="","Unmatched","Matched")</f>
        <v>Matched</v>
      </c>
    </row>
    <row r="579" customFormat="false" ht="15" hidden="false" customHeight="false" outlineLevel="0" collapsed="false">
      <c r="A579" s="20" t="s">
        <v>1342</v>
      </c>
      <c r="B579" s="20" t="n">
        <v>2025</v>
      </c>
      <c r="C579" s="21" t="n">
        <v>1</v>
      </c>
      <c r="D579" s="22" t="n">
        <v>70.26</v>
      </c>
      <c r="E579" s="20" t="n">
        <f aca="false">IFERROR(INDEX('TRANS'!$B:$B,MATCH($A579,'TRANS'!$A:$A,0)),IFERROR(INDEX('TRANS'!$B:$B,MATCH(TRIM(SUBSTITUTE($A579,CHAR(160)," ")),'TRANS'!$D:$D,0)),""))</f>
        <v>4413162</v>
      </c>
      <c r="F579" s="20" t="str">
        <f aca="false">IF($E579="","Unmatched","Matched")</f>
        <v>Matched</v>
      </c>
    </row>
    <row r="580" customFormat="false" ht="15" hidden="false" customHeight="false" outlineLevel="0" collapsed="false">
      <c r="A580" s="20" t="s">
        <v>949</v>
      </c>
      <c r="B580" s="20" t="n">
        <v>2025</v>
      </c>
      <c r="C580" s="21" t="n">
        <v>1</v>
      </c>
      <c r="D580" s="22" t="n">
        <v>30.89</v>
      </c>
      <c r="E580" s="20" t="n">
        <f aca="false">IFERROR(INDEX('TRANS'!$B:$B,MATCH($A580,'TRANS'!$A:$A,0)),IFERROR(INDEX('TRANS'!$B:$B,MATCH(TRIM(SUBSTITUTE($A580,CHAR(160)," ")),'TRANS'!$D:$D,0)),""))</f>
        <v>4413497</v>
      </c>
      <c r="F580" s="20" t="str">
        <f aca="false">IF($E580="","Unmatched","Matched")</f>
        <v>Matched</v>
      </c>
    </row>
    <row r="581" customFormat="false" ht="15" hidden="false" customHeight="false" outlineLevel="0" collapsed="false">
      <c r="A581" s="20" t="s">
        <v>1198</v>
      </c>
      <c r="B581" s="20" t="n">
        <v>2025</v>
      </c>
      <c r="C581" s="21" t="n">
        <v>1</v>
      </c>
      <c r="D581" s="22" t="n">
        <v>30.89</v>
      </c>
      <c r="E581" s="20" t="n">
        <f aca="false">IFERROR(INDEX('TRANS'!$B:$B,MATCH($A581,'TRANS'!$A:$A,0)),IFERROR(INDEX('TRANS'!$B:$B,MATCH(TRIM(SUBSTITUTE($A581,CHAR(160)," ")),'TRANS'!$D:$D,0)),""))</f>
        <v>4413501</v>
      </c>
      <c r="F581" s="20" t="str">
        <f aca="false">IF($E581="","Unmatched","Matched")</f>
        <v>Matched</v>
      </c>
    </row>
    <row r="582" customFormat="false" ht="15" hidden="false" customHeight="false" outlineLevel="0" collapsed="false">
      <c r="A582" s="20" t="s">
        <v>1200</v>
      </c>
      <c r="B582" s="20" t="n">
        <v>2025</v>
      </c>
      <c r="C582" s="21" t="n">
        <v>1</v>
      </c>
      <c r="D582" s="22" t="n">
        <v>30.89</v>
      </c>
      <c r="E582" s="20" t="n">
        <f aca="false">IFERROR(INDEX('TRANS'!$B:$B,MATCH($A582,'TRANS'!$A:$A,0)),IFERROR(INDEX('TRANS'!$B:$B,MATCH(TRIM(SUBSTITUTE($A582,CHAR(160)," ")),'TRANS'!$D:$D,0)),""))</f>
        <v>4413503</v>
      </c>
      <c r="F582" s="20" t="str">
        <f aca="false">IF($E582="","Unmatched","Matched")</f>
        <v>Matched</v>
      </c>
    </row>
    <row r="583" customFormat="false" ht="15" hidden="false" customHeight="false" outlineLevel="0" collapsed="false">
      <c r="A583" s="20" t="s">
        <v>1313</v>
      </c>
      <c r="B583" s="20" t="n">
        <v>2025</v>
      </c>
      <c r="C583" s="21" t="n">
        <v>1</v>
      </c>
      <c r="D583" s="22" t="n">
        <v>35.57</v>
      </c>
      <c r="E583" s="20" t="n">
        <f aca="false">IFERROR(INDEX('TRANS'!$B:$B,MATCH($A583,'TRANS'!$A:$A,0)),IFERROR(INDEX('TRANS'!$B:$B,MATCH(TRIM(SUBSTITUTE($A583,CHAR(160)," ")),'TRANS'!$D:$D,0)),""))</f>
        <v>4408097</v>
      </c>
      <c r="F583" s="20" t="str">
        <f aca="false">IF($E583="","Unmatched","Matched")</f>
        <v>Matched</v>
      </c>
    </row>
    <row r="584" customFormat="false" ht="15" hidden="false" customHeight="false" outlineLevel="0" collapsed="false">
      <c r="A584" s="20" t="s">
        <v>1314</v>
      </c>
      <c r="B584" s="20" t="n">
        <v>2025</v>
      </c>
      <c r="C584" s="21" t="n">
        <v>1</v>
      </c>
      <c r="D584" s="22" t="n">
        <v>35.57</v>
      </c>
      <c r="E584" s="20" t="n">
        <f aca="false">IFERROR(INDEX('TRANS'!$B:$B,MATCH($A584,'TRANS'!$A:$A,0)),IFERROR(INDEX('TRANS'!$B:$B,MATCH(TRIM(SUBSTITUTE($A584,CHAR(160)," ")),'TRANS'!$D:$D,0)),""))</f>
        <v>4408096</v>
      </c>
      <c r="F584" s="20" t="str">
        <f aca="false">IF($E584="","Unmatched","Matched")</f>
        <v>Matched</v>
      </c>
    </row>
    <row r="585" customFormat="false" ht="15" hidden="false" customHeight="false" outlineLevel="0" collapsed="false">
      <c r="A585" s="20" t="s">
        <v>1045</v>
      </c>
      <c r="B585" s="20" t="n">
        <v>2026</v>
      </c>
      <c r="C585" s="21" t="n">
        <v>1</v>
      </c>
      <c r="D585" s="22" t="n">
        <v>85</v>
      </c>
      <c r="E585" s="20" t="n">
        <f aca="false">IFERROR(INDEX('TRANS'!$B:$B,MATCH($A585,'TRANS'!$A:$A,0)),IFERROR(INDEX('TRANS'!$B:$B,MATCH(TRIM(SUBSTITUTE($A585,CHAR(160)," ")),'TRANS'!$D:$D,0)),""))</f>
        <v>4408031</v>
      </c>
      <c r="F585" s="20" t="str">
        <f aca="false">IF($E585="","Unmatched","Matched")</f>
        <v>Matched</v>
      </c>
    </row>
    <row r="586" customFormat="false" ht="15" hidden="false" customHeight="false" outlineLevel="0" collapsed="false">
      <c r="A586" s="20" t="s">
        <v>1049</v>
      </c>
      <c r="B586" s="20" t="n">
        <v>2026</v>
      </c>
      <c r="C586" s="21" t="n">
        <v>2</v>
      </c>
      <c r="D586" s="22" t="n">
        <v>170</v>
      </c>
      <c r="E586" s="20" t="n">
        <f aca="false">IFERROR(INDEX('TRANS'!$B:$B,MATCH($A586,'TRANS'!$A:$A,0)),IFERROR(INDEX('TRANS'!$B:$B,MATCH(TRIM(SUBSTITUTE($A586,CHAR(160)," ")),'TRANS'!$D:$D,0)),""))</f>
        <v>4408035</v>
      </c>
      <c r="F586" s="20" t="str">
        <f aca="false">IF($E586="","Unmatched","Matched")</f>
        <v>Matched</v>
      </c>
    </row>
    <row r="587" customFormat="false" ht="15" hidden="false" customHeight="false" outlineLevel="0" collapsed="false">
      <c r="A587" s="20" t="s">
        <v>1296</v>
      </c>
      <c r="B587" s="20" t="n">
        <v>2026</v>
      </c>
      <c r="C587" s="21" t="n">
        <v>4</v>
      </c>
      <c r="D587" s="22" t="n">
        <v>412.28</v>
      </c>
      <c r="E587" s="20" t="n">
        <f aca="false">IFERROR(INDEX('TRANS'!$B:$B,MATCH($A587,'TRANS'!$A:$A,0)),IFERROR(INDEX('TRANS'!$B:$B,MATCH(TRIM(SUBSTITUTE($A587,CHAR(160)," ")),'TRANS'!$D:$D,0)),""))</f>
        <v>4415001</v>
      </c>
      <c r="F587" s="20" t="str">
        <f aca="false">IF($E587="","Unmatched","Matched")</f>
        <v>Matched</v>
      </c>
    </row>
    <row r="588" customFormat="false" ht="15" hidden="false" customHeight="false" outlineLevel="0" collapsed="false">
      <c r="A588" s="20" t="s">
        <v>1336</v>
      </c>
      <c r="B588" s="20" t="n">
        <v>2026</v>
      </c>
      <c r="C588" s="21" t="n">
        <v>2</v>
      </c>
      <c r="D588" s="22" t="n">
        <v>93.65</v>
      </c>
      <c r="E588" s="20" t="n">
        <f aca="false">IFERROR(INDEX('TRANS'!$B:$B,MATCH($A588,'TRANS'!$A:$A,0)),IFERROR(INDEX('TRANS'!$B:$B,MATCH(TRIM(SUBSTITUTE($A588,CHAR(160)," ")),'TRANS'!$D:$D,0)),""))</f>
        <v>4413042</v>
      </c>
      <c r="F588" s="20" t="str">
        <f aca="false">IF($E588="","Unmatched","Matched")</f>
        <v>Matched</v>
      </c>
    </row>
    <row r="589" customFormat="false" ht="15" hidden="false" customHeight="false" outlineLevel="0" collapsed="false">
      <c r="A589" s="20" t="s">
        <v>96</v>
      </c>
      <c r="B589" s="20" t="n">
        <v>2026</v>
      </c>
      <c r="C589" s="21" t="n">
        <v>2</v>
      </c>
      <c r="D589" s="22" t="n">
        <v>70.21</v>
      </c>
      <c r="E589" s="20" t="str">
        <f aca="false">IFERROR(INDEX('TRANS'!$B:$B,MATCH($A589,'TRANS'!$A:$A,0)),IFERROR(INDEX('TRANS'!$B:$B,MATCH(TRIM(SUBSTITUTE($A589,CHAR(160)," ")),'TRANS'!$D:$D,0)),""))</f>
        <v/>
      </c>
      <c r="F589" s="20" t="str">
        <f aca="false">IF($E589="","Unmatched","Matched")</f>
        <v>Unmatched</v>
      </c>
    </row>
    <row r="590" customFormat="false" ht="15" hidden="false" customHeight="false" outlineLevel="0" collapsed="false">
      <c r="A590" s="20" t="s">
        <v>1257</v>
      </c>
      <c r="B590" s="20" t="n">
        <v>2026</v>
      </c>
      <c r="C590" s="21" t="n">
        <v>1</v>
      </c>
      <c r="D590" s="22" t="n">
        <v>47.3</v>
      </c>
      <c r="E590" s="20" t="n">
        <f aca="false">IFERROR(INDEX('TRANS'!$B:$B,MATCH($A590,'TRANS'!$A:$A,0)),IFERROR(INDEX('TRANS'!$B:$B,MATCH(TRIM(SUBSTITUTE($A590,CHAR(160)," ")),'TRANS'!$D:$D,0)),""))</f>
        <v>4413452</v>
      </c>
      <c r="F590" s="20" t="str">
        <f aca="false">IF($E590="","Unmatched","Matched")</f>
        <v>Matched</v>
      </c>
    </row>
    <row r="591" customFormat="false" ht="15" hidden="false" customHeight="false" outlineLevel="0" collapsed="false">
      <c r="A591" s="20" t="s">
        <v>934</v>
      </c>
      <c r="B591" s="20" t="n">
        <v>2026</v>
      </c>
      <c r="C591" s="21" t="n">
        <v>1</v>
      </c>
      <c r="D591" s="22" t="n">
        <v>126.51</v>
      </c>
      <c r="E591" s="20" t="n">
        <f aca="false">IFERROR(INDEX('TRANS'!$B:$B,MATCH($A591,'TRANS'!$A:$A,0)),IFERROR(INDEX('TRANS'!$B:$B,MATCH(TRIM(SUBSTITUTE($A591,CHAR(160)," ")),'TRANS'!$D:$D,0)),""))</f>
        <v>4413074</v>
      </c>
      <c r="F591" s="20" t="str">
        <f aca="false">IF($E591="","Unmatched","Matched")</f>
        <v>Matched</v>
      </c>
    </row>
    <row r="592" customFormat="false" ht="15" hidden="false" customHeight="false" outlineLevel="0" collapsed="false">
      <c r="A592" s="20" t="s">
        <v>106</v>
      </c>
      <c r="B592" s="20" t="n">
        <v>2025</v>
      </c>
      <c r="C592" s="21" t="n">
        <v>1</v>
      </c>
      <c r="D592" s="22" t="n">
        <v>203.38</v>
      </c>
      <c r="E592" s="20" t="str">
        <f aca="false">IFERROR(INDEX('TRANS'!$B:$B,MATCH($A592,'TRANS'!$A:$A,0)),IFERROR(INDEX('TRANS'!$B:$B,MATCH(TRIM(SUBSTITUTE($A592,CHAR(160)," ")),'TRANS'!$D:$D,0)),""))</f>
        <v/>
      </c>
      <c r="F592" s="20" t="str">
        <f aca="false">IF($E592="","Unmatched","Matched")</f>
        <v>Unmatched</v>
      </c>
    </row>
    <row r="593" customFormat="false" ht="15" hidden="false" customHeight="false" outlineLevel="0" collapsed="false">
      <c r="A593" s="20" t="s">
        <v>959</v>
      </c>
      <c r="B593" s="20" t="n">
        <v>2026</v>
      </c>
      <c r="C593" s="21" t="n">
        <v>1</v>
      </c>
      <c r="D593" s="22" t="n">
        <v>37.45</v>
      </c>
      <c r="E593" s="20" t="n">
        <f aca="false">IFERROR(INDEX('TRANS'!$B:$B,MATCH($A593,'TRANS'!$A:$A,0)),IFERROR(INDEX('TRANS'!$B:$B,MATCH(TRIM(SUBSTITUTE($A593,CHAR(160)," ")),'TRANS'!$D:$D,0)),""))</f>
        <v>4413101</v>
      </c>
      <c r="F593" s="20" t="str">
        <f aca="false">IF($E593="","Unmatched","Matched")</f>
        <v>Matched</v>
      </c>
    </row>
    <row r="594" customFormat="false" ht="15" hidden="false" customHeight="false" outlineLevel="0" collapsed="false">
      <c r="A594" s="20" t="s">
        <v>968</v>
      </c>
      <c r="B594" s="20" t="n">
        <v>2025</v>
      </c>
      <c r="C594" s="21" t="n">
        <v>1</v>
      </c>
      <c r="D594" s="22" t="n">
        <v>56.67</v>
      </c>
      <c r="E594" s="20" t="n">
        <f aca="false">IFERROR(INDEX('TRANS'!$B:$B,MATCH($A594,'TRANS'!$A:$A,0)),IFERROR(INDEX('TRANS'!$B:$B,MATCH(TRIM(SUBSTITUTE($A594,CHAR(160)," ")),'TRANS'!$D:$D,0)),""))</f>
        <v>4413108</v>
      </c>
      <c r="F594" s="20" t="str">
        <f aca="false">IF($E594="","Unmatched","Matched")</f>
        <v>Matched</v>
      </c>
    </row>
    <row r="595" customFormat="false" ht="15" hidden="false" customHeight="false" outlineLevel="0" collapsed="false">
      <c r="A595" s="20" t="s">
        <v>109</v>
      </c>
      <c r="B595" s="20" t="n">
        <v>2026</v>
      </c>
      <c r="C595" s="21" t="n">
        <v>2</v>
      </c>
      <c r="D595" s="22" t="n">
        <v>113.34</v>
      </c>
      <c r="E595" s="20" t="str">
        <f aca="false">IFERROR(INDEX('TRANS'!$B:$B,MATCH($A595,'TRANS'!$A:$A,0)),IFERROR(INDEX('TRANS'!$B:$B,MATCH(TRIM(SUBSTITUTE($A595,CHAR(160)," ")),'TRANS'!$D:$D,0)),""))</f>
        <v/>
      </c>
      <c r="F595" s="20" t="str">
        <f aca="false">IF($E595="","Unmatched","Matched")</f>
        <v>Unmatched</v>
      </c>
    </row>
    <row r="596" customFormat="false" ht="15" hidden="false" customHeight="false" outlineLevel="0" collapsed="false">
      <c r="A596" s="20" t="s">
        <v>113</v>
      </c>
      <c r="B596" s="20" t="n">
        <v>2026</v>
      </c>
      <c r="C596" s="21" t="n">
        <v>1</v>
      </c>
      <c r="D596" s="22" t="n">
        <v>133.54</v>
      </c>
      <c r="E596" s="20" t="str">
        <f aca="false">IFERROR(INDEX('TRANS'!$B:$B,MATCH($A596,'TRANS'!$A:$A,0)),IFERROR(INDEX('TRANS'!$B:$B,MATCH(TRIM(SUBSTITUTE($A596,CHAR(160)," ")),'TRANS'!$D:$D,0)),""))</f>
        <v/>
      </c>
      <c r="F596" s="20" t="str">
        <f aca="false">IF($E596="","Unmatched","Matched")</f>
        <v>Unmatched</v>
      </c>
    </row>
    <row r="597" customFormat="false" ht="15" hidden="false" customHeight="false" outlineLevel="0" collapsed="false">
      <c r="A597" s="20" t="s">
        <v>114</v>
      </c>
      <c r="B597" s="20" t="n">
        <v>2026</v>
      </c>
      <c r="C597" s="21" t="n">
        <v>2</v>
      </c>
      <c r="D597" s="22" t="n">
        <v>222.08</v>
      </c>
      <c r="E597" s="20" t="str">
        <f aca="false">IFERROR(INDEX('TRANS'!$B:$B,MATCH($A597,'TRANS'!$A:$A,0)),IFERROR(INDEX('TRANS'!$B:$B,MATCH(TRIM(SUBSTITUTE($A597,CHAR(160)," ")),'TRANS'!$D:$D,0)),""))</f>
        <v/>
      </c>
      <c r="F597" s="20" t="str">
        <f aca="false">IF($E597="","Unmatched","Matched")</f>
        <v>Unmatched</v>
      </c>
    </row>
    <row r="598" customFormat="false" ht="15" hidden="false" customHeight="false" outlineLevel="0" collapsed="false">
      <c r="A598" s="20" t="s">
        <v>118</v>
      </c>
      <c r="B598" s="20" t="n">
        <v>2026</v>
      </c>
      <c r="C598" s="21" t="n">
        <v>3</v>
      </c>
      <c r="D598" s="22" t="n">
        <v>252.96</v>
      </c>
      <c r="E598" s="20" t="str">
        <f aca="false">IFERROR(INDEX('TRANS'!$B:$B,MATCH($A598,'TRANS'!$A:$A,0)),IFERROR(INDEX('TRANS'!$B:$B,MATCH(TRIM(SUBSTITUTE($A598,CHAR(160)," ")),'TRANS'!$D:$D,0)),""))</f>
        <v/>
      </c>
      <c r="F598" s="20" t="str">
        <f aca="false">IF($E598="","Unmatched","Matched")</f>
        <v>Unmatched</v>
      </c>
    </row>
    <row r="599" customFormat="false" ht="15" hidden="false" customHeight="false" outlineLevel="0" collapsed="false">
      <c r="A599" s="20" t="s">
        <v>121</v>
      </c>
      <c r="B599" s="20" t="n">
        <v>2026</v>
      </c>
      <c r="C599" s="21" t="n">
        <v>1</v>
      </c>
      <c r="D599" s="22" t="n">
        <v>66.51</v>
      </c>
      <c r="E599" s="20" t="str">
        <f aca="false">IFERROR(INDEX('TRANS'!$B:$B,MATCH($A599,'TRANS'!$A:$A,0)),IFERROR(INDEX('TRANS'!$B:$B,MATCH(TRIM(SUBSTITUTE($A599,CHAR(160)," ")),'TRANS'!$D:$D,0)),""))</f>
        <v/>
      </c>
      <c r="F599" s="20" t="str">
        <f aca="false">IF($E599="","Unmatched","Matched")</f>
        <v>Unmatched</v>
      </c>
    </row>
    <row r="600" customFormat="false" ht="15" hidden="false" customHeight="false" outlineLevel="0" collapsed="false">
      <c r="A600" s="20" t="s">
        <v>1149</v>
      </c>
      <c r="B600" s="20" t="n">
        <v>2026</v>
      </c>
      <c r="C600" s="21" t="n">
        <v>4</v>
      </c>
      <c r="D600" s="22" t="n">
        <v>86.08</v>
      </c>
      <c r="E600" s="20" t="n">
        <f aca="false">IFERROR(INDEX('TRANS'!$B:$B,MATCH($A600,'TRANS'!$A:$A,0)),IFERROR(INDEX('TRANS'!$B:$B,MATCH(TRIM(SUBSTITUTE($A600,CHAR(160)," ")),'TRANS'!$D:$D,0)),""))</f>
        <v>4420024</v>
      </c>
      <c r="F600" s="20" t="str">
        <f aca="false">IF($E600="","Unmatched","Matched")</f>
        <v>Matched</v>
      </c>
    </row>
    <row r="601" customFormat="false" ht="15" hidden="false" customHeight="false" outlineLevel="0" collapsed="false">
      <c r="A601" s="20" t="s">
        <v>1391</v>
      </c>
      <c r="B601" s="20" t="n">
        <v>2026</v>
      </c>
      <c r="C601" s="21" t="n">
        <v>1</v>
      </c>
      <c r="D601" s="22" t="n">
        <v>93.67</v>
      </c>
      <c r="E601" s="20" t="n">
        <f aca="false">IFERROR(INDEX('TRANS'!$B:$B,MATCH($A601,'TRANS'!$A:$A,0)),IFERROR(INDEX('TRANS'!$B:$B,MATCH(TRIM(SUBSTITUTE($A601,CHAR(160)," ")),'TRANS'!$D:$D,0)),""))</f>
        <v>4413425</v>
      </c>
      <c r="F601" s="20" t="str">
        <f aca="false">IF($E601="","Unmatched","Matched")</f>
        <v>Matched</v>
      </c>
    </row>
    <row r="602" customFormat="false" ht="15" hidden="false" customHeight="false" outlineLevel="0" collapsed="false">
      <c r="A602" s="20" t="s">
        <v>1392</v>
      </c>
      <c r="B602" s="20" t="n">
        <v>2026</v>
      </c>
      <c r="C602" s="21" t="n">
        <v>1</v>
      </c>
      <c r="D602" s="22" t="n">
        <v>93.67</v>
      </c>
      <c r="E602" s="20" t="n">
        <f aca="false">IFERROR(INDEX('TRANS'!$B:$B,MATCH($A602,'TRANS'!$A:$A,0)),IFERROR(INDEX('TRANS'!$B:$B,MATCH(TRIM(SUBSTITUTE($A602,CHAR(160)," ")),'TRANS'!$D:$D,0)),""))</f>
        <v>4413424</v>
      </c>
      <c r="F602" s="20" t="str">
        <f aca="false">IF($E602="","Unmatched","Matched")</f>
        <v>Matched</v>
      </c>
    </row>
    <row r="603" customFormat="false" ht="15" hidden="false" customHeight="false" outlineLevel="0" collapsed="false">
      <c r="A603" s="20" t="s">
        <v>139</v>
      </c>
      <c r="B603" s="20" t="n">
        <v>2026</v>
      </c>
      <c r="C603" s="21" t="n">
        <v>1</v>
      </c>
      <c r="D603" s="22" t="n">
        <v>94.63</v>
      </c>
      <c r="E603" s="20" t="str">
        <f aca="false">IFERROR(INDEX('TRANS'!$B:$B,MATCH($A603,'TRANS'!$A:$A,0)),IFERROR(INDEX('TRANS'!$B:$B,MATCH(TRIM(SUBSTITUTE($A603,CHAR(160)," ")),'TRANS'!$D:$D,0)),""))</f>
        <v/>
      </c>
      <c r="F603" s="20" t="str">
        <f aca="false">IF($E603="","Unmatched","Matched")</f>
        <v>Unmatched</v>
      </c>
    </row>
  </sheetData>
  <mergeCells count="1">
    <mergeCell ref="A3:O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2026-09-24T12:04:55Z</dcterms:created>
  <dc:creator>openpyxl</dc:creator>
  <dc:description/>
  <dc:language>en-US</dc:language>
  <cp:lastModifiedBy/>
  <dcterms:modified xsi:type="dcterms:W3CDTF">2026-09-24T12:06:42Z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