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סהכ" sheetId="1" state="visible" r:id="rId3"/>
    <sheet name="Pplay1" sheetId="2" state="visible" r:id="rId4"/>
    <sheet name="ריכוז" sheetId="3" state="visible" r:id="rId5"/>
    <sheet name="PPLAY1_מקור" sheetId="4" state="visible" r:id="rId6"/>
    <sheet name="NetSuite_מקור" sheetId="5" state="visible" r:id="rId7"/>
    <sheet name="Amazon_מקור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<sst xmlns="http://schemas.openxmlformats.org/spreadsheetml/2006/main" count="127" uniqueCount="100">
  <si>
    <t xml:space="preserve">דוח מכירות אוגוסט 2026</t>
  </si>
  <si>
    <t xml:space="preserve">#</t>
  </si>
  <si>
    <t xml:space="preserve">סופר פארם לייף</t>
  </si>
  <si>
    <t xml:space="preserve">סופרפארם</t>
  </si>
  <si>
    <t xml:space="preserve">BE</t>
  </si>
  <si>
    <t xml:space="preserve">בתי מרקחת</t>
  </si>
  <si>
    <t xml:space="preserve">כללית</t>
  </si>
  <si>
    <t xml:space="preserve">מאוחדת</t>
  </si>
  <si>
    <t xml:space="preserve">מכוני אורטופדיה</t>
  </si>
  <si>
    <t xml:space="preserve">לקוחות מפעל</t>
  </si>
  <si>
    <t xml:space="preserve">חנויות פרטיות</t>
  </si>
  <si>
    <t xml:space="preserve">מכוני פדיקור</t>
  </si>
  <si>
    <t xml:space="preserve">חנויות נעליים</t>
  </si>
  <si>
    <t xml:space="preserve">בתי חולים ושרות</t>
  </si>
  <si>
    <t xml:space="preserve">מכוני פיזיותרפיה</t>
  </si>
  <si>
    <t xml:space="preserve">סה"כ ישראל ללא אונליין</t>
  </si>
  <si>
    <t xml:space="preserve">לקוחות אינטרנט</t>
  </si>
  <si>
    <t xml:space="preserve">סופר פארם מרקט פלייס</t>
  </si>
  <si>
    <t xml:space="preserve">סה"כ ישראל</t>
  </si>
  <si>
    <t xml:space="preserve">AMAZON</t>
  </si>
  <si>
    <t xml:space="preserve">SUPER PHARM POLAND</t>
  </si>
  <si>
    <t xml:space="preserve">ORTHO- PARTNER AG.</t>
  </si>
  <si>
    <t xml:space="preserve">SANAFLEX ANATOMIC</t>
  </si>
  <si>
    <t xml:space="preserve">HEALTH CARE PROD. GMBH</t>
  </si>
  <si>
    <t xml:space="preserve">ORTHOMED  LTD</t>
  </si>
  <si>
    <t xml:space="preserve">SALUS</t>
  </si>
  <si>
    <t xml:space="preserve">MAX KONNARIS LTD</t>
  </si>
  <si>
    <t xml:space="preserve">MEDIPAL COMPANY</t>
  </si>
  <si>
    <t xml:space="preserve">ORTOPROFIL PROD. ROMANIA</t>
  </si>
  <si>
    <t xml:space="preserve">OY. EA. AB.</t>
  </si>
  <si>
    <t xml:space="preserve">SEVEN GEAR</t>
  </si>
  <si>
    <t xml:space="preserve">PHARMAG LACHMAIR GES. MBH</t>
  </si>
  <si>
    <t xml:space="preserve">REMEDICARE B.V.</t>
  </si>
  <si>
    <t xml:space="preserve">E.F.M.O.</t>
  </si>
  <si>
    <t xml:space="preserve">ALFRED GERA</t>
  </si>
  <si>
    <t xml:space="preserve">QUADRIFOGLIO MEDICAL</t>
  </si>
  <si>
    <t xml:space="preserve">YOUNG IN HEALTHCARE CO.,</t>
  </si>
  <si>
    <t xml:space="preserve">HANS</t>
  </si>
  <si>
    <t xml:space="preserve">NEW DISTRIBUTORS</t>
  </si>
  <si>
    <t xml:space="preserve">סה"כ חו"ל</t>
  </si>
  <si>
    <t xml:space="preserve">סה"כ מכירות </t>
  </si>
  <si>
    <t xml:space="preserve">מקרא</t>
  </si>
  <si>
    <t xml:space="preserve">עמודות מחושבות (נוספו)</t>
  </si>
  <si>
    <t xml:space="preserve">סופר פארם </t>
  </si>
  <si>
    <t xml:space="preserve">מאוחדת </t>
  </si>
  <si>
    <t xml:space="preserve">לקוח #</t>
  </si>
  <si>
    <t xml:space="preserve">סכום גולמי (PPLAY1)</t>
  </si>
  <si>
    <t xml:space="preserve">מכר נטו</t>
  </si>
  <si>
    <t xml:space="preserve">0בתי מרקחת</t>
  </si>
  <si>
    <t xml:space="preserve">0מפיצי משנה</t>
  </si>
  <si>
    <t xml:space="preserve">0פארמים</t>
  </si>
  <si>
    <t xml:space="preserve">אילת BE</t>
  </si>
  <si>
    <t xml:space="preserve">גוד פארם</t>
  </si>
  <si>
    <t xml:space="preserve">גוד פארם מרכז</t>
  </si>
  <si>
    <t xml:space="preserve">הפרכל הפרפארם</t>
  </si>
  <si>
    <t xml:space="preserve">שופרסל BE</t>
  </si>
  <si>
    <t xml:space="preserve">0צרכנים פרטיים</t>
  </si>
  <si>
    <t xml:space="preserve">0קופות חולים</t>
  </si>
  <si>
    <t xml:space="preserve">0שונות</t>
  </si>
  <si>
    <t xml:space="preserve">מקרא </t>
  </si>
  <si>
    <t xml:space="preserve">סכום מכירות (NetSuite)</t>
  </si>
  <si>
    <t xml:space="preserve">102 - Orthopedic institutes</t>
  </si>
  <si>
    <t xml:space="preserve">111 - Superpharm Life</t>
  </si>
  <si>
    <t xml:space="preserve">103 - Physiotherapy institutes</t>
  </si>
  <si>
    <t xml:space="preserve">109 - Private Shops</t>
  </si>
  <si>
    <t xml:space="preserve">101 - Factory customers</t>
  </si>
  <si>
    <t xml:space="preserve">107 - Pharmacies</t>
  </si>
  <si>
    <t xml:space="preserve">106 - Hospitals</t>
  </si>
  <si>
    <t xml:space="preserve">113 - Kupat Holim Meuhedet</t>
  </si>
  <si>
    <t xml:space="preserve">112 - Kupat Holim Clalit</t>
  </si>
  <si>
    <t xml:space="preserve">114 - IL online</t>
  </si>
  <si>
    <t xml:space="preserve">115-SuperPharm Online</t>
  </si>
  <si>
    <t xml:space="preserve">205 - Health Care Prod. Gmbh GERMANY</t>
  </si>
  <si>
    <t xml:space="preserve">207 - Salus HUNGARY</t>
  </si>
  <si>
    <t xml:space="preserve">209 - Ortoprofil Prod ROMANIA</t>
  </si>
  <si>
    <t xml:space="preserve">202 - Super-Pharm POLAND</t>
  </si>
  <si>
    <t xml:space="preserve">214 - Alfred Gera&amp; Sons Ltd. MALTA</t>
  </si>
  <si>
    <t xml:space="preserve">203 - Ortho- Partner ag SWITZERLAND</t>
  </si>
  <si>
    <t xml:space="preserve">204 - Sanaflex Anatomic GREECE</t>
  </si>
  <si>
    <t xml:space="preserve">206 - Orthomed  Ltd BULGARIA</t>
  </si>
  <si>
    <t xml:space="preserve">216 - Max Konnaris CYPRUS</t>
  </si>
  <si>
    <t xml:space="preserve">208 - Medipal Company NABLUS</t>
  </si>
  <si>
    <t xml:space="preserve">210 - Oy. Ea. Ab. FINLAND</t>
  </si>
  <si>
    <t xml:space="preserve">201- Seven Gear FINLAND oy</t>
  </si>
  <si>
    <t xml:space="preserve">211 - Pharmag Lachmair Ges. Mbh AUSTRIA</t>
  </si>
  <si>
    <t xml:space="preserve">213 - E.f.m.o. SPAIN</t>
  </si>
  <si>
    <t xml:space="preserve">215 - Young In Healthcare Co. SOUTH KOREA</t>
  </si>
  <si>
    <t xml:space="preserve">200 - ROW : 217 - N3W FOODS USA</t>
  </si>
  <si>
    <t xml:space="preserve">תיאור</t>
  </si>
  <si>
    <t xml:space="preserve">2026/Aug (סכום גולמי, MTD)</t>
  </si>
  <si>
    <t xml:space="preserve">הערה</t>
  </si>
  <si>
    <t xml:space="preserve">Source: PPlay1.xlsx (92fe6d0f), "PPlay1 of uriel (Reporter)", נוצר 16/08/2026 08:39:53, תקופה 2026/Aug, Month-to-Date. נשלפו 9 שורות קטגוריה שיש להן נתונים עד כה החודש, מתוך 12 הקטגוריות במקרא גיליון Pplay1 (3 הקטגוריות הנותרות — גוד פארם מרכז, 0צרכנים פרטיים, 0שונות — אין להן עדיין נתונים החודש; תקין ל-MTD, לא נתון חסר). שורת "Customers" בדוח המקור (₪401,144.5) היא שורת סה"כ-אב ואינה שווה לסכום שורות הקטגוריה (₪693,823.4) — כפי שהיה גם בדוחות הקודמים, זו שורת מטה-דוח שאינה תואמת אף ערך במקרא ולכן לא יובאה, בהתאם למוסכמת עבודה. שורה נוספת בדוח המקור, "זיכויים BE" (₪-188.1), שוב אינה תואמת אף ערך במקרא הקבוע (12 הקטגוריות) — הוחרגה לפי מוסכמת "שם תואם בדיוק למקרא", ולא צורפה לקטגוריית BE הקיימת ללא אישור מפורש. מכר נטו = עמודה B × 0.91 (מקדם קבוע, מאושר ב-kirill.md).</t>
  </si>
  <si>
    <t xml:space="preserve">Source: CustomSalesbyCustomerSummary350.xls (549967cc), Meditex Group IL, Custom Sales by Customer Summary, 01 August 2026 - 31 August 2026, Month-to-Date. נשלפו 11 שורות הסיכום (קטגוריה) שיש להן מכירות עד כה החודש, מתוך 27 הקטגוריות במקרא "ריכוז" (16 הקטגוריות הנותרות אין להן מכירות עדיין החודש — תקין ל-MTD, לא נתון חסר). לא יובאו שורות פירוט חשבוניות/לקוחות-בת מהדוח הגולמי (כ-1,000 שורות בקובץ המקור), לפי מוסכמת עבודה. סה"כ שורת "Total" בדוח הגולמי המלא: 795,155.03 — תואם בדיוק לסכום 11 שורות הקטגוריה שנשלפו, כך שלא נותרה מכירה כלשהי שלא סווגה. כולל את "202 - Super-Pharm POLAND" (132,101.57) ו-"214 - Alfred Gera&amp; Sons Ltd. MALTA" (25,951.00), שממופות כבר בגיליון "ריכוז" (שורות 17-18) ללקוחות #20 ו-#33 בגיליון סה"כ, בהתאם למקרא הקבוע (ראה kirill.md).</t>
  </si>
  <si>
    <t xml:space="preserve">Customer</t>
  </si>
  <si>
    <t xml:space="preserve">Sales</t>
  </si>
  <si>
    <t xml:space="preserve">Source: צילום מסך שסופק על ידי המשתמש (ראובן), לוח בקרה Sellerboard "Month to date, 1-15 August 2026", נמסר 16/08/2026. אין קובץ מקור — נתון ידני מתועד. נתונים נוספים בצילום (לא בשימוש בנוסחה): Sales +2.3% מול תקופה קודמת, Orders/Units 1,186/1,206, Refunds 107, Est. payout $12,977.53, Gross profit $6,299.43, Net profit $6,299.43 (+42.1%) — כפי שמוצג בצילום המקור (Net profit זהה ל-Gross profit בתמונה, תמלול מדויק).</t>
  </si>
  <si>
    <t xml:space="preserve">סכום ($)</t>
  </si>
  <si>
    <t xml:space="preserve">משמש בנוסחת סהכ!C20: =(Sales+Refund cost)×3</t>
  </si>
  <si>
    <t xml:space="preserve">Refund cost</t>
  </si>
  <si>
    <t xml:space="preserve">מכפיל ×3 לפי הנחיית המשתמש (לא מתועד במקור התמונה)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</si>
</sst>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"/>
    <numFmt numFmtId="166" formatCode="0.0000"/>
    <numFmt numFmtId="167" formatCode="_ * #,##0_ ;_ * \-#,##0_ ;_ * \-??_ ;_ @_ "/>
    <numFmt numFmtId="168" formatCode="0"/>
    <numFmt numFmtId="169" formatCode="General"/>
    <numFmt numFmtId="170" formatCode="#,##0.00"/>
  </numFmts>
  <fonts count="19">
    <font>
      <sz val="11"/>
      <color theme="1"/>
      <name val="Arial"/>
      <family val="2"/>
      <charset val="177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rial"/>
      <family val="2"/>
      <charset val="1"/>
    </font>
    <font>
      <b val="true"/>
      <sz val="9"/>
      <color theme="1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8"/>
      <name val="Arial"/>
      <family val="2"/>
      <charset val="1"/>
    </font>
    <font>
      <sz val="10"/>
      <name val="Arial"/>
      <family val="2"/>
      <charset val="1"/>
    </font>
    <font>
      <b val="true"/>
      <sz val="8"/>
      <color theme="1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1"/>
      <color theme="1"/>
      <name val="Arial"/>
      <family val="2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8"/>
      <color rgb="FF000000"/>
      <name val="Arial"/>
      <family val="2"/>
      <charset val="1"/>
    </font>
    <font>
      <sz val="9"/>
      <name val="Arial"/>
      <family val="0"/>
      <charset val="1"/>
    </font>
    <font>
      <sz val="8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theme="4" tint="0.7998"/>
        <bgColor rgb="FFCCFFFF"/>
      </patternFill>
    </fill>
    <fill>
      <patternFill patternType="solid">
        <fgColor theme="7" tint="0.5998"/>
        <bgColor rgb="FFC1E5F5"/>
      </patternFill>
    </fill>
    <fill>
      <patternFill patternType="solid">
        <fgColor theme="9" tint="0.5998"/>
        <bgColor rgb="FFC1E5F5"/>
      </patternFill>
    </fill>
    <fill>
      <patternFill patternType="solid">
        <fgColor rgb="FF92D050"/>
        <bgColor rgb="FFB4E5A2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bottom" textRotation="0" wrapText="false" indent="0" shrinkToFit="false" readingOrder="1"/>
      <protection locked="true" hidden="false"/>
    </xf>
    <xf numFmtId="168" fontId="11" fillId="3" borderId="1" xfId="0" applyFont="true" applyBorder="true" applyAlignment="true" applyProtection="false">
      <alignment horizontal="right" vertical="bottom" textRotation="0" wrapText="false" indent="0" shrinkToFit="false" readingOrder="1"/>
      <protection locked="true" hidden="false"/>
    </xf>
    <xf numFmtId="167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1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4E5A2"/>
      <rgbColor rgb="FFFFFF99"/>
      <rgbColor rgb="FF96DCF8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ערכת נושא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true" tabSelected="true" showOutlineSymbols="true" defaultGridColor="true" view="normal" topLeftCell="A9" colorId="64" zoomScale="100" zoomScaleNormal="100" zoomScalePageLayoutView="100" workbookViewId="0">
      <selection pane="topLeft" activeCell="E37" activeCellId="0" sqref="E37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2.38"/>
    <col collapsed="false" customWidth="true" hidden="false" outlineLevel="0" max="2" min="2" style="1" width="27"/>
    <col collapsed="false" customWidth="true" hidden="false" outlineLevel="0" max="3" min="3" style="1" width="9.87"/>
  </cols>
  <sheetData>
    <row r="1" customFormat="false" ht="15.75" hidden="false" customHeight="true" outlineLevel="0" collapsed="false">
      <c r="B1" s="2" t="s">
        <v>0</v>
      </c>
      <c r="C1" s="3"/>
    </row>
    <row r="2" customFormat="false" ht="14.25" hidden="false" customHeight="true" outlineLevel="0" collapsed="false">
      <c r="A2" s="4" t="s">
        <v>1</v>
      </c>
      <c r="B2" s="5" t="n">
        <v>46250</v>
      </c>
      <c r="C2" s="6" t="n">
        <v>8.2026</v>
      </c>
    </row>
    <row r="3" customFormat="false" ht="14.25" hidden="false" customHeight="true" outlineLevel="0" collapsed="false">
      <c r="A3" s="7" t="n">
        <v>5</v>
      </c>
      <c r="B3" s="8" t="s">
        <v>2</v>
      </c>
      <c r="C3" s="9" t="n">
        <f aca="false">SUMIF(Pplay1!$F$3:$F$14,A3,Pplay1!$H$3:$H$14)+SUMIF(ריכוז!$B$3:$B$16,A3,ריכוז!$C$3:$C$16)</f>
        <v>299421.55</v>
      </c>
    </row>
    <row r="4" customFormat="false" ht="14.25" hidden="false" customHeight="true" outlineLevel="0" collapsed="false">
      <c r="A4" s="10" t="n">
        <v>1</v>
      </c>
      <c r="B4" s="8" t="s">
        <v>3</v>
      </c>
      <c r="C4" s="9" t="n">
        <f aca="false">SUMIF(Pplay1!$F$3:$F$14,A4,Pplay1!$H$3:$H$14)+SUMIF(ריכוז!$B$3:$B$16,A4,ריכוז!$C$3:$C$16)</f>
        <v>230382.971</v>
      </c>
    </row>
    <row r="5" customFormat="false" ht="14.25" hidden="false" customHeight="true" outlineLevel="0" collapsed="false">
      <c r="A5" s="10" t="n">
        <v>7</v>
      </c>
      <c r="B5" s="8" t="s">
        <v>4</v>
      </c>
      <c r="C5" s="9" t="n">
        <f aca="false">SUMIF(Pplay1!$F$3:$F$14,A5,Pplay1!$H$3:$H$14)+SUMIF(ריכוז!$B$3:$B$16,A5,ריכוז!$C$3:$C$16)</f>
        <v>35901.138</v>
      </c>
    </row>
    <row r="6" customFormat="false" ht="14.25" hidden="false" customHeight="true" outlineLevel="0" collapsed="false">
      <c r="A6" s="10" t="n">
        <v>4</v>
      </c>
      <c r="B6" s="8" t="s">
        <v>5</v>
      </c>
      <c r="C6" s="9" t="n">
        <f aca="false">SUMIF(Pplay1!$F$3:$F$14,A6,Pplay1!$H$3:$H$14)+SUMIF(ריכוז!$B$3:$B$16,A6,ריכוז!$C$3:$C$16)</f>
        <v>63552.222</v>
      </c>
    </row>
    <row r="7" customFormat="false" ht="14.25" hidden="false" customHeight="true" outlineLevel="0" collapsed="false">
      <c r="A7" s="10" t="n">
        <v>3</v>
      </c>
      <c r="B7" s="8" t="s">
        <v>6</v>
      </c>
      <c r="C7" s="9" t="n">
        <f aca="false">SUMIF(Pplay1!$F$3:$F$14,A7,Pplay1!$H$3:$H$14)+SUMIF(ריכוז!$B$3:$B$16,A7,ריכוז!$C$3:$C$16)</f>
        <v>127921.1</v>
      </c>
    </row>
    <row r="8" customFormat="false" ht="14.25" hidden="false" customHeight="true" outlineLevel="0" collapsed="false">
      <c r="A8" s="10" t="n">
        <v>8</v>
      </c>
      <c r="B8" s="8" t="s">
        <v>7</v>
      </c>
      <c r="C8" s="9" t="n">
        <f aca="false">SUMIF(Pplay1!$F$3:$F$14,A8,Pplay1!$H$3:$H$14)+SUMIF(ריכוז!$B$3:$B$16,A8,ריכוז!$C$3:$C$16)</f>
        <v>41033.356</v>
      </c>
    </row>
    <row r="9" customFormat="false" ht="14.25" hidden="false" customHeight="true" outlineLevel="0" collapsed="false">
      <c r="A9" s="10" t="n">
        <v>6</v>
      </c>
      <c r="B9" s="8" t="s">
        <v>8</v>
      </c>
      <c r="C9" s="9" t="n">
        <f aca="false">SUMIF(Pplay1!$F$3:$F$14,A9,Pplay1!$H$3:$H$14)+SUMIF(ריכוז!$B$3:$B$16,A9,ריכוז!$C$3:$C$16)</f>
        <v>33742.48</v>
      </c>
    </row>
    <row r="10" customFormat="false" ht="14.25" hidden="false" customHeight="true" outlineLevel="0" collapsed="false">
      <c r="A10" s="11" t="n">
        <v>10</v>
      </c>
      <c r="B10" s="12" t="s">
        <v>9</v>
      </c>
      <c r="C10" s="9" t="n">
        <f aca="false">SUMIF(Pplay1!$F$3:$F$14,A10,Pplay1!$H$3:$H$14)+SUMIF(ריכוז!$B$3:$B$16,A10,ריכוז!$C$3:$C$16)</f>
        <v>2465.3</v>
      </c>
    </row>
    <row r="11" customFormat="false" ht="14.25" hidden="false" customHeight="true" outlineLevel="0" collapsed="false">
      <c r="A11" s="10" t="n">
        <v>11</v>
      </c>
      <c r="B11" s="8" t="s">
        <v>10</v>
      </c>
      <c r="C11" s="9" t="n">
        <f aca="false">SUMIF(Pplay1!$F$3:$F$14,A11,Pplay1!$H$3:$H$14)+SUMIF(ריכוז!$B$3:$B$16,A11,ריכוז!$C$3:$C$16)</f>
        <v>1368.95</v>
      </c>
    </row>
    <row r="12" customFormat="false" ht="14.25" hidden="false" customHeight="true" outlineLevel="0" collapsed="false">
      <c r="A12" s="10" t="n">
        <v>14</v>
      </c>
      <c r="B12" s="8" t="s">
        <v>11</v>
      </c>
      <c r="C12" s="9" t="n">
        <f aca="false">SUMIF(Pplay1!$F$3:$F$14,A12,Pplay1!$H$3:$H$14)+SUMIF(ריכוז!$B$3:$B$16,A12,ריכוז!$C$3:$C$16)</f>
        <v>0</v>
      </c>
    </row>
    <row r="13" customFormat="false" ht="14.25" hidden="false" customHeight="true" outlineLevel="0" collapsed="false">
      <c r="A13" s="10" t="n">
        <v>15</v>
      </c>
      <c r="B13" s="8" t="s">
        <v>12</v>
      </c>
      <c r="C13" s="9" t="n">
        <f aca="false">SUMIF(Pplay1!$F$3:$F$14,A13,Pplay1!$H$3:$H$14)+SUMIF(ריכוז!$B$3:$B$16,A13,ריכוז!$C$3:$C$16)</f>
        <v>0</v>
      </c>
    </row>
    <row r="14" customFormat="false" ht="14.25" hidden="false" customHeight="true" outlineLevel="0" collapsed="false">
      <c r="A14" s="10" t="n">
        <v>13</v>
      </c>
      <c r="B14" s="8" t="s">
        <v>13</v>
      </c>
      <c r="C14" s="9" t="n">
        <f aca="false">SUMIF(Pplay1!$F$3:$F$14,A14,Pplay1!$H$3:$H$14)+SUMIF(ריכוז!$B$3:$B$16,A14,ריכוז!$C$3:$C$16)</f>
        <v>0</v>
      </c>
    </row>
    <row r="15" customFormat="false" ht="14.25" hidden="false" customHeight="true" outlineLevel="0" collapsed="false">
      <c r="A15" s="10" t="n">
        <v>9</v>
      </c>
      <c r="B15" s="8" t="s">
        <v>14</v>
      </c>
      <c r="C15" s="9" t="n">
        <f aca="false">SUMIF(Pplay1!$F$3:$F$14,A15,Pplay1!$H$3:$H$14)+SUMIF(ריכוז!$B$3:$B$16,A15,ריכוז!$C$3:$C$16)</f>
        <v>6251.4</v>
      </c>
    </row>
    <row r="16" customFormat="false" ht="15" hidden="false" customHeight="true" outlineLevel="0" collapsed="false">
      <c r="A16" s="13"/>
      <c r="B16" s="14" t="s">
        <v>15</v>
      </c>
      <c r="C16" s="15" t="n">
        <f aca="false">SUM(C3:C15)</f>
        <v>842040.467</v>
      </c>
    </row>
    <row r="17" customFormat="false" ht="14.25" hidden="false" customHeight="true" outlineLevel="0" collapsed="false">
      <c r="A17" s="10" t="n">
        <v>2</v>
      </c>
      <c r="B17" s="8" t="s">
        <v>16</v>
      </c>
      <c r="C17" s="9" t="n">
        <f aca="false">SUMIF(Pplay1!$F$3:$F$14,A17,Pplay1!$H$3:$H$14)+SUMIF(ריכוז!$B$3:$B$16,A17,ריכוז!$C$3:$C$16)</f>
        <v>159737.22</v>
      </c>
    </row>
    <row r="18" customFormat="false" ht="14.25" hidden="false" customHeight="true" outlineLevel="0" collapsed="false">
      <c r="A18" s="10" t="n">
        <v>12</v>
      </c>
      <c r="B18" s="8" t="s">
        <v>17</v>
      </c>
      <c r="C18" s="9" t="n">
        <f aca="false">SUMIF(Pplay1!$F$3:$F$14,A18,Pplay1!$H$3:$H$14)+SUMIF(ריכוז!$B$3:$B$16,A18,ריכוז!$C$3:$C$16)</f>
        <v>537.53</v>
      </c>
    </row>
    <row r="19" customFormat="false" ht="15" hidden="false" customHeight="true" outlineLevel="0" collapsed="false">
      <c r="A19" s="11"/>
      <c r="B19" s="16" t="s">
        <v>18</v>
      </c>
      <c r="C19" s="15" t="n">
        <f aca="false">C18+C17+C16</f>
        <v>1002315.217</v>
      </c>
    </row>
    <row r="20" customFormat="false" ht="14.25" hidden="false" customHeight="true" outlineLevel="0" collapsed="false">
      <c r="A20" s="11" t="n">
        <v>50</v>
      </c>
      <c r="B20" s="12" t="s">
        <v>19</v>
      </c>
      <c r="C20" s="9" t="n">
        <f aca="false">(Amazon_מקור!B3+Amazon_מקור!B4)*3</f>
        <v>101051.37</v>
      </c>
    </row>
    <row r="21" customFormat="false" ht="14.25" hidden="false" customHeight="true" outlineLevel="0" collapsed="false">
      <c r="A21" s="11" t="n">
        <v>20</v>
      </c>
      <c r="B21" s="12" t="s">
        <v>20</v>
      </c>
      <c r="C21" s="9" t="n">
        <f aca="false">SUMIF(Pplay1!$F$3:$F$14,A21,Pplay1!$H$3:$H$14)+SUMIF(ריכוז!$B$3:$B$29,A21,ריכוז!$C$3:$C$29)</f>
        <v>132101.57</v>
      </c>
    </row>
    <row r="22" customFormat="false" ht="14.25" hidden="false" customHeight="true" outlineLevel="0" collapsed="false">
      <c r="A22" s="11" t="n">
        <v>21</v>
      </c>
      <c r="B22" s="12" t="s">
        <v>21</v>
      </c>
      <c r="C22" s="9" t="n">
        <f aca="false">SUMIF(Pplay1!$F$3:$F$14,A22,Pplay1!$H$3:$H$14)+SUMIF(ריכוז!$B$3:$B$29,A22,ריכוז!$C$3:$C$29)</f>
        <v>0</v>
      </c>
    </row>
    <row r="23" customFormat="false" ht="14.25" hidden="false" customHeight="true" outlineLevel="0" collapsed="false">
      <c r="A23" s="11" t="n">
        <v>22</v>
      </c>
      <c r="B23" s="12" t="s">
        <v>22</v>
      </c>
      <c r="C23" s="9" t="n">
        <f aca="false">SUMIF(Pplay1!$F$3:$F$14,A23,Pplay1!$H$3:$H$14)+SUMIF(ריכוז!$B$3:$B$29,A23,ריכוז!$C$3:$C$29)</f>
        <v>0</v>
      </c>
    </row>
    <row r="24" customFormat="false" ht="14.25" hidden="false" customHeight="true" outlineLevel="0" collapsed="false">
      <c r="A24" s="11" t="n">
        <v>23</v>
      </c>
      <c r="B24" s="12" t="s">
        <v>23</v>
      </c>
      <c r="C24" s="9" t="n">
        <f aca="false">SUMIF(Pplay1!$F$3:$F$14,A24,Pplay1!$H$3:$H$14)+SUMIF(ריכוז!$B$3:$B$29,A24,ריכוז!$C$3:$C$29)</f>
        <v>0</v>
      </c>
    </row>
    <row r="25" customFormat="false" ht="14.25" hidden="false" customHeight="true" outlineLevel="0" collapsed="false">
      <c r="A25" s="11" t="n">
        <v>24</v>
      </c>
      <c r="B25" s="12" t="s">
        <v>24</v>
      </c>
      <c r="C25" s="9" t="n">
        <f aca="false">SUMIF(Pplay1!$F$3:$F$14,A25,Pplay1!$H$3:$H$14)+SUMIF(ריכוז!$B$3:$B$29,A25,ריכוז!$C$3:$C$29)</f>
        <v>0</v>
      </c>
    </row>
    <row r="26" customFormat="false" ht="14.25" hidden="false" customHeight="true" outlineLevel="0" collapsed="false">
      <c r="A26" s="11" t="n">
        <v>25</v>
      </c>
      <c r="B26" s="12" t="s">
        <v>25</v>
      </c>
      <c r="C26" s="9" t="n">
        <f aca="false">SUMIF(Pplay1!$F$3:$F$14,A26,Pplay1!$H$3:$H$14)+SUMIF(ריכוז!$B$3:$B$29,A26,ריכוז!$C$3:$C$29)</f>
        <v>0</v>
      </c>
    </row>
    <row r="27" customFormat="false" ht="14.25" hidden="false" customHeight="true" outlineLevel="0" collapsed="false">
      <c r="A27" s="11" t="n">
        <v>26</v>
      </c>
      <c r="B27" s="12" t="s">
        <v>26</v>
      </c>
      <c r="C27" s="9" t="n">
        <f aca="false">SUMIF(Pplay1!$F$3:$F$14,A27,Pplay1!$H$3:$H$14)+SUMIF(ריכוז!$B$3:$B$29,A27,ריכוז!$C$3:$C$29)</f>
        <v>0</v>
      </c>
    </row>
    <row r="28" customFormat="false" ht="14.25" hidden="false" customHeight="true" outlineLevel="0" collapsed="false">
      <c r="A28" s="11" t="n">
        <v>27</v>
      </c>
      <c r="B28" s="12" t="s">
        <v>27</v>
      </c>
      <c r="C28" s="9" t="n">
        <f aca="false">SUMIF(Pplay1!$F$3:$F$14,A28,Pplay1!$H$3:$H$14)+SUMIF(ריכוז!$B$3:$B$29,A28,ריכוז!$C$3:$C$29)</f>
        <v>0</v>
      </c>
    </row>
    <row r="29" customFormat="false" ht="14.25" hidden="false" customHeight="true" outlineLevel="0" collapsed="false">
      <c r="A29" s="11" t="n">
        <v>28</v>
      </c>
      <c r="B29" s="12" t="s">
        <v>28</v>
      </c>
      <c r="C29" s="9" t="n">
        <f aca="false">SUMIF(Pplay1!$F$3:$F$14,A29,Pplay1!$H$3:$H$14)+SUMIF(ריכוז!$B$3:$B$29,A29,ריכוז!$C$3:$C$29)</f>
        <v>0</v>
      </c>
    </row>
    <row r="30" customFormat="false" ht="14.25" hidden="false" customHeight="true" outlineLevel="0" collapsed="false">
      <c r="A30" s="11" t="n">
        <v>29</v>
      </c>
      <c r="B30" s="12" t="s">
        <v>29</v>
      </c>
      <c r="C30" s="9" t="n">
        <f aca="false">SUMIF(Pplay1!$F$3:$F$14,A30,Pplay1!$H$3:$H$14)+SUMIF(ריכוז!$B$3:$B$29,A30,ריכוז!$C$3:$C$29)</f>
        <v>0</v>
      </c>
    </row>
    <row r="31" customFormat="false" ht="14.25" hidden="false" customHeight="true" outlineLevel="0" collapsed="false">
      <c r="A31" s="11" t="n">
        <v>30</v>
      </c>
      <c r="B31" s="12" t="s">
        <v>30</v>
      </c>
      <c r="C31" s="9" t="n">
        <f aca="false">SUMIF(Pplay1!$F$3:$F$14,A31,Pplay1!$H$3:$H$14)+SUMIF(ריכוז!$B$3:$B$29,A31,ריכוז!$C$3:$C$29)</f>
        <v>0</v>
      </c>
    </row>
    <row r="32" customFormat="false" ht="14.25" hidden="false" customHeight="true" outlineLevel="0" collapsed="false">
      <c r="A32" s="11" t="n">
        <v>31</v>
      </c>
      <c r="B32" s="12" t="s">
        <v>31</v>
      </c>
      <c r="C32" s="9" t="n">
        <f aca="false">SUMIF(Pplay1!$F$3:$F$14,A32,Pplay1!$H$3:$H$14)+SUMIF(ריכוז!$B$3:$B$29,A32,ריכוז!$C$3:$C$29)</f>
        <v>0</v>
      </c>
    </row>
    <row r="33" customFormat="false" ht="14.25" hidden="false" customHeight="true" outlineLevel="0" collapsed="false">
      <c r="A33" s="11" t="n">
        <v>37</v>
      </c>
      <c r="B33" s="12" t="s">
        <v>32</v>
      </c>
      <c r="C33" s="9" t="n">
        <f aca="false">SUMIF(Pplay1!$F$3:$F$14,A33,Pplay1!$H$3:$H$14)+SUMIF(ריכוז!$B$3:$B$29,A33,ריכוז!$C$3:$C$29)</f>
        <v>0</v>
      </c>
    </row>
    <row r="34" customFormat="false" ht="14.25" hidden="false" customHeight="true" outlineLevel="0" collapsed="false">
      <c r="A34" s="11" t="n">
        <v>32</v>
      </c>
      <c r="B34" s="12" t="s">
        <v>33</v>
      </c>
      <c r="C34" s="9" t="n">
        <f aca="false">SUMIF(Pplay1!$F$3:$F$14,A34,Pplay1!$H$3:$H$14)+SUMIF(ריכוז!$B$3:$B$29,A34,ריכוז!$C$3:$C$29)</f>
        <v>0</v>
      </c>
    </row>
    <row r="35" customFormat="false" ht="14.25" hidden="false" customHeight="true" outlineLevel="0" collapsed="false">
      <c r="A35" s="11" t="n">
        <v>33</v>
      </c>
      <c r="B35" s="12" t="s">
        <v>34</v>
      </c>
      <c r="C35" s="9" t="n">
        <f aca="false">SUMIF(Pplay1!$F$3:$F$14,A35,Pplay1!$H$3:$H$14)+SUMIF(ריכוז!$B$3:$B$29,A35,ריכוז!$C$3:$C$29)</f>
        <v>25951</v>
      </c>
    </row>
    <row r="36" customFormat="false" ht="14.25" hidden="false" customHeight="true" outlineLevel="0" collapsed="false">
      <c r="A36" s="11" t="n">
        <v>38</v>
      </c>
      <c r="B36" s="12" t="s">
        <v>35</v>
      </c>
      <c r="C36" s="9" t="n">
        <f aca="false">SUMIF(Pplay1!$F$3:$F$14,A36,Pplay1!$H$3:$H$14)+SUMIF(ריכוז!$B$3:$B$29,A36,ריכוז!$C$3:$C$29)</f>
        <v>0</v>
      </c>
    </row>
    <row r="37" customFormat="false" ht="14.25" hidden="false" customHeight="true" outlineLevel="0" collapsed="false">
      <c r="A37" s="11" t="n">
        <v>34</v>
      </c>
      <c r="B37" s="12" t="s">
        <v>36</v>
      </c>
      <c r="C37" s="9" t="n">
        <f aca="false">SUMIF(Pplay1!$F$3:$F$14,A37,Pplay1!$H$3:$H$14)+SUMIF(ריכוז!$B$3:$B$29,A37,ריכוז!$C$3:$C$29)</f>
        <v>0</v>
      </c>
    </row>
    <row r="38" customFormat="false" ht="14.25" hidden="false" customHeight="true" outlineLevel="0" collapsed="false">
      <c r="A38" s="11" t="n">
        <v>35</v>
      </c>
      <c r="B38" s="12" t="s">
        <v>37</v>
      </c>
      <c r="C38" s="9" t="n">
        <f aca="false">SUMIF(Pplay1!$F$3:$F$14,A38,Pplay1!$H$3:$H$14)+SUMIF(ריכוז!$B$3:$B$29,A38,ריכוז!$C$3:$C$29)</f>
        <v>0</v>
      </c>
    </row>
    <row r="39" customFormat="false" ht="14.25" hidden="false" customHeight="true" outlineLevel="0" collapsed="false">
      <c r="A39" s="11" t="n">
        <v>36</v>
      </c>
      <c r="B39" s="12" t="s">
        <v>38</v>
      </c>
      <c r="C39" s="9" t="n">
        <f aca="false">SUMIF(Pplay1!$F$3:$F$14,A39,Pplay1!$H$3:$H$14)+SUMIF(ריכוז!$B$3:$B$29,A39,ריכוז!$C$3:$C$29)</f>
        <v>0</v>
      </c>
    </row>
    <row r="40" customFormat="false" ht="15" hidden="false" customHeight="true" outlineLevel="0" collapsed="false">
      <c r="A40" s="11"/>
      <c r="B40" s="17" t="s">
        <v>39</v>
      </c>
      <c r="C40" s="18" t="n">
        <f aca="false">SUM(C20:C39)</f>
        <v>259103.94</v>
      </c>
    </row>
    <row r="41" customFormat="false" ht="15" hidden="false" customHeight="true" outlineLevel="0" collapsed="false">
      <c r="A41" s="11"/>
      <c r="B41" s="19" t="s">
        <v>40</v>
      </c>
      <c r="C41" s="20" t="n">
        <f aca="false">C40+C19</f>
        <v>1261419.157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17.88"/>
    <col collapsed="false" customWidth="true" hidden="false" outlineLevel="0" max="2" min="2" style="1" width="11.5"/>
  </cols>
  <sheetData>
    <row r="1" customFormat="false" ht="15" hidden="false" customHeight="true" outlineLevel="0" collapsed="false">
      <c r="A1" s="21" t="s">
        <v>41</v>
      </c>
      <c r="F1" s="22" t="s">
        <v>42</v>
      </c>
    </row>
    <row r="2" customFormat="false" ht="14.25" hidden="false" customHeight="true" outlineLevel="0" collapsed="false">
      <c r="B2" s="23" t="s">
        <v>5</v>
      </c>
      <c r="C2" s="23" t="s">
        <v>4</v>
      </c>
      <c r="D2" s="23" t="s">
        <v>43</v>
      </c>
      <c r="E2" s="23" t="s">
        <v>44</v>
      </c>
      <c r="F2" s="24" t="s">
        <v>45</v>
      </c>
      <c r="G2" s="24" t="s">
        <v>46</v>
      </c>
      <c r="H2" s="24" t="s">
        <v>47</v>
      </c>
    </row>
    <row r="3" customFormat="false" ht="14.25" hidden="false" customHeight="true" outlineLevel="0" collapsed="false">
      <c r="A3" s="25" t="s">
        <v>48</v>
      </c>
      <c r="B3" s="23" t="n">
        <v>4</v>
      </c>
      <c r="C3" s="23"/>
      <c r="D3" s="23"/>
      <c r="E3" s="23"/>
      <c r="F3" s="26" t="n">
        <f aca="false">IF(B3&lt;&gt;"",B3,IF(C3&lt;&gt;"",C3,IF(D3&lt;&gt;"",D3,IF(E3&lt;&gt;"",E3,""))))</f>
        <v>4</v>
      </c>
      <c r="G3" s="27" t="n">
        <f aca="false">IFERROR(INDEX(PPLAY1_מקור!$B:$B,MATCH(A3,PPLAY1_מקור!$A:$A,0)),"")</f>
        <v>63348.3</v>
      </c>
      <c r="H3" s="27" t="n">
        <f aca="false">IF(G3="","",G3*0.91)</f>
        <v>57646.953</v>
      </c>
    </row>
    <row r="4" customFormat="false" ht="14.25" hidden="false" customHeight="true" outlineLevel="0" collapsed="false">
      <c r="A4" s="25" t="s">
        <v>49</v>
      </c>
      <c r="B4" s="23" t="n">
        <v>4</v>
      </c>
      <c r="C4" s="23"/>
      <c r="D4" s="23"/>
      <c r="E4" s="23"/>
      <c r="F4" s="26" t="n">
        <f aca="false">IF(B4&lt;&gt;"",B4,IF(C4&lt;&gt;"",C4,IF(D4&lt;&gt;"",D4,IF(E4&lt;&gt;"",E4,""))))</f>
        <v>4</v>
      </c>
      <c r="G4" s="27" t="n">
        <f aca="false">IFERROR(INDEX(PPLAY1_מקור!$B:$B,MATCH(A4,PPLAY1_מקור!$A:$A,0)),"")</f>
        <v>214</v>
      </c>
      <c r="H4" s="27" t="n">
        <f aca="false">IF(G4="","",G4*0.91)</f>
        <v>194.74</v>
      </c>
    </row>
    <row r="5" customFormat="false" ht="14.25" hidden="false" customHeight="true" outlineLevel="0" collapsed="false">
      <c r="A5" s="25" t="s">
        <v>50</v>
      </c>
      <c r="B5" s="23"/>
      <c r="C5" s="23"/>
      <c r="D5" s="23"/>
      <c r="E5" s="23"/>
      <c r="F5" s="26" t="str">
        <f aca="false">IF(B5&lt;&gt;"",B5,IF(C5&lt;&gt;"",C5,IF(D5&lt;&gt;"",D5,IF(E5&lt;&gt;"",E5,""))))</f>
        <v/>
      </c>
      <c r="G5" s="27" t="n">
        <f aca="false">IFERROR(INDEX(PPLAY1_מקור!$B:$B,MATCH(A5,PPLAY1_מקור!$A:$A,0)),"")</f>
        <v>292490.7</v>
      </c>
      <c r="H5" s="27" t="n">
        <f aca="false">IF(G5="","",G5*0.91)</f>
        <v>266166.537</v>
      </c>
    </row>
    <row r="6" customFormat="false" ht="14.25" hidden="false" customHeight="true" outlineLevel="0" collapsed="false">
      <c r="A6" s="25" t="s">
        <v>51</v>
      </c>
      <c r="B6" s="23"/>
      <c r="C6" s="23" t="n">
        <v>7</v>
      </c>
      <c r="D6" s="23"/>
      <c r="E6" s="23"/>
      <c r="F6" s="26" t="n">
        <f aca="false">IF(B6&lt;&gt;"",B6,IF(C6&lt;&gt;"",C6,IF(D6&lt;&gt;"",D6,IF(E6&lt;&gt;"",E6,""))))</f>
        <v>7</v>
      </c>
      <c r="G6" s="27" t="n">
        <f aca="false">IFERROR(INDEX(PPLAY1_מקור!$B:$B,MATCH(A6,PPLAY1_מקור!$A:$A,0)),"")</f>
        <v>1091.2</v>
      </c>
      <c r="H6" s="27" t="n">
        <f aca="false">IF(G6="","",G6*0.91)</f>
        <v>992.992</v>
      </c>
    </row>
    <row r="7" customFormat="false" ht="14.25" hidden="false" customHeight="true" outlineLevel="0" collapsed="false">
      <c r="A7" s="25" t="s">
        <v>52</v>
      </c>
      <c r="B7" s="23" t="n">
        <v>4</v>
      </c>
      <c r="C7" s="23"/>
      <c r="D7" s="23"/>
      <c r="E7" s="23"/>
      <c r="F7" s="26" t="n">
        <f aca="false">IF(B7&lt;&gt;"",B7,IF(C7&lt;&gt;"",C7,IF(D7&lt;&gt;"",D7,IF(E7&lt;&gt;"",E7,""))))</f>
        <v>4</v>
      </c>
      <c r="G7" s="27" t="n">
        <f aca="false">IFERROR(INDEX(PPLAY1_מקור!$B:$B,MATCH(A7,PPLAY1_מקור!$A:$A,0)),"")</f>
        <v>58.9</v>
      </c>
      <c r="H7" s="27" t="n">
        <f aca="false">IF(G7="","",G7*0.91)</f>
        <v>53.599</v>
      </c>
    </row>
    <row r="8" customFormat="false" ht="14.25" hidden="false" customHeight="true" outlineLevel="0" collapsed="false">
      <c r="A8" s="25" t="s">
        <v>53</v>
      </c>
      <c r="B8" s="23" t="n">
        <v>4</v>
      </c>
      <c r="C8" s="23"/>
      <c r="D8" s="23"/>
      <c r="E8" s="23"/>
      <c r="F8" s="26" t="n">
        <f aca="false">IF(B8&lt;&gt;"",B8,IF(C8&lt;&gt;"",C8,IF(D8&lt;&gt;"",D8,IF(E8&lt;&gt;"",E8,""))))</f>
        <v>4</v>
      </c>
      <c r="G8" s="27" t="str">
        <f aca="false">IFERROR(INDEX(PPLAY1_מקור!$B:$B,MATCH(A8,PPLAY1_מקור!$A:$A,0)),"")</f>
        <v/>
      </c>
      <c r="H8" s="27" t="str">
        <f aca="false">IF(G8="","",G8*0.91)</f>
        <v/>
      </c>
    </row>
    <row r="9" customFormat="false" ht="14.25" hidden="false" customHeight="true" outlineLevel="0" collapsed="false">
      <c r="A9" s="25" t="s">
        <v>54</v>
      </c>
      <c r="B9" s="23"/>
      <c r="C9" s="23" t="n">
        <v>7</v>
      </c>
      <c r="D9" s="23"/>
      <c r="E9" s="23"/>
      <c r="F9" s="26" t="n">
        <f aca="false">IF(B9&lt;&gt;"",B9,IF(C9&lt;&gt;"",C9,IF(D9&lt;&gt;"",D9,IF(E9&lt;&gt;"",E9,""))))</f>
        <v>7</v>
      </c>
      <c r="G9" s="27" t="n">
        <f aca="false">IFERROR(INDEX(PPLAY1_מקור!$B:$B,MATCH(A9,PPLAY1_מקור!$A:$A,0)),"")</f>
        <v>176</v>
      </c>
      <c r="H9" s="27" t="n">
        <f aca="false">IF(G9="","",G9*0.91)</f>
        <v>160.16</v>
      </c>
    </row>
    <row r="10" customFormat="false" ht="14.25" hidden="false" customHeight="true" outlineLevel="0" collapsed="false">
      <c r="A10" s="25" t="s">
        <v>3</v>
      </c>
      <c r="B10" s="23"/>
      <c r="C10" s="23"/>
      <c r="D10" s="23" t="n">
        <v>1</v>
      </c>
      <c r="E10" s="23"/>
      <c r="F10" s="26" t="n">
        <f aca="false">IF(B10&lt;&gt;"",B10,IF(C10&lt;&gt;"",C10,IF(D10&lt;&gt;"",D10,IF(E10&lt;&gt;"",E10,""))))</f>
        <v>1</v>
      </c>
      <c r="G10" s="27" t="n">
        <f aca="false">IFERROR(INDEX(PPLAY1_מקור!$B:$B,MATCH(A10,PPLAY1_מקור!$A:$A,0)),"")</f>
        <v>253168.1</v>
      </c>
      <c r="H10" s="27" t="n">
        <f aca="false">IF(G10="","",G10*0.91)</f>
        <v>230382.971</v>
      </c>
    </row>
    <row r="11" customFormat="false" ht="14.25" hidden="false" customHeight="true" outlineLevel="0" collapsed="false">
      <c r="A11" s="25" t="s">
        <v>55</v>
      </c>
      <c r="B11" s="23"/>
      <c r="C11" s="23" t="n">
        <v>7</v>
      </c>
      <c r="D11" s="23"/>
      <c r="E11" s="23"/>
      <c r="F11" s="26" t="n">
        <f aca="false">IF(B11&lt;&gt;"",B11,IF(C11&lt;&gt;"",C11,IF(D11&lt;&gt;"",D11,IF(E11&lt;&gt;"",E11,""))))</f>
        <v>7</v>
      </c>
      <c r="G11" s="27" t="n">
        <f aca="false">IFERROR(INDEX(PPLAY1_מקור!$B:$B,MATCH(A11,PPLAY1_מקור!$A:$A,0)),"")</f>
        <v>38184.6</v>
      </c>
      <c r="H11" s="27" t="n">
        <f aca="false">IF(G11="","",G11*0.91)</f>
        <v>34747.986</v>
      </c>
    </row>
    <row r="12" customFormat="false" ht="14.25" hidden="false" customHeight="true" outlineLevel="0" collapsed="false">
      <c r="A12" s="25" t="s">
        <v>56</v>
      </c>
      <c r="B12" s="23" t="n">
        <v>4</v>
      </c>
      <c r="C12" s="23"/>
      <c r="D12" s="23"/>
      <c r="E12" s="23"/>
      <c r="F12" s="26" t="n">
        <f aca="false">IF(B12&lt;&gt;"",B12,IF(C12&lt;&gt;"",C12,IF(D12&lt;&gt;"",D12,IF(E12&lt;&gt;"",E12,""))))</f>
        <v>4</v>
      </c>
      <c r="G12" s="27" t="str">
        <f aca="false">IFERROR(INDEX(PPLAY1_מקור!$B:$B,MATCH(A12,PPLAY1_מקור!$A:$A,0)),"")</f>
        <v/>
      </c>
      <c r="H12" s="27" t="str">
        <f aca="false">IF(G12="","",G12*0.91)</f>
        <v/>
      </c>
    </row>
    <row r="13" customFormat="false" ht="14.25" hidden="false" customHeight="true" outlineLevel="0" collapsed="false">
      <c r="A13" s="25" t="s">
        <v>57</v>
      </c>
      <c r="B13" s="23"/>
      <c r="C13" s="23"/>
      <c r="D13" s="23"/>
      <c r="E13" s="23" t="n">
        <v>8</v>
      </c>
      <c r="F13" s="26" t="n">
        <f aca="false">IF(B13&lt;&gt;"",B13,IF(C13&lt;&gt;"",C13,IF(D13&lt;&gt;"",D13,IF(E13&lt;&gt;"",E13,""))))</f>
        <v>8</v>
      </c>
      <c r="G13" s="27" t="n">
        <f aca="false">IFERROR(INDEX(PPLAY1_מקור!$B:$B,MATCH(A13,PPLAY1_מקור!$A:$A,0)),"")</f>
        <v>45091.6</v>
      </c>
      <c r="H13" s="27" t="n">
        <f aca="false">IF(G13="","",G13*0.91)</f>
        <v>41033.356</v>
      </c>
    </row>
    <row r="14" customFormat="false" ht="14.25" hidden="false" customHeight="true" outlineLevel="0" collapsed="false">
      <c r="A14" s="25" t="s">
        <v>58</v>
      </c>
      <c r="B14" s="23" t="n">
        <v>4</v>
      </c>
      <c r="C14" s="23"/>
      <c r="D14" s="23"/>
      <c r="E14" s="23"/>
      <c r="F14" s="26" t="n">
        <f aca="false">IF(B14&lt;&gt;"",B14,IF(C14&lt;&gt;"",C14,IF(D14&lt;&gt;"",D14,IF(E14&lt;&gt;"",E14,""))))</f>
        <v>4</v>
      </c>
      <c r="G14" s="27" t="str">
        <f aca="false">IFERROR(INDEX(PPLAY1_מקור!$B:$B,MATCH(A14,PPLAY1_מקור!$A:$A,0)),"")</f>
        <v/>
      </c>
      <c r="H14" s="27" t="str">
        <f aca="false">IF(G14="","",G14*0.91)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C34" activeCellId="0" sqref="C34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28.25"/>
    <col collapsed="false" customWidth="true" hidden="false" outlineLevel="0" max="3" min="3" style="1" width="20"/>
  </cols>
  <sheetData>
    <row r="1" customFormat="false" ht="15" hidden="false" customHeight="true" outlineLevel="0" collapsed="false">
      <c r="A1" s="21" t="s">
        <v>59</v>
      </c>
      <c r="C1" s="24" t="s">
        <v>60</v>
      </c>
    </row>
    <row r="2" customFormat="false" ht="15" hidden="false" customHeight="true" outlineLevel="0" collapsed="false">
      <c r="A2" s="21"/>
    </row>
    <row r="3" customFormat="false" ht="14.25" hidden="false" customHeight="true" outlineLevel="0" collapsed="false">
      <c r="A3" s="28" t="s">
        <v>61</v>
      </c>
      <c r="B3" s="1" t="n">
        <v>6</v>
      </c>
      <c r="C3" s="27" t="n">
        <f aca="false">IFERROR(INDEX(NetSuite_מקור!$D:$D,MATCH(A3,NetSuite_מקור!$A:$A,0)),"")</f>
        <v>33742.48</v>
      </c>
    </row>
    <row r="4" customFormat="false" ht="14.25" hidden="false" customHeight="true" outlineLevel="0" collapsed="false">
      <c r="A4" s="28" t="s">
        <v>62</v>
      </c>
      <c r="B4" s="1" t="n">
        <v>5</v>
      </c>
      <c r="C4" s="27" t="n">
        <f aca="false">IFERROR(INDEX(NetSuite_מקור!$D:$D,MATCH(A4,NetSuite_מקור!$A:$A,0)),"")</f>
        <v>299421.55</v>
      </c>
    </row>
    <row r="5" customFormat="false" ht="14.25" hidden="false" customHeight="true" outlineLevel="0" collapsed="false">
      <c r="A5" s="28" t="s">
        <v>63</v>
      </c>
      <c r="B5" s="1" t="n">
        <v>9</v>
      </c>
      <c r="C5" s="27" t="n">
        <f aca="false">IFERROR(INDEX(NetSuite_מקור!$D:$D,MATCH(A5,NetSuite_מקור!$A:$A,0)),"")</f>
        <v>6251.4</v>
      </c>
    </row>
    <row r="6" customFormat="false" ht="14.25" hidden="false" customHeight="true" outlineLevel="0" collapsed="false">
      <c r="A6" s="28" t="s">
        <v>64</v>
      </c>
      <c r="B6" s="1" t="n">
        <v>11</v>
      </c>
      <c r="C6" s="27" t="n">
        <f aca="false">IFERROR(INDEX(NetSuite_מקור!$D:$D,MATCH(A6,NetSuite_מקור!$A:$A,0)),"")</f>
        <v>1368.95</v>
      </c>
    </row>
    <row r="7" customFormat="false" ht="14.25" hidden="false" customHeight="true" outlineLevel="0" collapsed="false">
      <c r="A7" s="28" t="s">
        <v>65</v>
      </c>
      <c r="B7" s="1" t="n">
        <v>10</v>
      </c>
      <c r="C7" s="27" t="n">
        <f aca="false">IFERROR(INDEX(NetSuite_מקור!$D:$D,MATCH(A7,NetSuite_מקור!$A:$A,0)),"")</f>
        <v>2465.3</v>
      </c>
    </row>
    <row r="8" customFormat="false" ht="14.25" hidden="false" customHeight="true" outlineLevel="0" collapsed="false">
      <c r="A8" s="28" t="s">
        <v>66</v>
      </c>
      <c r="B8" s="1" t="n">
        <v>4</v>
      </c>
      <c r="C8" s="27" t="n">
        <f aca="false">IFERROR(INDEX(NetSuite_מקור!$D:$D,MATCH(A8,NetSuite_מקור!$A:$A,0)),"")</f>
        <v>5656.93</v>
      </c>
    </row>
    <row r="9" customFormat="false" ht="14.25" hidden="false" customHeight="true" outlineLevel="0" collapsed="false">
      <c r="A9" s="28" t="s">
        <v>67</v>
      </c>
      <c r="B9" s="1" t="n">
        <v>13</v>
      </c>
      <c r="C9" s="27" t="str">
        <f aca="false">IFERROR(INDEX(NetSuite_מקור!$D:$D,MATCH(A9,NetSuite_מקור!$A:$A,0)),"")</f>
        <v/>
      </c>
    </row>
    <row r="10" customFormat="false" ht="14.25" hidden="false" customHeight="true" outlineLevel="0" collapsed="false">
      <c r="A10" s="28" t="s">
        <v>68</v>
      </c>
      <c r="B10" s="1" t="n">
        <v>8</v>
      </c>
      <c r="C10" s="27" t="str">
        <f aca="false">IFERROR(INDEX(NetSuite_מקור!$D:$D,MATCH(A10,NetSuite_מקור!$A:$A,0)),"")</f>
        <v/>
      </c>
    </row>
    <row r="11" customFormat="false" ht="14.25" hidden="false" customHeight="true" outlineLevel="0" collapsed="false">
      <c r="A11" s="28" t="s">
        <v>69</v>
      </c>
      <c r="B11" s="1" t="n">
        <v>3</v>
      </c>
      <c r="C11" s="27" t="n">
        <f aca="false">IFERROR(INDEX(NetSuite_מקור!$D:$D,MATCH(A11,NetSuite_מקור!$A:$A,0)),"")</f>
        <v>127921.1</v>
      </c>
    </row>
    <row r="12" customFormat="false" ht="14.25" hidden="false" customHeight="true" outlineLevel="0" collapsed="false">
      <c r="A12" s="28" t="s">
        <v>70</v>
      </c>
      <c r="B12" s="1" t="n">
        <v>2</v>
      </c>
      <c r="C12" s="27" t="n">
        <f aca="false">IFERROR(INDEX(NetSuite_מקור!$D:$D,MATCH(A12,NetSuite_מקור!$A:$A,0)),"")</f>
        <v>159737.22</v>
      </c>
    </row>
    <row r="13" customFormat="false" ht="14.25" hidden="false" customHeight="true" outlineLevel="0" collapsed="false">
      <c r="A13" s="28" t="s">
        <v>71</v>
      </c>
      <c r="B13" s="1" t="n">
        <v>12</v>
      </c>
      <c r="C13" s="27" t="n">
        <f aca="false">IFERROR(INDEX(NetSuite_מקור!$D:$D,MATCH(A13,NetSuite_מקור!$A:$A,0)),"")</f>
        <v>537.53</v>
      </c>
    </row>
    <row r="14" customFormat="false" ht="14.25" hidden="false" customHeight="true" outlineLevel="0" collapsed="false">
      <c r="A14" s="28" t="s">
        <v>72</v>
      </c>
      <c r="B14" s="1" t="n">
        <v>23</v>
      </c>
      <c r="C14" s="27" t="str">
        <f aca="false">IFERROR(INDEX(NetSuite_מקור!$D:$D,MATCH(A14,NetSuite_מקור!$A:$A,0)),"")</f>
        <v/>
      </c>
    </row>
    <row r="15" customFormat="false" ht="14.25" hidden="false" customHeight="true" outlineLevel="0" collapsed="false">
      <c r="A15" s="28" t="s">
        <v>73</v>
      </c>
      <c r="B15" s="1" t="n">
        <v>25</v>
      </c>
      <c r="C15" s="27" t="str">
        <f aca="false">IFERROR(INDEX(NetSuite_מקור!$D:$D,MATCH(A15,NetSuite_מקור!$A:$A,0)),"")</f>
        <v/>
      </c>
    </row>
    <row r="16" customFormat="false" ht="14.25" hidden="false" customHeight="true" outlineLevel="0" collapsed="false">
      <c r="A16" s="28" t="s">
        <v>74</v>
      </c>
      <c r="B16" s="1" t="n">
        <v>28</v>
      </c>
      <c r="C16" s="27" t="str">
        <f aca="false">IFERROR(INDEX(NetSuite_מקור!$D:$D,MATCH(A16,NetSuite_מקור!$A:$A,0)),"")</f>
        <v/>
      </c>
    </row>
    <row r="17" customFormat="false" ht="14.25" hidden="false" customHeight="true" outlineLevel="0" collapsed="false">
      <c r="A17" s="28" t="s">
        <v>75</v>
      </c>
      <c r="B17" s="1" t="n">
        <v>20</v>
      </c>
      <c r="C17" s="29" t="n">
        <f aca="false">IFERROR(INDEX(NetSuite_מקור!$D:$D,MATCH(A17,NetSuite_מקור!$A:$A,0)),"")</f>
        <v>132101.57</v>
      </c>
    </row>
    <row r="18" customFormat="false" ht="14.25" hidden="false" customHeight="true" outlineLevel="0" collapsed="false">
      <c r="A18" s="28" t="s">
        <v>76</v>
      </c>
      <c r="B18" s="1" t="n">
        <v>33</v>
      </c>
      <c r="C18" s="29" t="n">
        <f aca="false">IFERROR(INDEX(NetSuite_מקור!$D:$D,MATCH(A18,NetSuite_מקור!$A:$A,0)),"")</f>
        <v>25951</v>
      </c>
    </row>
    <row r="19" customFormat="false" ht="14.25" hidden="false" customHeight="true" outlineLevel="0" collapsed="false">
      <c r="A19" s="28" t="s">
        <v>77</v>
      </c>
      <c r="B19" s="1" t="n">
        <v>21</v>
      </c>
      <c r="C19" s="29" t="str">
        <f aca="false">IFERROR(INDEX(NetSuite_מקור!$D:$D,MATCH(A19,NetSuite_מקור!$A:$A,0)),"")</f>
        <v/>
      </c>
    </row>
    <row r="20" customFormat="false" ht="14.25" hidden="false" customHeight="true" outlineLevel="0" collapsed="false">
      <c r="A20" s="28" t="s">
        <v>78</v>
      </c>
      <c r="B20" s="1" t="n">
        <v>22</v>
      </c>
      <c r="C20" s="29" t="str">
        <f aca="false">IFERROR(INDEX(NetSuite_מקור!$D:$D,MATCH(A20,NetSuite_מקור!$A:$A,0)),"")</f>
        <v/>
      </c>
    </row>
    <row r="21" customFormat="false" ht="14.25" hidden="false" customHeight="true" outlineLevel="0" collapsed="false">
      <c r="A21" s="28" t="s">
        <v>79</v>
      </c>
      <c r="B21" s="1" t="n">
        <v>24</v>
      </c>
      <c r="C21" s="29" t="str">
        <f aca="false">IFERROR(INDEX(NetSuite_מקור!$D:$D,MATCH(A21,NetSuite_מקור!$A:$A,0)),"")</f>
        <v/>
      </c>
    </row>
    <row r="22" customFormat="false" ht="14.25" hidden="false" customHeight="true" outlineLevel="0" collapsed="false">
      <c r="A22" s="28" t="s">
        <v>80</v>
      </c>
      <c r="B22" s="1" t="n">
        <v>26</v>
      </c>
      <c r="C22" s="29" t="str">
        <f aca="false">IFERROR(INDEX(NetSuite_מקור!$D:$D,MATCH(A22,NetSuite_מקור!$A:$A,0)),"")</f>
        <v/>
      </c>
    </row>
    <row r="23" customFormat="false" ht="14.25" hidden="false" customHeight="true" outlineLevel="0" collapsed="false">
      <c r="A23" s="28" t="s">
        <v>81</v>
      </c>
      <c r="B23" s="1" t="n">
        <v>27</v>
      </c>
      <c r="C23" s="29" t="str">
        <f aca="false">IFERROR(INDEX(NetSuite_מקור!$D:$D,MATCH(A23,NetSuite_מקור!$A:$A,0)),"")</f>
        <v/>
      </c>
    </row>
    <row r="24" customFormat="false" ht="14.25" hidden="false" customHeight="true" outlineLevel="0" collapsed="false">
      <c r="A24" s="28" t="s">
        <v>82</v>
      </c>
      <c r="B24" s="1" t="n">
        <v>29</v>
      </c>
      <c r="C24" s="29" t="str">
        <f aca="false">IFERROR(INDEX(NetSuite_מקור!$D:$D,MATCH(A24,NetSuite_מקור!$A:$A,0)),"")</f>
        <v/>
      </c>
    </row>
    <row r="25" customFormat="false" ht="14.25" hidden="false" customHeight="true" outlineLevel="0" collapsed="false">
      <c r="A25" s="28" t="s">
        <v>83</v>
      </c>
      <c r="B25" s="1" t="n">
        <v>30</v>
      </c>
      <c r="C25" s="29" t="str">
        <f aca="false">IFERROR(INDEX(NetSuite_מקור!$D:$D,MATCH(A25,NetSuite_מקור!$A:$A,0)),"")</f>
        <v/>
      </c>
    </row>
    <row r="26" customFormat="false" ht="14.25" hidden="false" customHeight="true" outlineLevel="0" collapsed="false">
      <c r="A26" s="28" t="s">
        <v>84</v>
      </c>
      <c r="B26" s="1" t="n">
        <v>31</v>
      </c>
      <c r="C26" s="29" t="str">
        <f aca="false">IFERROR(INDEX(NetSuite_מקור!$D:$D,MATCH(A26,NetSuite_מקור!$A:$A,0)),"")</f>
        <v/>
      </c>
    </row>
    <row r="27" customFormat="false" ht="14.25" hidden="false" customHeight="true" outlineLevel="0" collapsed="false">
      <c r="A27" s="28" t="s">
        <v>85</v>
      </c>
      <c r="B27" s="1" t="n">
        <v>32</v>
      </c>
      <c r="C27" s="29" t="str">
        <f aca="false">IFERROR(INDEX(NetSuite_מקור!$D:$D,MATCH(A27,NetSuite_מקור!$A:$A,0)),"")</f>
        <v/>
      </c>
    </row>
    <row r="28" customFormat="false" ht="14.25" hidden="false" customHeight="true" outlineLevel="0" collapsed="false">
      <c r="A28" s="28" t="s">
        <v>86</v>
      </c>
      <c r="B28" s="1" t="n">
        <v>34</v>
      </c>
      <c r="C28" s="29" t="str">
        <f aca="false">IFERROR(INDEX(NetSuite_מקור!$D:$D,MATCH(A28,NetSuite_מקור!$A:$A,0)),"")</f>
        <v/>
      </c>
    </row>
    <row r="29" customFormat="false" ht="14.25" hidden="false" customHeight="true" outlineLevel="0" collapsed="false">
      <c r="A29" s="28" t="s">
        <v>87</v>
      </c>
      <c r="B29" s="1" t="n">
        <v>35</v>
      </c>
      <c r="C29" s="29" t="str">
        <f aca="false">IFERROR(INDEX(NetSuite_מקור!$D:$D,MATCH(A29,NetSuite_מקור!$A:$A,0)),"")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100"/>
  </cols>
  <sheetData>
    <row r="1" customFormat="false" ht="15" hidden="false" customHeight="true" outlineLevel="0" collapsed="false">
      <c r="A1" s="24" t="s">
        <v>88</v>
      </c>
      <c r="B1" s="24" t="s">
        <v>89</v>
      </c>
      <c r="C1" s="24" t="s">
        <v>47</v>
      </c>
      <c r="D1" s="24" t="s">
        <v>90</v>
      </c>
    </row>
    <row r="2" customFormat="false" ht="14.25" hidden="false" customHeight="true" outlineLevel="0" collapsed="false">
      <c r="A2" s="26" t="s">
        <v>48</v>
      </c>
      <c r="B2" s="27" t="n">
        <v>63348.3</v>
      </c>
      <c r="C2" s="27" t="n">
        <f aca="false">B2*0.91</f>
        <v>57646.953</v>
      </c>
      <c r="D2" s="30" t="s">
        <v>91</v>
      </c>
    </row>
    <row r="3" customFormat="false" ht="14.25" hidden="false" customHeight="true" outlineLevel="0" collapsed="false">
      <c r="A3" s="26" t="s">
        <v>49</v>
      </c>
      <c r="B3" s="27" t="n">
        <v>214</v>
      </c>
      <c r="C3" s="27" t="n">
        <f aca="false">B3*0.91</f>
        <v>194.74</v>
      </c>
    </row>
    <row r="4" customFormat="false" ht="14.25" hidden="false" customHeight="true" outlineLevel="0" collapsed="false">
      <c r="A4" s="26" t="s">
        <v>50</v>
      </c>
      <c r="B4" s="27" t="n">
        <v>292490.7</v>
      </c>
      <c r="C4" s="27" t="n">
        <f aca="false">B4*0.91</f>
        <v>266166.537</v>
      </c>
    </row>
    <row r="5" customFormat="false" ht="14.25" hidden="false" customHeight="true" outlineLevel="0" collapsed="false">
      <c r="A5" s="26" t="s">
        <v>51</v>
      </c>
      <c r="B5" s="27" t="n">
        <v>1091.2</v>
      </c>
      <c r="C5" s="27" t="n">
        <f aca="false">B5*0.91</f>
        <v>992.992</v>
      </c>
    </row>
    <row r="6" customFormat="false" ht="14.25" hidden="false" customHeight="true" outlineLevel="0" collapsed="false">
      <c r="A6" s="26" t="s">
        <v>52</v>
      </c>
      <c r="B6" s="27" t="n">
        <v>58.9</v>
      </c>
      <c r="C6" s="27" t="n">
        <f aca="false">B6*0.91</f>
        <v>53.599</v>
      </c>
    </row>
    <row r="7" customFormat="false" ht="14.25" hidden="false" customHeight="true" outlineLevel="0" collapsed="false">
      <c r="A7" s="26" t="s">
        <v>54</v>
      </c>
      <c r="B7" s="27" t="n">
        <v>176</v>
      </c>
      <c r="C7" s="27" t="n">
        <f aca="false">B7*0.91</f>
        <v>160.16</v>
      </c>
    </row>
    <row r="8" customFormat="false" ht="14.25" hidden="false" customHeight="true" outlineLevel="0" collapsed="false">
      <c r="A8" s="26" t="s">
        <v>3</v>
      </c>
      <c r="B8" s="27" t="n">
        <v>253168.1</v>
      </c>
      <c r="C8" s="27" t="n">
        <f aca="false">B8*0.91</f>
        <v>230382.971</v>
      </c>
    </row>
    <row r="9" customFormat="false" ht="14.25" hidden="false" customHeight="true" outlineLevel="0" collapsed="false">
      <c r="A9" s="26" t="s">
        <v>55</v>
      </c>
      <c r="B9" s="27" t="n">
        <v>38184.6</v>
      </c>
      <c r="C9" s="27" t="n">
        <f aca="false">B9*0.91</f>
        <v>34747.986</v>
      </c>
    </row>
    <row r="10" customFormat="false" ht="14.25" hidden="false" customHeight="true" outlineLevel="0" collapsed="false">
      <c r="A10" s="26" t="s">
        <v>57</v>
      </c>
      <c r="B10" s="27" t="n">
        <v>45091.6</v>
      </c>
      <c r="C10" s="27" t="n">
        <f aca="false">B10*0.91</f>
        <v>41033.356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1" activeCellId="0" sqref="D31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45"/>
    <col collapsed="false" customWidth="true" hidden="false" outlineLevel="0" max="4" min="4" style="1" width="14"/>
  </cols>
  <sheetData>
    <row r="1" customFormat="false" ht="15" hidden="false" customHeight="true" outlineLevel="0" collapsed="false">
      <c r="A1" s="30" t="s">
        <v>92</v>
      </c>
    </row>
    <row r="2" customFormat="false" ht="15" hidden="false" customHeight="true" outlineLevel="0" collapsed="false">
      <c r="A2" s="24" t="s">
        <v>93</v>
      </c>
      <c r="D2" s="24" t="s">
        <v>94</v>
      </c>
    </row>
    <row r="3" customFormat="false" ht="15" hidden="false" customHeight="true" outlineLevel="0" collapsed="false">
      <c r="A3" s="26" t="s">
        <v>61</v>
      </c>
      <c r="D3" s="29" t="n">
        <v>33742.48</v>
      </c>
    </row>
    <row r="4" customFormat="false" ht="15" hidden="false" customHeight="true" outlineLevel="0" collapsed="false">
      <c r="A4" s="26" t="s">
        <v>62</v>
      </c>
      <c r="D4" s="29" t="n">
        <v>299421.55</v>
      </c>
    </row>
    <row r="5" customFormat="false" ht="15" hidden="false" customHeight="true" outlineLevel="0" collapsed="false">
      <c r="A5" s="26" t="s">
        <v>63</v>
      </c>
      <c r="D5" s="29" t="n">
        <v>6251.4</v>
      </c>
    </row>
    <row r="6" customFormat="false" ht="15" hidden="false" customHeight="true" outlineLevel="0" collapsed="false">
      <c r="A6" s="26" t="s">
        <v>65</v>
      </c>
      <c r="D6" s="29" t="n">
        <v>2465.3</v>
      </c>
    </row>
    <row r="7" customFormat="false" ht="15" hidden="false" customHeight="true" outlineLevel="0" collapsed="false">
      <c r="A7" s="26" t="s">
        <v>66</v>
      </c>
      <c r="D7" s="29" t="n">
        <v>5656.93</v>
      </c>
    </row>
    <row r="8" customFormat="false" ht="15" hidden="false" customHeight="true" outlineLevel="0" collapsed="false">
      <c r="A8" s="26" t="s">
        <v>69</v>
      </c>
      <c r="D8" s="29" t="n">
        <v>127921.1</v>
      </c>
    </row>
    <row r="9" customFormat="false" ht="15" hidden="false" customHeight="true" outlineLevel="0" collapsed="false">
      <c r="A9" s="26" t="s">
        <v>70</v>
      </c>
      <c r="D9" s="29" t="n">
        <v>159737.22</v>
      </c>
    </row>
    <row r="10" customFormat="false" ht="14.25" hidden="false" customHeight="true" outlineLevel="0" collapsed="false">
      <c r="A10" s="26" t="s">
        <v>71</v>
      </c>
      <c r="D10" s="29" t="n">
        <v>537.53</v>
      </c>
    </row>
    <row r="11" customFormat="false" ht="14.25" hidden="false" customHeight="true" outlineLevel="0" collapsed="false">
      <c r="A11" s="26" t="s">
        <v>75</v>
      </c>
      <c r="D11" s="29" t="n">
        <v>132101.57</v>
      </c>
    </row>
    <row r="12" customFormat="false" ht="14.25" hidden="false" customHeight="true" outlineLevel="0" collapsed="false">
      <c r="A12" s="31" t="s">
        <v>76</v>
      </c>
      <c r="B12" s="32"/>
      <c r="C12" s="32"/>
      <c r="D12" s="33" t="n">
        <v>25951</v>
      </c>
      <c r="E12" s="34"/>
    </row>
    <row r="13" customFormat="false" ht="14.25" hidden="false" customHeight="true" outlineLevel="0" collapsed="false">
      <c r="A13" s="31" t="s">
        <v>64</v>
      </c>
      <c r="B13" s="32"/>
      <c r="C13" s="32"/>
      <c r="D13" s="33" t="n">
        <v>1368.95</v>
      </c>
      <c r="E13" s="3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5" activeCellId="0" sqref="D35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4"/>
    <col collapsed="false" customWidth="true" hidden="false" outlineLevel="0" max="3" min="3" style="1" width="48"/>
  </cols>
  <sheetData>
    <row r="1" customFormat="false" ht="15" hidden="false" customHeight="true" outlineLevel="0" collapsed="false">
      <c r="A1" s="30" t="s">
        <v>95</v>
      </c>
    </row>
    <row r="2" customFormat="false" ht="15" hidden="false" customHeight="true" outlineLevel="0" collapsed="false">
      <c r="A2" s="24" t="s">
        <v>88</v>
      </c>
      <c r="B2" s="24" t="s">
        <v>96</v>
      </c>
      <c r="C2" s="24" t="s">
        <v>90</v>
      </c>
    </row>
    <row r="3" customFormat="false" ht="15" hidden="false" customHeight="true" outlineLevel="0" collapsed="false">
      <c r="A3" s="26" t="s">
        <v>94</v>
      </c>
      <c r="B3" s="27" t="n">
        <v>36974.17</v>
      </c>
      <c r="C3" s="30" t="s">
        <v>97</v>
      </c>
    </row>
    <row r="4" customFormat="false" ht="15" hidden="false" customHeight="true" outlineLevel="0" collapsed="false">
      <c r="A4" s="26" t="s">
        <v>98</v>
      </c>
      <c r="B4" s="27" t="n">
        <v>-3290.38</v>
      </c>
      <c r="C4" s="30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2026-08-01T12:16:05Z</dcterms:created>
  <dc:creator>Eyal Sadot</dc:creator>
  <dc:description/>
  <dc:language>en-US</dc:language>
  <cp:lastModifiedBy>Eyal Sadot</cp:lastModifiedBy>
  <dcterms:modified xsi:type="dcterms:W3CDTF">2026-08-16T05:49:35Z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