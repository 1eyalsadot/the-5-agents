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סהכ" sheetId="1" state="visible" r:id="rId1"/>
    <sheet name="Pplay1" sheetId="2" state="visible" r:id="rId2"/>
    <sheet name="ריכוז" sheetId="3" state="visible" r:id="rId3"/>
    <sheet name="PPLAY1_מקור" sheetId="4" state="visible" r:id="rId4"/>
    <sheet name="NetSuite_מקור" sheetId="5" state="visible" r:id="rId5"/>
    <sheet name="Amazon_מקור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"/>
    <numFmt numFmtId="165" formatCode="0.0000"/>
    <numFmt numFmtId="166" formatCode="_ * #,##0_ ;_ * \-#,##0_ ;_ * \-??_ ;_ @_ "/>
  </numFmts>
  <fonts count="19">
    <font>
      <name val="Arial"/>
      <charset val="177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theme="1"/>
      <sz val="12"/>
    </font>
    <font>
      <name val="Arial"/>
      <charset val="1"/>
      <family val="2"/>
      <b val="1"/>
      <color theme="1"/>
      <sz val="9"/>
    </font>
    <font>
      <name val="Arial"/>
      <charset val="1"/>
      <family val="2"/>
      <b val="1"/>
      <sz val="10"/>
    </font>
    <font>
      <name val="Arial"/>
      <charset val="1"/>
      <family val="2"/>
      <b val="1"/>
      <sz val="8"/>
    </font>
    <font>
      <name val="Arial"/>
      <charset val="1"/>
      <family val="2"/>
      <sz val="10"/>
    </font>
    <font>
      <name val="Arial"/>
      <charset val="1"/>
      <family val="2"/>
      <b val="1"/>
      <color theme="1"/>
      <sz val="8"/>
    </font>
    <font>
      <name val="Arial"/>
      <charset val="1"/>
      <family val="2"/>
      <color theme="1"/>
      <sz val="10"/>
    </font>
    <font>
      <name val="Arial"/>
      <charset val="1"/>
      <family val="2"/>
      <b val="1"/>
      <sz val="11"/>
    </font>
    <font>
      <name val="Arial"/>
      <charset val="1"/>
      <family val="2"/>
      <b val="1"/>
      <color theme="1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2"/>
      <b val="1"/>
      <color rgb="FF000000"/>
      <sz val="8"/>
    </font>
    <font>
      <name val="Arial"/>
      <charset val="1"/>
      <family val="0"/>
      <sz val="9"/>
    </font>
    <font>
      <name val="Arial"/>
      <charset val="1"/>
      <family val="0"/>
      <sz val="8"/>
    </font>
  </fonts>
  <fills count="7">
    <fill>
      <patternFill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right" vertical="bottom"/>
    </xf>
    <xf numFmtId="0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right" vertical="bottom"/>
    </xf>
    <xf numFmtId="1" fontId="7" fillId="0" borderId="1" applyAlignment="1" pivotButton="0" quotePrefix="0" xfId="0">
      <alignment horizontal="right" vertical="bottom" readingOrder="1"/>
    </xf>
    <xf numFmtId="1" fontId="11" fillId="3" borderId="1" applyAlignment="1" pivotButton="0" quotePrefix="0" xfId="0">
      <alignment horizontal="right" vertical="bottom" readingOrder="1"/>
    </xf>
    <xf numFmtId="166" fontId="11" fillId="3" borderId="1" applyAlignment="1" pivotButton="0" quotePrefix="0" xfId="0">
      <alignment horizontal="center" vertical="bottom"/>
    </xf>
    <xf numFmtId="1" fontId="11" fillId="3" borderId="1" applyAlignment="1" pivotButton="0" quotePrefix="0" xfId="0">
      <alignment horizontal="right" vertical="bottom"/>
    </xf>
    <xf numFmtId="0" fontId="12" fillId="4" borderId="1" applyAlignment="1" pivotButton="0" quotePrefix="0" xfId="0">
      <alignment horizontal="right" vertical="bottom"/>
    </xf>
    <xf numFmtId="166" fontId="12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right" vertical="bottom"/>
    </xf>
    <xf numFmtId="166" fontId="12" fillId="5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4" fontId="15" fillId="6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" fontId="15" fillId="0" borderId="0" applyAlignment="1" pivotButton="0" quotePrefix="0" xfId="0">
      <alignment horizontal="right" vertical="center"/>
    </xf>
    <xf numFmtId="4" fontId="18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right" vertical="bottom"/>
    </xf>
    <xf numFmtId="0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right" vertical="bottom"/>
    </xf>
    <xf numFmtId="1" fontId="7" fillId="0" borderId="1" applyAlignment="1" pivotButton="0" quotePrefix="0" xfId="0">
      <alignment horizontal="right" vertical="bottom" readingOrder="1"/>
    </xf>
    <xf numFmtId="1" fontId="11" fillId="3" borderId="1" applyAlignment="1" pivotButton="0" quotePrefix="0" xfId="0">
      <alignment horizontal="right" vertical="bottom" readingOrder="1"/>
    </xf>
    <xf numFmtId="166" fontId="11" fillId="3" borderId="1" applyAlignment="1" pivotButton="0" quotePrefix="0" xfId="0">
      <alignment horizontal="center" vertical="bottom"/>
    </xf>
    <xf numFmtId="1" fontId="11" fillId="3" borderId="1" applyAlignment="1" pivotButton="0" quotePrefix="0" xfId="0">
      <alignment horizontal="right" vertical="bottom"/>
    </xf>
    <xf numFmtId="0" fontId="12" fillId="4" borderId="1" applyAlignment="1" pivotButton="0" quotePrefix="0" xfId="0">
      <alignment horizontal="right" vertical="bottom"/>
    </xf>
    <xf numFmtId="166" fontId="12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right" vertical="bottom"/>
    </xf>
    <xf numFmtId="166" fontId="12" fillId="5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4" fontId="15" fillId="6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" fontId="15" fillId="0" borderId="0" applyAlignment="1" pivotButton="0" quotePrefix="0" xfId="0">
      <alignment horizontal="right" vertical="center"/>
    </xf>
    <xf numFmtId="4" fontId="18" fillId="0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1"/>
  <sheetViews>
    <sheetView showFormulas="0" showGridLines="1" showRowColHeaders="1" showZeros="1" rightToLeft="1" tabSelected="1" showOutlineSymbols="1" defaultGridColor="1" view="normal" topLeftCell="A9" colorId="64" zoomScale="100" zoomScaleNormal="100" zoomScalePageLayoutView="100" workbookViewId="0">
      <selection pane="topLeft" activeCell="E37" activeCellId="0" sqref="E37"/>
    </sheetView>
  </sheetViews>
  <sheetFormatPr baseColWidth="8" defaultColWidth="8.625" defaultRowHeight="14.25" zeroHeight="0" outlineLevelRow="0"/>
  <cols>
    <col width="2.38" customWidth="1" style="35" min="1" max="1"/>
    <col width="27" customWidth="1" style="35" min="2" max="2"/>
    <col width="9.869999999999999" customWidth="1" style="35" min="3" max="3"/>
  </cols>
  <sheetData>
    <row r="1" ht="15.75" customHeight="1" s="36">
      <c r="B1" s="37" t="inlineStr">
        <is>
          <t>דוח מכירות ספטמבר 2026</t>
        </is>
      </c>
      <c r="C1" s="38" t="n"/>
    </row>
    <row r="2" ht="14.25" customHeight="1" s="36">
      <c r="A2" s="39" t="inlineStr">
        <is>
          <t>#</t>
        </is>
      </c>
      <c r="B2" s="40" t="n">
        <v>46275</v>
      </c>
      <c r="C2" s="41" t="n">
        <v>9.2026</v>
      </c>
    </row>
    <row r="3" ht="14.25" customHeight="1" s="36">
      <c r="A3" s="42" t="n">
        <v>5</v>
      </c>
      <c r="B3" s="43" t="inlineStr">
        <is>
          <t>סופר פארם לייף</t>
        </is>
      </c>
      <c r="C3" s="44">
        <f>SUMIF(Pplay1!$F$3:$F$15,A3,Pplay1!$H$3:$H$15)+SUMIF(ריכוז!$B$3:$B$30,A3,ריכוז!$C$3:$C$30)</f>
        <v>0</v>
      </c>
    </row>
    <row r="4" ht="14.25" customHeight="1" s="36">
      <c r="A4" s="45" t="n">
        <v>1</v>
      </c>
      <c r="B4" s="43" t="inlineStr">
        <is>
          <t>סופרפארם</t>
        </is>
      </c>
      <c r="C4" s="44">
        <f>SUMIF(Pplay1!$F$3:$F$15,A4,Pplay1!$H$3:$H$15)+SUMIF(ריכוז!$B$3:$B$30,A4,ריכוז!$C$3:$C$30)</f>
        <v>118489.735</v>
      </c>
    </row>
    <row r="5" ht="14.25" customHeight="1" s="36">
      <c r="A5" s="45" t="n">
        <v>7</v>
      </c>
      <c r="B5" s="43" t="inlineStr">
        <is>
          <t>BE</t>
        </is>
      </c>
      <c r="C5" s="44">
        <f>SUMIF(Pplay1!$F$3:$F$15,A5,Pplay1!$H$3:$H$15)+SUMIF(ריכוז!$B$3:$B$30,A5,ריכוז!$C$3:$C$30)</f>
        <v>19760.013</v>
      </c>
    </row>
    <row r="6" ht="14.25" customHeight="1" s="36">
      <c r="A6" s="45" t="n">
        <v>4</v>
      </c>
      <c r="B6" s="43" t="inlineStr">
        <is>
          <t>בתי מרקחת</t>
        </is>
      </c>
      <c r="C6" s="44">
        <f>SUMIF(Pplay1!$F$3:$F$15,A6,Pplay1!$H$3:$H$15)+SUMIF(ריכוז!$B$3:$B$30,A6,ריכוז!$C$3:$C$30)</f>
        <v>56266.573</v>
      </c>
    </row>
    <row r="7" ht="14.25" customHeight="1" s="36">
      <c r="A7" s="45" t="n">
        <v>3</v>
      </c>
      <c r="B7" s="43" t="inlineStr">
        <is>
          <t>כללית</t>
        </is>
      </c>
      <c r="C7" s="44">
        <f>SUMIF(Pplay1!$F$3:$F$15,A7,Pplay1!$H$3:$H$15)+SUMIF(ריכוז!$B$3:$B$30,A7,ריכוז!$C$3:$C$30)</f>
        <v>112054.4</v>
      </c>
    </row>
    <row r="8" ht="14.25" customHeight="1" s="36">
      <c r="A8" s="45" t="n">
        <v>8</v>
      </c>
      <c r="B8" s="43" t="inlineStr">
        <is>
          <t>מאוחדת</t>
        </is>
      </c>
      <c r="C8" s="44">
        <f>SUMIF(Pplay1!$F$3:$F$15,A8,Pplay1!$H$3:$H$15)+SUMIF(ריכוז!$B$3:$B$30,A8,ריכוז!$C$3:$C$30)</f>
        <v>23874.214000000004</v>
      </c>
    </row>
    <row r="9" ht="14.25" customHeight="1" s="36">
      <c r="A9" s="45" t="n">
        <v>6</v>
      </c>
      <c r="B9" s="43" t="inlineStr">
        <is>
          <t>מכוני אורטופדיה</t>
        </is>
      </c>
      <c r="C9" s="44">
        <f>SUMIF(Pplay1!$F$3:$F$15,A9,Pplay1!$H$3:$H$15)+SUMIF(ריכוז!$B$3:$B$30,A9,ריכוז!$C$3:$C$30)</f>
        <v>21780.1</v>
      </c>
    </row>
    <row r="10" ht="14.25" customHeight="1" s="36">
      <c r="A10" s="46" t="n">
        <v>10</v>
      </c>
      <c r="B10" s="47" t="inlineStr">
        <is>
          <t>לקוחות מפעל</t>
        </is>
      </c>
      <c r="C10" s="44">
        <f>SUMIF(Pplay1!$F$3:$F$15,A10,Pplay1!$H$3:$H$15)+SUMIF(ריכוז!$B$3:$B$30,A10,ריכוז!$C$3:$C$30)</f>
        <v>10213.04</v>
      </c>
    </row>
    <row r="11" ht="14.25" customHeight="1" s="36">
      <c r="A11" s="45" t="n">
        <v>11</v>
      </c>
      <c r="B11" s="43" t="inlineStr">
        <is>
          <t>חנויות פרטיות</t>
        </is>
      </c>
      <c r="C11" s="44">
        <f>SUMIF(Pplay1!$F$3:$F$15,A11,Pplay1!$H$3:$H$15)+SUMIF(ריכוז!$B$3:$B$30,A11,ריכוז!$C$3:$C$30)</f>
        <v>6163.08</v>
      </c>
    </row>
    <row r="12" ht="14.25" customHeight="1" s="36">
      <c r="A12" s="45" t="n">
        <v>14</v>
      </c>
      <c r="B12" s="43" t="inlineStr">
        <is>
          <t>מכוני פדיקור</t>
        </is>
      </c>
      <c r="C12" s="44">
        <f>SUMIF(Pplay1!$F$3:$F$15,A12,Pplay1!$H$3:$H$15)+SUMIF(ריכוז!$B$3:$B$30,A12,ריכוז!$C$3:$C$30)</f>
        <v>0</v>
      </c>
    </row>
    <row r="13" ht="14.25" customHeight="1" s="36">
      <c r="A13" s="45" t="n">
        <v>15</v>
      </c>
      <c r="B13" s="43" t="inlineStr">
        <is>
          <t>חנויות נעליים</t>
        </is>
      </c>
      <c r="C13" s="44">
        <f>SUMIF(Pplay1!$F$3:$F$15,A13,Pplay1!$H$3:$H$15)+SUMIF(ריכוז!$B$3:$B$30,A13,ריכוז!$C$3:$C$30)</f>
        <v>0</v>
      </c>
    </row>
    <row r="14" ht="14.25" customHeight="1" s="36">
      <c r="A14" s="45" t="n">
        <v>13</v>
      </c>
      <c r="B14" s="43" t="inlineStr">
        <is>
          <t>בתי חולים ושרות</t>
        </is>
      </c>
      <c r="C14" s="44">
        <f>SUMIF(Pplay1!$F$3:$F$15,A14,Pplay1!$H$3:$H$15)+SUMIF(ריכוז!$B$3:$B$30,A14,ריכוז!$C$3:$C$30)</f>
        <v>3512.91</v>
      </c>
    </row>
    <row r="15" ht="14.25" customHeight="1" s="36">
      <c r="A15" s="45" t="n">
        <v>9</v>
      </c>
      <c r="B15" s="43" t="inlineStr">
        <is>
          <t>מכוני פיזיותרפיה</t>
        </is>
      </c>
      <c r="C15" s="44">
        <f>SUMIF(Pplay1!$F$3:$F$15,A15,Pplay1!$H$3:$H$15)+SUMIF(ריכוז!$B$3:$B$30,A15,ריכוז!$C$3:$C$30)</f>
        <v>5923.02</v>
      </c>
    </row>
    <row r="16" ht="15" customHeight="1" s="36">
      <c r="A16" s="48" t="n"/>
      <c r="B16" s="49" t="inlineStr">
        <is>
          <t>סה"כ ישראל ללא אונליין</t>
        </is>
      </c>
      <c r="C16" s="50">
        <f>SUM(C3:C15)</f>
        <v>378037.08499999996</v>
      </c>
    </row>
    <row r="17" ht="14.25" customHeight="1" s="36">
      <c r="A17" s="45" t="n">
        <v>2</v>
      </c>
      <c r="B17" s="43" t="inlineStr">
        <is>
          <t>לקוחות אינטרנט</t>
        </is>
      </c>
      <c r="C17" s="44">
        <f>SUMIF(Pplay1!$F$3:$F$15,A17,Pplay1!$H$3:$H$15)+SUMIF(ריכוז!$B$3:$B$30,A17,ריכוז!$C$3:$C$30)</f>
        <v>106327.4400000002</v>
      </c>
    </row>
    <row r="18" ht="14.25" customHeight="1" s="36">
      <c r="A18" s="45" t="n">
        <v>12</v>
      </c>
      <c r="B18" s="43" t="inlineStr">
        <is>
          <t>סופר פארם מרקט פלייס</t>
        </is>
      </c>
      <c r="C18" s="44">
        <f>SUMIF(Pplay1!$F$3:$F$15,A18,Pplay1!$H$3:$H$15)+SUMIF(ריכוז!$B$3:$B$30,A18,ריכוז!$C$3:$C$30)</f>
        <v>0</v>
      </c>
    </row>
    <row r="19" ht="15" customHeight="1" s="36">
      <c r="A19" s="46" t="n"/>
      <c r="B19" s="51" t="inlineStr">
        <is>
          <t>סה"כ ישראל</t>
        </is>
      </c>
      <c r="C19" s="50">
        <f>C18+C17+C16</f>
        <v>484364.52500000014</v>
      </c>
    </row>
    <row r="20" ht="14.25" customHeight="1" s="36">
      <c r="A20" s="46" t="n">
        <v>50</v>
      </c>
      <c r="B20" s="47" t="inlineStr">
        <is>
          <t>AMAZON</t>
        </is>
      </c>
      <c r="C20" s="44">
        <f>(Amazon_מקור!B3+Amazon_מקור!B4)*3</f>
        <v>60088.92</v>
      </c>
    </row>
    <row r="21" ht="14.25" customHeight="1" s="36">
      <c r="A21" s="46" t="n">
        <v>20</v>
      </c>
      <c r="B21" s="47" t="inlineStr">
        <is>
          <t>SUPER PHARM POLAND</t>
        </is>
      </c>
      <c r="C21" s="44">
        <f>SUMIF(Pplay1!$F$3:$F$15,A21,Pplay1!$H$3:$H$15)+SUMIF(ריכוז!$B$3:$B$30,A21,ריכוז!$C$3:$C$30)</f>
        <v>0</v>
      </c>
    </row>
    <row r="22" ht="14.25" customHeight="1" s="36">
      <c r="A22" s="46" t="n">
        <v>21</v>
      </c>
      <c r="B22" s="47" t="inlineStr">
        <is>
          <t>ORTHO- PARTNER AG.</t>
        </is>
      </c>
      <c r="C22" s="44">
        <f>SUMIF(Pplay1!$F$3:$F$15,A22,Pplay1!$H$3:$H$15)+SUMIF(ריכוז!$B$3:$B$30,A22,ריכוז!$C$3:$C$30)</f>
        <v>0</v>
      </c>
    </row>
    <row r="23" ht="14.25" customHeight="1" s="36">
      <c r="A23" s="46" t="n">
        <v>22</v>
      </c>
      <c r="B23" s="47" t="inlineStr">
        <is>
          <t>SANAFLEX ANATOMIC</t>
        </is>
      </c>
      <c r="C23" s="44">
        <f>SUMIF(Pplay1!$F$3:$F$15,A23,Pplay1!$H$3:$H$15)+SUMIF(ריכוז!$B$3:$B$30,A23,ריכוז!$C$3:$C$30)</f>
        <v>0</v>
      </c>
    </row>
    <row r="24" ht="14.25" customHeight="1" s="36">
      <c r="A24" s="46" t="n">
        <v>23</v>
      </c>
      <c r="B24" s="47" t="inlineStr">
        <is>
          <t>HEALTH CARE PROD. GMBH</t>
        </is>
      </c>
      <c r="C24" s="44">
        <f>SUMIF(Pplay1!$F$3:$F$15,A24,Pplay1!$H$3:$H$15)+SUMIF(ריכוז!$B$3:$B$30,A24,ריכוז!$C$3:$C$30)</f>
        <v>0</v>
      </c>
    </row>
    <row r="25" ht="14.25" customHeight="1" s="36">
      <c r="A25" s="46" t="n">
        <v>24</v>
      </c>
      <c r="B25" s="47" t="inlineStr">
        <is>
          <t>ORTHOMED  LTD</t>
        </is>
      </c>
      <c r="C25" s="44">
        <f>SUMIF(Pplay1!$F$3:$F$15,A25,Pplay1!$H$3:$H$15)+SUMIF(ריכוז!$B$3:$B$30,A25,ריכוז!$C$3:$C$30)</f>
        <v>0</v>
      </c>
    </row>
    <row r="26" ht="14.25" customHeight="1" s="36">
      <c r="A26" s="46" t="n">
        <v>25</v>
      </c>
      <c r="B26" s="47" t="inlineStr">
        <is>
          <t>SALUS</t>
        </is>
      </c>
      <c r="C26" s="44">
        <f>SUMIF(Pplay1!$F$3:$F$15,A26,Pplay1!$H$3:$H$15)+SUMIF(ריכוז!$B$3:$B$30,A26,ריכוז!$C$3:$C$30)</f>
        <v>0</v>
      </c>
    </row>
    <row r="27" ht="14.25" customHeight="1" s="36">
      <c r="A27" s="46" t="n">
        <v>26</v>
      </c>
      <c r="B27" s="47" t="inlineStr">
        <is>
          <t>MAX KONNARIS LTD</t>
        </is>
      </c>
      <c r="C27" s="44">
        <f>SUMIF(Pplay1!$F$3:$F$15,A27,Pplay1!$H$3:$H$15)+SUMIF(ריכוז!$B$3:$B$30,A27,ריכוז!$C$3:$C$30)</f>
        <v>0</v>
      </c>
    </row>
    <row r="28" ht="14.25" customHeight="1" s="36">
      <c r="A28" s="46" t="n">
        <v>27</v>
      </c>
      <c r="B28" s="47" t="inlineStr">
        <is>
          <t>MEDIPAL COMPANY</t>
        </is>
      </c>
      <c r="C28" s="44">
        <f>SUMIF(Pplay1!$F$3:$F$15,A28,Pplay1!$H$3:$H$15)+SUMIF(ריכוז!$B$3:$B$30,A28,ריכוז!$C$3:$C$30)</f>
        <v>0</v>
      </c>
    </row>
    <row r="29" ht="14.25" customHeight="1" s="36">
      <c r="A29" s="46" t="n">
        <v>28</v>
      </c>
      <c r="B29" s="47" t="inlineStr">
        <is>
          <t>ORTOPROFIL PROD. ROMANIA</t>
        </is>
      </c>
      <c r="C29" s="44">
        <f>SUMIF(Pplay1!$F$3:$F$15,A29,Pplay1!$H$3:$H$15)+SUMIF(ריכוז!$B$3:$B$30,A29,ריכוז!$C$3:$C$30)</f>
        <v>25430.19</v>
      </c>
    </row>
    <row r="30" ht="14.25" customHeight="1" s="36">
      <c r="A30" s="46" t="n">
        <v>29</v>
      </c>
      <c r="B30" s="47" t="inlineStr">
        <is>
          <t>OY. EA. AB.</t>
        </is>
      </c>
      <c r="C30" s="44">
        <f>SUMIF(Pplay1!$F$3:$F$15,A30,Pplay1!$H$3:$H$15)+SUMIF(ריכוז!$B$3:$B$30,A30,ריכוז!$C$3:$C$30)</f>
        <v>0</v>
      </c>
    </row>
    <row r="31" ht="14.25" customHeight="1" s="36">
      <c r="A31" s="46" t="n">
        <v>30</v>
      </c>
      <c r="B31" s="47" t="inlineStr">
        <is>
          <t>SEVEN GEAR</t>
        </is>
      </c>
      <c r="C31" s="44">
        <f>SUMIF(Pplay1!$F$3:$F$15,A31,Pplay1!$H$3:$H$15)+SUMIF(ריכוז!$B$3:$B$30,A31,ריכוז!$C$3:$C$30)</f>
        <v>0</v>
      </c>
    </row>
    <row r="32" ht="14.25" customHeight="1" s="36">
      <c r="A32" s="46" t="n">
        <v>31</v>
      </c>
      <c r="B32" s="47" t="inlineStr">
        <is>
          <t>PHARMAG LACHMAIR GES. MBH</t>
        </is>
      </c>
      <c r="C32" s="44">
        <f>SUMIF(Pplay1!$F$3:$F$15,A32,Pplay1!$H$3:$H$15)+SUMIF(ריכוז!$B$3:$B$30,A32,ריכוז!$C$3:$C$30)</f>
        <v>0</v>
      </c>
    </row>
    <row r="33" ht="14.25" customHeight="1" s="36">
      <c r="A33" s="46" t="n">
        <v>37</v>
      </c>
      <c r="B33" s="47" t="inlineStr">
        <is>
          <t>REMEDICARE B.V.</t>
        </is>
      </c>
      <c r="C33" s="44">
        <f>SUMIF(Pplay1!$F$3:$F$15,A33,Pplay1!$H$3:$H$15)+SUMIF(ריכוז!$B$3:$B$30,A33,ריכוז!$C$3:$C$30)</f>
        <v>0</v>
      </c>
    </row>
    <row r="34" ht="14.25" customHeight="1" s="36">
      <c r="A34" s="46" t="n">
        <v>32</v>
      </c>
      <c r="B34" s="47" t="inlineStr">
        <is>
          <t>E.F.M.O.</t>
        </is>
      </c>
      <c r="C34" s="44">
        <f>SUMIF(Pplay1!$F$3:$F$15,A34,Pplay1!$H$3:$H$15)+SUMIF(ריכוז!$B$3:$B$30,A34,ריכוז!$C$3:$C$30)</f>
        <v>0</v>
      </c>
    </row>
    <row r="35" ht="14.25" customHeight="1" s="36">
      <c r="A35" s="46" t="n">
        <v>33</v>
      </c>
      <c r="B35" s="47" t="inlineStr">
        <is>
          <t>ALFRED GERA</t>
        </is>
      </c>
      <c r="C35" s="44">
        <f>SUMIF(Pplay1!$F$3:$F$15,A35,Pplay1!$H$3:$H$15)+SUMIF(ריכוז!$B$3:$B$30,A35,ריכוז!$C$3:$C$30)</f>
        <v>0</v>
      </c>
    </row>
    <row r="36" ht="14.25" customHeight="1" s="36">
      <c r="A36" s="46" t="n">
        <v>38</v>
      </c>
      <c r="B36" s="47" t="inlineStr">
        <is>
          <t>QUADRIFOGLIO MEDICAL</t>
        </is>
      </c>
      <c r="C36" s="44">
        <f>SUMIF(Pplay1!$F$3:$F$15,A36,Pplay1!$H$3:$H$15)+SUMIF(ריכוז!$B$3:$B$30,A36,ריכוז!$C$3:$C$30)</f>
        <v>0</v>
      </c>
    </row>
    <row r="37" ht="14.25" customHeight="1" s="36">
      <c r="A37" s="46" t="n">
        <v>34</v>
      </c>
      <c r="B37" s="47" t="inlineStr">
        <is>
          <t>YOUNG IN HEALTHCARE CO.,</t>
        </is>
      </c>
      <c r="C37" s="44">
        <f>SUMIF(Pplay1!$F$3:$F$15,A37,Pplay1!$H$3:$H$15)+SUMIF(ריכוז!$B$3:$B$30,A37,ריכוז!$C$3:$C$30)</f>
        <v>0</v>
      </c>
    </row>
    <row r="38" ht="14.25" customHeight="1" s="36">
      <c r="A38" s="46" t="n">
        <v>35</v>
      </c>
      <c r="B38" s="47" t="inlineStr">
        <is>
          <t>HANS</t>
        </is>
      </c>
      <c r="C38" s="44">
        <f>SUMIF(Pplay1!$F$3:$F$15,A38,Pplay1!$H$3:$H$15)+SUMIF(ריכוז!$B$3:$B$30,A38,ריכוז!$C$3:$C$30)</f>
        <v>0</v>
      </c>
    </row>
    <row r="39" ht="14.25" customHeight="1" s="36">
      <c r="A39" s="46" t="n">
        <v>36</v>
      </c>
      <c r="B39" s="47" t="inlineStr">
        <is>
          <t>NEW DISTRIBUTORS</t>
        </is>
      </c>
      <c r="C39" s="44">
        <f>SUMIF(Pplay1!$F$3:$F$15,A39,Pplay1!$H$3:$H$15)+SUMIF(ריכוז!$B$3:$B$30,A39,ריכוז!$C$3:$C$30)</f>
        <v>0</v>
      </c>
    </row>
    <row r="40" ht="15" customHeight="1" s="36">
      <c r="A40" s="46" t="n"/>
      <c r="B40" s="52" t="inlineStr">
        <is>
          <t>סה"כ חו"ל</t>
        </is>
      </c>
      <c r="C40" s="53">
        <f>SUM(C20:C39)</f>
        <v>85519.11</v>
      </c>
    </row>
    <row r="41" ht="15" customHeight="1" s="36">
      <c r="A41" s="46" t="n"/>
      <c r="B41" s="54" t="inlineStr">
        <is>
          <t xml:space="preserve">סה"כ מכירות </t>
        </is>
      </c>
      <c r="C41" s="55">
        <f>C40+C19</f>
        <v>569883.6350000001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25" defaultRowHeight="14.25" zeroHeight="0" outlineLevelRow="0"/>
  <cols>
    <col width="17.88" customWidth="1" style="35" min="1" max="1"/>
    <col width="11.5" customWidth="1" style="35" min="2" max="2"/>
  </cols>
  <sheetData>
    <row r="1" ht="15" customHeight="1" s="36">
      <c r="A1" s="56" t="inlineStr">
        <is>
          <t>מקרא</t>
        </is>
      </c>
      <c r="F1" s="57" t="inlineStr">
        <is>
          <t>עמודות מחושבות (נוספו)</t>
        </is>
      </c>
    </row>
    <row r="2" ht="14.25" customHeight="1" s="36">
      <c r="B2" s="58" t="inlineStr">
        <is>
          <t>בתי מרקחת</t>
        </is>
      </c>
      <c r="C2" s="58" t="inlineStr">
        <is>
          <t>BE</t>
        </is>
      </c>
      <c r="D2" s="58" t="inlineStr">
        <is>
          <t xml:space="preserve">סופר פארם </t>
        </is>
      </c>
      <c r="E2" s="58" t="inlineStr">
        <is>
          <t xml:space="preserve">מאוחדת </t>
        </is>
      </c>
      <c r="F2" s="59" t="inlineStr">
        <is>
          <t>לקוח #</t>
        </is>
      </c>
      <c r="G2" s="59" t="inlineStr">
        <is>
          <t>סכום גולמי (PPLAY1)</t>
        </is>
      </c>
      <c r="H2" s="59" t="inlineStr">
        <is>
          <t>מכר נטו</t>
        </is>
      </c>
    </row>
    <row r="3" ht="14.25" customHeight="1" s="36">
      <c r="A3" s="60" t="inlineStr">
        <is>
          <t>0בתי מרקחת</t>
        </is>
      </c>
      <c r="B3" s="58" t="n">
        <v>4</v>
      </c>
      <c r="C3" s="58" t="n"/>
      <c r="D3" s="58" t="n"/>
      <c r="E3" s="58" t="n"/>
      <c r="F3" s="61">
        <f>IF(B3&lt;&gt;"",B3,IF(C3&lt;&gt;"",C3,IF(D3&lt;&gt;"",D3,IF(E3&lt;&gt;"",E3,""))))</f>
        <v>4</v>
      </c>
      <c r="G3" s="62">
        <f>IFERROR(INDEX(PPLAY1_מקור!$B:$B,MATCH(A3,PPLAY1_מקור!$A:$A,0)),"")</f>
        <v>56761.4</v>
      </c>
      <c r="H3" s="62">
        <f>IF(G3="","",G3*0.91)</f>
        <v>51652.874</v>
      </c>
    </row>
    <row r="4" ht="14.25" customHeight="1" s="36">
      <c r="A4" s="60" t="inlineStr">
        <is>
          <t>0מפיצי משנה</t>
        </is>
      </c>
      <c r="B4" s="58" t="n">
        <v>4</v>
      </c>
      <c r="C4" s="58" t="n"/>
      <c r="D4" s="58" t="n"/>
      <c r="E4" s="58" t="n"/>
      <c r="F4" s="61">
        <f>IF(B4&lt;&gt;"",B4,IF(C4&lt;&gt;"",C4,IF(D4&lt;&gt;"",D4,IF(E4&lt;&gt;"",E4,""))))</f>
        <v>4</v>
      </c>
      <c r="G4" s="62" t="str">
        <f>IFERROR(INDEX(PPLAY1_מקור!$B:$B,MATCH(A4,PPLAY1_מקור!$A:$A,0)),"")</f>
        <v/>
      </c>
      <c r="H4" s="62" t="str">
        <f>IF(G4="","",G4*0.91)</f>
        <v/>
      </c>
    </row>
    <row r="5" ht="14.25" customHeight="1" s="36">
      <c r="A5" s="60" t="inlineStr">
        <is>
          <t>0פארמים</t>
        </is>
      </c>
      <c r="B5" s="58" t="n"/>
      <c r="C5" s="58" t="n"/>
      <c r="D5" s="58" t="n"/>
      <c r="E5" s="58" t="n"/>
      <c r="F5" s="61" t="str">
        <f>IF(B5&lt;&gt;"",B5,IF(C5&lt;&gt;"",C5,IF(D5&lt;&gt;"",D5,IF(E5&lt;&gt;"",E5,""))))</f>
        <v/>
      </c>
      <c r="G5" s="62">
        <f>IFERROR(INDEX(PPLAY1_מקור!$B:$B,MATCH(A5,PPLAY1_מקור!$A:$A,0)),"")</f>
        <v>152794.6</v>
      </c>
      <c r="H5" s="62">
        <f>IF(G5="","",G5*0.91)</f>
        <v>139043.086</v>
      </c>
    </row>
    <row r="6" ht="14.25" customHeight="1" s="36">
      <c r="A6" s="60" t="inlineStr">
        <is>
          <t>אילת BE</t>
        </is>
      </c>
      <c r="B6" s="58" t="n"/>
      <c r="C6" s="58" t="n">
        <v>7</v>
      </c>
      <c r="D6" s="58" t="n"/>
      <c r="E6" s="58" t="n"/>
      <c r="F6" s="61">
        <f>IF(B6&lt;&gt;"",B6,IF(C6&lt;&gt;"",C6,IF(D6&lt;&gt;"",D6,IF(E6&lt;&gt;"",E6,""))))</f>
        <v>7</v>
      </c>
      <c r="G6" s="62">
        <f>IFERROR(INDEX(PPLAY1_מקור!$B:$B,MATCH(A6,PPLAY1_מקור!$A:$A,0)),"")</f>
        <v>2168</v>
      </c>
      <c r="H6" s="62">
        <f>IF(G6="","",G6*0.91)</f>
        <v>1972.88</v>
      </c>
    </row>
    <row r="7" ht="14.25" customHeight="1" s="36">
      <c r="A7" s="60" t="inlineStr">
        <is>
          <t>גוד פארם</t>
        </is>
      </c>
      <c r="B7" s="58" t="n">
        <v>4</v>
      </c>
      <c r="C7" s="58" t="n"/>
      <c r="D7" s="58" t="n"/>
      <c r="E7" s="58" t="n"/>
      <c r="F7" s="61">
        <f>IF(B7&lt;&gt;"",B7,IF(C7&lt;&gt;"",C7,IF(D7&lt;&gt;"",D7,IF(E7&lt;&gt;"",E7,""))))</f>
        <v>4</v>
      </c>
      <c r="G7" s="62">
        <f>IFERROR(INDEX(PPLAY1_מקור!$B:$B,MATCH(A7,PPLAY1_מקור!$A:$A,0)),"")</f>
        <v>871.9</v>
      </c>
      <c r="H7" s="62">
        <f>IF(G7="","",G7*0.91)</f>
        <v>793.429</v>
      </c>
    </row>
    <row r="8" ht="14.25" customHeight="1" s="36">
      <c r="A8" s="60" t="inlineStr">
        <is>
          <t>גוד פארם מרכז</t>
        </is>
      </c>
      <c r="B8" s="58" t="n">
        <v>4</v>
      </c>
      <c r="C8" s="58" t="n"/>
      <c r="D8" s="58" t="n"/>
      <c r="E8" s="58" t="n"/>
      <c r="F8" s="61">
        <f>IF(B8&lt;&gt;"",B8,IF(C8&lt;&gt;"",C8,IF(D8&lt;&gt;"",D8,IF(E8&lt;&gt;"",E8,""))))</f>
        <v>4</v>
      </c>
      <c r="G8" s="62" t="str">
        <f>IFERROR(INDEX(PPLAY1_מקור!$B:$B,MATCH(A8,PPLAY1_מקור!$A:$A,0)),"")</f>
        <v/>
      </c>
      <c r="H8" s="62" t="str">
        <f>IF(G8="","",G8*0.91)</f>
        <v/>
      </c>
    </row>
    <row r="9" ht="14.25" customHeight="1" s="36">
      <c r="A9" s="60" t="inlineStr">
        <is>
          <t>הפרכל הפרפארם</t>
        </is>
      </c>
      <c r="B9" s="58" t="n"/>
      <c r="C9" s="58" t="n">
        <v>7</v>
      </c>
      <c r="D9" s="58" t="n"/>
      <c r="E9" s="58" t="n"/>
      <c r="F9" s="61">
        <f>IF(B9&lt;&gt;"",B9,IF(C9&lt;&gt;"",C9,IF(D9&lt;&gt;"",D9,IF(E9&lt;&gt;"",E9,""))))</f>
        <v>7</v>
      </c>
      <c r="G9" s="62">
        <f>IFERROR(INDEX(PPLAY1_מקור!$B:$B,MATCH(A9,PPLAY1_מקור!$A:$A,0)),"")</f>
        <v>163.5</v>
      </c>
      <c r="H9" s="62">
        <f>IF(G9="","",G9*0.91)</f>
        <v>148.785</v>
      </c>
    </row>
    <row r="10" ht="14.25" customHeight="1" s="36">
      <c r="A10" s="60" t="inlineStr">
        <is>
          <t>סופרפארם</t>
        </is>
      </c>
      <c r="B10" s="58" t="n"/>
      <c r="C10" s="58" t="n"/>
      <c r="D10" s="58" t="n">
        <v>1</v>
      </c>
      <c r="E10" s="58" t="n"/>
      <c r="F10" s="61">
        <f>IF(B10&lt;&gt;"",B10,IF(C10&lt;&gt;"",C10,IF(D10&lt;&gt;"",D10,IF(E10&lt;&gt;"",E10,""))))</f>
        <v>1</v>
      </c>
      <c r="G10" s="62">
        <f>IFERROR(INDEX(PPLAY1_מקור!$B:$B,MATCH(A10,PPLAY1_מקור!$A:$A,0)),"")</f>
        <v>130208.5</v>
      </c>
      <c r="H10" s="62">
        <f>IF(G10="","",G10*0.91)</f>
        <v>118489.735</v>
      </c>
    </row>
    <row r="11" ht="14.25" customHeight="1" s="36">
      <c r="A11" s="60" t="inlineStr">
        <is>
          <t>שופרסל BE</t>
        </is>
      </c>
      <c r="B11" s="58" t="n"/>
      <c r="C11" s="58" t="n">
        <v>7</v>
      </c>
      <c r="D11" s="58" t="n"/>
      <c r="E11" s="58" t="n"/>
      <c r="F11" s="61">
        <f>IF(B11&lt;&gt;"",B11,IF(C11&lt;&gt;"",C11,IF(D11&lt;&gt;"",D11,IF(E11&lt;&gt;"",E11,""))))</f>
        <v>7</v>
      </c>
      <c r="G11" s="62">
        <f>IFERROR(INDEX(PPLAY1_מקור!$B:$B,MATCH(A11,PPLAY1_מקור!$A:$A,0)),"")</f>
        <v>19645.3</v>
      </c>
      <c r="H11" s="62">
        <f>IF(G11="","",G11*0.91)</f>
        <v>17877.222999999998</v>
      </c>
    </row>
    <row r="12" ht="14.25" customHeight="1" s="36">
      <c r="A12" s="60" t="inlineStr">
        <is>
          <t>0צרכנים פרטיים</t>
        </is>
      </c>
      <c r="B12" s="58" t="n">
        <v>4</v>
      </c>
      <c r="C12" s="58" t="n"/>
      <c r="D12" s="58" t="n"/>
      <c r="E12" s="58" t="n"/>
      <c r="F12" s="61">
        <f>IF(B12&lt;&gt;"",B12,IF(C12&lt;&gt;"",C12,IF(D12&lt;&gt;"",D12,IF(E12&lt;&gt;"",E12,""))))</f>
        <v>4</v>
      </c>
      <c r="G12" s="62" t="str">
        <f>IFERROR(INDEX(PPLAY1_מקור!$B:$B,MATCH(A12,PPLAY1_מקור!$A:$A,0)),"")</f>
        <v/>
      </c>
      <c r="H12" s="62" t="str">
        <f>IF(G12="","",G12*0.91)</f>
        <v/>
      </c>
    </row>
    <row r="13" ht="14.25" customHeight="1" s="36">
      <c r="A13" s="60" t="inlineStr">
        <is>
          <t>0קופות חולים</t>
        </is>
      </c>
      <c r="B13" s="58" t="n"/>
      <c r="C13" s="58" t="n"/>
      <c r="D13" s="58" t="n"/>
      <c r="E13" s="58" t="n">
        <v>8</v>
      </c>
      <c r="F13" s="61">
        <f>IF(B13&lt;&gt;"",B13,IF(C13&lt;&gt;"",C13,IF(D13&lt;&gt;"",D13,IF(E13&lt;&gt;"",E13,""))))</f>
        <v>8</v>
      </c>
      <c r="G13" s="62">
        <f>IFERROR(INDEX(PPLAY1_מקור!$B:$B,MATCH(A13,PPLAY1_מקור!$A:$A,0)),"")</f>
        <v>26235.4</v>
      </c>
      <c r="H13" s="62">
        <f>IF(G13="","",G13*0.91)</f>
        <v>23874.214000000004</v>
      </c>
    </row>
    <row r="14" ht="14.25" customHeight="1" s="36">
      <c r="A14" s="60" t="inlineStr">
        <is>
          <t>0שונות</t>
        </is>
      </c>
      <c r="B14" s="58" t="n">
        <v>4</v>
      </c>
      <c r="C14" s="58" t="n"/>
      <c r="D14" s="58" t="n"/>
      <c r="E14" s="58" t="n"/>
      <c r="F14" s="61">
        <f>IF(B14&lt;&gt;"",B14,IF(C14&lt;&gt;"",C14,IF(D14&lt;&gt;"",D14,IF(E14&lt;&gt;"",E14,""))))</f>
        <v>4</v>
      </c>
      <c r="G14" s="62" t="str">
        <f>IFERROR(INDEX(PPLAY1_מקור!$B:$B,MATCH(A14,PPLAY1_מקור!$A:$A,0)),"")</f>
        <v/>
      </c>
      <c r="H14" s="62" t="str">
        <f>IF(G14="","",G14*0.91)</f>
        <v/>
      </c>
    </row>
    <row r="15">
      <c r="A15" s="60" t="inlineStr">
        <is>
          <t>זיכויים BE</t>
        </is>
      </c>
      <c r="B15" s="58" t="n"/>
      <c r="C15" s="58" t="n">
        <v>7</v>
      </c>
      <c r="D15" s="58" t="n"/>
      <c r="E15" s="58" t="n"/>
      <c r="F15" s="61">
        <f>IF(B15&lt;&gt;"",B15,IF(C15&lt;&gt;"",C15,IF(D15&lt;&gt;"",D15,IF(E15&lt;&gt;"",E15,""))))</f>
        <v>7</v>
      </c>
      <c r="G15" s="62">
        <f>IFERROR(INDEX(PPLAY1_מקור!$B:$B,MATCH(A15,PPLAY1_מקור!$A:$A,0)),"")</f>
        <v>-262.5</v>
      </c>
      <c r="H15" s="62">
        <f>IF(G15="","",G15*0.91)</f>
        <v>-238.875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C34" activeCellId="0" sqref="C34"/>
    </sheetView>
  </sheetViews>
  <sheetFormatPr baseColWidth="8" defaultColWidth="8.625" defaultRowHeight="14.25" zeroHeight="0" outlineLevelRow="0"/>
  <cols>
    <col width="28.25" customWidth="1" style="35" min="1" max="1"/>
    <col width="20" customWidth="1" style="35" min="3" max="3"/>
  </cols>
  <sheetData>
    <row r="1" ht="15" customHeight="1" s="36">
      <c r="A1" s="56" t="inlineStr">
        <is>
          <t xml:space="preserve">מקרא </t>
        </is>
      </c>
      <c r="C1" s="59" t="inlineStr">
        <is>
          <t>סכום מכירות (NetSuite)</t>
        </is>
      </c>
    </row>
    <row r="2" ht="15" customHeight="1" s="36">
      <c r="A2" s="56" t="n"/>
    </row>
    <row r="3" ht="14.25" customHeight="1" s="36">
      <c r="A3" s="63" t="inlineStr">
        <is>
          <t>102 - Orthopedic institutes</t>
        </is>
      </c>
      <c r="B3" s="35" t="n">
        <v>6</v>
      </c>
      <c r="C3" s="62">
        <f>IFERROR(INDEX(NetSuite_מקור!$D:$D,MATCH(A3,NetSuite_מקור!$A:$A,0)),"")</f>
        <v>21780.1</v>
      </c>
    </row>
    <row r="4" ht="14.25" customHeight="1" s="36">
      <c r="A4" s="63" t="inlineStr">
        <is>
          <t>111 - Superpharm Life</t>
        </is>
      </c>
      <c r="B4" s="35" t="n">
        <v>5</v>
      </c>
      <c r="C4" s="62" t="str">
        <f>IFERROR(INDEX(NetSuite_מקור!$D:$D,MATCH(A4,NetSuite_מקור!$A:$A,0)),"")</f>
        <v/>
      </c>
    </row>
    <row r="5" ht="14.25" customHeight="1" s="36">
      <c r="A5" s="63" t="inlineStr">
        <is>
          <t>103 - Physiotherapy institutes</t>
        </is>
      </c>
      <c r="B5" s="35" t="n">
        <v>9</v>
      </c>
      <c r="C5" s="62">
        <f>IFERROR(INDEX(NetSuite_מקור!$D:$D,MATCH(A5,NetSuite_מקור!$A:$A,0)),"")</f>
        <v>5923.02</v>
      </c>
    </row>
    <row r="6" ht="14.25" customHeight="1" s="36">
      <c r="A6" s="63" t="inlineStr">
        <is>
          <t>109 - Private Shops</t>
        </is>
      </c>
      <c r="B6" s="35" t="n">
        <v>11</v>
      </c>
      <c r="C6" s="62">
        <f>IFERROR(INDEX(NetSuite_מקור!$D:$D,MATCH(A6,NetSuite_מקור!$A:$A,0)),"")</f>
        <v>6163.08</v>
      </c>
    </row>
    <row r="7" ht="14.25" customHeight="1" s="36">
      <c r="A7" s="63" t="inlineStr">
        <is>
          <t>101 - Factory customers</t>
        </is>
      </c>
      <c r="B7" s="35" t="n">
        <v>10</v>
      </c>
      <c r="C7" s="62">
        <f>IFERROR(INDEX(NetSuite_מקור!$D:$D,MATCH(A7,NetSuite_מקור!$A:$A,0)),"")</f>
        <v>10213.04</v>
      </c>
    </row>
    <row r="8" ht="14.25" customHeight="1" s="36">
      <c r="A8" s="63" t="inlineStr">
        <is>
          <t>107 - Pharmacies</t>
        </is>
      </c>
      <c r="B8" s="35" t="n">
        <v>4</v>
      </c>
      <c r="C8" s="62">
        <f>IFERROR(INDEX(NetSuite_מקור!$D:$D,MATCH(A8,NetSuite_מקור!$A:$A,0)),"")</f>
        <v>3820.27</v>
      </c>
    </row>
    <row r="9" ht="14.25" customHeight="1" s="36">
      <c r="A9" s="63" t="inlineStr">
        <is>
          <t>106 - Hospitals</t>
        </is>
      </c>
      <c r="B9" s="35" t="n">
        <v>13</v>
      </c>
      <c r="C9" s="62">
        <f>IFERROR(INDEX(NetSuite_מקור!$D:$D,MATCH(A9,NetSuite_מקור!$A:$A,0)),"")</f>
        <v>3512.91</v>
      </c>
    </row>
    <row r="10" ht="14.25" customHeight="1" s="36">
      <c r="A10" s="63" t="inlineStr">
        <is>
          <t>113 - Kupat Holim Meuhedet</t>
        </is>
      </c>
      <c r="B10" s="35" t="n">
        <v>8</v>
      </c>
      <c r="C10" s="62" t="str">
        <f>IFERROR(INDEX(NetSuite_מקור!$D:$D,MATCH(A10,NetSuite_מקור!$A:$A,0)),"")</f>
        <v/>
      </c>
    </row>
    <row r="11" ht="14.25" customHeight="1" s="36">
      <c r="A11" s="63" t="inlineStr">
        <is>
          <t>112 - Kupat Holim Clalit</t>
        </is>
      </c>
      <c r="B11" s="35" t="n">
        <v>3</v>
      </c>
      <c r="C11" s="62">
        <f>IFERROR(INDEX(NetSuite_מקור!$D:$D,MATCH(A11,NetSuite_מקור!$A:$A,0)),"")</f>
        <v>112054.4</v>
      </c>
    </row>
    <row r="12" ht="14.25" customHeight="1" s="36">
      <c r="A12" s="63" t="inlineStr">
        <is>
          <t>114 - IL online</t>
        </is>
      </c>
      <c r="B12" s="35" t="n">
        <v>2</v>
      </c>
      <c r="C12" s="62">
        <f>IFERROR(INDEX(NetSuite_מקור!$D:$D,MATCH(A12,NetSuite_מקור!$A:$A,0)),"")</f>
        <v>106327.4400000002</v>
      </c>
    </row>
    <row r="13" ht="14.25" customHeight="1" s="36">
      <c r="A13" s="63" t="inlineStr">
        <is>
          <t>115-SuperPharm Online</t>
        </is>
      </c>
      <c r="B13" s="35" t="n">
        <v>12</v>
      </c>
      <c r="C13" s="62" t="str">
        <f>IFERROR(INDEX(NetSuite_מקור!$D:$D,MATCH(A13,NetSuite_מקור!$A:$A,0)),"")</f>
        <v/>
      </c>
    </row>
    <row r="14" ht="14.25" customHeight="1" s="36">
      <c r="A14" s="63" t="inlineStr">
        <is>
          <t>205 - Health Care Prod. Gmbh GERMANY</t>
        </is>
      </c>
      <c r="B14" s="35" t="n">
        <v>23</v>
      </c>
      <c r="C14" s="62" t="str">
        <f>IFERROR(INDEX(NetSuite_מקור!$D:$D,MATCH(A14,NetSuite_מקור!$A:$A,0)),"")</f>
        <v/>
      </c>
    </row>
    <row r="15" ht="14.25" customHeight="1" s="36">
      <c r="A15" s="63" t="inlineStr">
        <is>
          <t>207 - Salus HUNGARY</t>
        </is>
      </c>
      <c r="B15" s="35" t="n">
        <v>25</v>
      </c>
      <c r="C15" s="62" t="str">
        <f>IFERROR(INDEX(NetSuite_מקור!$D:$D,MATCH(A15,NetSuite_מקור!$A:$A,0)),"")</f>
        <v/>
      </c>
    </row>
    <row r="16" ht="14.25" customHeight="1" s="36">
      <c r="A16" s="63" t="inlineStr">
        <is>
          <t>209 - Ortoprofil Prod ROMANIA</t>
        </is>
      </c>
      <c r="B16" s="35" t="n">
        <v>28</v>
      </c>
      <c r="C16" s="62">
        <f>IFERROR(INDEX(NetSuite_מקור!$D:$D,MATCH(A16,NetSuite_מקור!$A:$A,0)),"")</f>
        <v>25430.19</v>
      </c>
    </row>
    <row r="17" ht="14.25" customHeight="1" s="36">
      <c r="A17" s="63" t="inlineStr">
        <is>
          <t>202 - Super-Pharm POLAND</t>
        </is>
      </c>
      <c r="B17" s="35" t="n">
        <v>20</v>
      </c>
      <c r="C17" s="64" t="str">
        <f>IFERROR(INDEX(NetSuite_מקור!$D:$D,MATCH(A17,NetSuite_מקור!$A:$A,0)),"")</f>
        <v/>
      </c>
    </row>
    <row r="18" ht="14.25" customHeight="1" s="36">
      <c r="A18" s="63" t="inlineStr">
        <is>
          <t>214 - Alfred Gera&amp; Sons Ltd. MALTA</t>
        </is>
      </c>
      <c r="B18" s="35" t="n">
        <v>33</v>
      </c>
      <c r="C18" s="64" t="str">
        <f>IFERROR(INDEX(NetSuite_מקור!$D:$D,MATCH(A18,NetSuite_מקור!$A:$A,0)),"")</f>
        <v/>
      </c>
    </row>
    <row r="19" ht="14.25" customHeight="1" s="36">
      <c r="A19" s="63" t="inlineStr">
        <is>
          <t>203 - Ortho- Partner ag SWITZERLAND</t>
        </is>
      </c>
      <c r="B19" s="35" t="n">
        <v>21</v>
      </c>
      <c r="C19" s="64" t="str">
        <f>IFERROR(INDEX(NetSuite_מקור!$D:$D,MATCH(A19,NetSuite_מקור!$A:$A,0)),"")</f>
        <v/>
      </c>
    </row>
    <row r="20" ht="14.25" customHeight="1" s="36">
      <c r="A20" s="63" t="inlineStr">
        <is>
          <t>204 - Sanaflex Anatomic GREECE</t>
        </is>
      </c>
      <c r="B20" s="35" t="n">
        <v>22</v>
      </c>
      <c r="C20" s="64" t="str">
        <f>IFERROR(INDEX(NetSuite_מקור!$D:$D,MATCH(A20,NetSuite_מקור!$A:$A,0)),"")</f>
        <v/>
      </c>
    </row>
    <row r="21" ht="14.25" customHeight="1" s="36">
      <c r="A21" s="63" t="inlineStr">
        <is>
          <t>206 - Orthomed  Ltd BULGARIA</t>
        </is>
      </c>
      <c r="B21" s="35" t="n">
        <v>24</v>
      </c>
      <c r="C21" s="64" t="str">
        <f>IFERROR(INDEX(NetSuite_מקור!$D:$D,MATCH(A21,NetSuite_מקור!$A:$A,0)),"")</f>
        <v/>
      </c>
    </row>
    <row r="22" ht="14.25" customHeight="1" s="36">
      <c r="A22" s="63" t="inlineStr">
        <is>
          <t>216 - Max Konnaris CYPRUS</t>
        </is>
      </c>
      <c r="B22" s="35" t="n">
        <v>26</v>
      </c>
      <c r="C22" s="64" t="str">
        <f>IFERROR(INDEX(NetSuite_מקור!$D:$D,MATCH(A22,NetSuite_מקור!$A:$A,0)),"")</f>
        <v/>
      </c>
    </row>
    <row r="23" ht="14.25" customHeight="1" s="36">
      <c r="A23" s="63" t="inlineStr">
        <is>
          <t>208 - Medipal Company NABLUS</t>
        </is>
      </c>
      <c r="B23" s="35" t="n">
        <v>27</v>
      </c>
      <c r="C23" s="64" t="str">
        <f>IFERROR(INDEX(NetSuite_מקור!$D:$D,MATCH(A23,NetSuite_מקור!$A:$A,0)),"")</f>
        <v/>
      </c>
    </row>
    <row r="24" ht="14.25" customHeight="1" s="36">
      <c r="A24" s="63" t="inlineStr">
        <is>
          <t>210 - Oy. Ea. Ab. FINLAND</t>
        </is>
      </c>
      <c r="B24" s="35" t="n">
        <v>29</v>
      </c>
      <c r="C24" s="64" t="str">
        <f>IFERROR(INDEX(NetSuite_מקור!$D:$D,MATCH(A24,NetSuite_מקור!$A:$A,0)),"")</f>
        <v/>
      </c>
    </row>
    <row r="25" ht="14.25" customHeight="1" s="36">
      <c r="A25" s="63" t="inlineStr">
        <is>
          <t>201- Seven Gear FINLAND oy</t>
        </is>
      </c>
      <c r="B25" s="35" t="n">
        <v>30</v>
      </c>
      <c r="C25" s="64" t="str">
        <f>IFERROR(INDEX(NetSuite_מקור!$D:$D,MATCH(A25,NetSuite_מקור!$A:$A,0)),"")</f>
        <v/>
      </c>
    </row>
    <row r="26" ht="14.25" customHeight="1" s="36">
      <c r="A26" s="63" t="inlineStr">
        <is>
          <t>211 - Pharmag Lachmair Ges. Mbh AUSTRIA</t>
        </is>
      </c>
      <c r="B26" s="35" t="n">
        <v>31</v>
      </c>
      <c r="C26" s="64" t="str">
        <f>IFERROR(INDEX(NetSuite_מקור!$D:$D,MATCH(A26,NetSuite_מקור!$A:$A,0)),"")</f>
        <v/>
      </c>
    </row>
    <row r="27" ht="14.25" customHeight="1" s="36">
      <c r="A27" s="63" t="inlineStr">
        <is>
          <t>213 - E.f.m.o. SPAIN</t>
        </is>
      </c>
      <c r="B27" s="35" t="n">
        <v>32</v>
      </c>
      <c r="C27" s="64" t="str">
        <f>IFERROR(INDEX(NetSuite_מקור!$D:$D,MATCH(A27,NetSuite_מקור!$A:$A,0)),"")</f>
        <v/>
      </c>
    </row>
    <row r="28" ht="14.25" customHeight="1" s="36">
      <c r="A28" s="63" t="inlineStr">
        <is>
          <t>215 - Young In Healthcare Co. SOUTH KOREA</t>
        </is>
      </c>
      <c r="B28" s="35" t="n">
        <v>34</v>
      </c>
      <c r="C28" s="64" t="str">
        <f>IFERROR(INDEX(NetSuite_מקור!$D:$D,MATCH(A28,NetSuite_מקור!$A:$A,0)),"")</f>
        <v/>
      </c>
    </row>
    <row r="29" ht="14.25" customHeight="1" s="36">
      <c r="A29" s="63" t="inlineStr">
        <is>
          <t>200 - ROW : 217 - N3W FOODS USA</t>
        </is>
      </c>
      <c r="B29" s="35" t="n">
        <v>35</v>
      </c>
      <c r="C29" s="64" t="str">
        <f>IFERROR(INDEX(NetSuite_מקור!$D:$D,MATCH(A29,NetSuite_מקור!$A:$A,0)),"")</f>
        <v/>
      </c>
    </row>
    <row r="30" ht="14.25" customHeight="1" s="36">
      <c r="A30" s="63" t="inlineStr">
        <is>
          <t>105 - Pedicure Salons</t>
        </is>
      </c>
      <c r="B30" s="35" t="n">
        <v>14</v>
      </c>
      <c r="C30" s="64" t="str">
        <f>IFERROR(INDEX(NetSuite_מקור!$D:$D,MATCH(A30,NetSuite_מקור!$A:$A,0)),"")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25" defaultRowHeight="14.25" zeroHeight="0" outlineLevelRow="0"/>
  <cols>
    <col width="20" customWidth="1" style="35" min="1" max="1"/>
    <col width="18" customWidth="1" style="35" min="2" max="2"/>
    <col width="14" customWidth="1" style="35" min="3" max="3"/>
    <col width="100" customWidth="1" style="35" min="4" max="4"/>
  </cols>
  <sheetData>
    <row r="1" ht="15" customHeight="1" s="36">
      <c r="A1" s="59" t="inlineStr">
        <is>
          <t>Source: PPlay1.xlsx (00401395), "PPlay1 of uriel (Reporter)", נוצר 10/09/2026 09:39:13, תקופה 2026/Sep (המשך MTD ספטמבר). חותמת הזמן אומתה מול תאריך ההכנה שנמסר (10/09/2026) — תואמת במדויק. נשלפו 9 שורות קטגוריה שיש להן נתונים עד כה החודש, מתוך 13 הקטגוריות במקרא גיליון Pplay1 (12 המקוריות + "זיכויים BE"). 4 קטגוריות נותרות ללא נתונים עדיין החודש (0מפיצי משנה, גוד פארם מרכז, 0צרכנים פרטיים, 0שונות; תקין ל-MTD, לא נתון חסר). **"זיכויים BE" הופיעה בדוח הגולמי החודש לראשונה מאז 06-07/09/2026 — הפעם עם ערך שלילי אמיתי: ₪-262.5 (זיכוי/החזר ברשת BE). לפי הכלל הקבוע ב-kirill.md, נכנסת כשורה רגילה (מיפוי ישיר ל-BE, לקוח #7, כבר מוכן מראש בגיליון Pplay1 שורה 15) — הסכום השלילי יקטין אוטומטית את סך ה-BE ב-סהכ, ללא צורך בטיפול מיוחד.** לעומת 09/09, אותן 8 קטגוריות ותיקות עם עלייה טבעית, פלוס "זיכויים BE" שהופיעה לראשונה. שורת "Customers" בדוח המקור (₪235,791.3) היא שורת סה"כ-אב ואינה שווה לסכום שורות הקטגוריה (תקין וצפוי, כרגיל) — לא יובאה. מכר נטו = עמודה B × 0.91 (מקדם קבוע, מאושר ב-kirill.md; חל גם על ערך שלילי). הערת שקיפות טכנית: LibreOffice עדיין שבור בסביבה — הקובץ הגולמי נקרא ישירות ע"י פענוח קידוד windows-1255 ותיקון rgb="auto" ב-xl/styles.xml, ללא LibreOffice.</t>
        </is>
      </c>
      <c r="B1" s="59" t="inlineStr">
        <is>
          <t>2026/Sep (סכום גולמי, MTD)</t>
        </is>
      </c>
      <c r="C1" s="59" t="inlineStr">
        <is>
          <t>מכר נטו</t>
        </is>
      </c>
      <c r="D1" s="59" t="inlineStr">
        <is>
          <t>הערה</t>
        </is>
      </c>
    </row>
    <row r="2" ht="14.25" customHeight="1" s="36">
      <c r="A2" s="61" t="inlineStr">
        <is>
          <t>0בתי מרקחת</t>
        </is>
      </c>
      <c r="B2" s="62" t="n">
        <v>56761.4</v>
      </c>
      <c r="C2" s="62">
        <f>B2*0.91</f>
        <v>51652.874</v>
      </c>
      <c r="D2" s="65" t="n"/>
    </row>
    <row r="3" ht="14.25" customHeight="1" s="36">
      <c r="A3" s="61" t="inlineStr">
        <is>
          <t>0פארמים</t>
        </is>
      </c>
      <c r="B3" s="62" t="n">
        <v>152794.6</v>
      </c>
      <c r="C3" s="62">
        <f>B3*0.91</f>
        <v>139043.086</v>
      </c>
      <c r="D3" s="65" t="n"/>
    </row>
    <row r="4" ht="14.25" customHeight="1" s="36">
      <c r="A4" s="61" t="inlineStr">
        <is>
          <t>אילת BE</t>
        </is>
      </c>
      <c r="B4" s="62" t="n">
        <v>2168</v>
      </c>
      <c r="C4" s="62">
        <f>B4*0.91</f>
        <v>1972.88</v>
      </c>
      <c r="D4" s="65" t="n"/>
    </row>
    <row r="5" ht="14.25" customHeight="1" s="36">
      <c r="A5" s="61" t="inlineStr">
        <is>
          <t>הפרכל הפרפארם</t>
        </is>
      </c>
      <c r="B5" s="62" t="n">
        <v>163.5</v>
      </c>
      <c r="C5" s="62">
        <f>B5*0.91</f>
        <v>148.785</v>
      </c>
      <c r="D5" s="65" t="n"/>
    </row>
    <row r="6" ht="14.25" customHeight="1" s="36">
      <c r="A6" s="61" t="inlineStr">
        <is>
          <t>זיכויים BE</t>
        </is>
      </c>
      <c r="B6" s="62" t="n">
        <v>-262.5</v>
      </c>
      <c r="C6" s="62">
        <f>B6*0.91</f>
        <v>-238.875</v>
      </c>
      <c r="D6" s="65" t="n"/>
    </row>
    <row r="7" ht="14.25" customHeight="1" s="36">
      <c r="A7" s="61" t="inlineStr">
        <is>
          <t>סופרפארם</t>
        </is>
      </c>
      <c r="B7" s="62" t="n">
        <v>130208.5</v>
      </c>
      <c r="C7" s="62">
        <f>B7*0.91</f>
        <v>118489.735</v>
      </c>
      <c r="D7" s="65" t="n"/>
    </row>
    <row r="8" ht="14.25" customHeight="1" s="36">
      <c r="A8" s="61" t="inlineStr">
        <is>
          <t>שופרסל BE</t>
        </is>
      </c>
      <c r="B8" s="62" t="n">
        <v>19645.3</v>
      </c>
      <c r="C8" s="62">
        <f>B8*0.91</f>
        <v>17877.222999999998</v>
      </c>
      <c r="D8" s="65" t="n"/>
    </row>
    <row r="9" ht="14.25" customHeight="1" s="36">
      <c r="A9" s="61" t="inlineStr">
        <is>
          <t>0קופות חולים</t>
        </is>
      </c>
      <c r="B9" s="62" t="n">
        <v>26235.4</v>
      </c>
      <c r="C9" s="62">
        <f>B9*0.91</f>
        <v>23874.214000000004</v>
      </c>
      <c r="D9" s="35" t="n"/>
    </row>
    <row r="10" ht="14.25" customHeight="1" s="36">
      <c r="A10" s="61" t="inlineStr">
        <is>
          <t>גוד פארם</t>
        </is>
      </c>
      <c r="B10" s="62" t="n">
        <v>871.9</v>
      </c>
      <c r="C10" s="62">
        <f>B10*0.91</f>
        <v>793.429</v>
      </c>
    </row>
    <row r="11" ht="14.25" customHeight="1" s="36">
      <c r="A11" s="35" t="n"/>
      <c r="B11" s="35" t="n"/>
      <c r="C11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1" activeCellId="0" sqref="D31"/>
    </sheetView>
  </sheetViews>
  <sheetFormatPr baseColWidth="8" defaultColWidth="8.625" defaultRowHeight="14.25" zeroHeight="0" outlineLevelRow="0"/>
  <cols>
    <col width="45" customWidth="1" style="35" min="1" max="1"/>
    <col width="14" customWidth="1" style="35" min="4" max="4"/>
  </cols>
  <sheetData>
    <row r="1" ht="15" customHeight="1" s="36">
      <c r="A1" s="65" t="inlineStr">
        <is>
          <t>Source: CustomSalesbyCustomerSummary895.xls (29a197de), Meditex Group IL, Custom Sales by Customer Summary, 01 September 2026 - 30 September 2026, נמסר 10/09/2026. הקובץ הוא SpreadsheetML XML עם סיומת .xls — נפרס ישירות עם xml.etree.ElementTree ללא LibreOffice (שבור בסביבה). נשלפו 9 שורות הסיכום (קטגוריה) שיש להן מכירות עד כה החודש, מתוך 28 הקטגוריות במקרא "ריכוז" (19 הקטגוריות הנותרות אין להן מכירות עדיין החודש — תקין ל-MTD, לא נתון חסר). לעומת 09/09, אותן 9 קטגוריות בדיוק עם עלייה טבעית בכל השורות (קפיצה משמעותית ב-112 Kupat Holim Clalit וב-114 IL online). לא יובאו שורות פירוט חשבוניות/לקוחות-בת מהדוח הגולמי (706 שורות בקובץ המקור), לפי מוסכמת עבודה. סה"כ שורת "Total" בדוח הגולמי המלא: ₪295,224.45 — תואם בדיוק לסכום 9 שורות הקטגוריה שנשלפו, ובוצעה גם בדיקה מלאה שאין שורת "Total -" נוספת מחוץ ל-28 המקרא — לא נמצאה חריגה.</t>
        </is>
      </c>
    </row>
    <row r="2" ht="15" customHeight="1" s="36">
      <c r="A2" s="59" t="inlineStr">
        <is>
          <t>Customer</t>
        </is>
      </c>
      <c r="D2" s="59" t="inlineStr">
        <is>
          <t>Sales</t>
        </is>
      </c>
    </row>
    <row r="3" ht="15" customHeight="1" s="36">
      <c r="A3" s="61" t="inlineStr">
        <is>
          <t>102 - Orthopedic institutes</t>
        </is>
      </c>
      <c r="D3" s="64" t="n">
        <v>21780.1</v>
      </c>
    </row>
    <row r="4" ht="15" customHeight="1" s="36">
      <c r="A4" s="61" t="inlineStr">
        <is>
          <t>103 - Physiotherapy institutes</t>
        </is>
      </c>
      <c r="D4" s="64" t="n">
        <v>5923.02</v>
      </c>
    </row>
    <row r="5" ht="15" customHeight="1" s="36">
      <c r="A5" s="61" t="inlineStr">
        <is>
          <t>109 - Private Shops</t>
        </is>
      </c>
      <c r="D5" s="64" t="n">
        <v>6163.08</v>
      </c>
    </row>
    <row r="6" ht="15" customHeight="1" s="36">
      <c r="A6" s="61" t="inlineStr">
        <is>
          <t>101 - Factory customers</t>
        </is>
      </c>
      <c r="D6" s="64" t="n">
        <v>10213.04</v>
      </c>
    </row>
    <row r="7" ht="15" customHeight="1" s="36">
      <c r="A7" s="61" t="inlineStr">
        <is>
          <t>107 - Pharmacies</t>
        </is>
      </c>
      <c r="D7" s="64" t="n">
        <v>3820.27</v>
      </c>
    </row>
    <row r="8" ht="15" customHeight="1" s="36">
      <c r="A8" s="61" t="inlineStr">
        <is>
          <t>106 - Hospitals</t>
        </is>
      </c>
      <c r="D8" s="64" t="n">
        <v>3512.91</v>
      </c>
    </row>
    <row r="9" ht="15" customHeight="1" s="36">
      <c r="A9" s="61" t="inlineStr">
        <is>
          <t>112 - Kupat Holim Clalit</t>
        </is>
      </c>
      <c r="D9" s="64" t="n">
        <v>112054.4</v>
      </c>
    </row>
    <row r="10" ht="14.25" customHeight="1" s="36">
      <c r="A10" s="61" t="inlineStr">
        <is>
          <t>114 - IL online</t>
        </is>
      </c>
      <c r="D10" s="64" t="n">
        <v>106327.4400000002</v>
      </c>
    </row>
    <row r="11" ht="14.25" customHeight="1" s="36">
      <c r="A11" s="61" t="inlineStr">
        <is>
          <t>209 - Ortoprofil Prod ROMANIA</t>
        </is>
      </c>
      <c r="D11" s="64" t="n">
        <v>25430.19</v>
      </c>
    </row>
    <row r="12" ht="14.25" customHeight="1" s="36">
      <c r="A12" s="66" t="n"/>
      <c r="B12" s="67" t="n"/>
      <c r="C12" s="67" t="n"/>
      <c r="D12" s="68" t="n"/>
      <c r="E12" s="69" t="n"/>
    </row>
    <row r="13" ht="14.25" customHeight="1" s="36">
      <c r="A13" s="66" t="n"/>
      <c r="B13" s="67" t="n"/>
      <c r="C13" s="67" t="n"/>
      <c r="D13" s="68" t="n"/>
      <c r="E13" s="69" t="n"/>
    </row>
    <row r="14" ht="14.25" customHeight="1" s="36">
      <c r="A14" s="61" t="n"/>
      <c r="D14" s="62" t="n"/>
    </row>
    <row r="15" ht="14.25" customHeight="1" s="36">
      <c r="A15" s="61" t="n"/>
      <c r="D15" s="62" t="n"/>
    </row>
    <row r="16" ht="14.25" customHeight="1" s="36">
      <c r="A16" s="35" t="n"/>
      <c r="D16" s="35" t="n"/>
    </row>
    <row r="17" ht="14.25" customHeight="1" s="36">
      <c r="A17" s="35" t="n"/>
      <c r="D17" s="35" t="n"/>
    </row>
    <row r="18" ht="14.25" customHeight="1" s="36">
      <c r="A18" s="35" t="n"/>
      <c r="D18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5" activeCellId="0" sqref="D35"/>
    </sheetView>
  </sheetViews>
  <sheetFormatPr baseColWidth="8" defaultColWidth="8.625" defaultRowHeight="14.25" zeroHeight="0" outlineLevelRow="0"/>
  <cols>
    <col width="16" customWidth="1" style="35" min="1" max="1"/>
    <col width="14" customWidth="1" style="35" min="2" max="2"/>
    <col width="48" customWidth="1" style="35" min="3" max="3"/>
  </cols>
  <sheetData>
    <row r="1" ht="15" customHeight="1" s="36">
      <c r="A1" s="65" t="inlineStr">
        <is>
          <t>Source: צילום מסך שסופק על ידי המשתמש (ראובן), לוח בקרה Sellerboard "Month to date, 1-9 September 2026", נמסר 10/09/2026. אין קובץ תמונה מקורי בהישג יד — הנתונים נמסרו כתמלול טקסטואלי מדויק של צילום המסך בהודעת המשתמש (לא כקובץ מצורף). נתונים נוספים בצילום (לא בשימוש בנוסחה): Sales -1.8% מול תקופה קודמת, Orders/Units 655/674, Refunds 69, Est. payout $7,653.53, Gross profit $3,445.43, Net profit $3,445.43 (-19.4%) — כפי שמוצג בצילום המקור (Net profit זהה ל-Gross profit בתמונה, תמלול מדויק).</t>
        </is>
      </c>
    </row>
    <row r="2" ht="15" customHeight="1" s="36">
      <c r="A2" s="59" t="inlineStr">
        <is>
          <t>תיאור</t>
        </is>
      </c>
      <c r="B2" s="59" t="inlineStr">
        <is>
          <t>סכום ($)</t>
        </is>
      </c>
      <c r="C2" s="59" t="inlineStr">
        <is>
          <t>הערה</t>
        </is>
      </c>
    </row>
    <row r="3" ht="15" customHeight="1" s="36">
      <c r="A3" s="61" t="inlineStr">
        <is>
          <t>Sales</t>
        </is>
      </c>
      <c r="B3" s="62" t="n">
        <v>21860.09</v>
      </c>
      <c r="C3" s="65" t="inlineStr">
        <is>
          <t>משמש בנוסחת סהכ!C20: =(Sales+Refund cost)×3</t>
        </is>
      </c>
    </row>
    <row r="4" ht="15" customHeight="1" s="36">
      <c r="A4" s="61" t="inlineStr">
        <is>
          <t>Refund cost</t>
        </is>
      </c>
      <c r="B4" s="62" t="n">
        <v>-1830.45</v>
      </c>
      <c r="C4" s="65" t="inlineStr">
        <is>
          <t>מכפיל ×3 לפי הנחיית המשתמש (לא מתועד במקור התמונה)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Eyal Sadot</dc:creator>
  <dc:language>en-US</dc:language>
  <dcterms:created xsi:type="dcterms:W3CDTF">2026-08-01T12:16:05Z</dcterms:created>
  <dcterms:modified xsi:type="dcterms:W3CDTF">2026-09-10T06:42:19Z</dcterms:modified>
  <cp:lastModifiedBy>Eyal Sadot</cp:lastModifiedBy>
  <cp:revision>0</cp:revision>
</cp:coreProperties>
</file>