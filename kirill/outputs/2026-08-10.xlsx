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<sst xmlns="http://schemas.openxmlformats.org/spreadsheetml/2006/main" count="126" uniqueCount="100">
  <si>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</si>
  <si>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</si>
  <si>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</si>
  <si>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</si>
  <si>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</si>
  <si>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</si>
  <si>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</si>
  <si>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</si>
  <si>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</si>
  <si>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</si>
  <si>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</si>
  <si>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</si>
  <si>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</si>
  <si>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</si>
  <si>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</si>
  <si>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</si>
  <si>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</si>
  <si>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</si>
  <si>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</si>
  <si>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</si>
  <si>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</si>
  <si>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</si>
  <si>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</si>
  <si>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</si>
  <si>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</si>
  <si>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</si>
  <si>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</si>
  <si>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</si>
  <si>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</si>
  <si>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</si>
  <si>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</si>
  <si>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</si>
  <si>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</si>
  <si>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</si>
  <si>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</si>
  <si>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</si>
  <si>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</si>
  <si>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</si>
  <si>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</si>
  <si>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</si>
  <si>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</si>
  <si>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</si>
  <si>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</si>
  <si>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</si>
  <si>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</si>
  <si>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</si>
  <si>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</si>
  <si>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</si>
  <si>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</si>
  <si>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</si>
  <si>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</si>
  <si>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</si>
  <si>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</si>
  <si>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</si>
  <si>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</si>
  <si>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</si>
  <si>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</si>
  <si>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</si>
  <si>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</si>
  <si>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</si>
  <si>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</si>
  <si>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</si>
  <si>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</si>
  <si>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</si>
  <si>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</si>
  <si>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</si>
  <si>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</si>
  <si>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</si>
  <si>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</si>
  <si>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</si>
  <si>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</si>
  <si>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</si>
  <si>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</si>
  <si>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</si>
  <si>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</si>
  <si>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</si>
  <si>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</si>
  <si>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</si>
  <si>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</si>
  <si>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</si>
  <si>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</si>
  <si>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</si>
  <si>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</si>
  <si>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</si>
  <si>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</si>
  <si>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</si>
  <si>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</si>
  <si>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</si>
  <si>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</si>
  <si>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</si>
  <si>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</si>
  <si>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PPlay1.xlsx ("PPlay1 of uriel (Reporter)", נוצר 10/08/2026 11:16:43, תקופה 2026/Aug, Month-to-Date). נשלפו 8 שורות קטגוריה שיש להן נתונים עד כה החודש, מתוך 12 הקטגוריות במקרא גיליון Pplay1 (4 הקטגוריות הנותרות אין להן עדיין נתונים החודש — תקין ל-MTD, לא נתון חסר). שורת "Customers" בדוח המקור (₪200,538.1) היא שורת סה"כ-אב ואינה שווה לסכום שורות הקטגוריה (שהוא גבוה יותר, ₪350,235.4) — כפי שהיה גם בדוחות הקודמים, זו שורת מטה-דוח שאינה תואמת אף ערך במקרא ולכן לא יובאה, בהתאם למוסכמת עבודה. מכר נטו = עמודה B × 0.91 (מקדם קבוע, מאושר ב-kirill.md).</t>
  </si>
  <si>
    <t xml:space="preserve">Source: report.xls (Meditex Group IL, Custom Sales by Customer Summary, 01 August 2026 - 31 August 2026, Month-to-Date) —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(כ-600 שורות פירוט בקובץ המקור), לפי מוסכמת עבודה. סה"כ שורת "Total" בדוח הגולמי המלא: 545,466.01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</si>
  <si>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</si>
  <si>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</si>
  <si>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Amazon Seller Central (Sales / Refund cost), "Month to date, 1-10 August 2026", נמסר 10/08/2026. אין קובץ מקור — נתון ידני מתועד. נתונים נוספים בצילום (לא בשימוש בנוסחה): Sales +0.5% מול תקופה קודמת, Orders/Units 734/741, Refunds 67, Est. payout $7,971.48, Gross profit $3,890.23, Net profit $3,890.23 (+28.7%).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</si>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</sst>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46244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213454.8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116911.158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19131.385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28965.395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42497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20659.093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20260.42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1987.5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1433.95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3042.1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468342.801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101022.78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569903.111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60911.67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218964.24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788867.351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28258.5</v>
      </c>
      <c r="H3" s="27" t="n">
        <f aca="false">IF(G3="","",G3*0.91)</f>
        <v>25715.235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80</v>
      </c>
      <c r="H4" s="27" t="n">
        <f aca="false">IF(G4="","",G4*0.91)</f>
        <v>72.8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149497.4</v>
      </c>
      <c r="H5" s="27" t="n">
        <f aca="false">IF(G5="","",G5*0.91)</f>
        <v>136042.634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184.9</v>
      </c>
      <c r="H6" s="27" t="n">
        <f aca="false">IF(G6="","",G6*0.91)</f>
        <v>168.259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82.7</v>
      </c>
      <c r="H9" s="27" t="n">
        <f aca="false">IF(G9="","",G9*0.91)</f>
        <v>75.257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128473.8</v>
      </c>
      <c r="H10" s="27" t="n">
        <f aca="false">IF(G10="","",G10*0.91)</f>
        <v>116911.158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20755.9</v>
      </c>
      <c r="H11" s="27" t="n">
        <f aca="false">IF(G11="","",G11*0.91)</f>
        <v>18887.869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22702.3</v>
      </c>
      <c r="H13" s="27" t="n">
        <f aca="false">IF(G13="","",G13*0.91)</f>
        <v>20659.093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20260.42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213454.8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3042.1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1433.95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1987.5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3177.36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42497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101022.78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28258.5</v>
      </c>
      <c r="C2" s="27" t="n">
        <f aca="false">B2*0.91</f>
        <v>25715.235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80</v>
      </c>
      <c r="C3" s="27" t="n">
        <f aca="false">B3*0.91</f>
        <v>72.8</v>
      </c>
    </row>
    <row r="4" customFormat="false" ht="14.25" hidden="false" customHeight="true" outlineLevel="0" collapsed="false">
      <c r="A4" s="26" t="s">
        <v>50</v>
      </c>
      <c r="B4" s="27" t="n">
        <v>149497.4</v>
      </c>
      <c r="C4" s="27" t="n">
        <f aca="false">B4*0.91</f>
        <v>136042.634</v>
      </c>
    </row>
    <row r="5" customFormat="false" ht="14.25" hidden="false" customHeight="true" outlineLevel="0" collapsed="false">
      <c r="A5" s="26" t="s">
        <v>51</v>
      </c>
      <c r="B5" s="27" t="n">
        <v>184.9</v>
      </c>
      <c r="C5" s="27" t="n">
        <f aca="false">B5*0.91</f>
        <v>168.259</v>
      </c>
    </row>
    <row r="6" customFormat="false" ht="14.25" hidden="false" customHeight="true" outlineLevel="0" collapsed="false">
      <c r="A6" s="26" t="s">
        <v>54</v>
      </c>
      <c r="B6" s="27" t="n">
        <v>82.7</v>
      </c>
      <c r="C6" s="27" t="n">
        <f aca="false">B6*0.91</f>
        <v>75.257</v>
      </c>
    </row>
    <row r="7" customFormat="false" ht="14.25" hidden="false" customHeight="true" outlineLevel="0" collapsed="false">
      <c r="A7" s="26" t="s">
        <v>3</v>
      </c>
      <c r="B7" s="27" t="n">
        <v>128473.8</v>
      </c>
      <c r="C7" s="27" t="n">
        <f aca="false">B7*0.91</f>
        <v>116911.158</v>
      </c>
    </row>
    <row r="8" customFormat="false" ht="14.25" hidden="false" customHeight="true" outlineLevel="0" collapsed="false">
      <c r="A8" s="26" t="s">
        <v>55</v>
      </c>
      <c r="B8" s="27" t="n">
        <v>20755.9</v>
      </c>
      <c r="C8" s="27" t="n">
        <f aca="false">B8*0.91</f>
        <v>18887.869</v>
      </c>
    </row>
    <row r="9" customFormat="false" ht="14.25" hidden="false" customHeight="true" outlineLevel="0" collapsed="false">
      <c r="A9" s="26" t="s">
        <v>57</v>
      </c>
      <c r="B9" s="27" t="n">
        <v>22702.3</v>
      </c>
      <c r="C9" s="27" t="n">
        <f aca="false">B9*0.91</f>
        <v>20659.093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20260.42</v>
      </c>
    </row>
    <row r="4" customFormat="false" ht="15" hidden="false" customHeight="true" outlineLevel="0" collapsed="false">
      <c r="A4" s="26" t="s">
        <v>62</v>
      </c>
      <c r="D4" s="29" t="n">
        <v>213454.8</v>
      </c>
    </row>
    <row r="5" customFormat="false" ht="15" hidden="false" customHeight="true" outlineLevel="0" collapsed="false">
      <c r="A5" s="26" t="s">
        <v>63</v>
      </c>
      <c r="D5" s="29" t="n">
        <v>3042.1</v>
      </c>
    </row>
    <row r="6" customFormat="false" ht="15" hidden="false" customHeight="true" outlineLevel="0" collapsed="false">
      <c r="A6" s="26" t="s">
        <v>65</v>
      </c>
      <c r="D6" s="29" t="n">
        <v>1987.5</v>
      </c>
    </row>
    <row r="7" customFormat="false" ht="15" hidden="false" customHeight="true" outlineLevel="0" collapsed="false">
      <c r="A7" s="26" t="s">
        <v>69</v>
      </c>
      <c r="D7" s="29" t="n">
        <v>42497</v>
      </c>
    </row>
    <row r="8" customFormat="false" ht="15" hidden="false" customHeight="true" outlineLevel="0" collapsed="false">
      <c r="A8" s="26" t="s">
        <v>70</v>
      </c>
      <c r="D8" s="29" t="n">
        <v>101022.78</v>
      </c>
    </row>
    <row r="9" customFormat="false" ht="15" hidden="false" customHeight="true" outlineLevel="0" collapsed="false">
      <c r="A9" s="26" t="s">
        <v>71</v>
      </c>
      <c r="D9" s="29" t="n">
        <v>537.53</v>
      </c>
    </row>
    <row r="10" customFormat="false" ht="14.25" hidden="false" customHeight="true" outlineLevel="0" collapsed="false">
      <c r="A10" s="26" t="s">
        <v>66</v>
      </c>
      <c r="D10" s="29" t="n">
        <v>3177.36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1433.95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22385.3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-2081.41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2026-08-10T08:22:34Z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