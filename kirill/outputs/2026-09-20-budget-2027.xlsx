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תקציב  " sheetId="1" state="visible" r:id="rId3"/>
    <sheet name="שנים" sheetId="2" state="visible" r:id="rId4"/>
    <sheet name="השקות 2026" sheetId="3" state="visible" r:id="rId5"/>
    <sheet name=" Gantt" sheetId="4" state="visible" r:id="rId6"/>
  </sheets>
  <definedNames>
    <definedName function="false" hidden="true" localSheetId="3" name="_xlnm._FilterDatabase" vbProcedure="false">' Gantt'!$A$1:$D$1</definedName>
    <definedName function="false" hidden="true" localSheetId="2" name="_xlnm._FilterDatabase" vbProcedure="false">'השקות 2026'!$A$2:$AD$36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קרסול</t>
        </r>
      </text>
    </comment>
    <comment ref="A9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מרפק</t>
        </r>
      </text>
    </comment>
    <comment ref="J3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40 בחודש במכוני פיזיו</t>
        </r>
      </text>
    </comment>
    <comment ref="J4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עוד </t>
        </r>
        <r>
          <rPr>
            <sz val="10"/>
            <rFont val="Arial"/>
            <family val="2"/>
          </rPr>
          <t xml:space="preserve">20 בחודש במכוני פיזיו</t>
        </r>
      </text>
    </comment>
    <comment ref="M11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חצי חצי  עם סופרפארם
להוריד </t>
        </r>
        <r>
          <rPr>
            <sz val="10"/>
            <rFont val="Arial"/>
            <family val="2"/>
          </rPr>
          <t xml:space="preserve">3641</t>
        </r>
      </text>
    </comment>
    <comment ref="M13" authorId="0">
      <text>
        <r>
          <rPr>
            <sz val="10"/>
            <rFont val="Arial"/>
            <family val="2"/>
          </rPr>
          <t xml:space="preserve">Shirit yaacov:
60 </t>
        </r>
        <r>
          <rPr>
            <sz val="10"/>
            <rFont val="FreeSans"/>
            <family val="2"/>
          </rPr>
          <t xml:space="preserve">אורתופדיה, </t>
        </r>
        <r>
          <rPr>
            <sz val="10"/>
            <rFont val="Arial"/>
            <family val="2"/>
          </rPr>
          <t xml:space="preserve">40% פיזיותרפיה</t>
        </r>
      </text>
    </comment>
    <comment ref="M15" authorId="0">
      <text>
        <r>
          <rPr>
            <sz val="10"/>
            <rFont val="Arial"/>
            <family val="2"/>
          </rPr>
          <t xml:space="preserve">Shirit yaacov:
</t>
        </r>
        <r>
          <rPr>
            <sz val="10"/>
            <rFont val="FreeSans"/>
            <family val="2"/>
          </rPr>
          <t xml:space="preserve">להוריד </t>
        </r>
        <r>
          <rPr>
            <sz val="10"/>
            <rFont val="Arial"/>
            <family val="2"/>
          </rPr>
          <t xml:space="preserve">40 ו 4022</t>
        </r>
      </text>
    </comment>
  </commentList>
</comments>
</file>

<file path=xl/sharedStrings.xml><?xml version="1.0" encoding="utf-8"?>
<sst xmlns="http://schemas.openxmlformats.org/spreadsheetml/2006/main" count="706" uniqueCount="280">
  <si>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</si>
  <si>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</si>
  <si>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</si>
  <si>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</si>
  <si>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</si>
  <si>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</si>
  <si>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</si>
  <si>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</si>
  <si>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</si>
  <si>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</si>
  <si>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</si>
  <si>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</si>
  <si>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</si>
  <si>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</si>
  <si>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</si>
  <si>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</si>
  <si>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</si>
  <si>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</si>
  <si>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</si>
  <si>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</si>
  <si>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</si>
  <si>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</si>
  <si>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</si>
  <si>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</si>
  <si>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</si>
  <si>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</si>
  <si>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</si>
  <si>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</si>
  <si>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</si>
  <si>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</si>
  <si>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</si>
  <si>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</si>
  <si>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</si>
  <si>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</si>
  <si>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</si>
  <si>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</si>
  <si>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</si>
  <si>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</si>
  <si>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</si>
  <si>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</si>
  <si>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</si>
  <si>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</si>
  <si>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</si>
  <si>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</si>
  <si>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</si>
  <si>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</si>
  <si>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</si>
  <si>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</si>
  <si>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</si>
  <si>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</si>
  <si>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</si>
  <si>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</si>
  <si>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</si>
  <si>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</si>
  <si>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</si>
  <si>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</si>
  <si>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</si>
  <si>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</si>
  <si>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</si>
  <si>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</si>
  <si>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</si>
  <si>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</si>
  <si>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</si>
  <si>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</si>
  <si>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</si>
  <si>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</si>
  <si>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</si>
  <si>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</si>
  <si>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</si>
  <si>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</si>
  <si>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</si>
  <si>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</si>
  <si>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</si>
  <si>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</si>
  <si>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</si>
  <si>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</si>
  <si>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</si>
  <si>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</si>
  <si>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</si>
  <si>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</si>
  <si>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</si>
  <si>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</si>
  <si>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</si>
  <si>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</si>
  <si>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</si>
  <si>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</si>
  <si>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</si>
  <si>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</si>
  <si>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</si>
  <si>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</si>
  <si>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</si>
  <si>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</si>
  <si>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</si>
  <si>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</si>
  <si>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</si>
  <si>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</si>
  <si>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</si>
  <si>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</si>
  <si>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</si>
  <si>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</si>
  <si>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</si>
  <si>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דוח מכירות מצטבר דצמבר 2026</t>
  </si>
  <si>
    <t xml:space="preserve">תקציב 2026</t>
  </si>
  <si>
    <t xml:space="preserve">מטרה 2026</t>
  </si>
  <si>
    <t xml:space="preserve">units </t>
  </si>
  <si>
    <t xml:space="preserve">amount </t>
  </si>
  <si>
    <t xml:space="preserve">new units </t>
  </si>
  <si>
    <t xml:space="preserve">new amount </t>
  </si>
  <si>
    <t xml:space="preserve">units</t>
  </si>
  <si>
    <t xml:space="preserve">111 - Superpharm Life</t>
  </si>
  <si>
    <t xml:space="preserve">112 - Kupat Holim Clalit</t>
  </si>
  <si>
    <t xml:space="preserve">113 - Kupat Holim Meuhedet</t>
  </si>
  <si>
    <t xml:space="preserve">102 - Orthopedic institutes</t>
  </si>
  <si>
    <t xml:space="preserve">101 - Factory customers</t>
  </si>
  <si>
    <t xml:space="preserve">109 - Private Shops</t>
  </si>
  <si>
    <t xml:space="preserve">105 - Pedicure Salons</t>
  </si>
  <si>
    <t xml:space="preserve">104 - Sports Shop</t>
  </si>
  <si>
    <t xml:space="preserve">106 - Hospitals</t>
  </si>
  <si>
    <t xml:space="preserve">103 - Physiotherapy institutes</t>
  </si>
  <si>
    <t xml:space="preserve">סה"כ ישראל ללא אונליין</t>
  </si>
  <si>
    <t xml:space="preserve">114 - IL online</t>
  </si>
  <si>
    <t xml:space="preserve">115-SuperPharm Online</t>
  </si>
  <si>
    <t xml:space="preserve">301 - Amazon</t>
  </si>
  <si>
    <t xml:space="preserve">202 - Super-Pharm POLAND</t>
  </si>
  <si>
    <t xml:space="preserve">203 - Ortho- Partner ag SWITZERLAND</t>
  </si>
  <si>
    <t xml:space="preserve">204 - Sanaflex Anatomic GREECE</t>
  </si>
  <si>
    <t xml:space="preserve">205 - Health Care Prod. Gmbh GERMANY</t>
  </si>
  <si>
    <t xml:space="preserve">206 - Orthomed  Ltd BULGARIA</t>
  </si>
  <si>
    <t xml:space="preserve">207 - Salus HUNGARY</t>
  </si>
  <si>
    <t xml:space="preserve">216 - Max Konnaris CYPRUS</t>
  </si>
  <si>
    <t xml:space="preserve">208 - Medipal Company NABLUS</t>
  </si>
  <si>
    <t xml:space="preserve">209 - Ortoprofil Prod ROMANIA</t>
  </si>
  <si>
    <t xml:space="preserve">210 - Oy. Ea. Ab. FINLAND</t>
  </si>
  <si>
    <t xml:space="preserve">201- Seven Gear FINLAND oy</t>
  </si>
  <si>
    <t xml:space="preserve">REMEDICARE B.V.</t>
  </si>
  <si>
    <t xml:space="preserve">HOLLAND</t>
  </si>
  <si>
    <t xml:space="preserve">213 - E.f.m.o. SPAIN</t>
  </si>
  <si>
    <t xml:space="preserve">214 - Alfred Gera&amp; Sons Ltd. MALTA</t>
  </si>
  <si>
    <t xml:space="preserve">212 - Quadrifoglio Medical ROMANIA</t>
  </si>
  <si>
    <t xml:space="preserve">QUADRIFOGLIO MEDICAL</t>
  </si>
  <si>
    <t xml:space="preserve">215 - Young In Healthcare Co. SOUTH KOREA</t>
  </si>
  <si>
    <t xml:space="preserve">KOREA</t>
  </si>
  <si>
    <t xml:space="preserve">BAKU</t>
  </si>
  <si>
    <t xml:space="preserve">MEXICO</t>
  </si>
  <si>
    <t xml:space="preserve">סה"כ מכירות </t>
  </si>
  <si>
    <t xml:space="preserve">אחוז מכירות חו"ל מסה"כ מכירות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</si>
  <si>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</si>
  <si>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</si>
  <si>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</si>
  <si>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</si>
  <si>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</si>
  <si>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 xml:space="preserve">סה"כ</t>
  </si>
  <si>
    <t xml:space="preserve"> </t>
  </si>
  <si>
    <t xml:space="preserve">תחזית 2025</t>
  </si>
  <si>
    <t xml:space="preserve">השקות </t>
  </si>
  <si>
    <t xml:space="preserve">חודש הגעה למפעל</t>
  </si>
  <si>
    <t xml:space="preserve">סהכ יחידות 2025</t>
  </si>
  <si>
    <t xml:space="preserve">מחיר ליח'</t>
  </si>
  <si>
    <t xml:space="preserve">מכירות</t>
  </si>
  <si>
    <t xml:space="preserve">יחידות</t>
  </si>
  <si>
    <t xml:space="preserve">לקוח</t>
  </si>
  <si>
    <t xml:space="preserve">הזמנה קיימת</t>
  </si>
  <si>
    <t xml:space="preserve">כמות</t>
  </si>
  <si>
    <t xml:space="preserve">CTS</t>
  </si>
  <si>
    <t xml:space="preserve">V</t>
  </si>
  <si>
    <t xml:space="preserve">PO0408</t>
  </si>
  <si>
    <t xml:space="preserve">SH422 ברך</t>
  </si>
  <si>
    <t xml:space="preserve">PO0333</t>
  </si>
  <si>
    <t xml:space="preserve">גרבי טיסה 397A ארץ</t>
  </si>
  <si>
    <t xml:space="preserve">לחלק על כל לקוחות ארץ</t>
  </si>
  <si>
    <t xml:space="preserve">SH333</t>
  </si>
  <si>
    <t xml:space="preserve">PO0323</t>
  </si>
  <si>
    <t xml:space="preserve">נקודות</t>
  </si>
  <si>
    <t xml:space="preserve">SH776</t>
  </si>
  <si>
    <t xml:space="preserve">יח'</t>
  </si>
  <si>
    <t xml:space="preserve">להוריד 776</t>
  </si>
  <si>
    <t xml:space="preserve">SH322</t>
  </si>
  <si>
    <t xml:space="preserve">SH922</t>
  </si>
  <si>
    <t xml:space="preserve">shield ברך+צירים</t>
  </si>
  <si>
    <t xml:space="preserve">SH322, SH922</t>
  </si>
  <si>
    <t xml:space="preserve">להוריד 322 ו 922</t>
  </si>
  <si>
    <t xml:space="preserve">364 xl+</t>
  </si>
  <si>
    <t xml:space="preserve">PO0492</t>
  </si>
  <si>
    <t xml:space="preserve">SC34+</t>
  </si>
  <si>
    <t xml:space="preserve">809PW</t>
  </si>
  <si>
    <t xml:space="preserve">PO0511</t>
  </si>
  <si>
    <t xml:space="preserve">T40B</t>
  </si>
  <si>
    <t xml:space="preserve">PO0264</t>
  </si>
  <si>
    <t xml:space="preserve">T066</t>
  </si>
  <si>
    <t xml:space="preserve">דלתא ל 305</t>
  </si>
  <si>
    <t xml:space="preserve">MSG001F 0</t>
  </si>
  <si>
    <t xml:space="preserve">PO0519</t>
  </si>
  <si>
    <t xml:space="preserve">MSG002S 0</t>
  </si>
  <si>
    <t xml:space="preserve">T-scoop רגל</t>
  </si>
  <si>
    <t xml:space="preserve">T-scoop יד</t>
  </si>
  <si>
    <t xml:space="preserve">חגורת Jewett</t>
  </si>
  <si>
    <t xml:space="preserve">מגף (ווקר)</t>
  </si>
  <si>
    <t xml:space="preserve">cervical collar</t>
  </si>
  <si>
    <t xml:space="preserve">CR</t>
  </si>
  <si>
    <t xml:space="preserve">מתחלף 60 ו 61 </t>
  </si>
  <si>
    <t xml:space="preserve">1.5$*1.2*3.7+1.5</t>
  </si>
  <si>
    <t xml:space="preserve">Miami brace</t>
  </si>
  <si>
    <t xml:space="preserve">10 מוצרים חדשים HSY</t>
  </si>
  <si>
    <t xml:space="preserve">מקבע ברך</t>
  </si>
  <si>
    <t xml:space="preserve">כריות אורטופדיות</t>
  </si>
  <si>
    <t xml:space="preserve">אריזות פלסטרים</t>
  </si>
  <si>
    <t xml:space="preserve">נאופרן רפירמנס</t>
  </si>
  <si>
    <t xml:space="preserve">T46B</t>
  </si>
  <si>
    <t xml:space="preserve">במקום T45</t>
  </si>
  <si>
    <t xml:space="preserve">T36B</t>
  </si>
  <si>
    <t xml:space="preserve">במקום T35</t>
  </si>
  <si>
    <t xml:space="preserve">ספק חליפי סדרת ST</t>
  </si>
  <si>
    <t xml:space="preserve">ספק חלופי מוצרי סריגה ביייסיק</t>
  </si>
  <si>
    <t xml:space="preserve">3623 הורסינג</t>
  </si>
  <si>
    <t xml:space="preserve">categories</t>
  </si>
  <si>
    <t xml:space="preserve">products</t>
  </si>
  <si>
    <t xml:space="preserve">מהות ומשימות</t>
  </si>
  <si>
    <t xml:space="preserve">מהות</t>
  </si>
  <si>
    <t xml:space="preserve">עלות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</si>
  <si>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</si>
  <si>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</si>
  <si>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</si>
  <si>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</si>
  <si>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</si>
  <si>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</si>
  <si>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</si>
  <si>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</si>
  <si>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</si>
  <si>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</si>
  <si>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</si>
  <si>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</si>
  <si>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סיום אריזה, אישור ושילוח מרפרמנס. כולל חודשיים ליד טיים</t>
  </si>
  <si>
    <t xml:space="preserve">CR+ שדרוג המוצר</t>
  </si>
  <si>
    <t xml:space="preserve">2.05 $</t>
  </si>
  <si>
    <t xml:space="preserve">PO0489</t>
  </si>
  <si>
    <t xml:space="preserve">במפעל</t>
  </si>
  <si>
    <t xml:space="preserve">1.4 $</t>
  </si>
  <si>
    <t xml:space="preserve">מציאת החומר הנכון והדיפת עליית מחיר BDAC</t>
  </si>
  <si>
    <t xml:space="preserve">סיום תבניות בדיקת דוגמאות ותחילת יצור. BDAC</t>
  </si>
  <si>
    <t xml:space="preserve">59 חדש</t>
  </si>
  <si>
    <t xml:space="preserve">סיום פיתוח, דוגמאות סופיות, הכנות ליצור</t>
  </si>
  <si>
    <t xml:space="preserve">שילד ברך עם צירים</t>
  </si>
  <si>
    <t xml:space="preserve">בועז ועידו</t>
  </si>
  <si>
    <t xml:space="preserve">שילד מרפק</t>
  </si>
  <si>
    <t xml:space="preserve">סיום פרויקט עם רפירמנס</t>
  </si>
  <si>
    <t xml:space="preserve">שילד קרסול</t>
  </si>
  <si>
    <t xml:space="preserve">חיפוש ספק חדש</t>
  </si>
  <si>
    <t xml:space="preserve">e-life</t>
  </si>
  <si>
    <t xml:space="preserve">HSY</t>
  </si>
  <si>
    <t xml:space="preserve">Softgourd or E-life</t>
  </si>
  <si>
    <t xml:space="preserve">קיבוע כתף</t>
  </si>
  <si>
    <t xml:space="preserve">ספק- HSY</t>
  </si>
  <si>
    <t xml:space="preserve">Clyl</t>
  </si>
  <si>
    <t xml:space="preserve">מציאת ספק</t>
  </si>
  <si>
    <t xml:space="preserve">CR+ הרחבת מגוון</t>
  </si>
  <si>
    <t xml:space="preserve">פיתוח אריזות ל6 קונפיגורציות, הגדרת כמויות והזמנה</t>
  </si>
  <si>
    <t xml:space="preserve">פיתוח מחדש מוצר קרסול, פיתוח כל המידות לשלושת המוצרים, פיתוח אריזות</t>
  </si>
  <si>
    <t xml:space="preserve">T40B, T25 עם רפירמנס</t>
  </si>
  <si>
    <t xml:space="preserve">המשך עבודה עד אישור דוגמאות, העברת אריזות מאריק</t>
  </si>
  <si>
    <t xml:space="preserve">פיתוח כל סדרת המוצרים עם ספק חדש . ST422, ST27 מיידי</t>
  </si>
  <si>
    <t xml:space="preserve">סיום בחירת ספק ודוגמאות כל המידות, PP. 35,45,85</t>
  </si>
  <si>
    <t xml:space="preserve">אישור דוגמאות, פיתוח אריזות, סגירת מחירים והזמנה</t>
  </si>
  <si>
    <t xml:space="preserve">11STO - ספק חלופי</t>
  </si>
  <si>
    <t xml:space="preserve">אולי HSY.</t>
  </si>
  <si>
    <t xml:space="preserve">ספק חליפי</t>
  </si>
  <si>
    <t xml:space="preserve">Ingrown kit חדש</t>
  </si>
  <si>
    <t xml:space="preserve">מחירים, אריזה, דוגמאות סופיות, הזמנה</t>
  </si>
  <si>
    <t xml:space="preserve">טייפים חדשים 3H</t>
  </si>
  <si>
    <t xml:space="preserve">עיצוב, דוגמאות, אריזות</t>
  </si>
  <si>
    <t xml:space="preserve">מחליף ל398 דרופ פוט</t>
  </si>
  <si>
    <t xml:space="preserve">המשך פיתוח...</t>
  </si>
  <si>
    <t xml:space="preserve">כריות חום קור</t>
  </si>
  <si>
    <t xml:space="preserve">קבלת דוגמאות וכו׳</t>
  </si>
  <si>
    <t xml:space="preserve">סדרת מוצרי פיזיו</t>
  </si>
  <si>
    <t xml:space="preserve">מציאת ספק, דוגמאות</t>
  </si>
  <si>
    <t xml:space="preserve">מוצר כף יד שווייץ</t>
  </si>
  <si>
    <t xml:space="preserve">אולי Wego</t>
  </si>
  <si>
    <t xml:space="preserve">ספק חדש 11U</t>
  </si>
  <si>
    <t xml:space="preserve">מציאת ספק, דוגמאות, תיקונים</t>
  </si>
  <si>
    <t xml:space="preserve">PRE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</si>
</sst>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 * #,##0_ ;_ * \-#,##0_ ;_ * \-??_ ;_ @_ "/>
    <numFmt numFmtId="166" formatCode="0"/>
    <numFmt numFmtId="167" formatCode="0%"/>
    <numFmt numFmtId="168" formatCode="#,##0"/>
    <numFmt numFmtId="169" formatCode="#,##0.00"/>
    <numFmt numFmtId="170" formatCode="mmm\-yy"/>
    <numFmt numFmtId="171" formatCode="General"/>
  </numFmts>
  <fonts count="25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sz val="10"/>
      <name val="Arial"/>
      <family val="2"/>
      <charset val="1"/>
    </font>
    <font>
      <b val="true"/>
      <sz val="8"/>
      <color theme="1"/>
      <name val="Arial"/>
      <family val="2"/>
      <charset val="1"/>
    </font>
    <font>
      <b val="true"/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7"/>
      <color rgb="FF262626"/>
      <name val="Arial"/>
      <family val="2"/>
      <charset val="1"/>
    </font>
    <font>
      <sz val="11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sz val="14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6"/>
      <color theme="1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theme="2" tint="-0.1"/>
        <bgColor rgb="FFCCCCCC"/>
      </patternFill>
    </fill>
    <fill>
      <patternFill patternType="solid">
        <fgColor theme="5" tint="0.7999"/>
        <bgColor rgb="FFFFF2CC"/>
      </patternFill>
    </fill>
    <fill>
      <patternFill patternType="solid">
        <fgColor theme="0" tint="-0.05"/>
        <bgColor rgb="FFEDEDED"/>
      </patternFill>
    </fill>
    <fill>
      <patternFill patternType="solid">
        <fgColor rgb="FFFFFF00"/>
        <bgColor rgb="FFFFC000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9900"/>
      </patternFill>
    </fill>
    <fill>
      <patternFill patternType="solid">
        <fgColor theme="4" tint="0.7999"/>
        <bgColor rgb="FFD9D9D9"/>
      </patternFill>
    </fill>
    <fill>
      <patternFill patternType="solid">
        <fgColor theme="7" tint="0.5999"/>
        <bgColor rgb="FFFFF2CC"/>
      </patternFill>
    </fill>
    <fill>
      <patternFill patternType="solid">
        <fgColor theme="9" tint="0.5999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5999"/>
        <bgColor rgb="FFFFE699"/>
      </patternFill>
    </fill>
    <fill>
      <patternFill patternType="solid">
        <fgColor rgb="FF00B050"/>
        <bgColor rgb="FF008080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B4C7E7"/>
      </patternFill>
    </fill>
    <fill>
      <patternFill patternType="solid">
        <fgColor theme="0" tint="-0.15"/>
        <bgColor rgb="FFD0CECE"/>
      </patternFill>
    </fill>
    <fill>
      <patternFill patternType="solid">
        <fgColor theme="5"/>
        <bgColor rgb="FFFF8080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5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7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3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8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7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5" fontId="1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6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1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4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4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4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1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false" indent="0" shrinkToFit="false" readingOrder="2"/>
      <protection locked="true" hidden="false"/>
    </xf>
    <xf numFmtId="164" fontId="23" fillId="18" borderId="46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9" fillId="18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23" fillId="18" borderId="0" xfId="0" applyFont="true" applyBorder="fals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5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7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17" borderId="46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7" fillId="0" borderId="2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17" fillId="0" borderId="2" xfId="0" applyFont="true" applyBorder="true" applyAlignment="true" applyProtection="false">
      <alignment horizontal="right" vertical="top" textRotation="90" wrapText="true" indent="0" shrinkToFit="false" readingOrder="2"/>
      <protection locked="true" hidden="false"/>
    </xf>
    <xf numFmtId="164" fontId="17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17" fillId="0" borderId="7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7" fillId="0" borderId="15" xfId="0" applyFont="true" applyBorder="true" applyAlignment="true" applyProtection="false">
      <alignment horizontal="right" vertical="center" textRotation="90" wrapText="false" indent="0" shrinkToFit="false" readingOrder="2"/>
      <protection locked="true" hidden="false"/>
    </xf>
    <xf numFmtId="164" fontId="4" fillId="17" borderId="47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4" fillId="19" borderId="1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19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0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15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4" fillId="5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4" fillId="5" borderId="8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  <xf numFmtId="164" fontId="22" fillId="0" borderId="2" xfId="0" applyFont="true" applyBorder="true" applyAlignment="true" applyProtection="false">
      <alignment horizontal="right" vertical="top" textRotation="0" wrapText="false" indent="0" shrinkToFit="false" readingOrder="2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9">
    <dxf>
      <fill>
        <patternFill patternType="solid">
          <fgColor rgb="FF00B050"/>
          <bgColor rgb="FF000000"/>
        </patternFill>
      </fill>
    </dxf>
    <dxf>
      <fill>
        <patternFill patternType="solid">
          <fgColor rgb="FFB4C7E7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2CC"/>
      <rgbColor rgb="FFDAE3F3"/>
      <rgbColor rgb="FF660066"/>
      <rgbColor rgb="FFFF8080"/>
      <rgbColor rgb="FF0066CC"/>
      <rgbColor rgb="FFBDD7EE"/>
      <rgbColor rgb="FF000080"/>
      <rgbColor rgb="FFFF00FF"/>
      <rgbColor rgb="FFFBE5D6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E699"/>
      <rgbColor rgb="FFB4C7E7"/>
      <rgbColor rgb="FFD9D9D9"/>
      <rgbColor rgb="FFD0CECE"/>
      <rgbColor rgb="FFF8CBAD"/>
      <rgbColor rgb="FF3366FF"/>
      <rgbColor rgb="FF33CCCC"/>
      <rgbColor rgb="FF92D050"/>
      <rgbColor rgb="FFFFC000"/>
      <rgbColor rgb="FFFF9900"/>
      <rgbColor rgb="FFED7D31"/>
      <rgbColor rgb="FF666699"/>
      <rgbColor rgb="FFC5E0B4"/>
      <rgbColor rgb="FF003366"/>
      <rgbColor rgb="FF00B050"/>
      <rgbColor rgb="FF003300"/>
      <rgbColor rgb="FF333300"/>
      <rgbColor rgb="FF993300"/>
      <rgbColor rgb="FF993366"/>
      <rgbColor rgb="FF333399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A31" activeCellId="0" sqref="AA3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0" t="n">
        <v>265966.8</v>
      </c>
      <c r="AJ22" s="60" t="n">
        <v>305012.4</v>
      </c>
      <c r="AK22" s="60" t="n">
        <v>327115.8</v>
      </c>
      <c r="AL22" s="60" t="n">
        <v>321888.6</v>
      </c>
      <c r="AM22" s="60" t="n">
        <v>326122.5</v>
      </c>
      <c r="AN22" s="61" t="n">
        <v>297561</v>
      </c>
      <c r="AO22" s="62" t="n">
        <f aca="false">SUM(AI22:AN22)</f>
        <v>1843667.1</v>
      </c>
      <c r="AP22" s="63" t="n">
        <f aca="false">SUM(AI22:AN22)+Y22</f>
        <v>3955162.9932375</v>
      </c>
      <c r="AR22" s="64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5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5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5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5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5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5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5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5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5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5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5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5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5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5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5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5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5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5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5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5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5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5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5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5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5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5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5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5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5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5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5" t="s">
        <v>94</v>
      </c>
      <c r="C38" s="58" t="s">
        <v>95</v>
      </c>
      <c r="D38" s="66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5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5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5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47" t="n">
        <f aca="false">SUM(E22:E39)</f>
        <v>526326.7701125</v>
      </c>
      <c r="F40" s="47" t="n">
        <f aca="false">SUM(F22:F39)</f>
        <v>624144.3243</v>
      </c>
      <c r="G40" s="47" t="n">
        <f aca="false">SUM(G22:G39)</f>
        <v>542589.520425</v>
      </c>
      <c r="H40" s="47" t="n">
        <f aca="false">SUM(H22:H39)</f>
        <v>946901.2663</v>
      </c>
      <c r="I40" s="47" t="n">
        <f aca="false">SUM(I22:I39)</f>
        <v>856658.8868</v>
      </c>
      <c r="J40" s="47" t="n">
        <f aca="false">SUM(J22:J39)</f>
        <v>758228.8293</v>
      </c>
      <c r="K40" s="47" t="n">
        <f aca="false">SUM(K22:K39)</f>
        <v>1015167.992175</v>
      </c>
      <c r="L40" s="47" t="n">
        <f aca="false">SUM(L22:L39)</f>
        <v>1146567.022175</v>
      </c>
      <c r="M40" s="47" t="n">
        <f aca="false">SUM(M22:M39)</f>
        <v>688160.54455</v>
      </c>
      <c r="N40" s="47" t="n">
        <f aca="false">SUM(N22:N39)</f>
        <v>689745.5968</v>
      </c>
      <c r="O40" s="47" t="n">
        <f aca="false">SUM(O22:O39)</f>
        <v>1412960.1577375</v>
      </c>
      <c r="P40" s="67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5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68"/>
      <c r="B41" s="68" t="s">
        <v>99</v>
      </c>
      <c r="C41" s="68"/>
      <c r="D41" s="68"/>
      <c r="E41" s="69" t="n">
        <f aca="false">E40+E21</f>
        <v>2378890.53460403</v>
      </c>
      <c r="F41" s="69" t="n">
        <f aca="false">F40+F21</f>
        <v>2671040.95131507</v>
      </c>
      <c r="G41" s="69" t="n">
        <f aca="false">G40+G21</f>
        <v>2775894.33953046</v>
      </c>
      <c r="H41" s="69" t="n">
        <f aca="false">H40+H21</f>
        <v>2944067.66732637</v>
      </c>
      <c r="I41" s="69" t="n">
        <f aca="false">I40+I21</f>
        <v>3153822.46296761</v>
      </c>
      <c r="J41" s="69" t="n">
        <f aca="false">J40+J21</f>
        <v>3481428.37533578</v>
      </c>
      <c r="K41" s="69" t="n">
        <f aca="false">K40+K21</f>
        <v>3827194.65685485</v>
      </c>
      <c r="L41" s="69" t="n">
        <f aca="false">L40+L21</f>
        <v>4141049.61905824</v>
      </c>
      <c r="M41" s="69" t="n">
        <f aca="false">M40+M21</f>
        <v>3373969.69510556</v>
      </c>
      <c r="N41" s="69" t="n">
        <f aca="false">N40+N21</f>
        <v>3737220.37824068</v>
      </c>
      <c r="O41" s="69" t="n">
        <f aca="false">O40+O21</f>
        <v>4914196.14445125</v>
      </c>
      <c r="P41" s="70" t="n">
        <f aca="false">P40+P21</f>
        <v>3862704.38781966</v>
      </c>
      <c r="Q41" s="71" t="n">
        <f aca="false">Q40+Q21</f>
        <v>41241479.2126095</v>
      </c>
      <c r="R41" s="71" t="n">
        <f aca="false">R40+R21</f>
        <v>5024793.3</v>
      </c>
      <c r="S41" s="71" t="n">
        <f aca="false">S40+S21</f>
        <v>2378890.53460403</v>
      </c>
      <c r="U41" s="71" t="n">
        <f aca="false">U40+U21</f>
        <v>5049931.48591909</v>
      </c>
      <c r="V41" s="71" t="n">
        <f aca="false">V40+V21</f>
        <v>7825825.82544955</v>
      </c>
      <c r="W41" s="71" t="n">
        <f aca="false">W40+W21</f>
        <v>10769893.4927759</v>
      </c>
      <c r="X41" s="71" t="n">
        <f aca="false">X40+X21</f>
        <v>13923715.9557435</v>
      </c>
      <c r="Y41" s="71" t="n">
        <f aca="false">Y40+Y21</f>
        <v>17405144.3310793</v>
      </c>
      <c r="Z41" s="71" t="n">
        <f aca="false">Z40+Z21</f>
        <v>21232338.9879342</v>
      </c>
      <c r="AA41" s="71" t="n">
        <f aca="false">AA40+AA21</f>
        <v>25373388.6069924</v>
      </c>
      <c r="AB41" s="71" t="n">
        <f aca="false">AB40+AB21</f>
        <v>28747358.302098</v>
      </c>
      <c r="AC41" s="71" t="n">
        <f aca="false">AC40+AC21</f>
        <v>32484578.6803386</v>
      </c>
      <c r="AD41" s="71" t="n">
        <f aca="false">AD40+AD21</f>
        <v>37378774.8247899</v>
      </c>
      <c r="AE41" s="71" t="n">
        <f aca="false">AE40+AE21</f>
        <v>41241479.2126095</v>
      </c>
      <c r="AG41" s="72" t="n">
        <f aca="false">AG40+AG21</f>
        <v>12671808.107</v>
      </c>
      <c r="AI41" s="73" t="n">
        <f aca="false">AI40+AI21</f>
        <v>2665966.8</v>
      </c>
      <c r="AJ41" s="74" t="n">
        <f aca="false">AJ40+AJ21</f>
        <v>2626512.4</v>
      </c>
      <c r="AK41" s="74" t="n">
        <f aca="false">AK40+AK21</f>
        <v>3406716.64745763</v>
      </c>
      <c r="AL41" s="74" t="n">
        <f aca="false">AL40+AL21</f>
        <v>3681445.37966102</v>
      </c>
      <c r="AM41" s="74" t="n">
        <f aca="false">AM40+AM21</f>
        <v>3433922.5</v>
      </c>
      <c r="AN41" s="75" t="n">
        <f aca="false">AN40+AN21</f>
        <v>3438082.18644068</v>
      </c>
      <c r="AO41" s="73" t="n">
        <f aca="false">AO40+AO21</f>
        <v>19252645.9135593</v>
      </c>
      <c r="AP41" s="74" t="n">
        <f aca="false">AP40+AP21</f>
        <v>36657790.2446386</v>
      </c>
      <c r="AR41" s="73" t="n">
        <f aca="false">AI41+AG41</f>
        <v>15337774.907</v>
      </c>
      <c r="AS41" s="74" t="n">
        <f aca="false">AS40+AS21</f>
        <v>17964287.307</v>
      </c>
      <c r="AT41" s="74" t="n">
        <f aca="false">AT40+AT21</f>
        <v>21371003.9544577</v>
      </c>
      <c r="AU41" s="74" t="n">
        <f aca="false">AU40+AU21</f>
        <v>25052449.3341187</v>
      </c>
      <c r="AV41" s="74" t="n">
        <f aca="false">AV40+AV21</f>
        <v>28486371.8341187</v>
      </c>
      <c r="AW41" s="74" t="n">
        <f aca="false">AW40+AW21</f>
        <v>31924454.0205594</v>
      </c>
    </row>
    <row r="42" customFormat="false" ht="15" hidden="false" customHeight="true" outlineLevel="0" collapsed="false">
      <c r="H42" s="4"/>
      <c r="S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G42" s="76"/>
    </row>
    <row r="43" customFormat="false" ht="14.25" hidden="false" customHeight="true" outlineLevel="0" collapsed="false">
      <c r="B43" s="77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78" t="n">
        <f aca="false">E5/$Q5</f>
        <v>0.0701058201058202</v>
      </c>
      <c r="F44" s="78" t="n">
        <f aca="false">F5/$Q5</f>
        <v>0.0667674477198285</v>
      </c>
      <c r="G44" s="78" t="n">
        <f aca="false">G5/$Q5</f>
        <v>0.0767825648778032</v>
      </c>
      <c r="H44" s="78" t="n">
        <f aca="false">H5/$Q5</f>
        <v>0.0686570924666162</v>
      </c>
      <c r="I44" s="78" t="n">
        <f aca="false">I5/$Q5</f>
        <v>0.0747039556563365</v>
      </c>
      <c r="J44" s="78" t="n">
        <f aca="false">J5/$Q5</f>
        <v>0.0932854623330813</v>
      </c>
      <c r="K44" s="78" t="n">
        <f aca="false">K5/$Q5</f>
        <v>0.0932854623330813</v>
      </c>
      <c r="L44" s="78" t="n">
        <f aca="false">L5/$Q5</f>
        <v>0.0932854623330813</v>
      </c>
      <c r="M44" s="78" t="n">
        <f aca="false">M5/$Q5</f>
        <v>0.0832703451751071</v>
      </c>
      <c r="N44" s="78" t="n">
        <f aca="false">N5/$Q5</f>
        <v>0.0899470899470901</v>
      </c>
      <c r="O44" s="78" t="n">
        <f aca="false">O5/$Q5</f>
        <v>0.0932854623330813</v>
      </c>
      <c r="P44" s="78" t="n">
        <f aca="false">P5/$Q5</f>
        <v>0.096623834719073</v>
      </c>
      <c r="Q44" s="79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78" t="n">
        <f aca="false">E6/$Q6</f>
        <v>0.0791660520234056</v>
      </c>
      <c r="F45" s="78" t="n">
        <f aca="false">F6/$Q6</f>
        <v>0.0785713114965217</v>
      </c>
      <c r="G45" s="78" t="n">
        <f aca="false">G6/$Q6</f>
        <v>0.0900914823322258</v>
      </c>
      <c r="H45" s="78" t="n">
        <f aca="false">H6/$Q6</f>
        <v>0.0701489426965161</v>
      </c>
      <c r="I45" s="78" t="n">
        <f aca="false">I6/$Q6</f>
        <v>0.0824066854454817</v>
      </c>
      <c r="J45" s="78" t="n">
        <f aca="false">J6/$Q6</f>
        <v>0.0893492274226896</v>
      </c>
      <c r="K45" s="78" t="n">
        <f aca="false">K6/$Q6</f>
        <v>0.0893492274226896</v>
      </c>
      <c r="L45" s="78" t="n">
        <f aca="false">L6/$Q6</f>
        <v>0.0893492274226896</v>
      </c>
      <c r="M45" s="78" t="n">
        <f aca="false">M6/$Q6</f>
        <v>0.0778290565869855</v>
      </c>
      <c r="N45" s="78" t="n">
        <f aca="false">N6/$Q6</f>
        <v>0.0806411958499287</v>
      </c>
      <c r="O45" s="78" t="n">
        <f aca="false">O6/$Q6</f>
        <v>0.084776281560468</v>
      </c>
      <c r="P45" s="78" t="n">
        <f aca="false">P6/$Q6</f>
        <v>0.0883213097403981</v>
      </c>
      <c r="Q45" s="79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78" t="n">
        <f aca="false">E7/$Q7</f>
        <v>0.0811111111111111</v>
      </c>
      <c r="F46" s="78" t="n">
        <f aca="false">F7/$Q7</f>
        <v>0.0815873015873016</v>
      </c>
      <c r="G46" s="78" t="n">
        <f aca="false">G7/$Q7</f>
        <v>0.0912698412698412</v>
      </c>
      <c r="H46" s="78" t="n">
        <f aca="false">H7/$Q7</f>
        <v>0.0674603174603174</v>
      </c>
      <c r="I46" s="78" t="n">
        <f aca="false">I7/$Q7</f>
        <v>0.0793650793650793</v>
      </c>
      <c r="J46" s="78" t="n">
        <f aca="false">J7/$Q7</f>
        <v>0.0873015873015873</v>
      </c>
      <c r="K46" s="78" t="n">
        <f aca="false">K7/$Q7</f>
        <v>0.0873015873015873</v>
      </c>
      <c r="L46" s="78" t="n">
        <f aca="false">L7/$Q7</f>
        <v>0.0873015873015873</v>
      </c>
      <c r="M46" s="78" t="n">
        <f aca="false">M7/$Q7</f>
        <v>0.0753968253968253</v>
      </c>
      <c r="N46" s="78" t="n">
        <f aca="false">N7/$Q7</f>
        <v>0.0833333333333333</v>
      </c>
      <c r="O46" s="78" t="n">
        <f aca="false">O7/$Q7</f>
        <v>0.0873015873015873</v>
      </c>
      <c r="P46" s="78" t="n">
        <f aca="false">P7/$Q7</f>
        <v>0.0912698412698412</v>
      </c>
      <c r="Q46" s="79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78" t="n">
        <f aca="false">E8/$Q8</f>
        <v>0.0782400273925696</v>
      </c>
      <c r="F47" s="78" t="n">
        <f aca="false">F8/$Q8</f>
        <v>0.0805308940902163</v>
      </c>
      <c r="G47" s="78" t="n">
        <f aca="false">G8/$Q8</f>
        <v>0.0890666144903431</v>
      </c>
      <c r="H47" s="78" t="n">
        <f aca="false">H8/$Q8</f>
        <v>0.0689135095914756</v>
      </c>
      <c r="I47" s="78" t="n">
        <f aca="false">I8/$Q8</f>
        <v>0.0825853368226251</v>
      </c>
      <c r="J47" s="78" t="n">
        <f aca="false">J8/$Q8</f>
        <v>0.0877622064062743</v>
      </c>
      <c r="K47" s="78" t="n">
        <f aca="false">K8/$Q8</f>
        <v>0.0877622064062743</v>
      </c>
      <c r="L47" s="78" t="n">
        <f aca="false">L8/$Q8</f>
        <v>0.0877622064062743</v>
      </c>
      <c r="M47" s="78" t="n">
        <f aca="false">M8/$Q8</f>
        <v>0.0771720432737381</v>
      </c>
      <c r="N47" s="78" t="n">
        <f aca="false">N8/$Q8</f>
        <v>0.0833761342235917</v>
      </c>
      <c r="O47" s="78" t="n">
        <f aca="false">O8/$Q8</f>
        <v>0.0877622064062743</v>
      </c>
      <c r="P47" s="78" t="n">
        <f aca="false">P8/$Q8</f>
        <v>0.0890666144903431</v>
      </c>
      <c r="Q47" s="79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78" t="n">
        <f aca="false">E9/$Q9</f>
        <v>0.0833143118009587</v>
      </c>
      <c r="F48" s="78" t="n">
        <f aca="false">F9/$Q9</f>
        <v>0.0833143118009587</v>
      </c>
      <c r="G48" s="78" t="n">
        <f aca="false">G9/$Q9</f>
        <v>0.0833143118009587</v>
      </c>
      <c r="H48" s="78" t="n">
        <f aca="false">H9/$Q9</f>
        <v>0.0833143118009587</v>
      </c>
      <c r="I48" s="78" t="n">
        <f aca="false">I9/$Q9</f>
        <v>0.0833143118009587</v>
      </c>
      <c r="J48" s="78" t="n">
        <f aca="false">J9/$Q9</f>
        <v>0.0833143118009587</v>
      </c>
      <c r="K48" s="78" t="n">
        <f aca="false">K9/$Q9</f>
        <v>0.0833143118009587</v>
      </c>
      <c r="L48" s="78" t="n">
        <f aca="false">L9/$Q9</f>
        <v>0.0833143118009587</v>
      </c>
      <c r="M48" s="78" t="n">
        <f aca="false">M9/$Q9</f>
        <v>0.0833143118009587</v>
      </c>
      <c r="N48" s="78" t="n">
        <f aca="false">N9/$Q9</f>
        <v>0.0833143118009587</v>
      </c>
      <c r="O48" s="78" t="n">
        <f aca="false">O9/$Q9</f>
        <v>0.0833143118009587</v>
      </c>
      <c r="P48" s="78" t="n">
        <f aca="false">P9/$Q9</f>
        <v>0.0835425701894545</v>
      </c>
      <c r="Q48" s="79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78" t="n">
        <f aca="false">E10/$Q10</f>
        <v>0.0683060109289619</v>
      </c>
      <c r="F49" s="78" t="n">
        <f aca="false">F10/$Q10</f>
        <v>0.0896435076762944</v>
      </c>
      <c r="G49" s="78" t="n">
        <f aca="false">G10/$Q10</f>
        <v>0.0912047879260994</v>
      </c>
      <c r="H49" s="78" t="n">
        <f aca="false">H10/$Q10</f>
        <v>0.0798855061150145</v>
      </c>
      <c r="I49" s="78" t="n">
        <f aca="false">I10/$Q10</f>
        <v>0.0814467863648193</v>
      </c>
      <c r="J49" s="78" t="n">
        <f aca="false">J10/$Q10</f>
        <v>0.0879521207390059</v>
      </c>
      <c r="K49" s="78" t="n">
        <f aca="false">K10/$Q10</f>
        <v>0.0879521207390059</v>
      </c>
      <c r="L49" s="78" t="n">
        <f aca="false">L10/$Q10</f>
        <v>0.0879521207390059</v>
      </c>
      <c r="M49" s="78" t="n">
        <f aca="false">M10/$Q10</f>
        <v>0.0781941191777259</v>
      </c>
      <c r="N49" s="78" t="n">
        <f aca="false">N10/$Q10</f>
        <v>0.0846994535519125</v>
      </c>
      <c r="O49" s="78" t="n">
        <f aca="false">O10/$Q10</f>
        <v>0.0879521207390059</v>
      </c>
      <c r="P49" s="78" t="n">
        <f aca="false">P10/$Q10</f>
        <v>0.0748113453031487</v>
      </c>
      <c r="Q49" s="79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78" t="n">
        <f aca="false">E11/$Q11</f>
        <v>0.0644685868283643</v>
      </c>
      <c r="F50" s="78" t="n">
        <f aca="false">F11/$Q11</f>
        <v>0.0783624886707251</v>
      </c>
      <c r="G50" s="78" t="n">
        <f aca="false">G11/$Q11</f>
        <v>0.0811476856196412</v>
      </c>
      <c r="H50" s="78" t="n">
        <f aca="false">H11/$Q11</f>
        <v>0.0705242346222637</v>
      </c>
      <c r="I50" s="78" t="n">
        <f aca="false">I11/$Q11</f>
        <v>0.0859420743200429</v>
      </c>
      <c r="J50" s="78" t="n">
        <f aca="false">J11/$Q11</f>
        <v>0.0894832246525022</v>
      </c>
      <c r="K50" s="78" t="n">
        <f aca="false">K11/$Q11</f>
        <v>0.0894832246525022</v>
      </c>
      <c r="L50" s="78" t="n">
        <f aca="false">L11/$Q11</f>
        <v>0.0894832246525022</v>
      </c>
      <c r="M50" s="78" t="n">
        <f aca="false">M11/$Q11</f>
        <v>0.0841714991538135</v>
      </c>
      <c r="N50" s="78" t="n">
        <f aca="false">N11/$Q11</f>
        <v>0.0877126494862723</v>
      </c>
      <c r="O50" s="78" t="n">
        <f aca="false">O11/$Q11</f>
        <v>0.0894832246525022</v>
      </c>
      <c r="P50" s="78" t="n">
        <f aca="false">P11/$Q11</f>
        <v>0.0897378826888681</v>
      </c>
      <c r="Q50" s="79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78" t="n">
        <f aca="false">E12/$Q12</f>
        <v>0.0833333333333332</v>
      </c>
      <c r="F51" s="78" t="n">
        <f aca="false">F12/$Q12</f>
        <v>0.0793650793650795</v>
      </c>
      <c r="G51" s="78" t="n">
        <f aca="false">G12/$Q12</f>
        <v>0.0912698412698411</v>
      </c>
      <c r="H51" s="78" t="n">
        <f aca="false">H12/$Q12</f>
        <v>0.0674603174603174</v>
      </c>
      <c r="I51" s="78" t="n">
        <f aca="false">I12/$Q12</f>
        <v>0.0793650793650795</v>
      </c>
      <c r="J51" s="78" t="n">
        <f aca="false">J12/$Q12</f>
        <v>0.0873015873015874</v>
      </c>
      <c r="K51" s="78" t="n">
        <f aca="false">K12/$Q12</f>
        <v>0.0873015873015874</v>
      </c>
      <c r="L51" s="78" t="n">
        <f aca="false">L12/$Q12</f>
        <v>0.0873015873015874</v>
      </c>
      <c r="M51" s="78" t="n">
        <f aca="false">M12/$Q12</f>
        <v>0.0753968253968253</v>
      </c>
      <c r="N51" s="78" t="n">
        <f aca="false">N12/$Q12</f>
        <v>0.0833333333333332</v>
      </c>
      <c r="O51" s="78" t="n">
        <f aca="false">O12/$Q12</f>
        <v>0.0873015873015874</v>
      </c>
      <c r="P51" s="78" t="n">
        <f aca="false">P12/$Q12</f>
        <v>0.0912698412698411</v>
      </c>
      <c r="Q51" s="79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78" t="n">
        <f aca="false">E13/$Q13</f>
        <v>0.0633333333333333</v>
      </c>
      <c r="F52" s="78" t="n">
        <f aca="false">F13/$Q13</f>
        <v>0.0793650793650794</v>
      </c>
      <c r="G52" s="78" t="n">
        <f aca="false">G13/$Q13</f>
        <v>0.0912698412698413</v>
      </c>
      <c r="H52" s="78" t="n">
        <f aca="false">H13/$Q13</f>
        <v>0.0674603174603175</v>
      </c>
      <c r="I52" s="78" t="n">
        <f aca="false">I13/$Q13</f>
        <v>0.0793650793650794</v>
      </c>
      <c r="J52" s="78" t="n">
        <f aca="false">J13/$Q13</f>
        <v>0.0873015873015873</v>
      </c>
      <c r="K52" s="78" t="n">
        <f aca="false">K13/$Q13</f>
        <v>0.0873015873015873</v>
      </c>
      <c r="L52" s="78" t="n">
        <f aca="false">L13/$Q13</f>
        <v>0.0873015873015873</v>
      </c>
      <c r="M52" s="78" t="n">
        <f aca="false">M13/$Q13</f>
        <v>0.0853968253968254</v>
      </c>
      <c r="N52" s="78" t="n">
        <f aca="false">N13/$Q13</f>
        <v>0.0933333333333333</v>
      </c>
      <c r="O52" s="78" t="n">
        <f aca="false">O13/$Q13</f>
        <v>0.0873015873015873</v>
      </c>
      <c r="P52" s="78" t="n">
        <f aca="false">P13/$Q13</f>
        <v>0.0912698412698413</v>
      </c>
      <c r="Q52" s="79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78" t="e">
        <f aca="false">E15/$Q15</f>
        <v>#DIV/0!</v>
      </c>
      <c r="F53" s="78" t="e">
        <f aca="false">F15/$Q15</f>
        <v>#DIV/0!</v>
      </c>
      <c r="G53" s="78" t="e">
        <f aca="false">G15/$Q15</f>
        <v>#DIV/0!</v>
      </c>
      <c r="H53" s="78" t="e">
        <f aca="false">H15/$Q15</f>
        <v>#DIV/0!</v>
      </c>
      <c r="I53" s="78" t="e">
        <f aca="false">I15/$Q15</f>
        <v>#DIV/0!</v>
      </c>
      <c r="J53" s="78" t="e">
        <f aca="false">J15/$Q15</f>
        <v>#DIV/0!</v>
      </c>
      <c r="K53" s="78" t="e">
        <f aca="false">K15/$Q15</f>
        <v>#DIV/0!</v>
      </c>
      <c r="L53" s="78" t="e">
        <f aca="false">L15/$Q15</f>
        <v>#DIV/0!</v>
      </c>
      <c r="M53" s="78" t="e">
        <f aca="false">M15/$Q15</f>
        <v>#DIV/0!</v>
      </c>
      <c r="N53" s="78" t="e">
        <f aca="false">N15/$Q15</f>
        <v>#DIV/0!</v>
      </c>
      <c r="O53" s="78" t="e">
        <f aca="false">O15/$Q15</f>
        <v>#DIV/0!</v>
      </c>
      <c r="P53" s="78" t="e">
        <f aca="false">P15/$Q15</f>
        <v>#DIV/0!</v>
      </c>
      <c r="Q53" s="79" t="e">
        <f aca="false">SUM(E53:P53)</f>
        <v>#DIV/0!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78" t="n">
        <f aca="false">E17/$Q17</f>
        <v>0.0833333333333333</v>
      </c>
      <c r="F54" s="78" t="n">
        <f aca="false">F17/$Q17</f>
        <v>0.0793650793650793</v>
      </c>
      <c r="G54" s="78" t="n">
        <f aca="false">G17/$Q17</f>
        <v>0.0912698412698413</v>
      </c>
      <c r="H54" s="78" t="n">
        <f aca="false">H17/$Q17</f>
        <v>0.0674603174603174</v>
      </c>
      <c r="I54" s="78" t="n">
        <f aca="false">I17/$Q17</f>
        <v>0.0793650793650793</v>
      </c>
      <c r="J54" s="78" t="n">
        <f aca="false">J17/$Q17</f>
        <v>0.0873015873015873</v>
      </c>
      <c r="K54" s="78" t="n">
        <f aca="false">K17/$Q17</f>
        <v>0.0873015873015873</v>
      </c>
      <c r="L54" s="78" t="n">
        <f aca="false">L17/$Q17</f>
        <v>0.0873015873015873</v>
      </c>
      <c r="M54" s="78" t="n">
        <f aca="false">M17/$Q17</f>
        <v>0.0753968253968253</v>
      </c>
      <c r="N54" s="78" t="n">
        <f aca="false">N17/$Q17</f>
        <v>0.0833333333333333</v>
      </c>
      <c r="O54" s="78" t="n">
        <f aca="false">O17/$Q17</f>
        <v>0.0873015873015873</v>
      </c>
      <c r="P54" s="78" t="n">
        <f aca="false">P17/$Q17</f>
        <v>0.0912698412698413</v>
      </c>
      <c r="Q54" s="79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78" t="n">
        <f aca="false">E18/$Q18</f>
        <v>0.0274927629229143</v>
      </c>
      <c r="F55" s="78" t="n">
        <f aca="false">F18/$Q18</f>
        <v>0.0412391443843716</v>
      </c>
      <c r="G55" s="78" t="n">
        <f aca="false">G18/$Q18</f>
        <v>0.0453630588228087</v>
      </c>
      <c r="H55" s="78" t="n">
        <f aca="false">H18/$Q18</f>
        <v>0.0420442895842569</v>
      </c>
      <c r="I55" s="78" t="n">
        <f aca="false">I18/$Q18</f>
        <v>0.0548893011755986</v>
      </c>
      <c r="J55" s="78" t="n">
        <f aca="false">J18/$Q18</f>
        <v>0.0823339910387734</v>
      </c>
      <c r="K55" s="78" t="n">
        <f aca="false">K18/$Q18</f>
        <v>0.0905673665774254</v>
      </c>
      <c r="L55" s="78" t="n">
        <f aca="false">L18/$Q18</f>
        <v>0.107479186211076</v>
      </c>
      <c r="M55" s="78" t="n">
        <f aca="false">M18/$Q18</f>
        <v>0.0938763169720762</v>
      </c>
      <c r="N55" s="78" t="n">
        <f aca="false">N18/$Q18</f>
        <v>0.120545161065567</v>
      </c>
      <c r="O55" s="78" t="n">
        <f aca="false">O18/$Q18</f>
        <v>0.156164863259246</v>
      </c>
      <c r="P55" s="78" t="n">
        <f aca="false">P18/$Q18</f>
        <v>0.13800455798589</v>
      </c>
      <c r="Q55" s="79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78" t="n">
        <f aca="false">E19/$Q19</f>
        <v>0.0833333333333332</v>
      </c>
      <c r="F56" s="78" t="n">
        <f aca="false">F19/$Q19</f>
        <v>0.0833333333333332</v>
      </c>
      <c r="G56" s="78" t="n">
        <f aca="false">G19/$Q19</f>
        <v>0.0833333333333332</v>
      </c>
      <c r="H56" s="78" t="n">
        <f aca="false">H19/$Q19</f>
        <v>0.0833333333333332</v>
      </c>
      <c r="I56" s="78" t="n">
        <f aca="false">I19/$Q19</f>
        <v>0.0833333333333332</v>
      </c>
      <c r="J56" s="78" t="n">
        <f aca="false">J19/$Q19</f>
        <v>0.0833333333333332</v>
      </c>
      <c r="K56" s="78" t="n">
        <f aca="false">K19/$Q19</f>
        <v>0.0833333333333332</v>
      </c>
      <c r="L56" s="78" t="n">
        <f aca="false">L19/$Q19</f>
        <v>0.0833333333333332</v>
      </c>
      <c r="M56" s="78" t="n">
        <f aca="false">M19/$Q19</f>
        <v>0.0833333333333332</v>
      </c>
      <c r="N56" s="78" t="n">
        <f aca="false">N19/$Q19</f>
        <v>0.0833333333333332</v>
      </c>
      <c r="O56" s="78" t="n">
        <f aca="false">O19/$Q19</f>
        <v>0.0833333333333332</v>
      </c>
      <c r="P56" s="78" t="n">
        <f aca="false">P19/$Q19</f>
        <v>0.0833333333333332</v>
      </c>
      <c r="Q56" s="79" t="n">
        <f aca="false">SUM(E56:P56)</f>
        <v>0.999999999999999</v>
      </c>
    </row>
    <row r="57" customFormat="false" ht="14.25" hidden="false" customHeight="true" outlineLevel="0" collapsed="false">
      <c r="B57" s="80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1" t="s">
        <v>48</v>
      </c>
      <c r="C58" s="81"/>
      <c r="D58" s="81"/>
      <c r="E58" s="82" t="n">
        <f aca="false">E21/$Q$21</f>
        <v>0.0588861246465973</v>
      </c>
      <c r="F58" s="82" t="n">
        <f aca="false">F21/$Q$21</f>
        <v>0.0650632449081674</v>
      </c>
      <c r="G58" s="82" t="n">
        <f aca="false">G21/$Q$21</f>
        <v>0.0709884693160812</v>
      </c>
      <c r="H58" s="82" t="n">
        <f aca="false">H21/$Q$21</f>
        <v>0.0634825056416419</v>
      </c>
      <c r="I58" s="82" t="n">
        <f aca="false">I21/$Q$21</f>
        <v>0.0730183021349103</v>
      </c>
      <c r="J58" s="82" t="n">
        <f aca="false">J21/$Q$21</f>
        <v>0.0865604040082442</v>
      </c>
      <c r="K58" s="82" t="n">
        <f aca="false">K21/$Q$21</f>
        <v>0.0893838883496365</v>
      </c>
      <c r="L58" s="82" t="n">
        <f aca="false">L21/$Q$21</f>
        <v>0.0951834850880457</v>
      </c>
      <c r="M58" s="82" t="n">
        <f aca="false">M21/$Q$21</f>
        <v>0.0853719021434037</v>
      </c>
      <c r="N58" s="82" t="n">
        <f aca="false">N21/$Q$21</f>
        <v>0.0968679099078312</v>
      </c>
      <c r="O58" s="82" t="n">
        <f aca="false">O21/$Q$21</f>
        <v>0.111291294087989</v>
      </c>
      <c r="P58" s="82" t="n">
        <f aca="false">P21/$Q$21</f>
        <v>0.103902469767453</v>
      </c>
      <c r="Q58" s="82" t="n">
        <f aca="false">SUM(E58:P58)</f>
        <v>1</v>
      </c>
    </row>
    <row r="59" s="5" customFormat="true" ht="14.25" hidden="false" customHeight="true" outlineLevel="0" collapsed="false">
      <c r="B59" s="83" t="s">
        <v>49</v>
      </c>
      <c r="C59" s="57" t="s">
        <v>50</v>
      </c>
      <c r="D59" s="59" t="s">
        <v>51</v>
      </c>
      <c r="E59" s="78" t="n">
        <f aca="false">E22/$Q22</f>
        <v>0.0570021117570476</v>
      </c>
      <c r="F59" s="78" t="n">
        <f aca="false">F22/$Q22</f>
        <v>0.0653835938232768</v>
      </c>
      <c r="G59" s="78" t="n">
        <f aca="false">G22/$Q22</f>
        <v>0.0696784078748597</v>
      </c>
      <c r="H59" s="78" t="n">
        <f aca="false">H22/$Q22</f>
        <v>0.0768617378977106</v>
      </c>
      <c r="I59" s="78" t="n">
        <f aca="false">I22/$Q22</f>
        <v>0.0834250708146909</v>
      </c>
      <c r="J59" s="78" t="n">
        <f aca="false">J22/$Q22</f>
        <v>0.0897009599568587</v>
      </c>
      <c r="K59" s="78" t="n">
        <f aca="false">K22/$Q22</f>
        <v>0.0965571556678041</v>
      </c>
      <c r="L59" s="78" t="n">
        <f aca="false">L22/$Q22</f>
        <v>0.100867568722248</v>
      </c>
      <c r="M59" s="78" t="n">
        <f aca="false">M22/$Q22</f>
        <v>0.0999450513098732</v>
      </c>
      <c r="N59" s="78" t="n">
        <f aca="false">N22/$Q22</f>
        <v>0.0929442364428523</v>
      </c>
      <c r="O59" s="78" t="n">
        <f aca="false">O22/$Q22</f>
        <v>0.0834406909754757</v>
      </c>
      <c r="P59" s="78" t="n">
        <f aca="false">P22/$Q22</f>
        <v>0.084193414757302</v>
      </c>
      <c r="Q59" s="79" t="n">
        <f aca="false">SUM(E59:P59)</f>
        <v>1</v>
      </c>
    </row>
    <row r="60" customFormat="false" ht="14.25" hidden="false" customHeight="true" outlineLevel="0" collapsed="false">
      <c r="B60" s="84" t="s">
        <v>52</v>
      </c>
      <c r="C60" s="65" t="s">
        <v>53</v>
      </c>
      <c r="D60" s="26" t="s">
        <v>54</v>
      </c>
      <c r="E60" s="78" t="n">
        <f aca="false">E23/$Q23</f>
        <v>0</v>
      </c>
      <c r="F60" s="78" t="n">
        <f aca="false">F23/$Q23</f>
        <v>0.24</v>
      </c>
      <c r="G60" s="78" t="n">
        <f aca="false">G23/$Q23</f>
        <v>0</v>
      </c>
      <c r="H60" s="78" t="n">
        <f aca="false">H23/$Q23</f>
        <v>0</v>
      </c>
      <c r="I60" s="78" t="n">
        <f aca="false">I23/$Q23</f>
        <v>0.24</v>
      </c>
      <c r="J60" s="78" t="n">
        <f aca="false">J23/$Q23</f>
        <v>0</v>
      </c>
      <c r="K60" s="78" t="n">
        <f aca="false">K23/$Q23</f>
        <v>0.21</v>
      </c>
      <c r="L60" s="78" t="n">
        <f aca="false">L23/$Q23</f>
        <v>0</v>
      </c>
      <c r="M60" s="78" t="n">
        <f aca="false">M23/$Q23</f>
        <v>0</v>
      </c>
      <c r="N60" s="78" t="n">
        <f aca="false">N23/$Q23</f>
        <v>0.16</v>
      </c>
      <c r="O60" s="78" t="n">
        <f aca="false">O23/$Q23</f>
        <v>0</v>
      </c>
      <c r="P60" s="78" t="n">
        <f aca="false">P23/$Q23</f>
        <v>0.15</v>
      </c>
      <c r="Q60" s="79" t="n">
        <f aca="false">SUM(E60:P60)</f>
        <v>1</v>
      </c>
    </row>
    <row r="61" customFormat="false" ht="14.25" hidden="false" customHeight="true" outlineLevel="0" collapsed="false">
      <c r="B61" s="84" t="s">
        <v>55</v>
      </c>
      <c r="C61" s="65" t="s">
        <v>56</v>
      </c>
      <c r="D61" s="26" t="s">
        <v>57</v>
      </c>
      <c r="E61" s="78" t="n">
        <f aca="false">E24/$Q24</f>
        <v>0.192146643262164</v>
      </c>
      <c r="F61" s="78" t="n">
        <f aca="false">F24/$Q24</f>
        <v>0.0180229155904812</v>
      </c>
      <c r="G61" s="78" t="n">
        <f aca="false">G24/$Q24</f>
        <v>0.0230769134911282</v>
      </c>
      <c r="H61" s="78" t="n">
        <f aca="false">H24/$Q24</f>
        <v>0.153846089940855</v>
      </c>
      <c r="I61" s="78" t="n">
        <f aca="false">I24/$Q24</f>
        <v>0.0230769134911282</v>
      </c>
      <c r="J61" s="78" t="n">
        <f aca="false">J24/$Q24</f>
        <v>0.0538461314792992</v>
      </c>
      <c r="K61" s="78" t="n">
        <f aca="false">K24/$Q24</f>
        <v>0.0205999914430805</v>
      </c>
      <c r="L61" s="78" t="n">
        <f aca="false">L24/$Q24</f>
        <v>0.184615307929026</v>
      </c>
      <c r="M61" s="78" t="n">
        <f aca="false">M24/$Q24</f>
        <v>0.0230769134911282</v>
      </c>
      <c r="N61" s="78" t="n">
        <f aca="false">N24/$Q24</f>
        <v>0</v>
      </c>
      <c r="O61" s="78" t="n">
        <f aca="false">O24/$Q24</f>
        <v>0.30769217988171</v>
      </c>
      <c r="P61" s="78" t="n">
        <f aca="false">P24/$Q24</f>
        <v>0</v>
      </c>
      <c r="Q61" s="79" t="n">
        <f aca="false">SUM(E61:P61)</f>
        <v>1</v>
      </c>
    </row>
    <row r="62" customFormat="false" ht="14.25" hidden="false" customHeight="true" outlineLevel="0" collapsed="false">
      <c r="B62" s="84" t="s">
        <v>58</v>
      </c>
      <c r="C62" s="65" t="s">
        <v>59</v>
      </c>
      <c r="D62" s="26" t="s">
        <v>60</v>
      </c>
      <c r="E62" s="78" t="n">
        <f aca="false">E25/$Q25</f>
        <v>0.134317948059077</v>
      </c>
      <c r="F62" s="78" t="n">
        <f aca="false">F25/$Q25</f>
        <v>0</v>
      </c>
      <c r="G62" s="78" t="n">
        <f aca="false">G25/$Q25</f>
        <v>0.190000011400001</v>
      </c>
      <c r="H62" s="78" t="n">
        <f aca="false">H25/$Q25</f>
        <v>0</v>
      </c>
      <c r="I62" s="78" t="n">
        <f aca="false">I25/$Q25</f>
        <v>0.170000010200001</v>
      </c>
      <c r="J62" s="78" t="n">
        <f aca="false">J25/$Q25</f>
        <v>0</v>
      </c>
      <c r="K62" s="78" t="n">
        <f aca="false">K25/$Q25</f>
        <v>0.170000010200001</v>
      </c>
      <c r="L62" s="78" t="n">
        <f aca="false">L25/$Q25</f>
        <v>0</v>
      </c>
      <c r="M62" s="78" t="n">
        <f aca="false">M25/$Q25</f>
        <v>0.170000010200001</v>
      </c>
      <c r="N62" s="78" t="n">
        <f aca="false">N25/$Q25</f>
        <v>0</v>
      </c>
      <c r="O62" s="78" t="n">
        <f aca="false">O25/$Q25</f>
        <v>0.165682009940921</v>
      </c>
      <c r="P62" s="78" t="n">
        <f aca="false">P25/$Q25</f>
        <v>0</v>
      </c>
      <c r="Q62" s="79" t="n">
        <f aca="false">SUM(E62:P62)</f>
        <v>1</v>
      </c>
    </row>
    <row r="63" customFormat="false" ht="14.25" hidden="false" customHeight="true" outlineLevel="0" collapsed="false">
      <c r="B63" s="84" t="s">
        <v>61</v>
      </c>
      <c r="C63" s="65" t="s">
        <v>62</v>
      </c>
      <c r="D63" s="26" t="s">
        <v>63</v>
      </c>
      <c r="E63" s="78" t="n">
        <f aca="false">E26/$Q26</f>
        <v>0.112678064387465</v>
      </c>
      <c r="F63" s="78" t="n">
        <f aca="false">F26/$Q26</f>
        <v>0</v>
      </c>
      <c r="G63" s="78" t="n">
        <f aca="false">G26/$Q26</f>
        <v>0.121428640816366</v>
      </c>
      <c r="H63" s="78" t="n">
        <f aca="false">H26/$Q26</f>
        <v>0.0714286122449213</v>
      </c>
      <c r="I63" s="78" t="n">
        <f aca="false">I26/$Q26</f>
        <v>0.121428640816366</v>
      </c>
      <c r="J63" s="78" t="n">
        <f aca="false">J26/$Q26</f>
        <v>0.0714286122449213</v>
      </c>
      <c r="K63" s="78" t="n">
        <f aca="false">K26/$Q26</f>
        <v>0.121428640816366</v>
      </c>
      <c r="L63" s="78" t="n">
        <f aca="false">L26/$Q26</f>
        <v>0.0714286122449213</v>
      </c>
      <c r="M63" s="78" t="n">
        <f aca="false">M26/$Q26</f>
        <v>0.121428640816366</v>
      </c>
      <c r="N63" s="78" t="n">
        <f aca="false">N26/$Q26</f>
        <v>0.0658928947959399</v>
      </c>
      <c r="O63" s="78" t="n">
        <f aca="false">O26/$Q26</f>
        <v>0.121428640816366</v>
      </c>
      <c r="P63" s="78" t="n">
        <f aca="false">P26/$Q26</f>
        <v>0</v>
      </c>
      <c r="Q63" s="79" t="n">
        <f aca="false">SUM(E63:P63)</f>
        <v>1</v>
      </c>
    </row>
    <row r="64" customFormat="false" ht="14.25" hidden="false" customHeight="true" outlineLevel="0" collapsed="false">
      <c r="B64" s="84" t="s">
        <v>64</v>
      </c>
      <c r="C64" s="65" t="s">
        <v>65</v>
      </c>
      <c r="D64" s="26" t="s">
        <v>66</v>
      </c>
      <c r="E64" s="78" t="n">
        <f aca="false">E27/$Q27</f>
        <v>0</v>
      </c>
      <c r="F64" s="78" t="n">
        <f aca="false">F27/$Q27</f>
        <v>0</v>
      </c>
      <c r="G64" s="78" t="n">
        <f aca="false">G27/$Q27</f>
        <v>0.1</v>
      </c>
      <c r="H64" s="78" t="n">
        <f aca="false">H27/$Q27</f>
        <v>0.1</v>
      </c>
      <c r="I64" s="78" t="n">
        <f aca="false">I27/$Q27</f>
        <v>0.1</v>
      </c>
      <c r="J64" s="78" t="n">
        <f aca="false">J27/$Q27</f>
        <v>0.1</v>
      </c>
      <c r="K64" s="78" t="n">
        <f aca="false">K27/$Q27</f>
        <v>0.1</v>
      </c>
      <c r="L64" s="78" t="n">
        <f aca="false">L27/$Q27</f>
        <v>0.1</v>
      </c>
      <c r="M64" s="78" t="n">
        <f aca="false">M27/$Q27</f>
        <v>0.1</v>
      </c>
      <c r="N64" s="78" t="n">
        <f aca="false">N27/$Q27</f>
        <v>0.1</v>
      </c>
      <c r="O64" s="78" t="n">
        <f aca="false">O27/$Q27</f>
        <v>0.1</v>
      </c>
      <c r="P64" s="78" t="n">
        <f aca="false">P27/$Q27</f>
        <v>0.1</v>
      </c>
      <c r="Q64" s="79" t="n">
        <f aca="false">SUM(E64:P64)</f>
        <v>1</v>
      </c>
    </row>
    <row r="65" customFormat="false" ht="14.25" hidden="false" customHeight="true" outlineLevel="0" collapsed="false">
      <c r="B65" s="84" t="s">
        <v>67</v>
      </c>
      <c r="C65" s="65" t="s">
        <v>68</v>
      </c>
      <c r="D65" s="26" t="s">
        <v>69</v>
      </c>
      <c r="E65" s="78" t="n">
        <f aca="false">E28/$Q28</f>
        <v>0</v>
      </c>
      <c r="F65" s="78" t="n">
        <f aca="false">F28/$Q28</f>
        <v>0</v>
      </c>
      <c r="G65" s="78" t="n">
        <f aca="false">G28/$Q28</f>
        <v>0</v>
      </c>
      <c r="H65" s="78" t="n">
        <f aca="false">H28/$Q28</f>
        <v>0.333333333333333</v>
      </c>
      <c r="I65" s="78" t="n">
        <f aca="false">I28/$Q28</f>
        <v>0</v>
      </c>
      <c r="J65" s="78" t="n">
        <f aca="false">J28/$Q28</f>
        <v>0</v>
      </c>
      <c r="K65" s="78" t="n">
        <f aca="false">K28/$Q28</f>
        <v>0.333333333333333</v>
      </c>
      <c r="L65" s="78" t="n">
        <f aca="false">L28/$Q28</f>
        <v>0</v>
      </c>
      <c r="M65" s="78" t="n">
        <f aca="false">M28/$Q28</f>
        <v>0</v>
      </c>
      <c r="N65" s="78" t="n">
        <f aca="false">N28/$Q28</f>
        <v>0</v>
      </c>
      <c r="O65" s="78" t="n">
        <f aca="false">O28/$Q28</f>
        <v>0.333333333333333</v>
      </c>
      <c r="P65" s="78" t="n">
        <f aca="false">P28/$Q28</f>
        <v>0</v>
      </c>
      <c r="Q65" s="79" t="n">
        <f aca="false">SUM(E65:P65)</f>
        <v>1</v>
      </c>
    </row>
    <row r="66" customFormat="false" ht="14.25" hidden="false" customHeight="true" outlineLevel="0" collapsed="false">
      <c r="B66" s="84" t="s">
        <v>70</v>
      </c>
      <c r="C66" s="65" t="s">
        <v>71</v>
      </c>
      <c r="D66" s="26" t="s">
        <v>72</v>
      </c>
      <c r="E66" s="78" t="n">
        <f aca="false">E29/$Q29</f>
        <v>0</v>
      </c>
      <c r="F66" s="78" t="n">
        <f aca="false">F29/$Q29</f>
        <v>0.2</v>
      </c>
      <c r="G66" s="78" t="n">
        <f aca="false">G29/$Q29</f>
        <v>0</v>
      </c>
      <c r="H66" s="78" t="n">
        <f aca="false">H29/$Q29</f>
        <v>0.2</v>
      </c>
      <c r="I66" s="78" t="n">
        <f aca="false">I29/$Q29</f>
        <v>0</v>
      </c>
      <c r="J66" s="78" t="n">
        <f aca="false">J29/$Q29</f>
        <v>0.2</v>
      </c>
      <c r="K66" s="78" t="n">
        <f aca="false">K29/$Q29</f>
        <v>0</v>
      </c>
      <c r="L66" s="78" t="n">
        <f aca="false">L29/$Q29</f>
        <v>0.2</v>
      </c>
      <c r="M66" s="78" t="n">
        <f aca="false">M29/$Q29</f>
        <v>0</v>
      </c>
      <c r="N66" s="78" t="n">
        <f aca="false">N29/$Q29</f>
        <v>0</v>
      </c>
      <c r="O66" s="78" t="n">
        <f aca="false">O29/$Q29</f>
        <v>0.2</v>
      </c>
      <c r="P66" s="78" t="n">
        <f aca="false">P29/$Q29</f>
        <v>0</v>
      </c>
      <c r="Q66" s="79" t="n">
        <f aca="false">SUM(E66:P66)</f>
        <v>1</v>
      </c>
    </row>
    <row r="67" customFormat="false" ht="14.25" hidden="false" customHeight="true" outlineLevel="0" collapsed="false">
      <c r="B67" s="84" t="s">
        <v>73</v>
      </c>
      <c r="C67" s="65" t="s">
        <v>74</v>
      </c>
      <c r="D67" s="26" t="s">
        <v>75</v>
      </c>
      <c r="E67" s="78" t="n">
        <f aca="false">E30/$Q30</f>
        <v>0</v>
      </c>
      <c r="F67" s="78" t="n">
        <f aca="false">F30/$Q30</f>
        <v>0</v>
      </c>
      <c r="G67" s="78" t="n">
        <f aca="false">G30/$Q30</f>
        <v>0</v>
      </c>
      <c r="H67" s="78" t="n">
        <f aca="false">H30/$Q30</f>
        <v>0</v>
      </c>
      <c r="I67" s="78" t="n">
        <f aca="false">I30/$Q30</f>
        <v>0</v>
      </c>
      <c r="J67" s="78" t="n">
        <f aca="false">J30/$Q30</f>
        <v>0</v>
      </c>
      <c r="K67" s="78" t="n">
        <f aca="false">K30/$Q30</f>
        <v>0</v>
      </c>
      <c r="L67" s="78" t="n">
        <f aca="false">L30/$Q30</f>
        <v>1</v>
      </c>
      <c r="M67" s="78" t="n">
        <f aca="false">M30/$Q30</f>
        <v>0</v>
      </c>
      <c r="N67" s="78" t="n">
        <f aca="false">N30/$Q30</f>
        <v>0</v>
      </c>
      <c r="O67" s="78" t="n">
        <f aca="false">O30/$Q30</f>
        <v>0</v>
      </c>
      <c r="P67" s="78" t="n">
        <f aca="false">P30/$Q30</f>
        <v>0</v>
      </c>
      <c r="Q67" s="79" t="n">
        <f aca="false">SUM(E67:P67)</f>
        <v>1</v>
      </c>
    </row>
    <row r="68" customFormat="false" ht="14.25" hidden="false" customHeight="true" outlineLevel="0" collapsed="false">
      <c r="B68" s="84" t="s">
        <v>76</v>
      </c>
      <c r="C68" s="65" t="s">
        <v>77</v>
      </c>
      <c r="D68" s="26" t="s">
        <v>78</v>
      </c>
      <c r="E68" s="78" t="n">
        <f aca="false">E31/$Q31</f>
        <v>0.0609549777777778</v>
      </c>
      <c r="F68" s="78" t="n">
        <f aca="false">F31/$Q31</f>
        <v>0.0553766666666667</v>
      </c>
      <c r="G68" s="78" t="n">
        <f aca="false">G31/$Q31</f>
        <v>0.0883668355555556</v>
      </c>
      <c r="H68" s="78" t="n">
        <f aca="false">H31/$Q31</f>
        <v>0.0883668355555556</v>
      </c>
      <c r="I68" s="78" t="n">
        <f aca="false">I31/$Q31</f>
        <v>0.0883668355555556</v>
      </c>
      <c r="J68" s="78" t="n">
        <f aca="false">J31/$Q31</f>
        <v>0.0883668355555556</v>
      </c>
      <c r="K68" s="78" t="n">
        <f aca="false">K31/$Q31</f>
        <v>0.0883668355555556</v>
      </c>
      <c r="L68" s="78" t="n">
        <f aca="false">L31/$Q31</f>
        <v>0.0883668355555556</v>
      </c>
      <c r="M68" s="78" t="n">
        <f aca="false">M31/$Q31</f>
        <v>0.0883668355555556</v>
      </c>
      <c r="N68" s="78" t="n">
        <f aca="false">N31/$Q31</f>
        <v>0.0883668355555556</v>
      </c>
      <c r="O68" s="78" t="n">
        <f aca="false">O31/$Q31</f>
        <v>0.0883668355555556</v>
      </c>
      <c r="P68" s="78" t="n">
        <f aca="false">P31/$Q31</f>
        <v>0.0883668355555556</v>
      </c>
      <c r="Q68" s="79" t="n">
        <f aca="false">SUM(E68:P68)</f>
        <v>1</v>
      </c>
    </row>
    <row r="69" customFormat="false" ht="14.25" hidden="false" customHeight="true" outlineLevel="0" collapsed="false">
      <c r="B69" s="84" t="s">
        <v>79</v>
      </c>
      <c r="C69" s="65" t="s">
        <v>80</v>
      </c>
      <c r="D69" s="26" t="s">
        <v>81</v>
      </c>
      <c r="E69" s="78" t="n">
        <f aca="false">E32/$Q32</f>
        <v>0</v>
      </c>
      <c r="F69" s="78" t="n">
        <f aca="false">F32/$Q32</f>
        <v>0</v>
      </c>
      <c r="G69" s="78" t="n">
        <f aca="false">G32/$Q32</f>
        <v>0</v>
      </c>
      <c r="H69" s="78" t="n">
        <f aca="false">H32/$Q32</f>
        <v>0.5</v>
      </c>
      <c r="I69" s="78" t="n">
        <f aca="false">I32/$Q32</f>
        <v>0</v>
      </c>
      <c r="J69" s="78" t="n">
        <f aca="false">J32/$Q32</f>
        <v>0</v>
      </c>
      <c r="K69" s="78" t="n">
        <f aca="false">K32/$Q32</f>
        <v>0</v>
      </c>
      <c r="L69" s="78" t="n">
        <f aca="false">L32/$Q32</f>
        <v>0</v>
      </c>
      <c r="M69" s="78" t="n">
        <f aca="false">M32/$Q32</f>
        <v>0</v>
      </c>
      <c r="N69" s="78" t="n">
        <f aca="false">N32/$Q32</f>
        <v>0.5</v>
      </c>
      <c r="O69" s="78" t="n">
        <f aca="false">O32/$Q32</f>
        <v>0</v>
      </c>
      <c r="P69" s="78" t="n">
        <f aca="false">P32/$Q32</f>
        <v>0</v>
      </c>
      <c r="Q69" s="79" t="n">
        <f aca="false">SUM(E69:P69)</f>
        <v>1</v>
      </c>
    </row>
    <row r="70" customFormat="false" ht="14.25" hidden="false" customHeight="true" outlineLevel="0" collapsed="false">
      <c r="B70" s="84" t="s">
        <v>82</v>
      </c>
      <c r="C70" s="65" t="s">
        <v>83</v>
      </c>
      <c r="D70" s="26" t="s">
        <v>81</v>
      </c>
      <c r="E70" s="78" t="n">
        <f aca="false">E33/$Q33</f>
        <v>0</v>
      </c>
      <c r="F70" s="78" t="n">
        <f aca="false">F33/$Q33</f>
        <v>0</v>
      </c>
      <c r="G70" s="78" t="n">
        <f aca="false">G33/$Q33</f>
        <v>0.334487314568595</v>
      </c>
      <c r="H70" s="78" t="n">
        <f aca="false">H33/$Q33</f>
        <v>0</v>
      </c>
      <c r="I70" s="78" t="n">
        <f aca="false">I33/$Q33</f>
        <v>0</v>
      </c>
      <c r="J70" s="78" t="n">
        <f aca="false">J33/$Q33</f>
        <v>0</v>
      </c>
      <c r="K70" s="78" t="n">
        <f aca="false">K33/$Q33</f>
        <v>0.334487314568595</v>
      </c>
      <c r="L70" s="78" t="n">
        <f aca="false">L33/$Q33</f>
        <v>0</v>
      </c>
      <c r="M70" s="78" t="n">
        <f aca="false">M33/$Q33</f>
        <v>0</v>
      </c>
      <c r="N70" s="78" t="n">
        <f aca="false">N33/$Q33</f>
        <v>0</v>
      </c>
      <c r="O70" s="78" t="n">
        <f aca="false">O33/$Q33</f>
        <v>0.33102537086281</v>
      </c>
      <c r="P70" s="78" t="n">
        <f aca="false">P33/$Q33</f>
        <v>0</v>
      </c>
      <c r="Q70" s="79" t="n">
        <f aca="false">SUM(E70:P70)</f>
        <v>1</v>
      </c>
    </row>
    <row r="71" customFormat="false" ht="14.25" hidden="false" customHeight="true" outlineLevel="0" collapsed="false">
      <c r="B71" s="85" t="s">
        <v>84</v>
      </c>
      <c r="C71" s="65" t="s">
        <v>85</v>
      </c>
      <c r="D71" s="26" t="s">
        <v>86</v>
      </c>
      <c r="E71" s="78" t="n">
        <f aca="false">E34/$Q34</f>
        <v>0</v>
      </c>
      <c r="F71" s="78" t="n">
        <f aca="false">F34/$Q34</f>
        <v>0</v>
      </c>
      <c r="G71" s="78" t="n">
        <f aca="false">G34/$Q34</f>
        <v>0.211764705882353</v>
      </c>
      <c r="H71" s="78" t="n">
        <f aca="false">H34/$Q34</f>
        <v>0</v>
      </c>
      <c r="I71" s="78" t="n">
        <f aca="false">I34/$Q34</f>
        <v>0</v>
      </c>
      <c r="J71" s="78" t="n">
        <f aca="false">J34/$Q34</f>
        <v>0</v>
      </c>
      <c r="K71" s="78" t="n">
        <f aca="false">K34/$Q34</f>
        <v>0.211764705882353</v>
      </c>
      <c r="L71" s="78" t="n">
        <f aca="false">L34/$Q34</f>
        <v>0</v>
      </c>
      <c r="M71" s="78" t="n">
        <f aca="false">M34/$Q34</f>
        <v>0.576470588235294</v>
      </c>
      <c r="N71" s="78" t="n">
        <f aca="false">N34/$Q34</f>
        <v>0</v>
      </c>
      <c r="O71" s="78" t="n">
        <f aca="false">O34/$Q34</f>
        <v>0</v>
      </c>
      <c r="P71" s="78" t="n">
        <f aca="false">P34/$Q34</f>
        <v>0</v>
      </c>
      <c r="Q71" s="79" t="n">
        <f aca="false">SUM(E71:P71)</f>
        <v>1</v>
      </c>
    </row>
    <row r="72" customFormat="false" ht="14.25" hidden="false" customHeight="true" outlineLevel="0" collapsed="false">
      <c r="B72" s="84" t="s">
        <v>87</v>
      </c>
      <c r="C72" s="65" t="s">
        <v>88</v>
      </c>
      <c r="D72" s="26" t="s">
        <v>89</v>
      </c>
      <c r="E72" s="78" t="n">
        <f aca="false">E35/$Q35</f>
        <v>0.4698165</v>
      </c>
      <c r="F72" s="78" t="n">
        <f aca="false">F35/$Q35</f>
        <v>0</v>
      </c>
      <c r="G72" s="78" t="n">
        <f aca="false">G35/$Q35</f>
        <v>0</v>
      </c>
      <c r="H72" s="78" t="n">
        <f aca="false">H35/$Q35</f>
        <v>0</v>
      </c>
      <c r="I72" s="78" t="n">
        <f aca="false">I35/$Q35</f>
        <v>0.5301835</v>
      </c>
      <c r="J72" s="78" t="n">
        <f aca="false">J35/$Q35</f>
        <v>0</v>
      </c>
      <c r="K72" s="78" t="n">
        <f aca="false">K35/$Q35</f>
        <v>0</v>
      </c>
      <c r="L72" s="78" t="n">
        <f aca="false">L35/$Q35</f>
        <v>0</v>
      </c>
      <c r="M72" s="78" t="n">
        <f aca="false">M35/$Q35</f>
        <v>0</v>
      </c>
      <c r="N72" s="78" t="n">
        <f aca="false">N35/$Q35</f>
        <v>0</v>
      </c>
      <c r="O72" s="78" t="n">
        <f aca="false">O35/$Q35</f>
        <v>0</v>
      </c>
      <c r="P72" s="78" t="n">
        <f aca="false">P35/$Q35</f>
        <v>0</v>
      </c>
      <c r="Q72" s="79" t="n">
        <f aca="false">SUM(E72:P72)</f>
        <v>1</v>
      </c>
    </row>
    <row r="73" customFormat="false" ht="14.25" hidden="false" customHeight="true" outlineLevel="0" collapsed="false">
      <c r="B73" s="84" t="s">
        <v>90</v>
      </c>
      <c r="C73" s="65" t="s">
        <v>91</v>
      </c>
      <c r="D73" s="26" t="s">
        <v>92</v>
      </c>
      <c r="E73" s="78" t="n">
        <f aca="false">E36/$Q36</f>
        <v>0</v>
      </c>
      <c r="F73" s="78" t="n">
        <f aca="false">F36/$Q36</f>
        <v>0</v>
      </c>
      <c r="G73" s="78" t="n">
        <f aca="false">G36/$Q36</f>
        <v>0</v>
      </c>
      <c r="H73" s="78" t="n">
        <f aca="false">H36/$Q36</f>
        <v>0</v>
      </c>
      <c r="I73" s="78" t="n">
        <f aca="false">I36/$Q36</f>
        <v>0.5</v>
      </c>
      <c r="J73" s="78" t="n">
        <f aca="false">J36/$Q36</f>
        <v>0</v>
      </c>
      <c r="K73" s="78" t="n">
        <f aca="false">K36/$Q36</f>
        <v>0</v>
      </c>
      <c r="L73" s="78" t="n">
        <f aca="false">L36/$Q36</f>
        <v>0</v>
      </c>
      <c r="M73" s="78" t="n">
        <f aca="false">M36/$Q36</f>
        <v>0</v>
      </c>
      <c r="N73" s="78" t="n">
        <f aca="false">N36/$Q36</f>
        <v>0</v>
      </c>
      <c r="O73" s="78" t="n">
        <f aca="false">O36/$Q36</f>
        <v>0.5</v>
      </c>
      <c r="P73" s="78" t="n">
        <f aca="false">P36/$Q36</f>
        <v>0</v>
      </c>
      <c r="Q73" s="79" t="n">
        <f aca="false">SUM(E73:P73)</f>
        <v>1</v>
      </c>
    </row>
    <row r="74" customFormat="false" ht="14.25" hidden="false" customHeight="true" outlineLevel="0" collapsed="false">
      <c r="B74" s="85"/>
      <c r="C74" s="65" t="s">
        <v>93</v>
      </c>
      <c r="D74" s="26"/>
      <c r="E74" s="78" t="e">
        <f aca="false">E37/$Q37</f>
        <v>#DIV/0!</v>
      </c>
      <c r="F74" s="78" t="e">
        <f aca="false">F37/$Q37</f>
        <v>#DIV/0!</v>
      </c>
      <c r="G74" s="78" t="e">
        <f aca="false">G37/$Q37</f>
        <v>#DIV/0!</v>
      </c>
      <c r="H74" s="78" t="e">
        <f aca="false">H37/$Q37</f>
        <v>#DIV/0!</v>
      </c>
      <c r="I74" s="78" t="e">
        <f aca="false">I37/$Q37</f>
        <v>#DIV/0!</v>
      </c>
      <c r="J74" s="78" t="e">
        <f aca="false">J37/$Q37</f>
        <v>#DIV/0!</v>
      </c>
      <c r="K74" s="78" t="e">
        <f aca="false">K37/$Q37</f>
        <v>#DIV/0!</v>
      </c>
      <c r="L74" s="78" t="e">
        <f aca="false">L37/$Q37</f>
        <v>#DIV/0!</v>
      </c>
      <c r="M74" s="78" t="e">
        <f aca="false">M37/$Q37</f>
        <v>#DIV/0!</v>
      </c>
      <c r="N74" s="78" t="e">
        <f aca="false">N37/$Q37</f>
        <v>#DIV/0!</v>
      </c>
      <c r="O74" s="78" t="e">
        <f aca="false">O37/$Q37</f>
        <v>#DIV/0!</v>
      </c>
      <c r="P74" s="78" t="e">
        <f aca="false">P37/$Q37</f>
        <v>#DIV/0!</v>
      </c>
      <c r="Q74" s="79" t="e">
        <f aca="false">SUM(E74:P74)</f>
        <v>#DIV/0!</v>
      </c>
    </row>
    <row r="75" customFormat="false" ht="14.25" hidden="false" customHeight="true" outlineLevel="0" collapsed="false">
      <c r="B75" s="85" t="s">
        <v>94</v>
      </c>
      <c r="C75" s="65" t="s">
        <v>95</v>
      </c>
      <c r="D75" s="26" t="s">
        <v>51</v>
      </c>
      <c r="E75" s="78" t="n">
        <f aca="false">E38/$Q38</f>
        <v>0</v>
      </c>
      <c r="F75" s="78" t="n">
        <f aca="false">F38/$Q38</f>
        <v>0</v>
      </c>
      <c r="G75" s="78" t="n">
        <f aca="false">G38/$Q38</f>
        <v>0</v>
      </c>
      <c r="H75" s="78" t="n">
        <f aca="false">H38/$Q38</f>
        <v>0.333333333333333</v>
      </c>
      <c r="I75" s="78" t="n">
        <f aca="false">I38/$Q38</f>
        <v>0</v>
      </c>
      <c r="J75" s="78" t="n">
        <f aca="false">J38/$Q38</f>
        <v>0</v>
      </c>
      <c r="K75" s="78" t="n">
        <f aca="false">K38/$Q38</f>
        <v>0</v>
      </c>
      <c r="L75" s="78" t="n">
        <f aca="false">L38/$Q38</f>
        <v>0.333333333333333</v>
      </c>
      <c r="M75" s="78" t="n">
        <f aca="false">M38/$Q38</f>
        <v>0</v>
      </c>
      <c r="N75" s="78" t="n">
        <f aca="false">N38/$Q38</f>
        <v>0</v>
      </c>
      <c r="O75" s="78" t="n">
        <f aca="false">O38/$Q38</f>
        <v>0.333333333333333</v>
      </c>
      <c r="P75" s="78" t="n">
        <f aca="false">P38/$Q38</f>
        <v>0</v>
      </c>
      <c r="Q75" s="79" t="n">
        <f aca="false">SUM(E75:P75)</f>
        <v>1</v>
      </c>
    </row>
    <row r="76" customFormat="false" ht="14.25" hidden="false" customHeight="true" outlineLevel="0" collapsed="false">
      <c r="B76" s="86" t="s">
        <v>96</v>
      </c>
      <c r="C76" s="65" t="s">
        <v>97</v>
      </c>
      <c r="D76" s="26"/>
      <c r="E76" s="78" t="n">
        <f aca="false">E39/$Q39</f>
        <v>0</v>
      </c>
      <c r="F76" s="78" t="n">
        <f aca="false">F39/$Q39</f>
        <v>0</v>
      </c>
      <c r="G76" s="78" t="n">
        <f aca="false">G39/$Q39</f>
        <v>0</v>
      </c>
      <c r="H76" s="78" t="n">
        <f aca="false">H39/$Q39</f>
        <v>0</v>
      </c>
      <c r="I76" s="78" t="n">
        <f aca="false">I39/$Q39</f>
        <v>0</v>
      </c>
      <c r="J76" s="78" t="n">
        <f aca="false">J39/$Q39</f>
        <v>0.5</v>
      </c>
      <c r="K76" s="78" t="n">
        <f aca="false">K39/$Q39</f>
        <v>0</v>
      </c>
      <c r="L76" s="78" t="n">
        <f aca="false">L39/$Q39</f>
        <v>0</v>
      </c>
      <c r="M76" s="78" t="n">
        <f aca="false">M39/$Q39</f>
        <v>0</v>
      </c>
      <c r="N76" s="78" t="n">
        <f aca="false">N39/$Q39</f>
        <v>0</v>
      </c>
      <c r="O76" s="78" t="n">
        <f aca="false">O39/$Q39</f>
        <v>0.5</v>
      </c>
      <c r="P76" s="78" t="n">
        <f aca="false">P39/$Q39</f>
        <v>0</v>
      </c>
      <c r="Q76" s="79" t="n">
        <f aca="false">SUM(E76:P76)</f>
        <v>1</v>
      </c>
    </row>
    <row r="77" customFormat="false" ht="14.25" hidden="false" customHeight="true" outlineLevel="0" collapsed="false">
      <c r="B77" s="81" t="s">
        <v>98</v>
      </c>
      <c r="C77" s="81"/>
      <c r="D77" s="81"/>
      <c r="E77" s="82" t="n">
        <f aca="false">E40/$Q$40</f>
        <v>0.053809091658406</v>
      </c>
      <c r="F77" s="82" t="n">
        <f aca="false">F40/$Q$40</f>
        <v>0.0638094831223462</v>
      </c>
      <c r="G77" s="82" t="n">
        <f aca="false">G40/$Q$40</f>
        <v>0.055471716232862</v>
      </c>
      <c r="H77" s="82" t="n">
        <f aca="false">H40/$Q$40</f>
        <v>0.0968065846601469</v>
      </c>
      <c r="I77" s="82" t="n">
        <f aca="false">I40/$Q$40</f>
        <v>0.0875806422499779</v>
      </c>
      <c r="J77" s="82" t="n">
        <f aca="false">J40/$Q$40</f>
        <v>0.0775176314234004</v>
      </c>
      <c r="K77" s="82" t="n">
        <f aca="false">K40/$Q$40</f>
        <v>0.10378584301906</v>
      </c>
      <c r="L77" s="82" t="n">
        <f aca="false">L40/$Q$40</f>
        <v>0.117219441404307</v>
      </c>
      <c r="M77" s="82" t="n">
        <f aca="false">M40/$Q$40</f>
        <v>0.0703541904385268</v>
      </c>
      <c r="N77" s="82" t="n">
        <f aca="false">N40/$Q$40</f>
        <v>0.0705162384791107</v>
      </c>
      <c r="O77" s="82" t="n">
        <f aca="false">O40/$Q$40</f>
        <v>0.144454181232548</v>
      </c>
      <c r="P77" s="82" t="n">
        <f aca="false">P40/$Q$40</f>
        <v>0.0607196589032559</v>
      </c>
      <c r="Q77" s="82" t="n">
        <f aca="false">SUM(E77:P77)</f>
        <v>1.00204470282395</v>
      </c>
    </row>
    <row r="78" customFormat="false" ht="15" hidden="false" customHeight="true" outlineLevel="0" collapsed="false">
      <c r="B78" s="87" t="s">
        <v>99</v>
      </c>
      <c r="C78" s="87"/>
      <c r="D78" s="87"/>
      <c r="E78" s="88" t="n">
        <f aca="false">E41/$Q$41</f>
        <v>0.0576819886197652</v>
      </c>
      <c r="F78" s="88" t="n">
        <f aca="false">F41/$Q$41</f>
        <v>0.0647658862463498</v>
      </c>
      <c r="G78" s="88" t="n">
        <f aca="false">G41/$Q$41</f>
        <v>0.0673083117416831</v>
      </c>
      <c r="H78" s="88" t="n">
        <f aca="false">H41/$Q$41</f>
        <v>0.0713860832233734</v>
      </c>
      <c r="I78" s="88" t="n">
        <f aca="false">I41/$Q$41</f>
        <v>0.0764720985566234</v>
      </c>
      <c r="J78" s="88" t="n">
        <f aca="false">J41/$Q$41</f>
        <v>0.0844157009351726</v>
      </c>
      <c r="K78" s="88" t="n">
        <f aca="false">K41/$Q$41</f>
        <v>0.0927996456461894</v>
      </c>
      <c r="L78" s="88" t="n">
        <f aca="false">L41/$Q$41</f>
        <v>0.100409822783275</v>
      </c>
      <c r="M78" s="88" t="n">
        <f aca="false">M41/$Q$41</f>
        <v>0.0818101037965188</v>
      </c>
      <c r="N78" s="88" t="n">
        <f aca="false">N41/$Q$41</f>
        <v>0.0906180003625581</v>
      </c>
      <c r="O78" s="88" t="n">
        <f aca="false">O41/$Q$41</f>
        <v>0.119156641281401</v>
      </c>
      <c r="P78" s="88" t="n">
        <f aca="false">P41/$Q$41</f>
        <v>0.0936606654651379</v>
      </c>
      <c r="Q78" s="89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4"/>
  <sheetViews>
    <sheetView showFormulas="false" showGridLines="false" showRowColHeaders="true" showZeros="true" rightToLeft="true" tabSelected="tru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S7" activeCellId="0" sqref="S7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9" min="6" style="1" width="12.25"/>
    <col collapsed="false" customWidth="true" hidden="false" outlineLevel="0" max="11" min="11" style="1" width="13.62"/>
    <col collapsed="false" customWidth="true" hidden="false" outlineLevel="0" max="12" min="12" style="1" width="14.25"/>
    <col collapsed="false" customWidth="true" hidden="false" outlineLevel="0" max="17" min="14" style="1" width="14.25"/>
  </cols>
  <sheetData>
    <row r="1" customFormat="false" ht="15.75" hidden="false" customHeight="true" outlineLevel="0" collapsed="false">
      <c r="B1" s="7"/>
      <c r="C1" s="7" t="s">
        <v>101</v>
      </c>
      <c r="D1" s="7" t="s">
        <v>101</v>
      </c>
      <c r="E1" s="7"/>
      <c r="F1" s="90"/>
      <c r="G1" s="90"/>
      <c r="H1" s="90"/>
      <c r="I1" s="90"/>
      <c r="K1" s="1" t="n">
        <v>2025</v>
      </c>
      <c r="L1" s="1" t="n">
        <v>2025</v>
      </c>
      <c r="N1" s="1" t="n">
        <v>2026</v>
      </c>
      <c r="O1" s="1" t="n">
        <v>2026</v>
      </c>
      <c r="P1" s="1" t="n">
        <v>2026</v>
      </c>
      <c r="Q1" s="1" t="n">
        <v>2026</v>
      </c>
    </row>
    <row r="2" customFormat="false" ht="15" hidden="false" customHeight="true" outlineLevel="0" collapsed="false">
      <c r="A2" s="91" t="s">
        <v>2</v>
      </c>
      <c r="B2" s="92"/>
      <c r="C2" s="92"/>
      <c r="D2" s="92"/>
      <c r="E2" s="92" t="s">
        <v>3</v>
      </c>
      <c r="F2" s="93" t="n">
        <v>2024</v>
      </c>
      <c r="G2" s="93" t="n">
        <v>2025</v>
      </c>
      <c r="H2" s="93" t="s">
        <v>102</v>
      </c>
      <c r="I2" s="93" t="s">
        <v>103</v>
      </c>
      <c r="K2" s="93" t="s">
        <v>104</v>
      </c>
      <c r="L2" s="93" t="s">
        <v>105</v>
      </c>
      <c r="N2" s="93" t="s">
        <v>106</v>
      </c>
      <c r="O2" s="93" t="s">
        <v>107</v>
      </c>
      <c r="P2" s="93" t="s">
        <v>108</v>
      </c>
      <c r="Q2" s="93" t="s">
        <v>105</v>
      </c>
    </row>
    <row r="3" customFormat="false" ht="14.25" hidden="false" customHeight="true" outlineLevel="0" collapsed="false">
      <c r="A3" s="94" t="n">
        <v>5</v>
      </c>
      <c r="B3" s="95" t="s">
        <v>109</v>
      </c>
      <c r="C3" s="95" t="s">
        <v>31</v>
      </c>
      <c r="D3" s="95" t="s">
        <v>31</v>
      </c>
      <c r="E3" s="95" t="s">
        <v>32</v>
      </c>
      <c r="F3" s="96" t="n">
        <v>2052731.8</v>
      </c>
      <c r="G3" s="96" t="n">
        <v>1708656.85</v>
      </c>
      <c r="H3" s="96" t="n">
        <v>2520000</v>
      </c>
      <c r="I3" s="96" t="n">
        <v>1940443.3</v>
      </c>
      <c r="K3" s="97" t="n">
        <v>118392</v>
      </c>
      <c r="L3" s="98" t="n">
        <v>1708656.85</v>
      </c>
      <c r="N3" s="97" t="n">
        <v>0</v>
      </c>
      <c r="O3" s="98" t="n">
        <v>0</v>
      </c>
      <c r="P3" s="97" t="n">
        <v>78890.5263157895</v>
      </c>
      <c r="Q3" s="98" t="n">
        <v>1406948.02105263</v>
      </c>
    </row>
    <row r="4" customFormat="false" ht="14.25" hidden="false" customHeight="true" outlineLevel="0" collapsed="false">
      <c r="A4" s="99" t="n">
        <v>1</v>
      </c>
      <c r="B4" s="95" t="s">
        <v>33</v>
      </c>
      <c r="C4" s="95" t="s">
        <v>33</v>
      </c>
      <c r="D4" s="95" t="s">
        <v>33</v>
      </c>
      <c r="E4" s="95" t="s">
        <v>32</v>
      </c>
      <c r="F4" s="96" t="n">
        <v>5482291.178</v>
      </c>
      <c r="G4" s="96" t="n">
        <v>6071777.62260004</v>
      </c>
      <c r="H4" s="96" t="n">
        <v>6779000</v>
      </c>
      <c r="I4" s="96" t="n">
        <v>6074937.893</v>
      </c>
      <c r="K4" s="97" t="n">
        <v>176505</v>
      </c>
      <c r="L4" s="98" t="n">
        <v>6689220.5</v>
      </c>
      <c r="N4" s="97" t="n">
        <v>1952</v>
      </c>
      <c r="O4" s="98" t="n">
        <v>147652.2</v>
      </c>
      <c r="P4" s="97" t="n">
        <v>149440.421052632</v>
      </c>
      <c r="Q4" s="98" t="n">
        <v>5654545.64210526</v>
      </c>
    </row>
    <row r="5" customFormat="false" ht="14.25" hidden="false" customHeight="true" outlineLevel="0" collapsed="false">
      <c r="A5" s="99" t="n">
        <v>7</v>
      </c>
      <c r="B5" s="95" t="s">
        <v>34</v>
      </c>
      <c r="C5" s="95" t="s">
        <v>34</v>
      </c>
      <c r="D5" s="95" t="s">
        <v>34</v>
      </c>
      <c r="E5" s="95" t="s">
        <v>32</v>
      </c>
      <c r="F5" s="96" t="n">
        <v>1089803.806</v>
      </c>
      <c r="G5" s="96" t="n">
        <v>828689.86</v>
      </c>
      <c r="H5" s="96" t="n">
        <v>900000</v>
      </c>
      <c r="I5" s="96" t="n">
        <v>1037274.565</v>
      </c>
      <c r="K5" s="97" t="n">
        <v>27268</v>
      </c>
      <c r="L5" s="97" t="n">
        <v>889501.1</v>
      </c>
      <c r="N5" s="97" t="n">
        <v>8</v>
      </c>
      <c r="O5" s="97" t="n">
        <v>918.4</v>
      </c>
      <c r="P5" s="97" t="n">
        <v>24137.6842105263</v>
      </c>
      <c r="Q5" s="97" t="n">
        <v>854230.484210526</v>
      </c>
    </row>
    <row r="6" customFormat="false" ht="14.25" hidden="false" customHeight="true" outlineLevel="0" collapsed="false">
      <c r="A6" s="99" t="n">
        <v>4</v>
      </c>
      <c r="B6" s="95" t="s">
        <v>35</v>
      </c>
      <c r="C6" s="95" t="s">
        <v>35</v>
      </c>
      <c r="D6" s="95" t="s">
        <v>35</v>
      </c>
      <c r="E6" s="95" t="s">
        <v>32</v>
      </c>
      <c r="F6" s="96" t="n">
        <v>1835959.53</v>
      </c>
      <c r="G6" s="96" t="n">
        <v>1941001.5794</v>
      </c>
      <c r="H6" s="96" t="n">
        <v>1947000</v>
      </c>
      <c r="I6" s="96" t="n">
        <v>2118523.978</v>
      </c>
      <c r="K6" s="100"/>
      <c r="L6" s="97" t="n">
        <v>2120059.06</v>
      </c>
      <c r="N6" s="100"/>
      <c r="O6" s="97" t="n">
        <v>63207.99</v>
      </c>
      <c r="P6" s="100"/>
      <c r="Q6" s="97" t="n">
        <v>1774351.41473685</v>
      </c>
    </row>
    <row r="7" customFormat="false" ht="14.25" hidden="false" customHeight="true" outlineLevel="0" collapsed="false">
      <c r="A7" s="99" t="n">
        <v>3</v>
      </c>
      <c r="B7" s="95" t="s">
        <v>110</v>
      </c>
      <c r="C7" s="95" t="s">
        <v>36</v>
      </c>
      <c r="D7" s="95" t="s">
        <v>36</v>
      </c>
      <c r="E7" s="95" t="s">
        <v>32</v>
      </c>
      <c r="F7" s="96" t="n">
        <v>4118466.1</v>
      </c>
      <c r="G7" s="96" t="n">
        <v>3809616.42</v>
      </c>
      <c r="H7" s="96" t="n">
        <v>4381000</v>
      </c>
      <c r="I7" s="96" t="n">
        <v>3722410.85</v>
      </c>
      <c r="K7" s="97" t="n">
        <v>152395</v>
      </c>
      <c r="L7" s="97" t="n">
        <v>3809616.42</v>
      </c>
      <c r="N7" s="97" t="n">
        <v>-2</v>
      </c>
      <c r="O7" s="97" t="n">
        <v>-1176</v>
      </c>
      <c r="P7" s="97" t="n">
        <v>139120.421052632</v>
      </c>
      <c r="Q7" s="97" t="n">
        <v>3245877.53684211</v>
      </c>
    </row>
    <row r="8" customFormat="false" ht="14.25" hidden="false" customHeight="true" outlineLevel="0" collapsed="false">
      <c r="A8" s="99" t="n">
        <v>8</v>
      </c>
      <c r="B8" s="95" t="s">
        <v>111</v>
      </c>
      <c r="C8" s="95" t="s">
        <v>37</v>
      </c>
      <c r="D8" s="95" t="s">
        <v>37</v>
      </c>
      <c r="E8" s="95" t="s">
        <v>32</v>
      </c>
      <c r="F8" s="96" t="n">
        <v>797978.25</v>
      </c>
      <c r="G8" s="96" t="n">
        <v>892626.19</v>
      </c>
      <c r="H8" s="96" t="n">
        <v>1220000</v>
      </c>
      <c r="I8" s="96" t="n">
        <v>943097.611</v>
      </c>
      <c r="K8" s="96"/>
      <c r="L8" s="97" t="n">
        <v>860680.72</v>
      </c>
      <c r="N8" s="96"/>
      <c r="O8" s="97" t="n">
        <v>308751.05</v>
      </c>
      <c r="P8" s="96"/>
      <c r="Q8" s="97" t="n">
        <v>624255.688421052</v>
      </c>
    </row>
    <row r="9" customFormat="false" ht="14.25" hidden="false" customHeight="true" outlineLevel="0" collapsed="false">
      <c r="A9" s="99" t="n">
        <v>6</v>
      </c>
      <c r="B9" s="95" t="s">
        <v>112</v>
      </c>
      <c r="C9" s="95" t="s">
        <v>38</v>
      </c>
      <c r="D9" s="95" t="s">
        <v>38</v>
      </c>
      <c r="E9" s="95" t="s">
        <v>32</v>
      </c>
      <c r="F9" s="96" t="n">
        <v>901019.25</v>
      </c>
      <c r="G9" s="96" t="n">
        <v>854818.94</v>
      </c>
      <c r="H9" s="96" t="n">
        <v>1979000</v>
      </c>
      <c r="I9" s="96" t="n">
        <v>1075277.57</v>
      </c>
      <c r="K9" s="97" t="n">
        <v>11637</v>
      </c>
      <c r="L9" s="97" t="n">
        <v>850045.24</v>
      </c>
      <c r="N9" s="97" t="n">
        <v>728</v>
      </c>
      <c r="O9" s="97" t="n">
        <v>56220.09</v>
      </c>
      <c r="P9" s="97" t="n">
        <v>9871.57894736842</v>
      </c>
      <c r="Q9" s="97" t="n">
        <v>818053.907368421</v>
      </c>
    </row>
    <row r="10" customFormat="false" ht="14.25" hidden="false" customHeight="true" outlineLevel="0" collapsed="false">
      <c r="A10" s="101" t="n">
        <v>10</v>
      </c>
      <c r="B10" s="95" t="s">
        <v>113</v>
      </c>
      <c r="C10" s="95" t="s">
        <v>39</v>
      </c>
      <c r="D10" s="95" t="s">
        <v>39</v>
      </c>
      <c r="E10" s="95" t="s">
        <v>32</v>
      </c>
      <c r="F10" s="96" t="n">
        <v>187203.67</v>
      </c>
      <c r="G10" s="96" t="n">
        <v>185250.51</v>
      </c>
      <c r="H10" s="96" t="n">
        <v>190000</v>
      </c>
      <c r="I10" s="96" t="n">
        <v>151235.08</v>
      </c>
      <c r="K10" s="97" t="n">
        <v>3679</v>
      </c>
      <c r="L10" s="97" t="n">
        <v>185250.51</v>
      </c>
      <c r="N10" s="97" t="n">
        <v>253</v>
      </c>
      <c r="O10" s="97" t="n">
        <v>13716.33</v>
      </c>
      <c r="P10" s="97" t="n">
        <v>1740.63157894737</v>
      </c>
      <c r="Q10" s="97" t="n">
        <v>98772.012631579</v>
      </c>
    </row>
    <row r="11" customFormat="false" ht="14.25" hidden="false" customHeight="true" outlineLevel="0" collapsed="false">
      <c r="A11" s="99" t="n">
        <v>11</v>
      </c>
      <c r="B11" s="95" t="s">
        <v>114</v>
      </c>
      <c r="C11" s="95" t="s">
        <v>40</v>
      </c>
      <c r="D11" s="95" t="s">
        <v>40</v>
      </c>
      <c r="E11" s="95" t="s">
        <v>32</v>
      </c>
      <c r="F11" s="96" t="n">
        <v>92204.35</v>
      </c>
      <c r="G11" s="96" t="n">
        <v>57359.72</v>
      </c>
      <c r="H11" s="96" t="n">
        <v>100000</v>
      </c>
      <c r="I11" s="96" t="n">
        <v>94015.41</v>
      </c>
      <c r="K11" s="97" t="n">
        <v>1208</v>
      </c>
      <c r="L11" s="97" t="n">
        <v>58306.79</v>
      </c>
      <c r="N11" s="97" t="n">
        <v>244</v>
      </c>
      <c r="O11" s="97" t="n">
        <v>18033.75</v>
      </c>
      <c r="P11" s="97" t="n">
        <v>833.684210526316</v>
      </c>
      <c r="Q11" s="97" t="n">
        <v>58745.8736842105</v>
      </c>
    </row>
    <row r="12" customFormat="false" ht="14.25" hidden="false" customHeight="true" outlineLevel="0" collapsed="false">
      <c r="A12" s="99" t="n">
        <v>14</v>
      </c>
      <c r="B12" s="95" t="s">
        <v>115</v>
      </c>
      <c r="C12" s="95" t="s">
        <v>41</v>
      </c>
      <c r="D12" s="95" t="s">
        <v>41</v>
      </c>
      <c r="E12" s="95" t="s">
        <v>32</v>
      </c>
      <c r="F12" s="96" t="n">
        <v>3230.5</v>
      </c>
      <c r="G12" s="96" t="n">
        <v>4145.68</v>
      </c>
      <c r="H12" s="96" t="n">
        <v>0</v>
      </c>
      <c r="I12" s="96" t="n">
        <v>33576.15</v>
      </c>
      <c r="K12" s="97" t="n">
        <v>114</v>
      </c>
      <c r="L12" s="97" t="n">
        <v>4145.68</v>
      </c>
      <c r="N12" s="97" t="n">
        <v>18</v>
      </c>
      <c r="O12" s="97" t="n">
        <v>1012.72</v>
      </c>
      <c r="P12" s="97" t="n">
        <v>122.526315789474</v>
      </c>
      <c r="Q12" s="97" t="n">
        <v>5437.92</v>
      </c>
    </row>
    <row r="13" customFormat="false" ht="14.25" hidden="false" customHeight="true" outlineLevel="0" collapsed="false">
      <c r="A13" s="99" t="n">
        <v>15</v>
      </c>
      <c r="B13" s="95" t="s">
        <v>116</v>
      </c>
      <c r="C13" s="95" t="s">
        <v>47</v>
      </c>
      <c r="D13" s="95" t="s">
        <v>47</v>
      </c>
      <c r="E13" s="95" t="s">
        <v>32</v>
      </c>
      <c r="F13" s="96" t="n">
        <v>1583.18</v>
      </c>
      <c r="G13" s="96" t="n">
        <v>514.2</v>
      </c>
      <c r="H13" s="96" t="n">
        <v>25000</v>
      </c>
      <c r="I13" s="96" t="n">
        <v>31896.82</v>
      </c>
      <c r="K13" s="97" t="n">
        <v>16</v>
      </c>
      <c r="L13" s="97" t="n">
        <v>514.2</v>
      </c>
      <c r="N13" s="97" t="n">
        <v>59</v>
      </c>
      <c r="O13" s="97" t="n">
        <v>1896.82</v>
      </c>
      <c r="P13" s="97" t="n">
        <v>74.5263157894737</v>
      </c>
      <c r="Q13" s="97" t="n">
        <v>2395.98315789474</v>
      </c>
    </row>
    <row r="14" customFormat="false" ht="14.25" hidden="false" customHeight="true" outlineLevel="0" collapsed="false">
      <c r="A14" s="99" t="n">
        <v>13</v>
      </c>
      <c r="B14" s="95" t="s">
        <v>117</v>
      </c>
      <c r="C14" s="95" t="s">
        <v>43</v>
      </c>
      <c r="D14" s="95" t="s">
        <v>43</v>
      </c>
      <c r="E14" s="95" t="s">
        <v>32</v>
      </c>
      <c r="F14" s="96" t="n">
        <v>9577.5</v>
      </c>
      <c r="G14" s="96" t="n">
        <v>13532.23</v>
      </c>
      <c r="H14" s="96" t="n">
        <v>400000</v>
      </c>
      <c r="I14" s="96" t="n">
        <v>37748.72</v>
      </c>
      <c r="K14" s="97" t="n">
        <v>286</v>
      </c>
      <c r="L14" s="97" t="n">
        <v>13532.23</v>
      </c>
      <c r="N14" s="97" t="n">
        <v>41</v>
      </c>
      <c r="O14" s="97" t="n">
        <v>4381.47</v>
      </c>
      <c r="P14" s="97" t="n">
        <v>261.473684210526</v>
      </c>
      <c r="Q14" s="97" t="n">
        <v>14829.2589473684</v>
      </c>
    </row>
    <row r="15" customFormat="false" ht="14.25" hidden="false" customHeight="true" outlineLevel="0" collapsed="false">
      <c r="A15" s="99" t="n">
        <v>9</v>
      </c>
      <c r="B15" s="95" t="s">
        <v>118</v>
      </c>
      <c r="C15" s="95" t="s">
        <v>44</v>
      </c>
      <c r="D15" s="95" t="s">
        <v>44</v>
      </c>
      <c r="E15" s="95" t="s">
        <v>32</v>
      </c>
      <c r="F15" s="96" t="n">
        <v>72915.81</v>
      </c>
      <c r="G15" s="96" t="n">
        <v>94701.6</v>
      </c>
      <c r="H15" s="96" t="n">
        <v>200000</v>
      </c>
      <c r="I15" s="96" t="n">
        <v>239111.1</v>
      </c>
      <c r="K15" s="97" t="n">
        <v>1673</v>
      </c>
      <c r="L15" s="97" t="n">
        <v>98528.23</v>
      </c>
      <c r="N15" s="97" t="n">
        <v>322</v>
      </c>
      <c r="O15" s="97" t="n">
        <v>27429.03</v>
      </c>
      <c r="P15" s="97" t="n">
        <v>1917.47368421053</v>
      </c>
      <c r="Q15" s="97" t="n">
        <v>143175.309473684</v>
      </c>
    </row>
    <row r="16" customFormat="false" ht="15" hidden="false" customHeight="true" outlineLevel="0" collapsed="false">
      <c r="A16" s="102"/>
      <c r="B16" s="103"/>
      <c r="C16" s="103" t="s">
        <v>119</v>
      </c>
      <c r="D16" s="103" t="s">
        <v>119</v>
      </c>
      <c r="E16" s="103"/>
      <c r="F16" s="103" t="n">
        <f aca="false">SUM(F3:F15)</f>
        <v>16644964.924</v>
      </c>
      <c r="G16" s="103" t="n">
        <f aca="false">SUM(G3:G15)</f>
        <v>16462691.402</v>
      </c>
      <c r="H16" s="103" t="n">
        <f aca="false">SUM(H3:H15)</f>
        <v>20641000</v>
      </c>
      <c r="I16" s="103" t="n">
        <f aca="false">SUM(I3:I15)</f>
        <v>17499549.047</v>
      </c>
      <c r="K16" s="103" t="n">
        <f aca="false">SUM(K3:K15)</f>
        <v>493173</v>
      </c>
      <c r="L16" s="103" t="n">
        <f aca="false">SUM(L3:L15)</f>
        <v>17288057.53</v>
      </c>
      <c r="N16" s="103" t="n">
        <f aca="false">SUM(N3:N15)</f>
        <v>3623</v>
      </c>
      <c r="O16" s="103"/>
      <c r="P16" s="103"/>
      <c r="Q16" s="103" t="n">
        <f aca="false">SUM(Q3:Q15)</f>
        <v>14701619.0526316</v>
      </c>
    </row>
    <row r="17" customFormat="false" ht="14.25" hidden="false" customHeight="true" outlineLevel="0" collapsed="false">
      <c r="A17" s="99" t="n">
        <v>2</v>
      </c>
      <c r="B17" s="95" t="s">
        <v>120</v>
      </c>
      <c r="C17" s="95" t="s">
        <v>45</v>
      </c>
      <c r="D17" s="95" t="s">
        <v>45</v>
      </c>
      <c r="E17" s="95" t="s">
        <v>32</v>
      </c>
      <c r="F17" s="96" t="n">
        <v>683558.5</v>
      </c>
      <c r="G17" s="96" t="n">
        <v>1656258.29</v>
      </c>
      <c r="H17" s="96" t="n">
        <v>10788663.559322</v>
      </c>
      <c r="I17" s="96" t="n">
        <v>7612717.01355935</v>
      </c>
      <c r="K17" s="97" t="n">
        <v>20470</v>
      </c>
      <c r="L17" s="98" t="n">
        <v>1657320.76</v>
      </c>
      <c r="N17" s="97" t="n">
        <v>2375</v>
      </c>
      <c r="O17" s="98" t="n">
        <v>147591.2</v>
      </c>
      <c r="P17" s="97" t="n">
        <v>36103.5789473684</v>
      </c>
      <c r="Q17" s="98" t="n">
        <v>4037646.48</v>
      </c>
    </row>
    <row r="18" customFormat="false" ht="14.25" hidden="false" customHeight="true" outlineLevel="0" collapsed="false">
      <c r="A18" s="99" t="n">
        <v>12</v>
      </c>
      <c r="B18" s="95" t="s">
        <v>121</v>
      </c>
      <c r="C18" s="95" t="s">
        <v>46</v>
      </c>
      <c r="D18" s="95" t="s">
        <v>46</v>
      </c>
      <c r="E18" s="95" t="s">
        <v>32</v>
      </c>
      <c r="F18" s="96" t="n">
        <v>35758.89</v>
      </c>
      <c r="G18" s="96" t="n">
        <v>27325.74</v>
      </c>
      <c r="H18" s="96" t="n">
        <v>30443.14</v>
      </c>
      <c r="I18" s="96" t="n">
        <v>39807.02</v>
      </c>
      <c r="K18" s="97" t="n">
        <v>415</v>
      </c>
      <c r="L18" s="97" t="n">
        <v>27325.74</v>
      </c>
      <c r="N18" s="97" t="n">
        <v>12</v>
      </c>
      <c r="O18" s="97" t="n">
        <v>1716.98</v>
      </c>
      <c r="P18" s="97" t="n">
        <v>252.631578947368</v>
      </c>
      <c r="Q18" s="97" t="n">
        <v>16463.3178947368</v>
      </c>
    </row>
    <row r="19" customFormat="false" ht="15" hidden="false" customHeight="true" outlineLevel="0" collapsed="false">
      <c r="A19" s="101"/>
      <c r="B19" s="103"/>
      <c r="C19" s="103" t="s">
        <v>48</v>
      </c>
      <c r="D19" s="103" t="s">
        <v>48</v>
      </c>
      <c r="E19" s="103"/>
      <c r="F19" s="103" t="n">
        <f aca="false">F16+F17+F18</f>
        <v>17364282.314</v>
      </c>
      <c r="G19" s="103" t="n">
        <f aca="false">G16+G17+G18</f>
        <v>18146275.432</v>
      </c>
      <c r="H19" s="103" t="n">
        <f aca="false">H16+H17+H18</f>
        <v>31460106.699322</v>
      </c>
      <c r="I19" s="103" t="n">
        <f aca="false">I16+I17+I18</f>
        <v>25152073.0805594</v>
      </c>
      <c r="K19" s="103" t="n">
        <f aca="false">K16+K17+K18</f>
        <v>514058</v>
      </c>
      <c r="L19" s="103" t="n">
        <f aca="false">L16+L17+L18</f>
        <v>18972704.03</v>
      </c>
      <c r="N19" s="103" t="n">
        <f aca="false">N16+N17+N18</f>
        <v>6010</v>
      </c>
      <c r="O19" s="103"/>
      <c r="P19" s="103"/>
      <c r="Q19" s="103" t="n">
        <f aca="false">Q16+Q17+Q18</f>
        <v>18755728.8505263</v>
      </c>
    </row>
    <row r="20" customFormat="false" ht="14.25" hidden="false" customHeight="true" outlineLevel="0" collapsed="false">
      <c r="A20" s="101" t="n">
        <v>50</v>
      </c>
      <c r="B20" s="95" t="s">
        <v>122</v>
      </c>
      <c r="C20" s="95" t="s">
        <v>49</v>
      </c>
      <c r="D20" s="95" t="s">
        <v>50</v>
      </c>
      <c r="E20" s="95" t="s">
        <v>51</v>
      </c>
      <c r="F20" s="96" t="n">
        <v>3501494.53</v>
      </c>
      <c r="G20" s="96" t="n">
        <v>2705391.22</v>
      </c>
      <c r="H20" s="96" t="n">
        <v>4776579.3532875</v>
      </c>
      <c r="I20" s="96" t="n">
        <v>3098024.51</v>
      </c>
      <c r="K20" s="97" t="n">
        <v>27158</v>
      </c>
      <c r="L20" s="97" t="n">
        <v>2705391.22</v>
      </c>
      <c r="N20" s="97" t="n">
        <v>47</v>
      </c>
      <c r="O20" s="97" t="n">
        <v>3274.06</v>
      </c>
      <c r="P20" s="97" t="n">
        <v>23757.4736842105</v>
      </c>
      <c r="Q20" s="97" t="n">
        <v>2062598.93052632</v>
      </c>
    </row>
    <row r="21" customFormat="false" ht="14.25" hidden="false" customHeight="true" outlineLevel="0" collapsed="false">
      <c r="A21" s="101" t="n">
        <v>20</v>
      </c>
      <c r="B21" s="95" t="s">
        <v>123</v>
      </c>
      <c r="C21" s="95" t="s">
        <v>52</v>
      </c>
      <c r="D21" s="95" t="s">
        <v>53</v>
      </c>
      <c r="E21" s="95" t="s">
        <v>54</v>
      </c>
      <c r="F21" s="96" t="n">
        <v>879383.45</v>
      </c>
      <c r="G21" s="96" t="n">
        <v>902537.64</v>
      </c>
      <c r="H21" s="96" t="n">
        <v>980000</v>
      </c>
      <c r="I21" s="96" t="n">
        <v>922081.02</v>
      </c>
      <c r="K21" s="97" t="n">
        <v>48363</v>
      </c>
      <c r="L21" s="97" t="n">
        <v>902537.64</v>
      </c>
      <c r="N21" s="97" t="n">
        <v>250</v>
      </c>
      <c r="O21" s="97" t="n">
        <v>11540.57</v>
      </c>
      <c r="P21" s="97" t="n">
        <v>35605.8947368421</v>
      </c>
      <c r="Q21" s="97" t="n">
        <v>598967.482105263</v>
      </c>
    </row>
    <row r="22" customFormat="false" ht="14.25" hidden="false" customHeight="true" outlineLevel="0" collapsed="false">
      <c r="A22" s="101" t="n">
        <v>21</v>
      </c>
      <c r="B22" s="95" t="s">
        <v>124</v>
      </c>
      <c r="C22" s="95" t="s">
        <v>55</v>
      </c>
      <c r="D22" s="95" t="s">
        <v>56</v>
      </c>
      <c r="E22" s="95" t="s">
        <v>57</v>
      </c>
      <c r="F22" s="96" t="n">
        <v>633752.75</v>
      </c>
      <c r="G22" s="96" t="n">
        <v>405920.85</v>
      </c>
      <c r="H22" s="96" t="n">
        <v>650000.27</v>
      </c>
      <c r="I22" s="96" t="n">
        <v>613276.52</v>
      </c>
      <c r="K22" s="97" t="n">
        <v>6959</v>
      </c>
      <c r="L22" s="97" t="n">
        <v>405920.85</v>
      </c>
      <c r="N22" s="97" t="n">
        <v>131</v>
      </c>
      <c r="O22" s="97" t="n">
        <v>4054.38</v>
      </c>
      <c r="P22" s="97" t="n">
        <v>8513.68421052632</v>
      </c>
      <c r="Q22" s="97" t="n">
        <v>434858.64</v>
      </c>
    </row>
    <row r="23" customFormat="false" ht="14.25" hidden="false" customHeight="true" outlineLevel="0" collapsed="false">
      <c r="A23" s="101" t="n">
        <v>22</v>
      </c>
      <c r="B23" s="95" t="s">
        <v>125</v>
      </c>
      <c r="C23" s="95" t="s">
        <v>58</v>
      </c>
      <c r="D23" s="95" t="s">
        <v>59</v>
      </c>
      <c r="E23" s="95" t="s">
        <v>60</v>
      </c>
      <c r="F23" s="96" t="n">
        <v>489809</v>
      </c>
      <c r="G23" s="96" t="n">
        <v>414072.64</v>
      </c>
      <c r="H23" s="96" t="n">
        <v>499999.97</v>
      </c>
      <c r="I23" s="96" t="n">
        <v>457053.13</v>
      </c>
      <c r="K23" s="97" t="n">
        <v>21177</v>
      </c>
      <c r="L23" s="97" t="n">
        <v>414072.64</v>
      </c>
      <c r="N23" s="97" t="n">
        <v>154</v>
      </c>
      <c r="O23" s="97" t="n">
        <v>3246.9</v>
      </c>
      <c r="P23" s="97" t="n">
        <v>22898.5263157895</v>
      </c>
      <c r="Q23" s="97" t="n">
        <v>387859.162105263</v>
      </c>
    </row>
    <row r="24" customFormat="false" ht="14.25" hidden="false" customHeight="true" outlineLevel="0" collapsed="false">
      <c r="A24" s="101" t="n">
        <v>23</v>
      </c>
      <c r="B24" s="95" t="s">
        <v>126</v>
      </c>
      <c r="C24" s="95" t="s">
        <v>61</v>
      </c>
      <c r="D24" s="95" t="s">
        <v>62</v>
      </c>
      <c r="E24" s="95" t="s">
        <v>63</v>
      </c>
      <c r="F24" s="96" t="n">
        <v>128758.9</v>
      </c>
      <c r="G24" s="96" t="n">
        <v>122339</v>
      </c>
      <c r="H24" s="96" t="n">
        <v>139999.92</v>
      </c>
      <c r="I24" s="96" t="n">
        <v>131678.59</v>
      </c>
      <c r="K24" s="97" t="n">
        <v>12986</v>
      </c>
      <c r="L24" s="97" t="n">
        <v>122339</v>
      </c>
      <c r="N24" s="97" t="n">
        <v>0</v>
      </c>
      <c r="O24" s="97" t="n">
        <v>0</v>
      </c>
      <c r="P24" s="97" t="n">
        <v>16302.3157894737</v>
      </c>
      <c r="Q24" s="97" t="n">
        <v>121427.141052632</v>
      </c>
    </row>
    <row r="25" customFormat="false" ht="14.25" hidden="false" customHeight="true" outlineLevel="0" collapsed="false">
      <c r="A25" s="101" t="n">
        <v>24</v>
      </c>
      <c r="B25" s="95" t="s">
        <v>127</v>
      </c>
      <c r="C25" s="95" t="s">
        <v>64</v>
      </c>
      <c r="D25" s="95" t="s">
        <v>65</v>
      </c>
      <c r="E25" s="95" t="s">
        <v>66</v>
      </c>
      <c r="F25" s="96" t="n">
        <v>160712.5</v>
      </c>
      <c r="G25" s="96" t="n">
        <v>52899.82</v>
      </c>
      <c r="H25" s="96" t="n">
        <v>50000</v>
      </c>
      <c r="I25" s="96" t="n">
        <v>0</v>
      </c>
      <c r="K25" s="97" t="n">
        <v>1817</v>
      </c>
      <c r="L25" s="97" t="n">
        <v>52899.82</v>
      </c>
      <c r="N25" s="97" t="n">
        <v>0</v>
      </c>
      <c r="O25" s="97" t="n">
        <v>0</v>
      </c>
      <c r="P25" s="97" t="n">
        <v>0</v>
      </c>
      <c r="Q25" s="97" t="n">
        <v>0</v>
      </c>
    </row>
    <row r="26" customFormat="false" ht="13.5" hidden="false" customHeight="true" outlineLevel="0" collapsed="false">
      <c r="A26" s="101" t="n">
        <v>25</v>
      </c>
      <c r="B26" s="95" t="s">
        <v>128</v>
      </c>
      <c r="C26" s="95" t="s">
        <v>67</v>
      </c>
      <c r="D26" s="95" t="s">
        <v>68</v>
      </c>
      <c r="E26" s="95" t="s">
        <v>69</v>
      </c>
      <c r="F26" s="96" t="n">
        <v>471280.16</v>
      </c>
      <c r="G26" s="96" t="n">
        <v>319558.55</v>
      </c>
      <c r="H26" s="96" t="n">
        <v>450000</v>
      </c>
      <c r="I26" s="96" t="n">
        <v>524147.47</v>
      </c>
      <c r="K26" s="97" t="n">
        <v>18268</v>
      </c>
      <c r="L26" s="98" t="n">
        <v>319558.55</v>
      </c>
      <c r="N26" s="97" t="n">
        <v>991</v>
      </c>
      <c r="O26" s="98" t="n">
        <v>14625</v>
      </c>
      <c r="P26" s="97" t="n">
        <v>26022.3157894737</v>
      </c>
      <c r="Q26" s="98" t="n">
        <v>461754</v>
      </c>
    </row>
    <row r="27" customFormat="false" ht="14.25" hidden="false" customHeight="true" outlineLevel="0" collapsed="false">
      <c r="A27" s="101" t="n">
        <v>26</v>
      </c>
      <c r="B27" s="95" t="s">
        <v>129</v>
      </c>
      <c r="C27" s="95" t="s">
        <v>70</v>
      </c>
      <c r="D27" s="95" t="s">
        <v>71</v>
      </c>
      <c r="E27" s="95" t="s">
        <v>72</v>
      </c>
      <c r="F27" s="96" t="n">
        <v>162967.91</v>
      </c>
      <c r="G27" s="96" t="n">
        <v>86855.65</v>
      </c>
      <c r="H27" s="96" t="n">
        <v>200000</v>
      </c>
      <c r="I27" s="96" t="n">
        <v>100694.01</v>
      </c>
      <c r="K27" s="97" t="n">
        <v>3507</v>
      </c>
      <c r="L27" s="97" t="n">
        <v>86855.65</v>
      </c>
      <c r="N27" s="97" t="n">
        <v>754</v>
      </c>
      <c r="O27" s="97" t="n">
        <v>27727.77</v>
      </c>
      <c r="P27" s="97" t="n">
        <v>2952</v>
      </c>
      <c r="Q27" s="97" t="n">
        <v>76373.5452631579</v>
      </c>
    </row>
    <row r="28" customFormat="false" ht="13.5" hidden="false" customHeight="true" outlineLevel="0" collapsed="false">
      <c r="A28" s="101" t="n">
        <v>27</v>
      </c>
      <c r="B28" s="95" t="s">
        <v>130</v>
      </c>
      <c r="C28" s="95" t="s">
        <v>73</v>
      </c>
      <c r="D28" s="95" t="s">
        <v>74</v>
      </c>
      <c r="E28" s="95" t="s">
        <v>75</v>
      </c>
      <c r="F28" s="96" t="n">
        <v>370614.64</v>
      </c>
      <c r="G28" s="96" t="n">
        <v>256772.1</v>
      </c>
      <c r="H28" s="96" t="n">
        <v>250000</v>
      </c>
      <c r="I28" s="96" t="n">
        <v>250000</v>
      </c>
      <c r="K28" s="97" t="n">
        <v>6687</v>
      </c>
      <c r="L28" s="97" t="n">
        <v>256772.1</v>
      </c>
      <c r="N28" s="97" t="n">
        <v>0</v>
      </c>
      <c r="O28" s="97" t="n">
        <v>0</v>
      </c>
      <c r="P28" s="97" t="n">
        <v>0</v>
      </c>
      <c r="Q28" s="97" t="n">
        <v>0</v>
      </c>
    </row>
    <row r="29" customFormat="false" ht="13.5" hidden="false" customHeight="true" outlineLevel="0" collapsed="false">
      <c r="A29" s="101" t="n">
        <v>28</v>
      </c>
      <c r="B29" s="95" t="s">
        <v>131</v>
      </c>
      <c r="C29" s="95" t="s">
        <v>76</v>
      </c>
      <c r="D29" s="95" t="s">
        <v>77</v>
      </c>
      <c r="E29" s="95" t="s">
        <v>78</v>
      </c>
      <c r="F29" s="96" t="n">
        <v>348874.04</v>
      </c>
      <c r="G29" s="96" t="n">
        <v>405953.63</v>
      </c>
      <c r="H29" s="96" t="n">
        <v>450000</v>
      </c>
      <c r="I29" s="96" t="n">
        <v>378207.09</v>
      </c>
      <c r="K29" s="97" t="n">
        <v>13479</v>
      </c>
      <c r="L29" s="97" t="n">
        <v>407234.61</v>
      </c>
      <c r="N29" s="97" t="n">
        <v>147</v>
      </c>
      <c r="O29" s="97" t="n">
        <v>6167.14</v>
      </c>
      <c r="P29" s="97" t="n">
        <v>12256.4210526316</v>
      </c>
      <c r="Q29" s="97" t="n">
        <v>380002.345263158</v>
      </c>
    </row>
    <row r="30" customFormat="false" ht="14.25" hidden="false" customHeight="true" outlineLevel="0" collapsed="false">
      <c r="A30" s="101" t="n">
        <v>29</v>
      </c>
      <c r="B30" s="95" t="s">
        <v>132</v>
      </c>
      <c r="C30" s="95" t="s">
        <v>79</v>
      </c>
      <c r="D30" s="95" t="s">
        <v>80</v>
      </c>
      <c r="E30" s="95" t="s">
        <v>81</v>
      </c>
      <c r="F30" s="96" t="n">
        <v>107690.85</v>
      </c>
      <c r="G30" s="96" t="n">
        <v>64554.59</v>
      </c>
      <c r="H30" s="96" t="n">
        <v>70000</v>
      </c>
      <c r="I30" s="96" t="n">
        <v>73116.44</v>
      </c>
      <c r="K30" s="97" t="n">
        <v>2672</v>
      </c>
      <c r="L30" s="97" t="n">
        <v>64554.59</v>
      </c>
      <c r="N30" s="97" t="n">
        <v>360</v>
      </c>
      <c r="O30" s="97" t="n">
        <v>16342.42</v>
      </c>
      <c r="P30" s="97" t="n">
        <v>1914.94736842105</v>
      </c>
      <c r="Q30" s="97" t="n">
        <v>54462.8715789474</v>
      </c>
    </row>
    <row r="31" customFormat="false" ht="14.25" hidden="false" customHeight="true" outlineLevel="0" collapsed="false">
      <c r="A31" s="101" t="n">
        <v>30</v>
      </c>
      <c r="B31" s="95" t="s">
        <v>133</v>
      </c>
      <c r="C31" s="95" t="s">
        <v>82</v>
      </c>
      <c r="D31" s="95" t="s">
        <v>83</v>
      </c>
      <c r="E31" s="95" t="s">
        <v>81</v>
      </c>
      <c r="F31" s="96" t="n">
        <v>41028.36</v>
      </c>
      <c r="G31" s="96" t="n">
        <v>60908.2</v>
      </c>
      <c r="H31" s="96" t="n">
        <v>59793</v>
      </c>
      <c r="I31" s="96" t="n">
        <v>42809.5</v>
      </c>
      <c r="K31" s="97" t="n">
        <v>2980</v>
      </c>
      <c r="L31" s="97" t="n">
        <v>60908.2</v>
      </c>
      <c r="N31" s="97" t="n">
        <v>260</v>
      </c>
      <c r="O31" s="97" t="n">
        <v>5860.29</v>
      </c>
      <c r="P31" s="97" t="n">
        <v>2058.94736842105</v>
      </c>
      <c r="Q31" s="97" t="n">
        <v>41437.3768421053</v>
      </c>
    </row>
    <row r="32" customFormat="false" ht="13.5" hidden="false" customHeight="true" outlineLevel="0" collapsed="false">
      <c r="A32" s="101" t="n">
        <v>31</v>
      </c>
      <c r="B32" s="95" t="s">
        <v>84</v>
      </c>
      <c r="C32" s="95" t="s">
        <v>84</v>
      </c>
      <c r="D32" s="95" t="s">
        <v>85</v>
      </c>
      <c r="E32" s="95" t="s">
        <v>86</v>
      </c>
      <c r="F32" s="96" t="n">
        <v>31722.98</v>
      </c>
      <c r="G32" s="96" t="n">
        <v>81786.57</v>
      </c>
      <c r="H32" s="96" t="n">
        <v>85000</v>
      </c>
      <c r="I32" s="96" t="n">
        <v>17500</v>
      </c>
      <c r="K32" s="97" t="n">
        <v>3060</v>
      </c>
      <c r="L32" s="97" t="n">
        <v>81786.57</v>
      </c>
      <c r="N32" s="97" t="n">
        <v>5</v>
      </c>
      <c r="O32" s="97" t="n">
        <v>86.54</v>
      </c>
      <c r="P32" s="97" t="n">
        <v>851.368421052631</v>
      </c>
      <c r="Q32" s="97" t="n">
        <v>12678.5052631579</v>
      </c>
    </row>
    <row r="33" customFormat="false" ht="13.5" hidden="false" customHeight="true" outlineLevel="0" collapsed="false">
      <c r="A33" s="101"/>
      <c r="B33" s="95"/>
      <c r="C33" s="95"/>
      <c r="D33" s="95" t="s">
        <v>134</v>
      </c>
      <c r="E33" s="95" t="s">
        <v>135</v>
      </c>
      <c r="F33" s="96" t="n">
        <v>0</v>
      </c>
      <c r="G33" s="96" t="n">
        <v>0</v>
      </c>
      <c r="H33" s="96" t="n">
        <v>0</v>
      </c>
      <c r="I33" s="96" t="n">
        <v>0</v>
      </c>
      <c r="K33" s="100"/>
      <c r="L33" s="100"/>
      <c r="N33" s="100"/>
      <c r="O33" s="100"/>
      <c r="P33" s="100"/>
      <c r="Q33" s="100"/>
    </row>
    <row r="34" customFormat="false" ht="13.5" hidden="false" customHeight="true" outlineLevel="0" collapsed="false">
      <c r="A34" s="101" t="n">
        <v>32</v>
      </c>
      <c r="B34" s="95" t="s">
        <v>136</v>
      </c>
      <c r="C34" s="95" t="s">
        <v>87</v>
      </c>
      <c r="D34" s="95" t="s">
        <v>88</v>
      </c>
      <c r="E34" s="95" t="s">
        <v>89</v>
      </c>
      <c r="F34" s="96" t="n">
        <v>35826.78</v>
      </c>
      <c r="G34" s="96" t="n">
        <v>39713.57</v>
      </c>
      <c r="H34" s="96" t="n">
        <v>40000</v>
      </c>
      <c r="I34" s="96" t="n">
        <v>38792.66</v>
      </c>
      <c r="K34" s="97" t="n">
        <v>1359</v>
      </c>
      <c r="L34" s="97" t="n">
        <v>39713.57</v>
      </c>
      <c r="N34" s="97" t="n">
        <v>56</v>
      </c>
      <c r="O34" s="97" t="n">
        <v>1430.29</v>
      </c>
      <c r="P34" s="97" t="n">
        <v>1935.15789473684</v>
      </c>
      <c r="Q34" s="97" t="n">
        <v>46917.1452631579</v>
      </c>
    </row>
    <row r="35" customFormat="false" ht="13.5" hidden="false" customHeight="true" outlineLevel="0" collapsed="false">
      <c r="A35" s="101" t="n">
        <v>33</v>
      </c>
      <c r="B35" s="95" t="s">
        <v>137</v>
      </c>
      <c r="C35" s="95" t="s">
        <v>90</v>
      </c>
      <c r="D35" s="95" t="s">
        <v>91</v>
      </c>
      <c r="E35" s="95" t="s">
        <v>92</v>
      </c>
      <c r="F35" s="96" t="n">
        <v>59175.03</v>
      </c>
      <c r="G35" s="96" t="n">
        <v>53863.18</v>
      </c>
      <c r="H35" s="96" t="n">
        <v>80000</v>
      </c>
      <c r="I35" s="96" t="n">
        <v>25000</v>
      </c>
      <c r="K35" s="97" t="n">
        <v>1737</v>
      </c>
      <c r="L35" s="97" t="n">
        <v>53863.18</v>
      </c>
      <c r="N35" s="97" t="n">
        <v>0</v>
      </c>
      <c r="O35" s="97" t="n">
        <v>0</v>
      </c>
      <c r="P35" s="97" t="n">
        <v>1235.36842105263</v>
      </c>
      <c r="Q35" s="97" t="n">
        <v>32975.6463157895</v>
      </c>
    </row>
    <row r="36" customFormat="false" ht="14.25" hidden="false" customHeight="true" outlineLevel="0" collapsed="false">
      <c r="A36" s="101"/>
      <c r="B36" s="95" t="s">
        <v>138</v>
      </c>
      <c r="C36" s="95" t="s">
        <v>138</v>
      </c>
      <c r="D36" s="95" t="s">
        <v>139</v>
      </c>
      <c r="E36" s="95" t="s">
        <v>78</v>
      </c>
      <c r="F36" s="96" t="n">
        <v>41531.96</v>
      </c>
      <c r="G36" s="96" t="n">
        <v>0</v>
      </c>
      <c r="H36" s="96" t="n">
        <v>0</v>
      </c>
      <c r="I36" s="96" t="n">
        <v>0</v>
      </c>
      <c r="K36" s="100"/>
      <c r="L36" s="100"/>
      <c r="N36" s="100"/>
      <c r="O36" s="100"/>
      <c r="P36" s="100"/>
      <c r="Q36" s="100"/>
    </row>
    <row r="37" customFormat="false" ht="14.25" hidden="false" customHeight="true" outlineLevel="0" collapsed="false">
      <c r="A37" s="101" t="n">
        <v>34</v>
      </c>
      <c r="B37" s="95" t="s">
        <v>140</v>
      </c>
      <c r="C37" s="95" t="s">
        <v>140</v>
      </c>
      <c r="D37" s="95" t="s">
        <v>93</v>
      </c>
      <c r="E37" s="95" t="s">
        <v>141</v>
      </c>
      <c r="F37" s="96" t="n">
        <v>22310.96</v>
      </c>
      <c r="G37" s="96" t="n">
        <v>0</v>
      </c>
      <c r="H37" s="96" t="n">
        <v>0</v>
      </c>
      <c r="I37" s="96" t="n">
        <v>0</v>
      </c>
      <c r="K37" s="100"/>
      <c r="L37" s="100"/>
      <c r="N37" s="100"/>
      <c r="O37" s="100"/>
      <c r="P37" s="100"/>
      <c r="Q37" s="100"/>
    </row>
    <row r="38" customFormat="false" ht="13.5" hidden="false" customHeight="true" outlineLevel="0" collapsed="false">
      <c r="A38" s="101" t="n">
        <v>35</v>
      </c>
      <c r="B38" s="95" t="s">
        <v>94</v>
      </c>
      <c r="C38" s="95" t="s">
        <v>94</v>
      </c>
      <c r="D38" s="95" t="s">
        <v>95</v>
      </c>
      <c r="E38" s="95" t="s">
        <v>51</v>
      </c>
      <c r="F38" s="96" t="n">
        <v>161574.82</v>
      </c>
      <c r="G38" s="96" t="n">
        <v>248.59</v>
      </c>
      <c r="H38" s="96" t="n">
        <v>600000</v>
      </c>
      <c r="I38" s="96" t="n">
        <v>0</v>
      </c>
      <c r="K38" s="97" t="n">
        <v>24</v>
      </c>
      <c r="L38" s="97" t="n">
        <v>248.59</v>
      </c>
      <c r="N38" s="97" t="n">
        <v>0</v>
      </c>
      <c r="O38" s="97" t="n">
        <v>0</v>
      </c>
      <c r="P38" s="97" t="n">
        <v>0</v>
      </c>
      <c r="Q38" s="97" t="n">
        <v>0</v>
      </c>
    </row>
    <row r="39" customFormat="false" ht="13.5" hidden="false" customHeight="true" outlineLevel="0" collapsed="false">
      <c r="A39" s="101" t="n">
        <v>36</v>
      </c>
      <c r="B39" s="95"/>
      <c r="C39" s="95" t="s">
        <v>97</v>
      </c>
      <c r="D39" s="95" t="s">
        <v>97</v>
      </c>
      <c r="E39" s="95"/>
      <c r="F39" s="96" t="n">
        <v>0</v>
      </c>
      <c r="G39" s="96" t="n">
        <v>0</v>
      </c>
      <c r="H39" s="96" t="n">
        <v>400000</v>
      </c>
      <c r="I39" s="96" t="n">
        <v>100000</v>
      </c>
      <c r="K39" s="96"/>
      <c r="L39" s="96"/>
      <c r="N39" s="96"/>
      <c r="O39" s="96"/>
      <c r="P39" s="96"/>
      <c r="Q39" s="96"/>
    </row>
    <row r="40" customFormat="false" ht="13.5" hidden="false" customHeight="true" outlineLevel="0" collapsed="false">
      <c r="A40" s="101" t="n">
        <v>37</v>
      </c>
      <c r="B40" s="95"/>
      <c r="C40" s="95"/>
      <c r="D40" s="95" t="s">
        <v>142</v>
      </c>
      <c r="E40" s="95"/>
      <c r="F40" s="96"/>
      <c r="G40" s="96"/>
      <c r="H40" s="96"/>
      <c r="I40" s="96"/>
      <c r="K40" s="96"/>
      <c r="L40" s="96"/>
      <c r="N40" s="96"/>
      <c r="O40" s="96"/>
      <c r="P40" s="96"/>
      <c r="Q40" s="96"/>
    </row>
    <row r="41" customFormat="false" ht="13.5" hidden="false" customHeight="true" outlineLevel="0" collapsed="false">
      <c r="A41" s="101" t="n">
        <v>38</v>
      </c>
      <c r="B41" s="95"/>
      <c r="C41" s="95" t="s">
        <v>97</v>
      </c>
      <c r="D41" s="95" t="s">
        <v>143</v>
      </c>
      <c r="E41" s="95"/>
      <c r="F41" s="96" t="n">
        <v>0</v>
      </c>
      <c r="G41" s="96" t="n">
        <v>0</v>
      </c>
      <c r="H41" s="96"/>
      <c r="I41" s="96"/>
      <c r="K41" s="96"/>
      <c r="L41" s="96"/>
      <c r="N41" s="96"/>
      <c r="O41" s="96"/>
      <c r="P41" s="96"/>
      <c r="Q41" s="96"/>
    </row>
    <row r="42" customFormat="false" ht="15" hidden="false" customHeight="true" outlineLevel="0" collapsed="false">
      <c r="A42" s="101"/>
      <c r="B42" s="104"/>
      <c r="C42" s="104" t="s">
        <v>98</v>
      </c>
      <c r="D42" s="104" t="s">
        <v>98</v>
      </c>
      <c r="E42" s="104"/>
      <c r="F42" s="104" t="n">
        <f aca="false">SUM(F20:F41)</f>
        <v>7648509.62</v>
      </c>
      <c r="G42" s="104" t="n">
        <f aca="false">SUM(G20:G41)</f>
        <v>5973375.8</v>
      </c>
      <c r="H42" s="104" t="n">
        <f aca="false">SUM(H20:H41)</f>
        <v>9781372.5132875</v>
      </c>
      <c r="I42" s="104" t="n">
        <f aca="false">SUM(I20:I41)</f>
        <v>6772380.94</v>
      </c>
      <c r="K42" s="104" t="n">
        <f aca="false">SUM(K20:K41)</f>
        <v>172233</v>
      </c>
      <c r="L42" s="104" t="n">
        <f aca="false">SUM(L20:L41)</f>
        <v>5974656.78</v>
      </c>
      <c r="N42" s="104" t="n">
        <f aca="false">SUM(N20:N41)</f>
        <v>3155</v>
      </c>
      <c r="O42" s="104"/>
      <c r="P42" s="104"/>
      <c r="Q42" s="104" t="n">
        <f aca="false">SUM(Q20:Q41)</f>
        <v>4712312.79157895</v>
      </c>
    </row>
    <row r="43" customFormat="false" ht="15" hidden="false" customHeight="true" outlineLevel="0" collapsed="false">
      <c r="A43" s="101"/>
      <c r="B43" s="105"/>
      <c r="C43" s="105" t="s">
        <v>144</v>
      </c>
      <c r="D43" s="105" t="s">
        <v>144</v>
      </c>
      <c r="E43" s="105"/>
      <c r="F43" s="105" t="n">
        <f aca="false">F42+F19</f>
        <v>25012791.934</v>
      </c>
      <c r="G43" s="105" t="n">
        <f aca="false">G42+G19</f>
        <v>24119651.232</v>
      </c>
      <c r="H43" s="105" t="n">
        <f aca="false">H42+H19</f>
        <v>41241479.2126095</v>
      </c>
      <c r="I43" s="105" t="n">
        <f aca="false">I42+I19</f>
        <v>31924454.0205594</v>
      </c>
      <c r="K43" s="105" t="n">
        <f aca="false">K42+K19</f>
        <v>686291</v>
      </c>
      <c r="L43" s="105" t="n">
        <f aca="false">L42+L19</f>
        <v>24947360.81</v>
      </c>
      <c r="N43" s="105" t="n">
        <f aca="false">N42+N19</f>
        <v>9165</v>
      </c>
      <c r="O43" s="105"/>
      <c r="P43" s="105"/>
      <c r="Q43" s="105" t="n">
        <f aca="false">Q42+Q19</f>
        <v>23468041.6421053</v>
      </c>
    </row>
    <row r="44" customFormat="false" ht="15" hidden="false" customHeight="true" outlineLevel="0" collapsed="false">
      <c r="B44" s="106"/>
      <c r="C44" s="106" t="s">
        <v>145</v>
      </c>
      <c r="D44" s="106" t="s">
        <v>145</v>
      </c>
      <c r="E44" s="106"/>
      <c r="F44" s="107" t="n">
        <f aca="false">F42/F43</f>
        <v>0.305783922090015</v>
      </c>
      <c r="G44" s="107" t="n">
        <f aca="false">G42/G43</f>
        <v>0.247655977383081</v>
      </c>
      <c r="H44" s="107" t="n">
        <f aca="false">H42/H43</f>
        <v>0.237173173708495</v>
      </c>
      <c r="I44" s="107" t="n">
        <f aca="false">I42/I43</f>
        <v>0.212137721623636</v>
      </c>
      <c r="K44" s="107" t="n">
        <f aca="false">IFERROR(K42/K43,"")</f>
        <v>0.25096205545461</v>
      </c>
      <c r="L44" s="107" t="n">
        <f aca="false">IFERROR(L42/L43,"")</f>
        <v>0.239490534710393</v>
      </c>
      <c r="N44" s="107" t="n">
        <f aca="false">IFERROR(N42/N43,"")</f>
        <v>0.344244408074195</v>
      </c>
      <c r="O44" s="107"/>
      <c r="P44" s="107"/>
      <c r="Q44" s="107" t="n">
        <f aca="false">IFERROR(Q42/Q43,"")</f>
        <v>0.20079701849192</v>
      </c>
    </row>
    <row r="46" customFormat="false" ht="15" hidden="false" customHeight="true" outlineLevel="0" collapsed="false">
      <c r="D46" s="92"/>
      <c r="E46" s="5"/>
      <c r="F46" s="93" t="n">
        <v>2024</v>
      </c>
      <c r="G46" s="93" t="n">
        <v>2025</v>
      </c>
      <c r="H46" s="93" t="s">
        <v>102</v>
      </c>
      <c r="I46" s="93" t="s">
        <v>103</v>
      </c>
      <c r="K46" s="93" t="s">
        <v>103</v>
      </c>
    </row>
    <row r="47" customFormat="false" ht="15" hidden="false" customHeight="true" outlineLevel="0" collapsed="false">
      <c r="D47" s="103" t="s">
        <v>146</v>
      </c>
      <c r="E47" s="5"/>
      <c r="F47" s="108" t="n">
        <f aca="false">F16</f>
        <v>16644964.924</v>
      </c>
      <c r="G47" s="108" t="n">
        <f aca="false">G16</f>
        <v>16462691.402</v>
      </c>
      <c r="H47" s="108" t="n">
        <f aca="false">H16</f>
        <v>20641000</v>
      </c>
      <c r="I47" s="108" t="n">
        <f aca="false">I16</f>
        <v>17499549.047</v>
      </c>
      <c r="K47" s="108" t="n">
        <f aca="false">K16</f>
        <v>493173</v>
      </c>
    </row>
    <row r="48" customFormat="false" ht="15" hidden="false" customHeight="true" outlineLevel="0" collapsed="false">
      <c r="D48" s="103" t="s">
        <v>147</v>
      </c>
      <c r="E48" s="5"/>
      <c r="F48" s="108" t="n">
        <f aca="false">F17+F18</f>
        <v>719317.39</v>
      </c>
      <c r="G48" s="108" t="n">
        <f aca="false">G17+G18</f>
        <v>1683584.03</v>
      </c>
      <c r="H48" s="108" t="n">
        <f aca="false">H17+H18</f>
        <v>10819106.699322</v>
      </c>
      <c r="I48" s="108" t="n">
        <f aca="false">I17+I18</f>
        <v>7652524.03355935</v>
      </c>
      <c r="K48" s="108" t="n">
        <f aca="false">K17+K18</f>
        <v>20885</v>
      </c>
    </row>
    <row r="49" customFormat="false" ht="15" hidden="false" customHeight="true" outlineLevel="0" collapsed="false">
      <c r="D49" s="109" t="s">
        <v>148</v>
      </c>
      <c r="E49" s="5"/>
      <c r="F49" s="110" t="n">
        <f aca="false">SUM(F47:F48)</f>
        <v>17364282.314</v>
      </c>
      <c r="G49" s="110" t="n">
        <f aca="false">SUM(G47:G48)</f>
        <v>18146275.432</v>
      </c>
      <c r="H49" s="110" t="n">
        <f aca="false">SUM(H47:H48)</f>
        <v>31460106.699322</v>
      </c>
      <c r="I49" s="110" t="n">
        <f aca="false">SUM(I47:I48)</f>
        <v>25152073.0805594</v>
      </c>
      <c r="K49" s="110" t="n">
        <f aca="false">SUM(K47:K48)</f>
        <v>514058</v>
      </c>
    </row>
    <row r="51" customFormat="false" ht="15" hidden="false" customHeight="true" outlineLevel="0" collapsed="false">
      <c r="D51" s="103" t="s">
        <v>149</v>
      </c>
      <c r="E51" s="5"/>
      <c r="F51" s="108" t="n">
        <f aca="false">F20</f>
        <v>3501494.53</v>
      </c>
      <c r="G51" s="108" t="n">
        <f aca="false">G20</f>
        <v>2705391.22</v>
      </c>
      <c r="H51" s="108" t="n">
        <f aca="false">H20</f>
        <v>4776579.3532875</v>
      </c>
      <c r="I51" s="108" t="n">
        <f aca="false">I20</f>
        <v>3098024.51</v>
      </c>
      <c r="K51" s="108" t="n">
        <f aca="false">K20</f>
        <v>27158</v>
      </c>
    </row>
    <row r="52" customFormat="false" ht="15" hidden="false" customHeight="true" outlineLevel="0" collapsed="false">
      <c r="D52" s="103" t="s">
        <v>150</v>
      </c>
      <c r="E52" s="5"/>
      <c r="F52" s="108" t="n">
        <f aca="false">SUM(F21:F41)</f>
        <v>4147015.09</v>
      </c>
      <c r="G52" s="108" t="n">
        <f aca="false">SUM(G21:G41)</f>
        <v>3267984.58</v>
      </c>
      <c r="H52" s="108" t="n">
        <f aca="false">SUM(H21:H41)</f>
        <v>5004793.16</v>
      </c>
      <c r="I52" s="108" t="n">
        <f aca="false">SUM(I21:I41)</f>
        <v>3674356.43</v>
      </c>
      <c r="K52" s="108" t="n">
        <f aca="false">SUM(K21:K41)</f>
        <v>145075</v>
      </c>
    </row>
    <row r="53" customFormat="false" ht="15" hidden="false" customHeight="true" outlineLevel="0" collapsed="false">
      <c r="D53" s="105" t="s">
        <v>151</v>
      </c>
      <c r="E53" s="5"/>
      <c r="F53" s="105" t="n">
        <f aca="false">SUM(F49:F52)</f>
        <v>25012791.934</v>
      </c>
      <c r="G53" s="105" t="n">
        <f aca="false">SUM(G49:G52)</f>
        <v>24119651.232</v>
      </c>
      <c r="H53" s="105" t="n">
        <f aca="false">SUM(H49:H52)</f>
        <v>41241479.2126095</v>
      </c>
      <c r="I53" s="105" t="n">
        <f aca="false">SUM(I49:I52)</f>
        <v>31924454.0205594</v>
      </c>
      <c r="K53" s="105" t="n">
        <f aca="false">SUM(K49:K52)</f>
        <v>686291</v>
      </c>
    </row>
    <row r="54" customFormat="false" ht="14.25" hidden="false" customHeight="true" outlineLevel="0" collapsed="false">
      <c r="D54" s="1" t="s">
        <v>152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A1:AD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L3" activeCellId="0" sqref="L3"/>
    </sheetView>
  </sheetViews>
  <sheetFormatPr defaultColWidth="8.6171875" defaultRowHeight="14.25" zeroHeight="false" outlineLevelRow="0" outlineLevelCol="0"/>
  <cols>
    <col collapsed="false" customWidth="true" hidden="false" outlineLevel="0" max="1" min="1" style="111" width="19.75"/>
    <col collapsed="false" customWidth="true" hidden="false" outlineLevel="0" max="2" min="2" style="111" width="14.75"/>
    <col collapsed="false" customWidth="true" hidden="false" outlineLevel="0" max="5" min="3" style="111" width="9.87"/>
    <col collapsed="false" customWidth="true" hidden="false" outlineLevel="0" max="6" min="6" style="1" width="10.88"/>
    <col collapsed="false" customWidth="true" hidden="false" outlineLevel="0" max="7" min="7" style="1" width="9.25"/>
    <col collapsed="false" customWidth="true" hidden="false" outlineLevel="0" max="8" min="8" style="1" width="10.75"/>
    <col collapsed="false" customWidth="true" hidden="false" outlineLevel="0" max="11" min="11" style="1" width="8.75"/>
    <col collapsed="false" customWidth="true" hidden="false" outlineLevel="0" max="12" min="12" style="1" width="11"/>
    <col collapsed="false" customWidth="true" hidden="false" outlineLevel="0" max="13" min="13" style="1" width="13.38"/>
    <col collapsed="false" customWidth="true" hidden="false" outlineLevel="0" max="14" min="14" style="112" width="15.12"/>
    <col collapsed="false" customWidth="true" hidden="false" outlineLevel="0" max="15" min="15" style="5" width="9"/>
    <col collapsed="false" customWidth="true" hidden="false" outlineLevel="0" max="16" min="16" style="1" width="10"/>
  </cols>
  <sheetData>
    <row r="1" customFormat="false" ht="15" hidden="false" customHeight="true" outlineLevel="0" collapsed="false">
      <c r="C1" s="113" t="s">
        <v>153</v>
      </c>
      <c r="D1" s="113"/>
      <c r="E1" s="113"/>
      <c r="F1" s="113"/>
      <c r="G1" s="113"/>
      <c r="H1" s="113"/>
      <c r="J1" s="114" t="s">
        <v>102</v>
      </c>
      <c r="K1" s="114"/>
      <c r="L1" s="114"/>
    </row>
    <row r="2" s="116" customFormat="true" ht="15" hidden="false" customHeight="true" outlineLevel="0" collapsed="false">
      <c r="A2" s="115" t="s">
        <v>154</v>
      </c>
      <c r="B2" s="111" t="s">
        <v>155</v>
      </c>
      <c r="C2" s="111" t="s">
        <v>13</v>
      </c>
      <c r="D2" s="111" t="s">
        <v>14</v>
      </c>
      <c r="E2" s="111" t="s">
        <v>15</v>
      </c>
      <c r="F2" s="116" t="s">
        <v>156</v>
      </c>
      <c r="G2" s="116" t="s">
        <v>157</v>
      </c>
      <c r="H2" s="116" t="s">
        <v>158</v>
      </c>
      <c r="J2" s="116" t="s">
        <v>159</v>
      </c>
      <c r="K2" s="116" t="s">
        <v>157</v>
      </c>
      <c r="L2" s="116" t="s">
        <v>158</v>
      </c>
      <c r="M2" s="116" t="s">
        <v>160</v>
      </c>
      <c r="N2" s="117" t="s">
        <v>161</v>
      </c>
      <c r="O2" s="118" t="s">
        <v>162</v>
      </c>
    </row>
    <row r="3" customFormat="false" ht="14.25" hidden="false" customHeight="true" outlineLevel="0" collapsed="false">
      <c r="A3" s="111" t="s">
        <v>163</v>
      </c>
      <c r="B3" s="111" t="n">
        <v>2025</v>
      </c>
      <c r="C3" s="5" t="n">
        <f aca="false">50*6</f>
        <v>300</v>
      </c>
      <c r="D3" s="5" t="n">
        <f aca="false">100*6</f>
        <v>600</v>
      </c>
      <c r="E3" s="5" t="n">
        <f aca="false">50*6</f>
        <v>300</v>
      </c>
      <c r="F3" s="5" t="n">
        <f aca="false">SUM(C3:E3)</f>
        <v>1200</v>
      </c>
      <c r="G3" s="5" t="n">
        <v>90</v>
      </c>
      <c r="H3" s="5" t="n">
        <f aca="false">F3*G3</f>
        <v>108000</v>
      </c>
      <c r="I3" s="5" t="s">
        <v>164</v>
      </c>
      <c r="J3" s="5" t="n">
        <f aca="false">60*12*6/2</f>
        <v>2160</v>
      </c>
      <c r="K3" s="5" t="n">
        <f aca="false">G3</f>
        <v>90</v>
      </c>
      <c r="L3" s="5" t="n">
        <f aca="false">J3*K3</f>
        <v>194400</v>
      </c>
      <c r="M3" s="5" t="s">
        <v>38</v>
      </c>
      <c r="N3" s="119" t="s">
        <v>165</v>
      </c>
      <c r="O3" s="5" t="n">
        <v>3000</v>
      </c>
      <c r="P3" s="5"/>
    </row>
    <row r="4" customFormat="false" ht="15" hidden="false" customHeight="true" outlineLevel="0" collapsed="false">
      <c r="A4" s="111" t="s">
        <v>166</v>
      </c>
      <c r="B4" s="111" t="n">
        <v>2025</v>
      </c>
      <c r="C4" s="5" t="n">
        <f aca="false">12*50</f>
        <v>600</v>
      </c>
      <c r="D4" s="5" t="n">
        <f aca="false">12*50+6*50</f>
        <v>900</v>
      </c>
      <c r="E4" s="5" t="n">
        <v>200</v>
      </c>
      <c r="F4" s="5" t="n">
        <f aca="false">SUM(C4:E4)</f>
        <v>1700</v>
      </c>
      <c r="G4" s="5" t="n">
        <v>100</v>
      </c>
      <c r="H4" s="5" t="n">
        <f aca="false">F4*G4</f>
        <v>170000</v>
      </c>
      <c r="I4" s="5" t="s">
        <v>164</v>
      </c>
      <c r="J4" s="5" t="n">
        <f aca="false">80*12*6/2</f>
        <v>2880</v>
      </c>
      <c r="K4" s="5" t="n">
        <f aca="false">G4</f>
        <v>100</v>
      </c>
      <c r="L4" s="5" t="n">
        <f aca="false">J4*K4</f>
        <v>288000</v>
      </c>
      <c r="M4" s="5" t="s">
        <v>38</v>
      </c>
      <c r="N4" s="119" t="s">
        <v>167</v>
      </c>
      <c r="O4" s="5" t="n">
        <v>3000</v>
      </c>
    </row>
    <row r="5" customFormat="false" ht="14.25" hidden="false" customHeight="true" outlineLevel="0" collapsed="false">
      <c r="A5" s="120" t="s">
        <v>168</v>
      </c>
      <c r="B5" s="111" t="n">
        <v>2025</v>
      </c>
      <c r="D5" s="5" t="n">
        <v>600</v>
      </c>
      <c r="F5" s="5" t="n">
        <f aca="false">SUM(C5:E5)</f>
        <v>600</v>
      </c>
      <c r="G5" s="5" t="n">
        <v>50</v>
      </c>
      <c r="H5" s="5" t="n">
        <f aca="false">F5*G5</f>
        <v>30000</v>
      </c>
      <c r="I5" s="5" t="s">
        <v>164</v>
      </c>
      <c r="J5" s="121" t="n">
        <v>2000</v>
      </c>
      <c r="K5" s="5" t="n">
        <f aca="false">G5</f>
        <v>50</v>
      </c>
      <c r="L5" s="5" t="n">
        <f aca="false">J5*K5</f>
        <v>100000</v>
      </c>
      <c r="M5" s="5" t="s">
        <v>33</v>
      </c>
      <c r="N5" s="119" t="s">
        <v>169</v>
      </c>
      <c r="P5" s="122" t="s">
        <v>170</v>
      </c>
      <c r="Q5" s="123" t="s">
        <v>4</v>
      </c>
      <c r="R5" s="123" t="s">
        <v>5</v>
      </c>
      <c r="S5" s="123" t="s">
        <v>6</v>
      </c>
      <c r="T5" s="123" t="s">
        <v>7</v>
      </c>
      <c r="U5" s="123" t="s">
        <v>8</v>
      </c>
      <c r="V5" s="123" t="s">
        <v>9</v>
      </c>
      <c r="W5" s="123" t="s">
        <v>10</v>
      </c>
      <c r="X5" s="123" t="s">
        <v>11</v>
      </c>
      <c r="Y5" s="123" t="s">
        <v>12</v>
      </c>
      <c r="Z5" s="123" t="s">
        <v>13</v>
      </c>
      <c r="AA5" s="123" t="s">
        <v>14</v>
      </c>
      <c r="AB5" s="123" t="s">
        <v>15</v>
      </c>
      <c r="AC5" s="124"/>
    </row>
    <row r="6" customFormat="false" ht="14.25" hidden="false" customHeight="true" outlineLevel="0" collapsed="false">
      <c r="A6" s="111" t="s">
        <v>170</v>
      </c>
      <c r="B6" s="125" t="n">
        <v>46023</v>
      </c>
      <c r="F6" s="5" t="n">
        <f aca="false">SUM(C6:E6)</f>
        <v>0</v>
      </c>
      <c r="G6" s="5" t="n">
        <v>70</v>
      </c>
      <c r="H6" s="5" t="n">
        <f aca="false">F6*G6</f>
        <v>0</v>
      </c>
      <c r="I6" s="5" t="s">
        <v>164</v>
      </c>
      <c r="J6" s="121" t="n">
        <v>1000</v>
      </c>
      <c r="K6" s="5" t="n">
        <f aca="false">G6</f>
        <v>70</v>
      </c>
      <c r="L6" s="5" t="n">
        <f aca="false">J6*K6</f>
        <v>70000</v>
      </c>
      <c r="M6" s="5" t="s">
        <v>38</v>
      </c>
      <c r="N6" s="119" t="s">
        <v>171</v>
      </c>
      <c r="O6" s="5" t="n">
        <v>300</v>
      </c>
      <c r="P6" s="126" t="s">
        <v>172</v>
      </c>
      <c r="Q6" s="1" t="n">
        <v>70</v>
      </c>
      <c r="R6" s="1" t="n">
        <v>20</v>
      </c>
      <c r="S6" s="1" t="n">
        <v>30</v>
      </c>
      <c r="T6" s="1" t="n">
        <v>20</v>
      </c>
      <c r="U6" s="1" t="n">
        <v>20</v>
      </c>
      <c r="V6" s="1" t="n">
        <v>30</v>
      </c>
      <c r="W6" s="1" t="n">
        <v>25</v>
      </c>
      <c r="X6" s="1" t="n">
        <v>25</v>
      </c>
      <c r="Y6" s="1" t="n">
        <v>10</v>
      </c>
      <c r="Z6" s="1" t="n">
        <v>10</v>
      </c>
      <c r="AA6" s="1" t="n">
        <v>30</v>
      </c>
      <c r="AB6" s="1" t="n">
        <v>10</v>
      </c>
      <c r="AC6" s="127" t="n">
        <f aca="false">SUM(Q6:AB6)</f>
        <v>300</v>
      </c>
    </row>
    <row r="7" customFormat="false" ht="14.25" hidden="false" customHeight="true" outlineLevel="0" collapsed="false">
      <c r="A7" s="111" t="s">
        <v>173</v>
      </c>
      <c r="B7" s="125" t="n">
        <v>46023</v>
      </c>
      <c r="F7" s="5" t="n">
        <f aca="false">SUM(C7:E7)</f>
        <v>0</v>
      </c>
      <c r="G7" s="5" t="n">
        <v>350</v>
      </c>
      <c r="H7" s="5" t="n">
        <f aca="false">F7*G7</f>
        <v>0</v>
      </c>
      <c r="I7" s="5" t="s">
        <v>164</v>
      </c>
      <c r="J7" s="5" t="n">
        <v>220</v>
      </c>
      <c r="K7" s="5" t="n">
        <f aca="false">G7</f>
        <v>350</v>
      </c>
      <c r="L7" s="5" t="n">
        <f aca="false">J7*K7</f>
        <v>77000</v>
      </c>
      <c r="M7" s="5" t="s">
        <v>38</v>
      </c>
      <c r="N7" s="119" t="s">
        <v>171</v>
      </c>
      <c r="O7" s="5" t="n">
        <v>220</v>
      </c>
      <c r="P7" s="126" t="s">
        <v>174</v>
      </c>
      <c r="Q7" s="1" t="n">
        <v>2</v>
      </c>
      <c r="R7" s="1" t="n">
        <v>2</v>
      </c>
      <c r="S7" s="1" t="n">
        <v>2</v>
      </c>
      <c r="T7" s="1" t="n">
        <v>2</v>
      </c>
      <c r="U7" s="1" t="n">
        <v>2</v>
      </c>
      <c r="V7" s="1" t="n">
        <v>2</v>
      </c>
      <c r="W7" s="1" t="n">
        <v>2</v>
      </c>
      <c r="X7" s="1" t="n">
        <v>2</v>
      </c>
      <c r="Y7" s="1" t="n">
        <v>2</v>
      </c>
      <c r="Z7" s="1" t="n">
        <v>2</v>
      </c>
      <c r="AA7" s="1" t="n">
        <v>2</v>
      </c>
      <c r="AB7" s="1" t="n">
        <v>2</v>
      </c>
      <c r="AC7" s="127"/>
      <c r="AD7" s="1" t="s">
        <v>175</v>
      </c>
    </row>
    <row r="8" customFormat="false" ht="15" hidden="false" customHeight="true" outlineLevel="0" collapsed="false">
      <c r="A8" s="111" t="s">
        <v>176</v>
      </c>
      <c r="B8" s="111" t="s">
        <v>8</v>
      </c>
      <c r="C8" s="5"/>
      <c r="D8" s="5"/>
      <c r="E8" s="5"/>
      <c r="F8" s="5"/>
      <c r="G8" s="5"/>
      <c r="H8" s="5" t="n">
        <f aca="false">F8*G8</f>
        <v>0</v>
      </c>
      <c r="I8" s="5" t="s">
        <v>164</v>
      </c>
      <c r="J8" s="5" t="n">
        <f aca="false">$AC$13</f>
        <v>280</v>
      </c>
      <c r="K8" s="5" t="n">
        <v>70</v>
      </c>
      <c r="L8" s="5" t="n">
        <f aca="false">J8*K8</f>
        <v>19600</v>
      </c>
      <c r="M8" s="5" t="s">
        <v>38</v>
      </c>
      <c r="P8" s="128"/>
      <c r="Q8" s="129" t="n">
        <f aca="false">Q6*2</f>
        <v>140</v>
      </c>
      <c r="R8" s="129" t="n">
        <f aca="false">R6*2</f>
        <v>40</v>
      </c>
      <c r="S8" s="129" t="n">
        <f aca="false">S6*2</f>
        <v>60</v>
      </c>
      <c r="T8" s="129" t="n">
        <f aca="false">T6*2</f>
        <v>40</v>
      </c>
      <c r="U8" s="129" t="n">
        <f aca="false">U6*2</f>
        <v>40</v>
      </c>
      <c r="V8" s="129" t="n">
        <f aca="false">V6*2</f>
        <v>60</v>
      </c>
      <c r="W8" s="129" t="n">
        <f aca="false">W6*2</f>
        <v>50</v>
      </c>
      <c r="X8" s="129" t="n">
        <f aca="false">X6*2</f>
        <v>50</v>
      </c>
      <c r="Y8" s="129" t="n">
        <f aca="false">Y6*2</f>
        <v>20</v>
      </c>
      <c r="Z8" s="129" t="n">
        <f aca="false">Z6*2</f>
        <v>20</v>
      </c>
      <c r="AA8" s="129" t="n">
        <f aca="false">AA6*2</f>
        <v>60</v>
      </c>
      <c r="AB8" s="129" t="n">
        <f aca="false">AB6*2</f>
        <v>20</v>
      </c>
      <c r="AC8" s="130" t="n">
        <f aca="false">SUM(Q8:AB8)</f>
        <v>600</v>
      </c>
      <c r="AD8" s="1" t="n">
        <v>333</v>
      </c>
    </row>
    <row r="9" customFormat="false" ht="15" hidden="false" customHeight="true" outlineLevel="0" collapsed="false">
      <c r="A9" s="111" t="s">
        <v>177</v>
      </c>
      <c r="B9" s="111" t="s">
        <v>8</v>
      </c>
      <c r="C9" s="5"/>
      <c r="D9" s="5"/>
      <c r="E9" s="5"/>
      <c r="F9" s="5"/>
      <c r="G9" s="5"/>
      <c r="H9" s="5"/>
      <c r="I9" s="5" t="s">
        <v>164</v>
      </c>
      <c r="J9" s="5" t="n">
        <f aca="false">$AC$13</f>
        <v>280</v>
      </c>
      <c r="K9" s="5" t="n">
        <v>80</v>
      </c>
      <c r="L9" s="5" t="n">
        <f aca="false">J9*K9</f>
        <v>22400</v>
      </c>
      <c r="M9" s="5" t="s">
        <v>38</v>
      </c>
    </row>
    <row r="10" customFormat="false" ht="14.25" hidden="false" customHeight="true" outlineLevel="0" collapsed="false">
      <c r="A10" s="111" t="s">
        <v>178</v>
      </c>
      <c r="B10" s="111" t="s">
        <v>8</v>
      </c>
      <c r="C10" s="5"/>
      <c r="D10" s="5"/>
      <c r="E10" s="5"/>
      <c r="F10" s="5"/>
      <c r="G10" s="5"/>
      <c r="H10" s="5"/>
      <c r="I10" s="5" t="s">
        <v>164</v>
      </c>
      <c r="J10" s="5" t="n">
        <v>200</v>
      </c>
      <c r="K10" s="5" t="n">
        <v>260</v>
      </c>
      <c r="L10" s="5" t="n">
        <f aca="false">J10*K10</f>
        <v>52000</v>
      </c>
      <c r="M10" s="5" t="s">
        <v>38</v>
      </c>
      <c r="P10" s="122" t="s">
        <v>179</v>
      </c>
      <c r="Q10" s="123" t="s">
        <v>4</v>
      </c>
      <c r="R10" s="123" t="s">
        <v>5</v>
      </c>
      <c r="S10" s="123" t="s">
        <v>6</v>
      </c>
      <c r="T10" s="123" t="s">
        <v>7</v>
      </c>
      <c r="U10" s="123" t="s">
        <v>8</v>
      </c>
      <c r="V10" s="123" t="s">
        <v>9</v>
      </c>
      <c r="W10" s="123" t="s">
        <v>10</v>
      </c>
      <c r="X10" s="123" t="s">
        <v>11</v>
      </c>
      <c r="Y10" s="123" t="s">
        <v>12</v>
      </c>
      <c r="Z10" s="123" t="s">
        <v>13</v>
      </c>
      <c r="AA10" s="123" t="s">
        <v>14</v>
      </c>
      <c r="AB10" s="123" t="s">
        <v>15</v>
      </c>
      <c r="AC10" s="124"/>
      <c r="AD10" s="1" t="s">
        <v>180</v>
      </c>
    </row>
    <row r="11" customFormat="false" ht="14.25" hidden="false" customHeight="true" outlineLevel="0" collapsed="false">
      <c r="A11" s="111" t="s">
        <v>181</v>
      </c>
      <c r="B11" s="5" t="s">
        <v>5</v>
      </c>
      <c r="C11" s="5"/>
      <c r="D11" s="5"/>
      <c r="E11" s="5"/>
      <c r="F11" s="5"/>
      <c r="G11" s="5"/>
      <c r="H11" s="5"/>
      <c r="I11" s="5" t="s">
        <v>164</v>
      </c>
      <c r="J11" s="5" t="n">
        <v>1000</v>
      </c>
      <c r="K11" s="5" t="n">
        <v>24</v>
      </c>
      <c r="L11" s="5" t="n">
        <f aca="false">J11*K11</f>
        <v>24000</v>
      </c>
      <c r="M11" s="5" t="s">
        <v>35</v>
      </c>
      <c r="N11" s="119" t="s">
        <v>182</v>
      </c>
      <c r="O11" s="5" t="n">
        <v>1000</v>
      </c>
      <c r="P11" s="126" t="s">
        <v>172</v>
      </c>
      <c r="V11" s="1" t="n">
        <v>30</v>
      </c>
      <c r="W11" s="1" t="n">
        <v>25</v>
      </c>
      <c r="X11" s="1" t="n">
        <v>25</v>
      </c>
      <c r="Y11" s="1" t="n">
        <v>10</v>
      </c>
      <c r="Z11" s="1" t="n">
        <v>10</v>
      </c>
      <c r="AA11" s="1" t="n">
        <v>30</v>
      </c>
      <c r="AB11" s="1" t="n">
        <v>10</v>
      </c>
      <c r="AC11" s="127" t="n">
        <f aca="false">SUM(Q11:AB11)</f>
        <v>140</v>
      </c>
    </row>
    <row r="12" customFormat="false" ht="14.25" hidden="false" customHeight="true" outlineLevel="0" collapsed="false">
      <c r="A12" s="111" t="s">
        <v>183</v>
      </c>
      <c r="B12" s="5" t="s">
        <v>10</v>
      </c>
      <c r="C12" s="5"/>
      <c r="D12" s="5"/>
      <c r="E12" s="5"/>
      <c r="F12" s="5"/>
      <c r="G12" s="5"/>
      <c r="H12" s="5"/>
      <c r="I12" s="5"/>
      <c r="J12" s="121"/>
      <c r="K12" s="5" t="n">
        <v>130</v>
      </c>
      <c r="L12" s="5" t="n">
        <f aca="false">J12*K12</f>
        <v>0</v>
      </c>
      <c r="M12" s="5" t="s">
        <v>33</v>
      </c>
      <c r="N12" s="119"/>
      <c r="P12" s="126" t="s">
        <v>174</v>
      </c>
      <c r="V12" s="1" t="n">
        <v>5</v>
      </c>
      <c r="W12" s="1" t="n">
        <v>5</v>
      </c>
      <c r="X12" s="1" t="n">
        <v>5</v>
      </c>
      <c r="Y12" s="1" t="n">
        <v>5</v>
      </c>
      <c r="Z12" s="1" t="n">
        <v>5</v>
      </c>
      <c r="AA12" s="1" t="n">
        <v>5</v>
      </c>
      <c r="AB12" s="1" t="n">
        <v>5</v>
      </c>
      <c r="AC12" s="127"/>
    </row>
    <row r="13" customFormat="false" ht="15" hidden="false" customHeight="true" outlineLevel="0" collapsed="false">
      <c r="A13" s="111" t="s">
        <v>184</v>
      </c>
      <c r="B13" s="5"/>
      <c r="C13" s="5"/>
      <c r="D13" s="5"/>
      <c r="E13" s="5"/>
      <c r="F13" s="5"/>
      <c r="G13" s="5"/>
      <c r="H13" s="5"/>
      <c r="I13" s="5" t="s">
        <v>164</v>
      </c>
      <c r="J13" s="5" t="n">
        <v>2000</v>
      </c>
      <c r="K13" s="5" t="n">
        <v>12</v>
      </c>
      <c r="L13" s="5" t="n">
        <f aca="false">J13*K13</f>
        <v>24000</v>
      </c>
      <c r="M13" s="5" t="s">
        <v>38</v>
      </c>
      <c r="N13" s="119" t="s">
        <v>185</v>
      </c>
      <c r="O13" s="5" t="n">
        <v>2016</v>
      </c>
      <c r="P13" s="128"/>
      <c r="Q13" s="129" t="n">
        <f aca="false">Q11*2</f>
        <v>0</v>
      </c>
      <c r="R13" s="129" t="n">
        <f aca="false">R11*2</f>
        <v>0</v>
      </c>
      <c r="S13" s="129" t="n">
        <f aca="false">S11*2</f>
        <v>0</v>
      </c>
      <c r="T13" s="129" t="n">
        <f aca="false">T11*2</f>
        <v>0</v>
      </c>
      <c r="U13" s="129" t="n">
        <f aca="false">U11*2</f>
        <v>0</v>
      </c>
      <c r="V13" s="129" t="n">
        <f aca="false">V11*2</f>
        <v>60</v>
      </c>
      <c r="W13" s="129" t="n">
        <f aca="false">W11*2</f>
        <v>50</v>
      </c>
      <c r="X13" s="129" t="n">
        <f aca="false">X11*2</f>
        <v>50</v>
      </c>
      <c r="Y13" s="129" t="n">
        <f aca="false">Y11*2</f>
        <v>20</v>
      </c>
      <c r="Z13" s="129" t="n">
        <f aca="false">Z11*2</f>
        <v>20</v>
      </c>
      <c r="AA13" s="129" t="n">
        <f aca="false">AA11*2</f>
        <v>60</v>
      </c>
      <c r="AB13" s="129" t="n">
        <f aca="false">AB11*2</f>
        <v>20</v>
      </c>
      <c r="AC13" s="130" t="n">
        <f aca="false">SUM(Q13:AB13)</f>
        <v>280</v>
      </c>
    </row>
    <row r="14" customFormat="false" ht="14.25" hidden="false" customHeight="true" outlineLevel="0" collapsed="false">
      <c r="A14" s="111" t="n">
        <v>59</v>
      </c>
      <c r="B14" s="111" t="s">
        <v>8</v>
      </c>
      <c r="F14" s="5"/>
      <c r="G14" s="5"/>
      <c r="H14" s="5"/>
      <c r="I14" s="5" t="s">
        <v>164</v>
      </c>
      <c r="J14" s="121" t="n">
        <v>500</v>
      </c>
      <c r="K14" s="5" t="n">
        <v>150</v>
      </c>
      <c r="L14" s="5" t="n">
        <f aca="false">J14*K14</f>
        <v>75000</v>
      </c>
      <c r="M14" s="5"/>
    </row>
    <row r="15" customFormat="false" ht="14.25" hidden="false" customHeight="true" outlineLevel="0" collapsed="false">
      <c r="A15" s="120" t="s">
        <v>186</v>
      </c>
      <c r="B15" s="111" t="s">
        <v>7</v>
      </c>
      <c r="F15" s="5" t="n">
        <f aca="false">SUM(C15:E15)</f>
        <v>0</v>
      </c>
      <c r="G15" s="5" t="n">
        <f aca="false">74*0.9*0.91</f>
        <v>60.606</v>
      </c>
      <c r="H15" s="5" t="n">
        <f aca="false">F15*G15</f>
        <v>0</v>
      </c>
      <c r="I15" s="5" t="s">
        <v>164</v>
      </c>
      <c r="J15" s="5" t="n">
        <v>1000</v>
      </c>
      <c r="K15" s="5" t="n">
        <f aca="false">G15</f>
        <v>60.606</v>
      </c>
      <c r="L15" s="5" t="n">
        <f aca="false">J15*K15</f>
        <v>60606</v>
      </c>
      <c r="M15" s="5" t="s">
        <v>33</v>
      </c>
      <c r="N15" s="119" t="s">
        <v>187</v>
      </c>
      <c r="O15" s="5" t="n">
        <f aca="false">1488+50</f>
        <v>1538</v>
      </c>
    </row>
    <row r="16" customFormat="false" ht="14.25" hidden="false" customHeight="true" outlineLevel="0" collapsed="false">
      <c r="A16" s="120" t="s">
        <v>186</v>
      </c>
      <c r="B16" s="111" t="s">
        <v>7</v>
      </c>
      <c r="F16" s="5" t="n">
        <f aca="false">SUM(C16:E16)</f>
        <v>0</v>
      </c>
      <c r="G16" s="5" t="n">
        <v>70</v>
      </c>
      <c r="H16" s="5" t="n">
        <f aca="false">F16*G16</f>
        <v>0</v>
      </c>
      <c r="I16" s="5" t="s">
        <v>164</v>
      </c>
      <c r="J16" s="5" t="n">
        <v>300</v>
      </c>
      <c r="K16" s="5" t="n">
        <f aca="false">G16</f>
        <v>70</v>
      </c>
      <c r="L16" s="5" t="n">
        <f aca="false">J16*K16</f>
        <v>21000</v>
      </c>
      <c r="M16" s="5" t="s">
        <v>38</v>
      </c>
    </row>
    <row r="17" customFormat="false" ht="14.25" hidden="false" customHeight="true" outlineLevel="0" collapsed="false">
      <c r="A17" s="111" t="s">
        <v>188</v>
      </c>
      <c r="F17" s="5"/>
      <c r="G17" s="5"/>
      <c r="H17" s="5"/>
      <c r="I17" s="5" t="s">
        <v>164</v>
      </c>
      <c r="J17" s="5" t="n">
        <v>300</v>
      </c>
      <c r="K17" s="5" t="n">
        <v>140</v>
      </c>
      <c r="L17" s="5" t="n">
        <f aca="false">J17*K17</f>
        <v>42000</v>
      </c>
      <c r="M17" s="5" t="s">
        <v>38</v>
      </c>
    </row>
    <row r="18" customFormat="false" ht="14.25" hidden="false" customHeight="true" outlineLevel="0" collapsed="false">
      <c r="A18" s="131" t="n">
        <v>305</v>
      </c>
      <c r="B18" s="111" t="s">
        <v>8</v>
      </c>
      <c r="F18" s="5"/>
      <c r="G18" s="5"/>
      <c r="H18" s="5"/>
      <c r="I18" s="5" t="s">
        <v>164</v>
      </c>
      <c r="J18" s="5" t="n">
        <v>500</v>
      </c>
      <c r="K18" s="5" t="n">
        <v>75</v>
      </c>
      <c r="L18" s="5" t="n">
        <f aca="false">J18*K18</f>
        <v>37500</v>
      </c>
      <c r="M18" s="5" t="s">
        <v>33</v>
      </c>
      <c r="N18" s="112" t="s">
        <v>189</v>
      </c>
    </row>
    <row r="19" customFormat="false" ht="14.25" hidden="false" customHeight="true" outlineLevel="0" collapsed="false">
      <c r="A19" s="131" t="n">
        <v>305</v>
      </c>
      <c r="B19" s="111" t="s">
        <v>8</v>
      </c>
      <c r="F19" s="5"/>
      <c r="G19" s="5"/>
      <c r="H19" s="5"/>
      <c r="I19" s="5" t="s">
        <v>164</v>
      </c>
      <c r="J19" s="5" t="n">
        <v>300</v>
      </c>
      <c r="K19" s="5" t="n">
        <v>75</v>
      </c>
      <c r="L19" s="5" t="n">
        <f aca="false">J19*K19</f>
        <v>22500</v>
      </c>
      <c r="M19" s="5" t="s">
        <v>38</v>
      </c>
    </row>
    <row r="20" customFormat="false" ht="14.25" hidden="false" customHeight="true" outlineLevel="0" collapsed="false">
      <c r="A20" s="131" t="n">
        <v>305</v>
      </c>
      <c r="B20" s="111" t="s">
        <v>8</v>
      </c>
      <c r="F20" s="5"/>
      <c r="G20" s="5"/>
      <c r="H20" s="5"/>
      <c r="I20" s="5" t="s">
        <v>164</v>
      </c>
      <c r="J20" s="5" t="n">
        <v>200</v>
      </c>
      <c r="K20" s="5" t="n">
        <v>75</v>
      </c>
      <c r="L20" s="5" t="n">
        <f aca="false">J20*K20</f>
        <v>15000</v>
      </c>
      <c r="M20" s="5" t="s">
        <v>35</v>
      </c>
    </row>
    <row r="21" customFormat="false" ht="14.25" hidden="false" customHeight="true" outlineLevel="0" collapsed="false">
      <c r="A21" s="132" t="s">
        <v>190</v>
      </c>
      <c r="B21" s="111" t="n">
        <v>2025</v>
      </c>
      <c r="C21" s="133"/>
      <c r="D21" s="5" t="n">
        <v>20</v>
      </c>
      <c r="E21" s="133"/>
      <c r="F21" s="5" t="n">
        <f aca="false">SUM(C21:E21)</f>
        <v>20</v>
      </c>
      <c r="G21" s="5" t="n">
        <v>550</v>
      </c>
      <c r="H21" s="5" t="n">
        <f aca="false">F21*G21</f>
        <v>11000</v>
      </c>
      <c r="I21" s="5" t="s">
        <v>164</v>
      </c>
      <c r="J21" s="121" t="n">
        <v>100</v>
      </c>
      <c r="K21" s="5" t="n">
        <f aca="false">G21</f>
        <v>550</v>
      </c>
      <c r="L21" s="5" t="n">
        <f aca="false">J21*K21</f>
        <v>55000</v>
      </c>
      <c r="M21" s="5" t="s">
        <v>38</v>
      </c>
      <c r="N21" s="119" t="s">
        <v>191</v>
      </c>
    </row>
    <row r="22" customFormat="false" ht="14.25" hidden="false" customHeight="true" outlineLevel="0" collapsed="false">
      <c r="A22" s="132" t="s">
        <v>192</v>
      </c>
      <c r="B22" s="111" t="n">
        <v>2025</v>
      </c>
      <c r="C22" s="133"/>
      <c r="D22" s="5" t="n">
        <v>20</v>
      </c>
      <c r="E22" s="133"/>
      <c r="F22" s="5" t="n">
        <f aca="false">SUM(C22:E22)</f>
        <v>20</v>
      </c>
      <c r="G22" s="5" t="n">
        <v>550</v>
      </c>
      <c r="H22" s="5" t="n">
        <f aca="false">F22*G22</f>
        <v>11000</v>
      </c>
      <c r="I22" s="5" t="s">
        <v>164</v>
      </c>
      <c r="J22" s="121" t="n">
        <v>100</v>
      </c>
      <c r="K22" s="5" t="n">
        <f aca="false">G22</f>
        <v>550</v>
      </c>
      <c r="L22" s="5" t="n">
        <f aca="false">J22*K22</f>
        <v>55000</v>
      </c>
      <c r="M22" s="5" t="s">
        <v>38</v>
      </c>
      <c r="N22" s="119" t="s">
        <v>191</v>
      </c>
    </row>
    <row r="23" customFormat="false" ht="14.25" hidden="false" customHeight="true" outlineLevel="0" collapsed="false">
      <c r="A23" s="111" t="s">
        <v>193</v>
      </c>
      <c r="B23" s="111" t="s">
        <v>10</v>
      </c>
      <c r="F23" s="5"/>
      <c r="G23" s="5"/>
      <c r="H23" s="5"/>
      <c r="I23" s="5" t="s">
        <v>164</v>
      </c>
      <c r="J23" s="121" t="n">
        <v>200</v>
      </c>
      <c r="K23" s="5" t="n">
        <v>265</v>
      </c>
      <c r="L23" s="5" t="n">
        <f aca="false">J23*K23</f>
        <v>53000</v>
      </c>
      <c r="M23" s="5" t="s">
        <v>38</v>
      </c>
    </row>
    <row r="24" customFormat="false" ht="14.25" hidden="false" customHeight="true" outlineLevel="0" collapsed="false">
      <c r="A24" s="111" t="s">
        <v>194</v>
      </c>
      <c r="B24" s="111" t="s">
        <v>10</v>
      </c>
      <c r="F24" s="5"/>
      <c r="G24" s="5"/>
      <c r="H24" s="5"/>
      <c r="I24" s="5" t="s">
        <v>164</v>
      </c>
      <c r="J24" s="121" t="n">
        <v>50</v>
      </c>
      <c r="K24" s="5" t="n">
        <v>350</v>
      </c>
      <c r="L24" s="5" t="n">
        <f aca="false">J24*K24</f>
        <v>17500</v>
      </c>
      <c r="M24" s="5" t="s">
        <v>38</v>
      </c>
    </row>
    <row r="25" customFormat="false" ht="14.25" hidden="false" customHeight="true" outlineLevel="0" collapsed="false">
      <c r="A25" s="111" t="s">
        <v>195</v>
      </c>
      <c r="B25" s="111" t="s">
        <v>8</v>
      </c>
      <c r="F25" s="5"/>
      <c r="G25" s="5"/>
      <c r="H25" s="5"/>
      <c r="I25" s="5" t="s">
        <v>164</v>
      </c>
      <c r="J25" s="121" t="n">
        <f aca="false">10*6</f>
        <v>60</v>
      </c>
      <c r="K25" s="5" t="n">
        <v>440</v>
      </c>
      <c r="L25" s="5" t="n">
        <f aca="false">J25*K25</f>
        <v>26400</v>
      </c>
      <c r="M25" s="5" t="s">
        <v>38</v>
      </c>
    </row>
    <row r="26" customFormat="false" ht="14.25" hidden="false" customHeight="true" outlineLevel="0" collapsed="false">
      <c r="A26" s="111" t="s">
        <v>196</v>
      </c>
      <c r="B26" s="111" t="s">
        <v>8</v>
      </c>
      <c r="F26" s="5"/>
      <c r="G26" s="5"/>
      <c r="H26" s="5"/>
      <c r="I26" s="5"/>
      <c r="J26" s="121" t="n">
        <v>350</v>
      </c>
      <c r="K26" s="5" t="n">
        <v>160</v>
      </c>
      <c r="L26" s="5" t="n">
        <f aca="false">J26*K26</f>
        <v>56000</v>
      </c>
      <c r="M26" s="5" t="s">
        <v>38</v>
      </c>
    </row>
    <row r="27" customFormat="false" ht="14.25" hidden="false" customHeight="true" outlineLevel="0" collapsed="false">
      <c r="A27" s="111" t="s">
        <v>197</v>
      </c>
      <c r="B27" s="111" t="s">
        <v>8</v>
      </c>
      <c r="F27" s="5"/>
      <c r="G27" s="5"/>
      <c r="H27" s="5"/>
      <c r="I27" s="5" t="s">
        <v>198</v>
      </c>
      <c r="J27" s="5"/>
      <c r="K27" s="5"/>
      <c r="L27" s="5" t="n">
        <f aca="false">J27*K27</f>
        <v>0</v>
      </c>
      <c r="M27" s="5"/>
      <c r="N27" s="112" t="s">
        <v>199</v>
      </c>
      <c r="O27" s="5" t="s">
        <v>200</v>
      </c>
    </row>
    <row r="28" customFormat="false" ht="14.25" hidden="false" customHeight="true" outlineLevel="0" collapsed="false">
      <c r="A28" s="111" t="s">
        <v>201</v>
      </c>
      <c r="B28" s="111" t="s">
        <v>10</v>
      </c>
      <c r="F28" s="5"/>
      <c r="G28" s="5"/>
      <c r="H28" s="5"/>
      <c r="I28" s="5"/>
      <c r="J28" s="5"/>
      <c r="K28" s="5"/>
      <c r="L28" s="5" t="n">
        <f aca="false">J28*K28</f>
        <v>0</v>
      </c>
      <c r="M28" s="5"/>
    </row>
    <row r="29" customFormat="false" ht="14.25" hidden="false" customHeight="true" outlineLevel="0" collapsed="false">
      <c r="A29" s="134" t="s">
        <v>202</v>
      </c>
      <c r="B29" s="111" t="s">
        <v>9</v>
      </c>
      <c r="F29" s="5"/>
      <c r="G29" s="5"/>
      <c r="H29" s="5"/>
      <c r="I29" s="5"/>
      <c r="J29" s="5"/>
      <c r="K29" s="5"/>
      <c r="L29" s="5" t="n">
        <f aca="false">J29*K29</f>
        <v>0</v>
      </c>
      <c r="M29" s="5"/>
    </row>
    <row r="30" customFormat="false" ht="14.25" hidden="false" customHeight="true" outlineLevel="0" collapsed="false">
      <c r="A30" s="111" t="s">
        <v>203</v>
      </c>
      <c r="B30" s="111" t="s">
        <v>12</v>
      </c>
      <c r="F30" s="5"/>
      <c r="G30" s="5"/>
      <c r="H30" s="5"/>
      <c r="I30" s="5"/>
      <c r="J30" s="5"/>
      <c r="K30" s="5"/>
      <c r="L30" s="5" t="n">
        <f aca="false">J30*K30</f>
        <v>0</v>
      </c>
      <c r="M30" s="5"/>
    </row>
    <row r="31" customFormat="false" ht="14.25" hidden="false" customHeight="true" outlineLevel="0" collapsed="false">
      <c r="A31" s="111" t="s">
        <v>204</v>
      </c>
      <c r="B31" s="111" t="s">
        <v>9</v>
      </c>
      <c r="F31" s="5"/>
      <c r="G31" s="5"/>
      <c r="H31" s="5"/>
      <c r="I31" s="5"/>
      <c r="J31" s="5"/>
      <c r="K31" s="5"/>
      <c r="L31" s="5" t="n">
        <f aca="false">J31*K31</f>
        <v>0</v>
      </c>
      <c r="M31" s="5"/>
    </row>
    <row r="32" customFormat="false" ht="14.25" hidden="false" customHeight="true" outlineLevel="0" collapsed="false">
      <c r="A32" s="111" t="s">
        <v>205</v>
      </c>
      <c r="B32" s="111" t="s">
        <v>11</v>
      </c>
      <c r="F32" s="5"/>
      <c r="G32" s="5"/>
      <c r="H32" s="5"/>
      <c r="I32" s="5" t="s">
        <v>198</v>
      </c>
      <c r="J32" s="5"/>
      <c r="K32" s="5"/>
      <c r="L32" s="5" t="n">
        <f aca="false">J32*K32</f>
        <v>0</v>
      </c>
      <c r="M32" s="5"/>
    </row>
    <row r="33" customFormat="false" ht="14.25" hidden="false" customHeight="true" outlineLevel="0" collapsed="false">
      <c r="A33" s="111" t="s">
        <v>206</v>
      </c>
      <c r="B33" s="111" t="s">
        <v>6</v>
      </c>
      <c r="F33" s="5"/>
      <c r="G33" s="5"/>
      <c r="H33" s="5"/>
      <c r="I33" s="5"/>
      <c r="J33" s="5"/>
      <c r="K33" s="5"/>
      <c r="L33" s="5" t="n">
        <f aca="false">J33*K33</f>
        <v>0</v>
      </c>
      <c r="M33" s="5"/>
    </row>
    <row r="34" customFormat="false" ht="14.25" hidden="false" customHeight="true" outlineLevel="0" collapsed="false">
      <c r="A34" s="111" t="s">
        <v>207</v>
      </c>
      <c r="F34" s="5"/>
      <c r="G34" s="5"/>
      <c r="H34" s="5"/>
      <c r="I34" s="5" t="s">
        <v>164</v>
      </c>
      <c r="J34" s="5" t="n">
        <v>300</v>
      </c>
      <c r="K34" s="5" t="n">
        <v>65</v>
      </c>
      <c r="L34" s="5" t="n">
        <f aca="false">J34*K34</f>
        <v>19500</v>
      </c>
      <c r="M34" s="5" t="s">
        <v>33</v>
      </c>
      <c r="N34" s="112" t="s">
        <v>208</v>
      </c>
    </row>
    <row r="35" customFormat="false" ht="14.25" hidden="false" customHeight="true" outlineLevel="0" collapsed="false">
      <c r="A35" s="111" t="s">
        <v>209</v>
      </c>
      <c r="F35" s="5"/>
      <c r="G35" s="5"/>
      <c r="H35" s="5"/>
      <c r="I35" s="5" t="s">
        <v>164</v>
      </c>
      <c r="J35" s="5" t="n">
        <v>100</v>
      </c>
      <c r="K35" s="5" t="n">
        <v>75</v>
      </c>
      <c r="L35" s="5" t="n">
        <f aca="false">J35*K35</f>
        <v>7500</v>
      </c>
      <c r="M35" s="5" t="s">
        <v>35</v>
      </c>
      <c r="N35" s="112" t="s">
        <v>210</v>
      </c>
    </row>
    <row r="36" customFormat="false" ht="14.25" hidden="false" customHeight="true" outlineLevel="0" collapsed="false">
      <c r="F36" s="5"/>
      <c r="G36" s="5"/>
      <c r="H36" s="5"/>
      <c r="I36" s="5"/>
      <c r="J36" s="5"/>
      <c r="K36" s="5"/>
      <c r="L36" s="5" t="n">
        <f aca="false">J36*K36</f>
        <v>0</v>
      </c>
      <c r="M36" s="5"/>
    </row>
    <row r="37" customFormat="false" ht="14.25" hidden="false" customHeight="true" outlineLevel="0" collapsed="false">
      <c r="F37" s="5"/>
      <c r="G37" s="5"/>
      <c r="H37" s="5"/>
      <c r="I37" s="5"/>
      <c r="J37" s="5"/>
      <c r="K37" s="5"/>
      <c r="L37" s="5"/>
      <c r="M37" s="5"/>
    </row>
    <row r="38" customFormat="false" ht="14.25" hidden="false" customHeight="true" outlineLevel="0" collapsed="false">
      <c r="F38" s="5"/>
      <c r="G38" s="5"/>
      <c r="H38" s="5"/>
      <c r="I38" s="5"/>
      <c r="J38" s="5"/>
      <c r="K38" s="5"/>
      <c r="L38" s="5"/>
      <c r="M38" s="5"/>
    </row>
    <row r="39" customFormat="false" ht="14.25" hidden="false" customHeight="true" outlineLevel="0" collapsed="false">
      <c r="F39" s="5"/>
      <c r="G39" s="5"/>
      <c r="H39" s="5"/>
      <c r="I39" s="5"/>
      <c r="J39" s="5"/>
      <c r="K39" s="5"/>
      <c r="L39" s="5"/>
      <c r="M39" s="5"/>
    </row>
    <row r="40" customFormat="false" ht="14.25" hidden="false" customHeight="true" outlineLevel="0" collapsed="false">
      <c r="F40" s="5"/>
      <c r="G40" s="5"/>
      <c r="H40" s="5"/>
      <c r="I40" s="5"/>
      <c r="J40" s="5"/>
      <c r="K40" s="5"/>
      <c r="L40" s="5"/>
      <c r="M40" s="5"/>
    </row>
    <row r="41" customFormat="false" ht="15" hidden="false" customHeight="true" outlineLevel="0" collapsed="false">
      <c r="F41" s="5"/>
      <c r="G41" s="5"/>
      <c r="H41" s="118" t="n">
        <f aca="false">SUM(H3:H40)</f>
        <v>330000</v>
      </c>
      <c r="I41" s="5"/>
      <c r="J41" s="5"/>
      <c r="K41" s="5"/>
      <c r="L41" s="118" t="n">
        <f aca="false">SUM(L3:L40)</f>
        <v>1434906</v>
      </c>
      <c r="M41" s="5"/>
    </row>
    <row r="42" customFormat="false" ht="14.25" hidden="false" customHeight="true" outlineLevel="0" collapsed="false">
      <c r="F42" s="5"/>
      <c r="G42" s="5"/>
      <c r="H42" s="5"/>
      <c r="I42" s="5"/>
      <c r="J42" s="5"/>
      <c r="K42" s="5"/>
      <c r="L42" s="5"/>
      <c r="M42" s="5"/>
    </row>
    <row r="43" customFormat="false" ht="14.25" hidden="false" customHeight="true" outlineLevel="0" collapsed="false">
      <c r="F43" s="5"/>
      <c r="G43" s="5"/>
      <c r="H43" s="5"/>
      <c r="I43" s="5"/>
      <c r="J43" s="5"/>
      <c r="K43" s="5"/>
      <c r="L43" s="5"/>
      <c r="M43" s="5"/>
    </row>
    <row r="44" customFormat="false" ht="15" hidden="false" customHeight="true" outlineLevel="0" collapsed="false">
      <c r="A44" s="115" t="s">
        <v>198</v>
      </c>
      <c r="F44" s="5"/>
      <c r="G44" s="5"/>
      <c r="H44" s="5"/>
      <c r="I44" s="5"/>
      <c r="J44" s="5"/>
      <c r="K44" s="5"/>
      <c r="L44" s="5"/>
      <c r="M44" s="5"/>
    </row>
    <row r="45" customFormat="false" ht="14.25" hidden="false" customHeight="true" outlineLevel="0" collapsed="false">
      <c r="A45" s="111" t="n">
        <v>56</v>
      </c>
      <c r="B45" s="111" t="s">
        <v>5</v>
      </c>
      <c r="F45" s="5"/>
      <c r="G45" s="5"/>
      <c r="H45" s="5"/>
      <c r="I45" s="5"/>
      <c r="J45" s="5"/>
      <c r="K45" s="5"/>
      <c r="L45" s="5"/>
      <c r="M45" s="5"/>
    </row>
    <row r="46" customFormat="false" ht="14.25" hidden="false" customHeight="true" outlineLevel="0" collapsed="false">
      <c r="A46" s="111" t="n">
        <v>202</v>
      </c>
      <c r="B46" s="111" t="s">
        <v>5</v>
      </c>
      <c r="F46" s="5"/>
      <c r="G46" s="5"/>
      <c r="H46" s="5"/>
      <c r="I46" s="5"/>
      <c r="J46" s="5"/>
      <c r="K46" s="5"/>
      <c r="L46" s="5"/>
      <c r="M46" s="5"/>
    </row>
    <row r="47" customFormat="false" ht="14.25" hidden="false" customHeight="true" outlineLevel="0" collapsed="false">
      <c r="A47" s="111" t="n">
        <v>376</v>
      </c>
      <c r="B47" s="111" t="s">
        <v>6</v>
      </c>
      <c r="F47" s="5"/>
      <c r="G47" s="5"/>
      <c r="H47" s="5"/>
      <c r="I47" s="5"/>
      <c r="J47" s="5"/>
      <c r="K47" s="5"/>
      <c r="L47" s="5"/>
      <c r="M47" s="5"/>
    </row>
    <row r="48" customFormat="false" ht="14.25" hidden="false" customHeight="true" outlineLevel="0" collapsed="false">
      <c r="A48" s="111" t="s">
        <v>211</v>
      </c>
      <c r="B48" s="111" t="s">
        <v>15</v>
      </c>
      <c r="F48" s="5"/>
      <c r="G48" s="5"/>
      <c r="H48" s="5"/>
      <c r="I48" s="5"/>
      <c r="J48" s="5"/>
      <c r="K48" s="5"/>
      <c r="L48" s="5"/>
      <c r="M48" s="5"/>
    </row>
    <row r="49" customFormat="false" ht="14.25" hidden="false" customHeight="true" outlineLevel="0" collapsed="false">
      <c r="A49" s="111" t="s">
        <v>212</v>
      </c>
      <c r="B49" s="111" t="s">
        <v>7</v>
      </c>
      <c r="F49" s="5"/>
      <c r="G49" s="5"/>
      <c r="H49" s="5"/>
      <c r="I49" s="5"/>
      <c r="J49" s="5"/>
      <c r="K49" s="5"/>
      <c r="L49" s="5"/>
      <c r="M49" s="5"/>
    </row>
    <row r="50" customFormat="false" ht="14.25" hidden="false" customHeight="true" outlineLevel="0" collapsed="false">
      <c r="A50" s="111" t="s">
        <v>213</v>
      </c>
      <c r="B50" s="111" t="s">
        <v>6</v>
      </c>
      <c r="F50" s="5"/>
      <c r="G50" s="5"/>
      <c r="H50" s="5"/>
      <c r="I50" s="5"/>
      <c r="J50" s="5"/>
      <c r="K50" s="5"/>
      <c r="L50" s="5"/>
      <c r="M50" s="5"/>
    </row>
    <row r="51" customFormat="false" ht="14.25" hidden="false" customHeight="true" outlineLevel="0" collapsed="false">
      <c r="F51" s="5"/>
      <c r="G51" s="5"/>
      <c r="H51" s="5"/>
      <c r="I51" s="5"/>
      <c r="J51" s="5"/>
      <c r="K51" s="5"/>
      <c r="L51" s="5"/>
      <c r="M51" s="5"/>
    </row>
    <row r="52" customFormat="false" ht="14.25" hidden="false" customHeight="true" outlineLevel="0" collapsed="false">
      <c r="F52" s="5"/>
      <c r="G52" s="5"/>
      <c r="H52" s="5"/>
      <c r="I52" s="5"/>
      <c r="J52" s="5"/>
      <c r="K52" s="5"/>
      <c r="L52" s="5"/>
      <c r="M52" s="5"/>
    </row>
    <row r="53" customFormat="false" ht="15" hidden="false" customHeight="true" outlineLevel="0" collapsed="false">
      <c r="F53" s="5"/>
      <c r="G53" s="118"/>
      <c r="H53" s="118"/>
      <c r="I53" s="5"/>
      <c r="J53" s="5"/>
      <c r="K53" s="5"/>
      <c r="L53" s="118"/>
      <c r="M53" s="5"/>
    </row>
    <row r="54" customFormat="false" ht="15" hidden="false" customHeight="true" outlineLevel="0" collapsed="false">
      <c r="A54" s="133"/>
      <c r="F54" s="5"/>
      <c r="G54" s="118"/>
      <c r="H54" s="5"/>
      <c r="I54" s="5"/>
      <c r="J54" s="5"/>
      <c r="K54" s="5"/>
      <c r="L54" s="118"/>
      <c r="M54" s="5"/>
    </row>
    <row r="55" customFormat="false" ht="15" hidden="false" customHeight="true" outlineLevel="0" collapsed="false">
      <c r="A55" s="135"/>
      <c r="F55" s="5"/>
      <c r="G55" s="5"/>
      <c r="H55" s="5"/>
      <c r="I55" s="5"/>
      <c r="J55" s="5"/>
      <c r="K55" s="5"/>
      <c r="L55" s="118"/>
      <c r="M55" s="5"/>
    </row>
    <row r="56" customFormat="false" ht="15" hidden="false" customHeight="true" outlineLevel="0" collapsed="false">
      <c r="F56" s="5"/>
      <c r="G56" s="136" t="n">
        <v>2025</v>
      </c>
      <c r="H56" s="136" t="n">
        <v>2026</v>
      </c>
      <c r="I56" s="5"/>
      <c r="J56" s="5"/>
      <c r="K56" s="5"/>
      <c r="L56" s="118"/>
      <c r="M56" s="5"/>
    </row>
    <row r="57" customFormat="false" ht="14.25" hidden="false" customHeight="true" outlineLevel="0" collapsed="false">
      <c r="F57" s="5"/>
      <c r="G57" s="5"/>
      <c r="H57" s="5"/>
      <c r="I57" s="5"/>
      <c r="J57" s="5"/>
      <c r="K57" s="5"/>
      <c r="L57" s="5"/>
      <c r="M57" s="5"/>
    </row>
    <row r="58" customFormat="false" ht="14.25" hidden="false" customHeight="true" outlineLevel="0" collapsed="false">
      <c r="A58" s="111" t="s">
        <v>33</v>
      </c>
      <c r="C58" s="137" t="n">
        <f aca="false">$G$5*C5</f>
        <v>0</v>
      </c>
      <c r="D58" s="137" t="n">
        <f aca="false">$G$5*D5</f>
        <v>30000</v>
      </c>
      <c r="E58" s="137" t="n">
        <f aca="false">$G$5*E5</f>
        <v>0</v>
      </c>
      <c r="F58" s="5"/>
      <c r="G58" s="5" t="n">
        <f aca="false">SUM(C58:E58)</f>
        <v>30000</v>
      </c>
      <c r="H58" s="5" t="n">
        <f aca="false">SUMIF($M$3:$M$38,A58,$L$3:$L$38)</f>
        <v>217606</v>
      </c>
      <c r="I58" s="5"/>
      <c r="J58" s="5"/>
      <c r="K58" s="5"/>
      <c r="L58" s="5"/>
      <c r="M58" s="5"/>
    </row>
    <row r="59" customFormat="false" ht="14.25" hidden="false" customHeight="true" outlineLevel="0" collapsed="false">
      <c r="A59" s="111" t="s">
        <v>38</v>
      </c>
      <c r="C59" s="137" t="n">
        <f aca="false">$G$3*C3+$G$4*C4+$G$21*C21+$G$22*C22</f>
        <v>87000</v>
      </c>
      <c r="D59" s="137" t="n">
        <f aca="false">$G$3*D3+$G$4*D4+$G$21*D21+$G$22*D22</f>
        <v>166000</v>
      </c>
      <c r="E59" s="137" t="n">
        <f aca="false">$G$3*E3+$G$4*E4+$G$21*E21+$G$22*E22</f>
        <v>47000</v>
      </c>
      <c r="F59" s="5"/>
      <c r="G59" s="5" t="n">
        <f aca="false">SUM(C59:E59)</f>
        <v>300000</v>
      </c>
      <c r="H59" s="5" t="n">
        <f aca="false">SUMIF($M$3:$M$38,A59,$L$3:$L$38)</f>
        <v>1095800</v>
      </c>
      <c r="I59" s="5"/>
      <c r="J59" s="5"/>
      <c r="K59" s="5"/>
      <c r="L59" s="5"/>
      <c r="M59" s="5"/>
    </row>
    <row r="60" customFormat="false" ht="14.25" hidden="false" customHeight="true" outlineLevel="0" collapsed="false">
      <c r="A60" s="111" t="s">
        <v>35</v>
      </c>
      <c r="F60" s="5"/>
      <c r="G60" s="5"/>
      <c r="H60" s="5" t="n">
        <f aca="false">SUMIF($M$3:$M$38,A60,$L$3:$L$38)</f>
        <v>46500</v>
      </c>
      <c r="I60" s="5"/>
      <c r="J60" s="5"/>
      <c r="K60" s="5"/>
      <c r="L60" s="5"/>
      <c r="M60" s="5"/>
    </row>
    <row r="61" customFormat="false" ht="14.25" hidden="false" customHeight="true" outlineLevel="0" collapsed="false">
      <c r="F61" s="5"/>
      <c r="G61" s="5"/>
      <c r="H61" s="5"/>
      <c r="I61" s="5"/>
      <c r="J61" s="5"/>
      <c r="K61" s="5"/>
      <c r="L61" s="5"/>
      <c r="M61" s="5"/>
    </row>
    <row r="62" customFormat="false" ht="15" hidden="false" customHeight="true" outlineLevel="0" collapsed="false">
      <c r="F62" s="5"/>
      <c r="G62" s="118" t="n">
        <f aca="false">SUM(G58:G60)</f>
        <v>330000</v>
      </c>
      <c r="H62" s="118" t="n">
        <f aca="false">SUM(H58:H60)</f>
        <v>1359906</v>
      </c>
      <c r="I62" s="5"/>
      <c r="J62" s="5"/>
      <c r="K62" s="5"/>
      <c r="L62" s="5"/>
      <c r="M62" s="5"/>
    </row>
    <row r="63" customFormat="false" ht="14.25" hidden="false" customHeight="true" outlineLevel="0" collapsed="false">
      <c r="F63" s="5"/>
      <c r="G63" s="76" t="n">
        <f aca="false">G62-H41</f>
        <v>0</v>
      </c>
      <c r="H63" s="76" t="n">
        <f aca="false">H62-L41</f>
        <v>-75000</v>
      </c>
      <c r="I63" s="5"/>
      <c r="J63" s="5"/>
      <c r="K63" s="5"/>
      <c r="L63" s="5"/>
      <c r="M63" s="5"/>
    </row>
    <row r="64" customFormat="false" ht="14.25" hidden="false" customHeight="true" outlineLevel="0" collapsed="false">
      <c r="F64" s="5"/>
      <c r="G64" s="5"/>
      <c r="H64" s="5"/>
      <c r="I64" s="5"/>
      <c r="J64" s="5"/>
      <c r="K64" s="5"/>
      <c r="L64" s="5"/>
      <c r="M64" s="5"/>
    </row>
    <row r="65" customFormat="false" ht="14.25" hidden="false" customHeight="true" outlineLevel="0" collapsed="false">
      <c r="F65" s="5"/>
      <c r="G65" s="5"/>
      <c r="H65" s="5"/>
      <c r="I65" s="5"/>
      <c r="J65" s="5"/>
      <c r="K65" s="5"/>
      <c r="L65" s="5"/>
      <c r="M65" s="5"/>
    </row>
    <row r="66" customFormat="false" ht="14.25" hidden="false" customHeight="true" outlineLevel="0" collapsed="false">
      <c r="F66" s="5"/>
      <c r="G66" s="5"/>
      <c r="H66" s="5"/>
      <c r="I66" s="5"/>
      <c r="J66" s="5"/>
      <c r="K66" s="5"/>
      <c r="L66" s="5"/>
      <c r="M66" s="5"/>
    </row>
    <row r="67" customFormat="false" ht="14.25" hidden="false" customHeight="true" outlineLevel="0" collapsed="false">
      <c r="F67" s="5"/>
      <c r="G67" s="5"/>
      <c r="H67" s="5"/>
      <c r="I67" s="5"/>
      <c r="J67" s="5"/>
      <c r="K67" s="5"/>
      <c r="L67" s="5"/>
      <c r="M67" s="5"/>
    </row>
    <row r="68" customFormat="false" ht="14.25" hidden="false" customHeight="true" outlineLevel="0" collapsed="false">
      <c r="F68" s="5"/>
      <c r="G68" s="5"/>
      <c r="H68" s="5"/>
      <c r="I68" s="5"/>
      <c r="J68" s="5"/>
      <c r="K68" s="5"/>
      <c r="L68" s="5"/>
      <c r="M68" s="5"/>
    </row>
    <row r="69" customFormat="false" ht="14.25" hidden="false" customHeight="true" outlineLevel="0" collapsed="false">
      <c r="F69" s="5"/>
      <c r="G69" s="5"/>
      <c r="H69" s="5"/>
      <c r="I69" s="5"/>
      <c r="J69" s="5"/>
      <c r="K69" s="5"/>
      <c r="L69" s="5"/>
      <c r="M69" s="5"/>
    </row>
    <row r="70" customFormat="false" ht="14.25" hidden="false" customHeight="true" outlineLevel="0" collapsed="false">
      <c r="F70" s="5"/>
      <c r="G70" s="5"/>
      <c r="H70" s="5"/>
      <c r="I70" s="5"/>
      <c r="J70" s="5"/>
      <c r="K70" s="5"/>
      <c r="L70" s="5"/>
      <c r="M70" s="5"/>
    </row>
    <row r="71" customFormat="false" ht="14.25" hidden="false" customHeight="true" outlineLevel="0" collapsed="false">
      <c r="F71" s="5"/>
      <c r="G71" s="5"/>
      <c r="H71" s="5"/>
      <c r="I71" s="5"/>
      <c r="J71" s="5"/>
      <c r="K71" s="5"/>
      <c r="L71" s="5"/>
      <c r="M71" s="5"/>
    </row>
    <row r="72" customFormat="false" ht="14.25" hidden="false" customHeight="true" outlineLevel="0" collapsed="false">
      <c r="F72" s="5"/>
      <c r="G72" s="5"/>
      <c r="H72" s="5"/>
      <c r="I72" s="5"/>
      <c r="J72" s="5"/>
      <c r="K72" s="5"/>
      <c r="L72" s="5"/>
      <c r="M72" s="5"/>
    </row>
    <row r="73" customFormat="false" ht="14.25" hidden="false" customHeight="true" outlineLevel="0" collapsed="false">
      <c r="F73" s="5"/>
      <c r="G73" s="5"/>
      <c r="H73" s="5"/>
      <c r="I73" s="5"/>
      <c r="J73" s="5"/>
      <c r="K73" s="5"/>
      <c r="L73" s="5"/>
      <c r="M73" s="5"/>
    </row>
    <row r="74" customFormat="false" ht="14.25" hidden="false" customHeight="true" outlineLevel="0" collapsed="false">
      <c r="F74" s="5"/>
      <c r="G74" s="5"/>
      <c r="H74" s="5"/>
      <c r="I74" s="5"/>
      <c r="J74" s="5"/>
      <c r="K74" s="5"/>
      <c r="L74" s="5"/>
      <c r="M74" s="5"/>
    </row>
    <row r="75" customFormat="false" ht="14.25" hidden="false" customHeight="true" outlineLevel="0" collapsed="false">
      <c r="F75" s="5"/>
      <c r="G75" s="5"/>
      <c r="H75" s="5"/>
      <c r="I75" s="5"/>
      <c r="J75" s="5"/>
      <c r="K75" s="5"/>
      <c r="L75" s="5"/>
      <c r="M75" s="5"/>
    </row>
    <row r="76" customFormat="false" ht="14.25" hidden="false" customHeight="true" outlineLevel="0" collapsed="false">
      <c r="F76" s="5"/>
      <c r="G76" s="5"/>
      <c r="H76" s="5"/>
      <c r="I76" s="5"/>
      <c r="J76" s="5"/>
      <c r="K76" s="5"/>
      <c r="L76" s="5"/>
      <c r="M76" s="5"/>
    </row>
    <row r="77" customFormat="false" ht="14.25" hidden="false" customHeight="true" outlineLevel="0" collapsed="false">
      <c r="F77" s="5"/>
      <c r="G77" s="5"/>
      <c r="H77" s="5"/>
      <c r="I77" s="5"/>
      <c r="J77" s="5"/>
      <c r="K77" s="5"/>
      <c r="L77" s="5"/>
      <c r="M77" s="5"/>
    </row>
    <row r="78" customFormat="false" ht="14.25" hidden="false" customHeight="true" outlineLevel="0" collapsed="false">
      <c r="F78" s="5"/>
      <c r="G78" s="5"/>
      <c r="H78" s="5"/>
      <c r="I78" s="5"/>
      <c r="J78" s="5"/>
      <c r="K78" s="5"/>
      <c r="L78" s="5"/>
      <c r="M78" s="5"/>
    </row>
  </sheetData>
  <autoFilter ref="A2:AD36"/>
  <mergeCells count="2">
    <mergeCell ref="C1:H1"/>
    <mergeCell ref="J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5"/>
  <sheetViews>
    <sheetView showFormulas="false" showGridLines="true" showRowColHeaders="true" showZeros="true" rightToLeft="true" tabSelected="false" showOutlineSymbols="true" defaultGridColor="true" view="normal" topLeftCell="C1" colorId="64" zoomScale="95" zoomScaleNormal="95" zoomScalePageLayoutView="100" workbookViewId="0">
      <pane xSplit="2" ySplit="1" topLeftCell="E2" activePane="bottomRight" state="frozen"/>
      <selection pane="topLeft" activeCell="C1" activeCellId="0" sqref="C1"/>
      <selection pane="topRight" activeCell="E1" activeCellId="0" sqref="E1"/>
      <selection pane="bottomLeft" activeCell="C2" activeCellId="0" sqref="C2"/>
      <selection pane="bottomRight" activeCell="D23" activeCellId="0" sqref="D23"/>
    </sheetView>
  </sheetViews>
  <sheetFormatPr defaultColWidth="11.7578125" defaultRowHeight="18" zeroHeight="false" outlineLevelRow="0" outlineLevelCol="0"/>
  <cols>
    <col collapsed="false" customWidth="true" hidden="true" outlineLevel="0" max="1" min="1" style="138" width="3.25"/>
    <col collapsed="false" customWidth="true" hidden="true" outlineLevel="0" max="2" min="2" style="139" width="13.12"/>
    <col collapsed="false" customWidth="true" hidden="false" outlineLevel="0" max="3" min="3" style="140" width="19.5"/>
    <col collapsed="false" customWidth="true" hidden="false" outlineLevel="0" max="4" min="4" style="140" width="35.12"/>
    <col collapsed="false" customWidth="true" hidden="false" outlineLevel="0" max="5" min="5" style="140" width="15.62"/>
    <col collapsed="false" customWidth="true" hidden="true" outlineLevel="0" max="6" min="6" style="140" width="10.88"/>
    <col collapsed="false" customWidth="true" hidden="false" outlineLevel="0" max="7" min="7" style="140" width="8.88"/>
    <col collapsed="false" customWidth="true" hidden="false" outlineLevel="0" max="19" min="8" style="141" width="6.88"/>
    <col collapsed="false" customWidth="false" hidden="false" outlineLevel="0" max="16384" min="20" style="141" width="11.75"/>
  </cols>
  <sheetData>
    <row r="1" s="144" customFormat="true" ht="16.5" hidden="false" customHeight="true" outlineLevel="0" collapsed="false">
      <c r="A1" s="142"/>
      <c r="B1" s="143" t="s">
        <v>214</v>
      </c>
      <c r="C1" s="143" t="s">
        <v>215</v>
      </c>
      <c r="D1" s="143" t="s">
        <v>216</v>
      </c>
      <c r="E1" s="143" t="s">
        <v>217</v>
      </c>
      <c r="F1" s="143" t="s">
        <v>218</v>
      </c>
      <c r="G1" s="143"/>
      <c r="H1" s="143" t="s">
        <v>219</v>
      </c>
      <c r="I1" s="143" t="s">
        <v>220</v>
      </c>
      <c r="J1" s="143" t="s">
        <v>221</v>
      </c>
      <c r="K1" s="143" t="s">
        <v>222</v>
      </c>
      <c r="L1" s="143" t="s">
        <v>223</v>
      </c>
      <c r="M1" s="143" t="s">
        <v>224</v>
      </c>
      <c r="N1" s="143" t="s">
        <v>225</v>
      </c>
      <c r="O1" s="143" t="s">
        <v>226</v>
      </c>
      <c r="P1" s="143" t="s">
        <v>227</v>
      </c>
      <c r="Q1" s="143" t="s">
        <v>228</v>
      </c>
      <c r="R1" s="143" t="s">
        <v>229</v>
      </c>
      <c r="S1" s="143" t="s">
        <v>230</v>
      </c>
    </row>
    <row r="2" customFormat="false" ht="25.5" hidden="false" customHeight="true" outlineLevel="0" collapsed="false">
      <c r="C2" s="145" t="n">
        <v>56</v>
      </c>
      <c r="D2" s="146" t="s">
        <v>231</v>
      </c>
      <c r="E2" s="146" t="s">
        <v>232</v>
      </c>
      <c r="F2" s="146" t="s">
        <v>233</v>
      </c>
      <c r="G2" s="147" t="s">
        <v>234</v>
      </c>
      <c r="H2" s="148"/>
      <c r="I2" s="148" t="s">
        <v>235</v>
      </c>
      <c r="J2" s="147"/>
      <c r="K2" s="147"/>
      <c r="L2" s="147"/>
      <c r="M2" s="147"/>
      <c r="N2" s="147"/>
      <c r="O2" s="147"/>
      <c r="P2" s="147"/>
      <c r="Q2" s="147"/>
      <c r="R2" s="147"/>
      <c r="S2" s="147"/>
    </row>
    <row r="3" customFormat="false" ht="25.5" hidden="false" customHeight="true" outlineLevel="0" collapsed="false">
      <c r="A3" s="149"/>
      <c r="B3" s="150"/>
      <c r="C3" s="145" t="n">
        <v>202</v>
      </c>
      <c r="D3" s="146" t="s">
        <v>231</v>
      </c>
      <c r="E3" s="146" t="s">
        <v>232</v>
      </c>
      <c r="F3" s="146" t="s">
        <v>236</v>
      </c>
      <c r="G3" s="147" t="s">
        <v>234</v>
      </c>
      <c r="H3" s="148"/>
      <c r="I3" s="148" t="s">
        <v>235</v>
      </c>
      <c r="J3" s="147"/>
      <c r="K3" s="147"/>
      <c r="L3" s="147"/>
      <c r="M3" s="147"/>
      <c r="N3" s="147"/>
      <c r="O3" s="147"/>
      <c r="P3" s="147"/>
      <c r="Q3" s="147"/>
      <c r="R3" s="147"/>
      <c r="S3" s="147"/>
    </row>
    <row r="4" customFormat="false" ht="18" hidden="false" customHeight="true" outlineLevel="0" collapsed="false">
      <c r="A4" s="149" t="n">
        <v>12</v>
      </c>
      <c r="B4" s="150"/>
      <c r="C4" s="145" t="n">
        <v>376</v>
      </c>
      <c r="D4" s="146" t="s">
        <v>237</v>
      </c>
      <c r="E4" s="146" t="s">
        <v>198</v>
      </c>
      <c r="F4" s="146"/>
      <c r="G4" s="146"/>
      <c r="H4" s="148"/>
      <c r="I4" s="148"/>
      <c r="J4" s="148"/>
      <c r="K4" s="147"/>
      <c r="L4" s="147"/>
      <c r="M4" s="147"/>
      <c r="N4" s="147"/>
      <c r="O4" s="147"/>
      <c r="P4" s="147"/>
      <c r="Q4" s="147"/>
      <c r="R4" s="147"/>
      <c r="S4" s="147"/>
    </row>
    <row r="5" customFormat="false" ht="15" hidden="false" customHeight="true" outlineLevel="0" collapsed="false">
      <c r="A5" s="149" t="n">
        <v>13</v>
      </c>
      <c r="B5" s="150"/>
      <c r="C5" s="145" t="n">
        <v>305</v>
      </c>
      <c r="D5" s="146" t="s">
        <v>238</v>
      </c>
      <c r="E5" s="146" t="s">
        <v>232</v>
      </c>
      <c r="F5" s="146"/>
      <c r="G5" s="146"/>
      <c r="H5" s="148"/>
      <c r="I5" s="148"/>
      <c r="J5" s="148"/>
      <c r="K5" s="148"/>
      <c r="L5" s="148"/>
      <c r="M5" s="147"/>
      <c r="N5" s="147"/>
      <c r="O5" s="147"/>
      <c r="P5" s="147"/>
      <c r="Q5" s="147"/>
      <c r="R5" s="147"/>
      <c r="S5" s="147"/>
    </row>
    <row r="6" customFormat="false" ht="15.75" hidden="false" customHeight="true" outlineLevel="0" collapsed="false">
      <c r="A6" s="149"/>
      <c r="B6" s="150"/>
      <c r="C6" s="145" t="s">
        <v>239</v>
      </c>
      <c r="D6" s="146" t="s">
        <v>240</v>
      </c>
      <c r="E6" s="146"/>
      <c r="F6" s="146"/>
      <c r="G6" s="146"/>
      <c r="H6" s="148"/>
      <c r="I6" s="148"/>
      <c r="J6" s="148"/>
      <c r="K6" s="148"/>
      <c r="L6" s="148"/>
      <c r="M6" s="147"/>
      <c r="N6" s="147"/>
      <c r="O6" s="147"/>
      <c r="P6" s="147"/>
      <c r="Q6" s="147"/>
      <c r="R6" s="147"/>
      <c r="S6" s="147"/>
    </row>
    <row r="7" customFormat="false" ht="16.5" hidden="false" customHeight="true" outlineLevel="0" collapsed="false">
      <c r="A7" s="149" t="n">
        <v>17</v>
      </c>
      <c r="B7" s="151"/>
      <c r="C7" s="152" t="s">
        <v>241</v>
      </c>
      <c r="D7" s="153" t="s">
        <v>242</v>
      </c>
      <c r="E7" s="153" t="s">
        <v>158</v>
      </c>
      <c r="F7" s="153"/>
      <c r="G7" s="153"/>
      <c r="H7" s="148"/>
      <c r="I7" s="148"/>
      <c r="J7" s="148"/>
      <c r="K7" s="148"/>
      <c r="L7" s="148"/>
      <c r="M7" s="147"/>
      <c r="N7" s="147"/>
      <c r="O7" s="147"/>
      <c r="P7" s="147"/>
      <c r="Q7" s="147"/>
      <c r="R7" s="147"/>
      <c r="S7" s="147"/>
    </row>
    <row r="8" customFormat="false" ht="15.75" hidden="false" customHeight="true" outlineLevel="0" collapsed="false">
      <c r="A8" s="149" t="n">
        <v>18</v>
      </c>
      <c r="B8" s="151"/>
      <c r="C8" s="152" t="s">
        <v>243</v>
      </c>
      <c r="D8" s="154" t="s">
        <v>244</v>
      </c>
      <c r="E8" s="153" t="s">
        <v>158</v>
      </c>
      <c r="F8" s="154"/>
      <c r="G8" s="154"/>
      <c r="H8" s="148"/>
      <c r="I8" s="148"/>
      <c r="J8" s="148"/>
      <c r="K8" s="148"/>
      <c r="L8" s="148"/>
      <c r="M8" s="147"/>
      <c r="N8" s="147"/>
      <c r="O8" s="147"/>
      <c r="P8" s="147"/>
      <c r="Q8" s="147"/>
      <c r="R8" s="147"/>
      <c r="S8" s="147"/>
    </row>
    <row r="9" customFormat="false" ht="16.5" hidden="false" customHeight="true" outlineLevel="0" collapsed="false">
      <c r="A9" s="149" t="n">
        <v>20</v>
      </c>
      <c r="B9" s="155"/>
      <c r="C9" s="152" t="s">
        <v>245</v>
      </c>
      <c r="D9" s="154" t="s">
        <v>244</v>
      </c>
      <c r="E9" s="153" t="s">
        <v>158</v>
      </c>
      <c r="F9" s="154"/>
      <c r="G9" s="154"/>
      <c r="H9" s="148"/>
      <c r="I9" s="148"/>
      <c r="J9" s="148"/>
      <c r="K9" s="148"/>
      <c r="L9" s="148"/>
      <c r="M9" s="147"/>
      <c r="N9" s="147"/>
      <c r="O9" s="147"/>
      <c r="P9" s="147"/>
      <c r="Q9" s="147"/>
      <c r="R9" s="147"/>
      <c r="S9" s="147"/>
    </row>
    <row r="10" customFormat="false" ht="15" hidden="false" customHeight="true" outlineLevel="0" collapsed="false">
      <c r="A10" s="156" t="n">
        <v>27</v>
      </c>
      <c r="B10" s="150"/>
      <c r="C10" s="152" t="s">
        <v>193</v>
      </c>
      <c r="D10" s="154" t="s">
        <v>246</v>
      </c>
      <c r="E10" s="153" t="s">
        <v>158</v>
      </c>
      <c r="F10" s="154"/>
      <c r="G10" s="154"/>
      <c r="H10" s="148"/>
      <c r="I10" s="148"/>
      <c r="J10" s="148"/>
      <c r="K10" s="148"/>
      <c r="L10" s="148"/>
      <c r="M10" s="148"/>
      <c r="N10" s="148"/>
      <c r="O10" s="147"/>
      <c r="P10" s="147"/>
      <c r="Q10" s="147"/>
      <c r="R10" s="147"/>
      <c r="S10" s="147"/>
    </row>
    <row r="11" customFormat="false" ht="16.5" hidden="false" customHeight="true" outlineLevel="0" collapsed="false">
      <c r="A11" s="138" t="n">
        <v>28</v>
      </c>
      <c r="B11" s="150"/>
      <c r="C11" s="152" t="s">
        <v>194</v>
      </c>
      <c r="D11" s="154" t="s">
        <v>246</v>
      </c>
      <c r="E11" s="153" t="s">
        <v>158</v>
      </c>
      <c r="F11" s="154"/>
      <c r="G11" s="154"/>
      <c r="H11" s="148"/>
      <c r="I11" s="148"/>
      <c r="J11" s="148"/>
      <c r="K11" s="148"/>
      <c r="L11" s="148"/>
      <c r="M11" s="148"/>
      <c r="N11" s="148"/>
      <c r="O11" s="147"/>
      <c r="P11" s="147"/>
      <c r="Q11" s="147"/>
      <c r="R11" s="147"/>
      <c r="S11" s="147"/>
    </row>
    <row r="12" customFormat="false" ht="18.75" hidden="false" customHeight="true" outlineLevel="0" collapsed="false">
      <c r="A12" s="138" t="n">
        <v>29</v>
      </c>
      <c r="B12" s="150"/>
      <c r="C12" s="152" t="s">
        <v>195</v>
      </c>
      <c r="D12" s="154" t="s">
        <v>247</v>
      </c>
      <c r="E12" s="153" t="s">
        <v>158</v>
      </c>
      <c r="F12" s="154"/>
      <c r="G12" s="154"/>
      <c r="H12" s="148"/>
      <c r="I12" s="148"/>
      <c r="J12" s="148"/>
      <c r="K12" s="148"/>
      <c r="L12" s="148"/>
      <c r="M12" s="147"/>
      <c r="N12" s="147"/>
      <c r="O12" s="147"/>
      <c r="P12" s="147"/>
      <c r="Q12" s="147"/>
      <c r="R12" s="147"/>
      <c r="S12" s="147"/>
    </row>
    <row r="13" customFormat="false" ht="15" hidden="false" customHeight="true" outlineLevel="0" collapsed="false">
      <c r="B13" s="150"/>
      <c r="C13" s="152" t="s">
        <v>196</v>
      </c>
      <c r="D13" s="154" t="s">
        <v>248</v>
      </c>
      <c r="E13" s="153" t="s">
        <v>158</v>
      </c>
      <c r="F13" s="154"/>
      <c r="G13" s="154"/>
      <c r="H13" s="148"/>
      <c r="I13" s="148"/>
      <c r="J13" s="148"/>
      <c r="K13" s="148"/>
      <c r="L13" s="148"/>
      <c r="M13" s="147"/>
      <c r="N13" s="147"/>
      <c r="O13" s="147"/>
      <c r="P13" s="147"/>
      <c r="Q13" s="147"/>
      <c r="R13" s="147"/>
      <c r="S13" s="147"/>
    </row>
    <row r="14" customFormat="false" ht="15" hidden="false" customHeight="true" outlineLevel="0" collapsed="false">
      <c r="B14" s="150"/>
      <c r="C14" s="145" t="s">
        <v>197</v>
      </c>
      <c r="D14" s="154" t="s">
        <v>249</v>
      </c>
      <c r="E14" s="153" t="s">
        <v>158</v>
      </c>
      <c r="F14" s="154"/>
      <c r="G14" s="154"/>
      <c r="H14" s="148"/>
      <c r="I14" s="148"/>
      <c r="J14" s="148"/>
      <c r="K14" s="148"/>
      <c r="L14" s="148"/>
      <c r="M14" s="147"/>
      <c r="N14" s="147"/>
      <c r="O14" s="147"/>
      <c r="P14" s="147"/>
      <c r="Q14" s="147"/>
      <c r="R14" s="147"/>
      <c r="S14" s="147"/>
    </row>
    <row r="15" customFormat="false" ht="15" hidden="false" customHeight="true" outlineLevel="0" collapsed="false">
      <c r="B15" s="150"/>
      <c r="C15" s="145" t="s">
        <v>201</v>
      </c>
      <c r="D15" s="154" t="s">
        <v>250</v>
      </c>
      <c r="E15" s="153" t="s">
        <v>158</v>
      </c>
      <c r="F15" s="154"/>
      <c r="G15" s="154"/>
      <c r="H15" s="148"/>
      <c r="I15" s="148"/>
      <c r="J15" s="148"/>
      <c r="K15" s="148"/>
      <c r="L15" s="148"/>
      <c r="M15" s="148"/>
      <c r="N15" s="148"/>
      <c r="O15" s="147"/>
      <c r="P15" s="147"/>
      <c r="Q15" s="147"/>
      <c r="R15" s="147"/>
      <c r="S15" s="147"/>
    </row>
    <row r="16" customFormat="false" ht="21.75" hidden="false" customHeight="true" outlineLevel="0" collapsed="false">
      <c r="B16" s="150"/>
      <c r="C16" s="157" t="s">
        <v>202</v>
      </c>
      <c r="D16" s="158" t="s">
        <v>251</v>
      </c>
      <c r="E16" s="158" t="s">
        <v>158</v>
      </c>
      <c r="F16" s="158"/>
      <c r="G16" s="158"/>
      <c r="H16" s="148"/>
      <c r="I16" s="148"/>
      <c r="J16" s="148"/>
      <c r="K16" s="148"/>
      <c r="L16" s="148"/>
      <c r="M16" s="148"/>
      <c r="N16" s="147"/>
      <c r="O16" s="147"/>
      <c r="P16" s="147"/>
      <c r="Q16" s="147"/>
      <c r="R16" s="147"/>
      <c r="S16" s="147"/>
    </row>
    <row r="17" customFormat="false" ht="15.75" hidden="false" customHeight="true" outlineLevel="0" collapsed="false">
      <c r="A17" s="149"/>
      <c r="B17" s="150"/>
      <c r="C17" s="152" t="s">
        <v>203</v>
      </c>
      <c r="D17" s="146" t="s">
        <v>252</v>
      </c>
      <c r="E17" s="146" t="s">
        <v>158</v>
      </c>
      <c r="F17" s="146"/>
      <c r="G17" s="146"/>
      <c r="H17" s="147"/>
      <c r="I17" s="147"/>
      <c r="J17" s="148"/>
      <c r="K17" s="148"/>
      <c r="L17" s="148"/>
      <c r="M17" s="148"/>
      <c r="N17" s="148"/>
      <c r="O17" s="148"/>
      <c r="P17" s="148"/>
      <c r="Q17" s="147"/>
      <c r="R17" s="147"/>
      <c r="S17" s="147"/>
    </row>
    <row r="18" customFormat="false" ht="15" hidden="false" customHeight="true" outlineLevel="0" collapsed="false">
      <c r="B18" s="150"/>
      <c r="C18" s="159" t="s">
        <v>204</v>
      </c>
      <c r="D18" s="154" t="s">
        <v>253</v>
      </c>
      <c r="E18" s="154" t="s">
        <v>254</v>
      </c>
      <c r="F18" s="154"/>
      <c r="G18" s="154"/>
      <c r="H18" s="148"/>
      <c r="I18" s="148"/>
      <c r="J18" s="148"/>
      <c r="K18" s="148"/>
      <c r="L18" s="148"/>
      <c r="M18" s="148"/>
      <c r="N18" s="147"/>
      <c r="O18" s="147"/>
      <c r="P18" s="147"/>
      <c r="Q18" s="147"/>
      <c r="R18" s="147"/>
      <c r="S18" s="147"/>
    </row>
    <row r="19" customFormat="false" ht="30" hidden="false" customHeight="true" outlineLevel="0" collapsed="false">
      <c r="B19" s="150"/>
      <c r="C19" s="145" t="s">
        <v>205</v>
      </c>
      <c r="D19" s="154" t="s">
        <v>255</v>
      </c>
      <c r="E19" s="154"/>
      <c r="F19" s="154"/>
      <c r="G19" s="154"/>
      <c r="H19" s="147"/>
      <c r="I19" s="147"/>
      <c r="J19" s="148"/>
      <c r="K19" s="148"/>
      <c r="L19" s="148"/>
      <c r="M19" s="148"/>
      <c r="N19" s="148"/>
      <c r="O19" s="148"/>
      <c r="P19" s="147"/>
      <c r="Q19" s="147"/>
      <c r="R19" s="147"/>
      <c r="S19" s="147"/>
    </row>
    <row r="20" customFormat="false" ht="30" hidden="false" customHeight="true" outlineLevel="0" collapsed="false">
      <c r="B20" s="150"/>
      <c r="C20" s="145" t="s">
        <v>206</v>
      </c>
      <c r="D20" s="154" t="s">
        <v>256</v>
      </c>
      <c r="E20" s="154"/>
      <c r="F20" s="154"/>
      <c r="G20" s="154"/>
      <c r="H20" s="148"/>
      <c r="I20" s="148"/>
      <c r="J20" s="148"/>
      <c r="K20" s="147"/>
      <c r="L20" s="147"/>
      <c r="M20" s="147"/>
      <c r="N20" s="147"/>
      <c r="O20" s="147"/>
      <c r="P20" s="147"/>
      <c r="Q20" s="147"/>
      <c r="R20" s="147"/>
      <c r="S20" s="147"/>
    </row>
    <row r="21" customFormat="false" ht="30" hidden="false" customHeight="true" outlineLevel="0" collapsed="false">
      <c r="B21" s="150"/>
      <c r="C21" s="145" t="s">
        <v>257</v>
      </c>
      <c r="D21" s="154" t="s">
        <v>258</v>
      </c>
      <c r="E21" s="154"/>
      <c r="F21" s="154"/>
      <c r="G21" s="154"/>
      <c r="H21" s="148"/>
      <c r="I21" s="148"/>
      <c r="J21" s="148"/>
      <c r="K21" s="147"/>
      <c r="L21" s="147"/>
      <c r="M21" s="147"/>
      <c r="N21" s="147"/>
      <c r="O21" s="147"/>
      <c r="P21" s="147"/>
      <c r="Q21" s="147"/>
      <c r="R21" s="147"/>
      <c r="S21" s="147"/>
    </row>
    <row r="22" customFormat="false" ht="30" hidden="false" customHeight="true" outlineLevel="0" collapsed="false">
      <c r="B22" s="150"/>
      <c r="C22" s="145" t="s">
        <v>211</v>
      </c>
      <c r="D22" s="154" t="s">
        <v>259</v>
      </c>
      <c r="E22" s="154" t="s">
        <v>198</v>
      </c>
      <c r="F22" s="154"/>
      <c r="G22" s="154"/>
      <c r="H22" s="148"/>
      <c r="I22" s="148"/>
      <c r="J22" s="148"/>
      <c r="K22" s="148"/>
      <c r="L22" s="148"/>
      <c r="M22" s="148"/>
      <c r="N22" s="148"/>
      <c r="O22" s="148"/>
      <c r="P22" s="148"/>
      <c r="Q22" s="148"/>
      <c r="R22" s="148"/>
      <c r="S22" s="148"/>
    </row>
    <row r="23" customFormat="false" ht="30" hidden="false" customHeight="true" outlineLevel="0" collapsed="false">
      <c r="B23" s="150"/>
      <c r="C23" s="145" t="s">
        <v>212</v>
      </c>
      <c r="D23" s="154" t="s">
        <v>260</v>
      </c>
      <c r="E23" s="154" t="s">
        <v>198</v>
      </c>
      <c r="F23" s="154"/>
      <c r="G23" s="154"/>
      <c r="H23" s="148"/>
      <c r="I23" s="148"/>
      <c r="J23" s="148"/>
      <c r="K23" s="148"/>
      <c r="L23" s="147"/>
      <c r="M23" s="147"/>
      <c r="N23" s="147"/>
      <c r="O23" s="147"/>
      <c r="P23" s="147"/>
      <c r="Q23" s="147"/>
      <c r="R23" s="147"/>
      <c r="S23" s="147"/>
    </row>
    <row r="24" customFormat="false" ht="30" hidden="false" customHeight="true" outlineLevel="0" collapsed="false">
      <c r="B24" s="150"/>
      <c r="C24" s="145" t="s">
        <v>213</v>
      </c>
      <c r="D24" s="154" t="s">
        <v>261</v>
      </c>
      <c r="E24" s="154" t="s">
        <v>198</v>
      </c>
      <c r="F24" s="154"/>
      <c r="G24" s="154"/>
      <c r="H24" s="148"/>
      <c r="I24" s="148"/>
      <c r="J24" s="148"/>
      <c r="K24" s="147"/>
      <c r="L24" s="147"/>
      <c r="M24" s="147"/>
      <c r="N24" s="147"/>
      <c r="O24" s="147"/>
      <c r="P24" s="147"/>
      <c r="Q24" s="147"/>
      <c r="R24" s="147"/>
      <c r="S24" s="147"/>
    </row>
    <row r="25" customFormat="false" ht="15" hidden="false" customHeight="true" outlineLevel="0" collapsed="false">
      <c r="B25" s="150"/>
      <c r="C25" s="145" t="s">
        <v>262</v>
      </c>
      <c r="D25" s="154" t="s">
        <v>263</v>
      </c>
      <c r="E25" s="140" t="s">
        <v>264</v>
      </c>
      <c r="J25" s="148"/>
      <c r="K25" s="148"/>
      <c r="L25" s="148"/>
      <c r="M25" s="148"/>
      <c r="N25" s="148"/>
      <c r="O25" s="148"/>
      <c r="P25" s="148"/>
      <c r="Q25" s="147"/>
      <c r="R25" s="147"/>
      <c r="S25" s="147"/>
    </row>
    <row r="26" customFormat="false" ht="15" hidden="false" customHeight="true" outlineLevel="0" collapsed="false">
      <c r="B26" s="150"/>
      <c r="C26" s="145" t="s">
        <v>265</v>
      </c>
      <c r="D26" s="154" t="s">
        <v>266</v>
      </c>
      <c r="E26" s="154" t="s">
        <v>158</v>
      </c>
      <c r="F26" s="154"/>
      <c r="G26" s="154"/>
      <c r="H26" s="148"/>
      <c r="I26" s="148"/>
      <c r="J26" s="148"/>
      <c r="K26" s="148"/>
      <c r="L26" s="148"/>
      <c r="M26" s="147"/>
      <c r="N26" s="147"/>
      <c r="O26" s="147"/>
      <c r="P26" s="147"/>
      <c r="Q26" s="147"/>
      <c r="R26" s="147"/>
      <c r="S26" s="147"/>
    </row>
    <row r="27" customFormat="false" ht="15" hidden="false" customHeight="true" outlineLevel="0" collapsed="false">
      <c r="B27" s="150"/>
      <c r="C27" s="160" t="s">
        <v>267</v>
      </c>
      <c r="D27" s="161" t="s">
        <v>268</v>
      </c>
      <c r="E27" s="161"/>
      <c r="F27" s="161"/>
      <c r="G27" s="161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</row>
    <row r="28" customFormat="false" ht="15" hidden="false" customHeight="true" outlineLevel="0" collapsed="false">
      <c r="A28" s="149" t="n">
        <v>4</v>
      </c>
      <c r="B28" s="150"/>
      <c r="C28" s="162" t="s">
        <v>269</v>
      </c>
      <c r="D28" s="161" t="s">
        <v>270</v>
      </c>
      <c r="E28" s="161"/>
      <c r="F28" s="161"/>
      <c r="G28" s="161"/>
      <c r="H28" s="147"/>
      <c r="I28" s="147"/>
      <c r="J28" s="147"/>
      <c r="K28" s="147"/>
      <c r="L28" s="147"/>
      <c r="M28" s="147"/>
      <c r="N28" s="147"/>
      <c r="O28" s="147"/>
      <c r="P28" s="147"/>
      <c r="Q28" s="147"/>
      <c r="R28" s="147"/>
      <c r="S28" s="147"/>
    </row>
    <row r="29" customFormat="false" ht="15" hidden="false" customHeight="true" outlineLevel="0" collapsed="false">
      <c r="B29" s="150"/>
      <c r="C29" s="162" t="s">
        <v>271</v>
      </c>
      <c r="D29" s="161" t="s">
        <v>272</v>
      </c>
      <c r="E29" s="161"/>
      <c r="F29" s="161"/>
      <c r="G29" s="161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</row>
    <row r="30" customFormat="false" ht="15" hidden="false" customHeight="true" outlineLevel="0" collapsed="false">
      <c r="B30" s="150"/>
      <c r="C30" s="162" t="s">
        <v>273</v>
      </c>
      <c r="D30" s="161" t="s">
        <v>274</v>
      </c>
      <c r="E30" s="161"/>
      <c r="F30" s="161"/>
      <c r="G30" s="161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/>
      <c r="S30" s="147"/>
    </row>
    <row r="31" customFormat="false" ht="15" hidden="false" customHeight="true" outlineLevel="0" collapsed="false">
      <c r="B31" s="150"/>
      <c r="C31" s="162" t="s">
        <v>275</v>
      </c>
      <c r="D31" s="161" t="s">
        <v>276</v>
      </c>
      <c r="E31" s="161"/>
      <c r="F31" s="161"/>
      <c r="G31" s="161"/>
      <c r="H31" s="147"/>
      <c r="I31" s="147"/>
      <c r="J31" s="147"/>
      <c r="K31" s="147"/>
      <c r="L31" s="147"/>
      <c r="M31" s="147"/>
      <c r="N31" s="147"/>
      <c r="O31" s="147"/>
      <c r="P31" s="147"/>
      <c r="Q31" s="147"/>
      <c r="R31" s="147"/>
      <c r="S31" s="147"/>
    </row>
    <row r="32" customFormat="false" ht="18" hidden="false" customHeight="true" outlineLevel="0" collapsed="false">
      <c r="B32" s="163"/>
      <c r="C32" s="161" t="s">
        <v>277</v>
      </c>
      <c r="D32" s="161" t="s">
        <v>278</v>
      </c>
      <c r="E32" s="161"/>
      <c r="F32" s="161"/>
      <c r="G32" s="161"/>
      <c r="H32" s="147"/>
      <c r="I32" s="147"/>
      <c r="J32" s="147"/>
      <c r="K32" s="147"/>
      <c r="L32" s="147"/>
      <c r="M32" s="147"/>
      <c r="N32" s="147"/>
      <c r="O32" s="147"/>
      <c r="P32" s="147"/>
      <c r="Q32" s="147"/>
      <c r="R32" s="147"/>
      <c r="S32" s="147"/>
    </row>
    <row r="34" customFormat="false" ht="18" hidden="false" customHeight="true" outlineLevel="0" collapsed="false">
      <c r="C34" s="140" t="s">
        <v>183</v>
      </c>
    </row>
    <row r="35" customFormat="false" ht="18" hidden="false" customHeight="true" outlineLevel="0" collapsed="false">
      <c r="C35" s="140" t="s">
        <v>279</v>
      </c>
    </row>
  </sheetData>
  <autoFilter ref="A1:D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2026-09-20T06:57:56Z</dcterms:created>
  <dc:creator>Eyal Sadot</dc:creator>
  <dc:description/>
  <dc:language>en-US</dc:language>
  <cp:lastModifiedBy>Eyal Sadot</cp:lastModifiedBy>
  <dcterms:modified xsi:type="dcterms:W3CDTF">2026-09-20T12:18:59Z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