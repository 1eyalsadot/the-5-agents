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תקציב  " sheetId="1" state="visible" r:id="rId3"/>
    <sheet name="שנים" sheetId="2" state="visible" r:id="rId4"/>
    <sheet name="שנים 2" sheetId="3" state="visible" r:id="rId5"/>
    <sheet name="השקות 2026 מעודכן " sheetId="4" state="visible" r:id="rId6"/>
    <sheet name="השקות 2026" sheetId="5" state="visible" r:id="rId7"/>
    <sheet name=" Gantt" sheetId="6" state="visible" r:id="rId8"/>
  </sheets>
  <definedNames>
    <definedName function="false" hidden="true" localSheetId="5" name="_xlnm._FilterDatabase" vbProcedure="false">' Gantt'!$A$1:$D$1</definedName>
    <definedName function="false" hidden="true" localSheetId="4" name="_xlnm._FilterDatabase" vbProcedure="false">'השקות 2026'!$B$2:$AE$36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קרסול</t>
        </r>
      </text>
    </comment>
    <comment ref="B9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מרפק</t>
        </r>
      </text>
    </comment>
    <comment ref="K3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עוד </t>
        </r>
        <r>
          <rPr>
            <sz val="10"/>
            <rFont val="Arial"/>
            <family val="2"/>
          </rPr>
          <t xml:space="preserve">40 בחודש במכוני פיזיו</t>
        </r>
      </text>
    </comment>
    <comment ref="K4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עוד </t>
        </r>
        <r>
          <rPr>
            <sz val="10"/>
            <rFont val="Arial"/>
            <family val="2"/>
          </rPr>
          <t xml:space="preserve">20 בחודש במכוני פיזיו</t>
        </r>
      </text>
    </comment>
    <comment ref="N11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חצי חצי  עם סופרפארם
להוריד </t>
        </r>
        <r>
          <rPr>
            <sz val="10"/>
            <rFont val="Arial"/>
            <family val="2"/>
          </rPr>
          <t xml:space="preserve">3641</t>
        </r>
      </text>
    </comment>
    <comment ref="N13" authorId="0">
      <text>
        <r>
          <rPr>
            <sz val="10"/>
            <rFont val="Arial"/>
            <family val="2"/>
          </rPr>
          <t xml:space="preserve">Shirit yaacov:
60 </t>
        </r>
        <r>
          <rPr>
            <sz val="10"/>
            <rFont val="FreeSans"/>
            <family val="2"/>
          </rPr>
          <t xml:space="preserve">אורתופדיה, </t>
        </r>
        <r>
          <rPr>
            <sz val="10"/>
            <rFont val="Arial"/>
            <family val="2"/>
          </rPr>
          <t xml:space="preserve">40% פיזיותרפיה</t>
        </r>
      </text>
    </comment>
    <comment ref="N15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להוריד </t>
        </r>
        <r>
          <rPr>
            <sz val="10"/>
            <rFont val="Arial"/>
            <family val="2"/>
          </rPr>
          <t xml:space="preserve">40 ו 4022</t>
        </r>
      </text>
    </comment>
  </commentList>
</comments>
</file>

<file path=xl/sharedStrings.xml><?xml version="1.0" encoding="utf-8"?>
<sst xmlns="http://schemas.openxmlformats.org/spreadsheetml/2006/main" count="953" uniqueCount="314">
  <si>
    <t xml:space="preserve">Actual </t>
  </si>
  <si>
    <t xml:space="preserve">מטרה </t>
  </si>
  <si>
    <t xml:space="preserve">#</t>
  </si>
  <si>
    <t xml:space="preserve">ארץ</t>
  </si>
  <si>
    <t xml:space="preserve">ינואר</t>
  </si>
  <si>
    <t xml:space="preserve">פברואר</t>
  </si>
  <si>
    <t xml:space="preserve">מרץ</t>
  </si>
  <si>
    <t xml:space="preserve">אפריל</t>
  </si>
  <si>
    <t xml:space="preserve">מאי</t>
  </si>
  <si>
    <t xml:space="preserve">יוני</t>
  </si>
  <si>
    <t xml:space="preserve">יולי</t>
  </si>
  <si>
    <t xml:space="preserve">אוגוסט</t>
  </si>
  <si>
    <t xml:space="preserve">ספטמבר</t>
  </si>
  <si>
    <t xml:space="preserve">אוקטובר</t>
  </si>
  <si>
    <t xml:space="preserve">נובמבר</t>
  </si>
  <si>
    <t xml:space="preserve">דצמבר</t>
  </si>
  <si>
    <t xml:space="preserve">שנתי</t>
  </si>
  <si>
    <t xml:space="preserve">מצטבר ינואר  </t>
  </si>
  <si>
    <t xml:space="preserve">מצטבר פברואר</t>
  </si>
  <si>
    <t xml:space="preserve">מצטבר מרץ</t>
  </si>
  <si>
    <t xml:space="preserve">מצטבר אפריל</t>
  </si>
  <si>
    <t xml:space="preserve">מצטבר מאי</t>
  </si>
  <si>
    <t xml:space="preserve">מצטבר יוני</t>
  </si>
  <si>
    <t xml:space="preserve">מצטבר יולי</t>
  </si>
  <si>
    <t xml:space="preserve">מצטבר אוגוסט</t>
  </si>
  <si>
    <t xml:space="preserve">מצטבר ספטמבר</t>
  </si>
  <si>
    <t xml:space="preserve">מצטבר אוקטובר</t>
  </si>
  <si>
    <t xml:space="preserve">מצטבר נובמבר</t>
  </si>
  <si>
    <t xml:space="preserve">מצטבר דצמבר</t>
  </si>
  <si>
    <t xml:space="preserve">H1</t>
  </si>
  <si>
    <t xml:space="preserve">H2</t>
  </si>
  <si>
    <t xml:space="preserve">סופר פארם לייף</t>
  </si>
  <si>
    <t xml:space="preserve">ISRAEL</t>
  </si>
  <si>
    <t xml:space="preserve">סופרפארם</t>
  </si>
  <si>
    <t xml:space="preserve">BE</t>
  </si>
  <si>
    <t xml:space="preserve">בתי מרקחת</t>
  </si>
  <si>
    <t xml:space="preserve">כללית</t>
  </si>
  <si>
    <t xml:space="preserve">מאוחדת</t>
  </si>
  <si>
    <t xml:space="preserve">מכוני אורטופדיה</t>
  </si>
  <si>
    <t xml:space="preserve">לקוחות מפעל</t>
  </si>
  <si>
    <t xml:space="preserve">חנויות פרטיות</t>
  </si>
  <si>
    <t xml:space="preserve">מכוני פדיקור</t>
  </si>
  <si>
    <t xml:space="preserve">חנויות ספורט</t>
  </si>
  <si>
    <t xml:space="preserve">בתי חולים ושרות</t>
  </si>
  <si>
    <t xml:space="preserve">מכוני פיזיותרפיה</t>
  </si>
  <si>
    <t xml:space="preserve">לקוחות אינטרנט</t>
  </si>
  <si>
    <t xml:space="preserve">סופר פארם מרקט פלייס</t>
  </si>
  <si>
    <t xml:space="preserve">חנויות נעליים</t>
  </si>
  <si>
    <t xml:space="preserve">סה"כ ישראל</t>
  </si>
  <si>
    <t xml:space="preserve">Total - 301 - Amazon</t>
  </si>
  <si>
    <t xml:space="preserve">AMAZON</t>
  </si>
  <si>
    <t xml:space="preserve">USA</t>
  </si>
  <si>
    <t xml:space="preserve">Total - 202 - Super-Pharm POLAND</t>
  </si>
  <si>
    <t xml:space="preserve">SUPER PHARM POLAND</t>
  </si>
  <si>
    <t xml:space="preserve">POLAND</t>
  </si>
  <si>
    <t xml:space="preserve">Total - 203 - Ortho- Partner ag SWITZERLAND</t>
  </si>
  <si>
    <t xml:space="preserve">ORTHO- PARTNER AG.</t>
  </si>
  <si>
    <t xml:space="preserve">SWITZERLAND</t>
  </si>
  <si>
    <t xml:space="preserve">Total - 204 - Sanaflex Anatomic GREECE</t>
  </si>
  <si>
    <t xml:space="preserve">SANAFLEX ANATOMIC</t>
  </si>
  <si>
    <t xml:space="preserve">GREECE</t>
  </si>
  <si>
    <t xml:space="preserve">Total - 205 - Health Care Prod. Gmbh GERMANY</t>
  </si>
  <si>
    <t xml:space="preserve">HEALTH CARE PROD. GMBH</t>
  </si>
  <si>
    <t xml:space="preserve">GERMANY</t>
  </si>
  <si>
    <t xml:space="preserve">Total - 206 - Orthomed  Ltd BULGARIA</t>
  </si>
  <si>
    <t xml:space="preserve">ORTHOMED  LTD</t>
  </si>
  <si>
    <t xml:space="preserve">BULGARIA</t>
  </si>
  <si>
    <t xml:space="preserve">Total - 207 - Salus HUNGARY</t>
  </si>
  <si>
    <t xml:space="preserve">SALUS</t>
  </si>
  <si>
    <t xml:space="preserve">HUNGARY</t>
  </si>
  <si>
    <t xml:space="preserve">Total - 216 - Max Konnaris CYPRUS</t>
  </si>
  <si>
    <t xml:space="preserve">MAX KONNARIS LTD</t>
  </si>
  <si>
    <t xml:space="preserve">CYPRUS</t>
  </si>
  <si>
    <t xml:space="preserve">Total - 208 - Medipal Company NABLUS</t>
  </si>
  <si>
    <t xml:space="preserve">MEDIPAL COMPANY</t>
  </si>
  <si>
    <t xml:space="preserve">NABLUS</t>
  </si>
  <si>
    <t xml:space="preserve">Total - 209 - Ortoprofil Prod ROMANIA</t>
  </si>
  <si>
    <t xml:space="preserve">ORTOPROFIL PROD. ROMANIA</t>
  </si>
  <si>
    <t xml:space="preserve">ROMANIA</t>
  </si>
  <si>
    <t xml:space="preserve">Total - 210 - Oy. Ea. Ab. FINLAND</t>
  </si>
  <si>
    <t xml:space="preserve">OY. EA. AB.</t>
  </si>
  <si>
    <t xml:space="preserve">FINLAND</t>
  </si>
  <si>
    <t xml:space="preserve">Total - 201- Seven Gear FINLAND oy</t>
  </si>
  <si>
    <t xml:space="preserve">SEVEN GEAR</t>
  </si>
  <si>
    <t xml:space="preserve">211 - Pharmag Lachmair Ges. Mbh AUSTRIA</t>
  </si>
  <si>
    <t xml:space="preserve">PHARMAG LACHMAIR GES. MBH</t>
  </si>
  <si>
    <t xml:space="preserve">AUSTRIA</t>
  </si>
  <si>
    <t xml:space="preserve">Total - 213 - E.f.m.o. SPAIN</t>
  </si>
  <si>
    <t xml:space="preserve">E.F.M.O.</t>
  </si>
  <si>
    <t xml:space="preserve">SPAIN</t>
  </si>
  <si>
    <t xml:space="preserve">Total - 214 - Alfred Gera&amp; Sons Ltd. MALTA</t>
  </si>
  <si>
    <t xml:space="preserve">ALFRED GERA</t>
  </si>
  <si>
    <t xml:space="preserve">MALTA</t>
  </si>
  <si>
    <t xml:space="preserve">YOUNG IN HEALTHCARE CO.,</t>
  </si>
  <si>
    <t xml:space="preserve">200 - ROW : 217 - N3W FOODS USA</t>
  </si>
  <si>
    <t xml:space="preserve">HANS</t>
  </si>
  <si>
    <t xml:space="preserve">New Distributors</t>
  </si>
  <si>
    <t xml:space="preserve">NEW DISTRIBUTORS</t>
  </si>
  <si>
    <t xml:space="preserve">סה"כ חו"ל</t>
  </si>
  <si>
    <t xml:space="preserve">סה"כ </t>
  </si>
  <si>
    <t xml:space="preserve">בתי מרקחת כמיפל</t>
  </si>
  <si>
    <t xml:space="preserve">דוח מכירות מצטבר דצמבר 2026</t>
  </si>
  <si>
    <t xml:space="preserve">תקציב 2026</t>
  </si>
  <si>
    <t xml:space="preserve">מטרה 2026</t>
  </si>
  <si>
    <t xml:space="preserve">units </t>
  </si>
  <si>
    <t xml:space="preserve">amount </t>
  </si>
  <si>
    <t xml:space="preserve">new units </t>
  </si>
  <si>
    <t xml:space="preserve">new amount </t>
  </si>
  <si>
    <t xml:space="preserve">units</t>
  </si>
  <si>
    <t xml:space="preserve">111 - Superpharm Life</t>
  </si>
  <si>
    <t xml:space="preserve">112 - Kupat Holim Clalit</t>
  </si>
  <si>
    <t xml:space="preserve">113 - Kupat Holim Meuhedet</t>
  </si>
  <si>
    <t xml:space="preserve">102 - Orthopedic institutes</t>
  </si>
  <si>
    <t xml:space="preserve">101 - Factory customers</t>
  </si>
  <si>
    <t xml:space="preserve">109 - Private Shops</t>
  </si>
  <si>
    <t xml:space="preserve">105 - Pedicure Salons</t>
  </si>
  <si>
    <t xml:space="preserve">104 - Sports Shop</t>
  </si>
  <si>
    <t xml:space="preserve">106 - Hospitals</t>
  </si>
  <si>
    <t xml:space="preserve">103 - Physiotherapy institutes</t>
  </si>
  <si>
    <t xml:space="preserve">סה"כ ישראל ללא אונליין</t>
  </si>
  <si>
    <t xml:space="preserve">114 - IL online</t>
  </si>
  <si>
    <t xml:space="preserve">115-SuperPharm Online</t>
  </si>
  <si>
    <t xml:space="preserve">301 - Amazon</t>
  </si>
  <si>
    <t xml:space="preserve">202 - Super-Pharm POLAND</t>
  </si>
  <si>
    <t xml:space="preserve">203 - Ortho- Partner ag SWITZERLAND</t>
  </si>
  <si>
    <t xml:space="preserve">204 - Sanaflex Anatomic GREECE</t>
  </si>
  <si>
    <t xml:space="preserve">205 - Health Care Prod. Gmbh GERMANY</t>
  </si>
  <si>
    <t xml:space="preserve">206 - Orthomed  Ltd BULGARIA</t>
  </si>
  <si>
    <t xml:space="preserve">207 - Salus HUNGARY</t>
  </si>
  <si>
    <t xml:space="preserve">216 - Max Konnaris CYPRUS</t>
  </si>
  <si>
    <t xml:space="preserve">208 - Medipal Company NABLUS</t>
  </si>
  <si>
    <t xml:space="preserve">209 - Ortoprofil Prod ROMANIA</t>
  </si>
  <si>
    <t xml:space="preserve">210 - Oy. Ea. Ab. FINLAND</t>
  </si>
  <si>
    <t xml:space="preserve">201- Seven Gear FINLAND oy</t>
  </si>
  <si>
    <t xml:space="preserve">REMEDICARE B.V.</t>
  </si>
  <si>
    <t xml:space="preserve">HOLLAND</t>
  </si>
  <si>
    <t xml:space="preserve">213 - E.f.m.o. SPAIN</t>
  </si>
  <si>
    <t xml:space="preserve">214 - Alfred Gera&amp; Sons Ltd. MALTA</t>
  </si>
  <si>
    <t xml:space="preserve">212 - Quadrifoglio Medical ROMANIA</t>
  </si>
  <si>
    <t xml:space="preserve">QUADRIFOGLIO MEDICAL</t>
  </si>
  <si>
    <t xml:space="preserve">215 - Young In Healthcare Co. SOUTH KOREA</t>
  </si>
  <si>
    <t xml:space="preserve">KOREA</t>
  </si>
  <si>
    <t xml:space="preserve">BAKU</t>
  </si>
  <si>
    <t xml:space="preserve">MEXICO</t>
  </si>
  <si>
    <t xml:space="preserve">סה"כ מכירות </t>
  </si>
  <si>
    <t xml:space="preserve">אחוז מכירות חו"ל מסה"כ מכירות</t>
  </si>
  <si>
    <t xml:space="preserve">שוק ישראל </t>
  </si>
  <si>
    <t xml:space="preserve">אונליין ישראל </t>
  </si>
  <si>
    <t xml:space="preserve">ישראל </t>
  </si>
  <si>
    <t xml:space="preserve">אמזון </t>
  </si>
  <si>
    <t xml:space="preserve">מפיצים </t>
  </si>
  <si>
    <t xml:space="preserve">סה"כ</t>
  </si>
  <si>
    <t xml:space="preserve"> </t>
  </si>
  <si>
    <t xml:space="preserve">מכבי </t>
  </si>
  <si>
    <t xml:space="preserve">Project category</t>
  </si>
  <si>
    <t xml:space="preserve">products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</si>
  <si>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</si>
  <si>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</si>
  <si>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</si>
  <si>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</si>
  <si>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</si>
  <si>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</si>
  <si>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</si>
  <si>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</si>
  <si>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</si>
  <si>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</si>
  <si>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</si>
  <si>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</si>
  <si>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מגיעים לארץ בקרוב</t>
  </si>
  <si>
    <t xml:space="preserve">מקבע אגודל סופטגארד</t>
  </si>
  <si>
    <t xml:space="preserve">יש להתכונן להשקה</t>
  </si>
  <si>
    <t xml:space="preserve">מחליף ל84</t>
  </si>
  <si>
    <t xml:space="preserve">מחליף 85</t>
  </si>
  <si>
    <t xml:space="preserve">Ingrown kit ללייף</t>
  </si>
  <si>
    <t xml:space="preserve">59 חדש</t>
  </si>
  <si>
    <t xml:space="preserve">שילד ברך עם צירים</t>
  </si>
  <si>
    <t xml:space="preserve">שילד קרסול</t>
  </si>
  <si>
    <t xml:space="preserve">חגורות בטן Conwell + מיתוג אוריאל</t>
  </si>
  <si>
    <t xml:space="preserve">חגורת Jewett</t>
  </si>
  <si>
    <t xml:space="preserve">cervical collar</t>
  </si>
  <si>
    <t xml:space="preserve">פרויקטים בתיעדוף</t>
  </si>
  <si>
    <t xml:space="preserve">שילד מרפק</t>
  </si>
  <si>
    <t xml:space="preserve">מקבע קרסול HSY</t>
  </si>
  <si>
    <t xml:space="preserve">חגורת גב פדים מתחלפים</t>
  </si>
  <si>
    <t xml:space="preserve">כריות אורטופדיות</t>
  </si>
  <si>
    <t xml:space="preserve">מיישר כתפיים - Sneaknit</t>
  </si>
  <si>
    <t xml:space="preserve">פרויקטים ברקע</t>
  </si>
  <si>
    <t xml:space="preserve">אריזות פלסטרים לייף</t>
  </si>
  <si>
    <t xml:space="preserve">???</t>
  </si>
  <si>
    <t xml:space="preserve">11STO - ספק חלופי</t>
  </si>
  <si>
    <t xml:space="preserve">21B</t>
  </si>
  <si>
    <t xml:space="preserve">מקבע אגודל פארמה</t>
  </si>
  <si>
    <t xml:space="preserve">85K HSY</t>
  </si>
  <si>
    <t xml:space="preserve">35, 45 מדלתא</t>
  </si>
  <si>
    <t xml:space="preserve">פייפליין תיעדוף</t>
  </si>
  <si>
    <t xml:space="preserve">T-scoop רגל</t>
  </si>
  <si>
    <t xml:space="preserve">T-scoop יד</t>
  </si>
  <si>
    <t xml:space="preserve">מגף (ווקר) שני גדלים</t>
  </si>
  <si>
    <t xml:space="preserve">knee immobilizer</t>
  </si>
  <si>
    <t xml:space="preserve">מקבע אמה</t>
  </si>
  <si>
    <t xml:space="preserve">פייפליין פרויקטים ברקע</t>
  </si>
  <si>
    <t xml:space="preserve">חגורת גב עם גובה מתכוונן</t>
  </si>
  <si>
    <t xml:space="preserve">בחניה</t>
  </si>
  <si>
    <t xml:space="preserve">מקבע אגודל כחול לשוייץ</t>
  </si>
  <si>
    <t xml:space="preserve">חוסם עורקים</t>
  </si>
  <si>
    <t xml:space="preserve">קאטר ציפורניים יוקרתי</t>
  </si>
  <si>
    <t xml:space="preserve">תחזית 2025</t>
  </si>
  <si>
    <t xml:space="preserve">חנה </t>
  </si>
  <si>
    <t xml:space="preserve">השקות </t>
  </si>
  <si>
    <t xml:space="preserve">חודש הגעה למפעל</t>
  </si>
  <si>
    <t xml:space="preserve">סהכ יחידות 2025</t>
  </si>
  <si>
    <t xml:space="preserve">מחיר ליח'</t>
  </si>
  <si>
    <t xml:space="preserve">מכירות</t>
  </si>
  <si>
    <t xml:space="preserve">יחידות</t>
  </si>
  <si>
    <t xml:space="preserve">לקוח</t>
  </si>
  <si>
    <t xml:space="preserve">הזמנה קיימת</t>
  </si>
  <si>
    <t xml:space="preserve">כמות</t>
  </si>
  <si>
    <t xml:space="preserve">V</t>
  </si>
  <si>
    <t xml:space="preserve">CTS</t>
  </si>
  <si>
    <t xml:space="preserve">PO0408</t>
  </si>
  <si>
    <t xml:space="preserve">SH422 ברך</t>
  </si>
  <si>
    <t xml:space="preserve">PO0333</t>
  </si>
  <si>
    <t xml:space="preserve">גרבי טיסה 397A ארץ</t>
  </si>
  <si>
    <t xml:space="preserve">לחלק על כל לקוחות ארץ</t>
  </si>
  <si>
    <t xml:space="preserve">SH333</t>
  </si>
  <si>
    <t xml:space="preserve">PO0323</t>
  </si>
  <si>
    <t xml:space="preserve">נקודות</t>
  </si>
  <si>
    <t xml:space="preserve">SH776</t>
  </si>
  <si>
    <t xml:space="preserve">יח'</t>
  </si>
  <si>
    <t xml:space="preserve">להוריד 776</t>
  </si>
  <si>
    <t xml:space="preserve">SH322</t>
  </si>
  <si>
    <t xml:space="preserve">SH922</t>
  </si>
  <si>
    <t xml:space="preserve">SH423</t>
  </si>
  <si>
    <t xml:space="preserve">shield ברך+צירים</t>
  </si>
  <si>
    <t xml:space="preserve">SH322, SH922</t>
  </si>
  <si>
    <t xml:space="preserve">להוריד 322 ו 922</t>
  </si>
  <si>
    <t xml:space="preserve">364 xl+</t>
  </si>
  <si>
    <t xml:space="preserve">PO0492</t>
  </si>
  <si>
    <t xml:space="preserve">SC34+</t>
  </si>
  <si>
    <t xml:space="preserve">809PW</t>
  </si>
  <si>
    <t xml:space="preserve">PO0511</t>
  </si>
  <si>
    <t xml:space="preserve">T40B</t>
  </si>
  <si>
    <t xml:space="preserve">PO0264</t>
  </si>
  <si>
    <t xml:space="preserve">T066</t>
  </si>
  <si>
    <t xml:space="preserve">דלתא ל 305</t>
  </si>
  <si>
    <t xml:space="preserve">JAN</t>
  </si>
  <si>
    <t xml:space="preserve">MSG001F 0</t>
  </si>
  <si>
    <t xml:space="preserve">PO0519</t>
  </si>
  <si>
    <t xml:space="preserve">MSG002S 0</t>
  </si>
  <si>
    <t xml:space="preserve">מגף (ווקר)</t>
  </si>
  <si>
    <t xml:space="preserve">CR</t>
  </si>
  <si>
    <t xml:space="preserve">מתחלף 60 ו 61 </t>
  </si>
  <si>
    <t xml:space="preserve">1.5$*1.2*3.7+1.5</t>
  </si>
  <si>
    <t xml:space="preserve">Miami brace</t>
  </si>
  <si>
    <t xml:space="preserve">10 מוצרים חדשים HSY</t>
  </si>
  <si>
    <t xml:space="preserve">מקבע ברך</t>
  </si>
  <si>
    <t xml:space="preserve">אריזות פלסטרים</t>
  </si>
  <si>
    <t xml:space="preserve">נאופרן רפירמנס</t>
  </si>
  <si>
    <t xml:space="preserve">?</t>
  </si>
  <si>
    <t xml:space="preserve">T46B</t>
  </si>
  <si>
    <t xml:space="preserve">במקום T45</t>
  </si>
  <si>
    <t xml:space="preserve">T36B</t>
  </si>
  <si>
    <t xml:space="preserve">במקום T35</t>
  </si>
  <si>
    <t xml:space="preserve">ספק חליפי סדרת ST</t>
  </si>
  <si>
    <t xml:space="preserve">ספק חלופי מוצרי סריגה ביייסיק</t>
  </si>
  <si>
    <t xml:space="preserve">3623 הורסינג</t>
  </si>
  <si>
    <t xml:space="preserve">categories</t>
  </si>
  <si>
    <t xml:space="preserve">מהות ומשימות</t>
  </si>
  <si>
    <t xml:space="preserve">מהות</t>
  </si>
  <si>
    <t xml:space="preserve">עלות</t>
  </si>
  <si>
    <t xml:space="preserve">סיום אריזה, אישור ושילוח מרפרמנס. כולל חודשיים ליד טיים</t>
  </si>
  <si>
    <t xml:space="preserve">CR+ שדרוג המוצר</t>
  </si>
  <si>
    <t xml:space="preserve">2.05 $</t>
  </si>
  <si>
    <t xml:space="preserve">PO0489</t>
  </si>
  <si>
    <t xml:space="preserve">במפעל</t>
  </si>
  <si>
    <t xml:space="preserve">1.4 $</t>
  </si>
  <si>
    <t xml:space="preserve">מציאת החומר הנכון והדיפת עליית מחיר BDAC</t>
  </si>
  <si>
    <t xml:space="preserve">סיום תבניות בדיקת דוגמאות ותחילת יצור. BDAC</t>
  </si>
  <si>
    <t xml:space="preserve">סיום פיתוח, דוגמאות סופיות, הכנות ליצור</t>
  </si>
  <si>
    <t xml:space="preserve">בועז ועידו</t>
  </si>
  <si>
    <t xml:space="preserve">סיום פרויקט עם רפירמנס</t>
  </si>
  <si>
    <t xml:space="preserve">חיפוש ספק חדש</t>
  </si>
  <si>
    <t xml:space="preserve">e-life</t>
  </si>
  <si>
    <t xml:space="preserve">HSY</t>
  </si>
  <si>
    <t xml:space="preserve">Softgourd or E-life</t>
  </si>
  <si>
    <t xml:space="preserve">קיבוע כתף</t>
  </si>
  <si>
    <t xml:space="preserve">ספק- HSY</t>
  </si>
  <si>
    <t xml:space="preserve">Clyl</t>
  </si>
  <si>
    <t xml:space="preserve">מציאת ספק</t>
  </si>
  <si>
    <t xml:space="preserve">CR+ הרחבת מגוון</t>
  </si>
  <si>
    <t xml:space="preserve">פיתוח אריזות ל6 קונפיגורציות, הגדרת כמויות והזמנה</t>
  </si>
  <si>
    <t xml:space="preserve">פיתוח מחדש מוצר קרסול, פיתוח כל המידות לשלושת המוצרים, פיתוח אריזות</t>
  </si>
  <si>
    <t xml:space="preserve">T40B, T25 עם רפירמנס</t>
  </si>
  <si>
    <t xml:space="preserve">המשך עבודה עד אישור דוגמאות, העברת אריזות מאריק</t>
  </si>
  <si>
    <t xml:space="preserve">פיתוח כל סדרת המוצרים עם ספק חדש . ST422, ST27 מיידי</t>
  </si>
  <si>
    <t xml:space="preserve">סיום בחירת ספק ודוגמאות כל המידות, PP. 35,45,85</t>
  </si>
  <si>
    <t xml:space="preserve">אישור דוגמאות, פיתוח אריזות, סגירת מחירים והזמנה</t>
  </si>
  <si>
    <t xml:space="preserve">אולי HSY.</t>
  </si>
  <si>
    <t xml:space="preserve">ספק חליפי</t>
  </si>
  <si>
    <t xml:space="preserve">Ingrown kit חדש</t>
  </si>
  <si>
    <t xml:space="preserve">מחירים, אריזה, דוגמאות סופיות, הזמנה</t>
  </si>
  <si>
    <t xml:space="preserve">טייפים חדשים 3H</t>
  </si>
  <si>
    <t xml:space="preserve">עיצוב, דוגמאות, אריזות</t>
  </si>
  <si>
    <t xml:space="preserve">מחליף ל398 דרופ פוט</t>
  </si>
  <si>
    <t xml:space="preserve">המשך פיתוח...</t>
  </si>
  <si>
    <t xml:space="preserve">כריות חום קור</t>
  </si>
  <si>
    <t xml:space="preserve">קבלת דוגמאות וכו׳</t>
  </si>
  <si>
    <t xml:space="preserve">סדרת מוצרי פיזיו</t>
  </si>
  <si>
    <t xml:space="preserve">מציאת ספק, דוגמאות</t>
  </si>
  <si>
    <t xml:space="preserve">מוצר כף יד שווייץ</t>
  </si>
  <si>
    <t xml:space="preserve">אולי Wego</t>
  </si>
  <si>
    <t xml:space="preserve">ספק חדש 11U</t>
  </si>
  <si>
    <t xml:space="preserve">מציאת ספק, דוגמאות, תיקונים</t>
  </si>
  <si>
    <t xml:space="preserve">PRE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</si>
</sst>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 * #,##0_ ;_ * \-#,##0_ ;_ * \-??_ ;_ @_ "/>
    <numFmt numFmtId="166" formatCode="0"/>
    <numFmt numFmtId="167" formatCode="0%"/>
    <numFmt numFmtId="168" formatCode="_(* #,##0.00_);_(* \(#,##0.00\);_(* \-??_);_(@_)"/>
    <numFmt numFmtId="169" formatCode="_ * #,##0_ ;_ * \-#,##0_ ;_ * \-??_ ;_ @_ "/>
    <numFmt numFmtId="170" formatCode="mmm\-yy"/>
    <numFmt numFmtId="171" formatCode="General"/>
  </numFmts>
  <fonts count="32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rgb="FFFF0000"/>
      <name val="Arial"/>
      <family val="2"/>
      <charset val="177"/>
    </font>
    <font>
      <b val="true"/>
      <sz val="8"/>
      <color rgb="FF000000"/>
      <name val="Arial"/>
      <family val="2"/>
      <charset val="1"/>
    </font>
    <font>
      <b val="true"/>
      <sz val="9"/>
      <color theme="1"/>
      <name val="Arial"/>
      <family val="2"/>
      <charset val="1"/>
    </font>
    <font>
      <b val="true"/>
      <sz val="8"/>
      <name val="Arial"/>
      <family val="2"/>
      <charset val="1"/>
    </font>
    <font>
      <sz val="10"/>
      <name val="Arial"/>
      <family val="2"/>
      <charset val="1"/>
    </font>
    <font>
      <sz val="10"/>
      <name val="Arial"/>
      <family val="0"/>
      <charset val="1"/>
    </font>
    <font>
      <b val="true"/>
      <sz val="8"/>
      <color theme="1"/>
      <name val="Arial"/>
      <family val="2"/>
      <charset val="1"/>
    </font>
    <font>
      <b val="true"/>
      <sz val="1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4"/>
      <color rgb="FF000000"/>
      <name val="Aptos Narrow"/>
      <family val="2"/>
      <charset val="1"/>
    </font>
    <font>
      <b val="true"/>
      <sz val="10"/>
      <color rgb="FF000000"/>
      <name val="Aptos Narrow"/>
      <family val="2"/>
      <charset val="1"/>
    </font>
    <font>
      <sz val="12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color rgb="FF000000"/>
      <name val="Calibri"/>
      <family val="2"/>
      <charset val="1"/>
    </font>
    <font>
      <sz val="12"/>
      <name val="Aptos Narrow"/>
      <family val="2"/>
      <charset val="1"/>
    </font>
    <font>
      <sz val="7"/>
      <color rgb="FF262626"/>
      <name val="Arial"/>
      <family val="2"/>
      <charset val="1"/>
    </font>
    <font>
      <sz val="11"/>
      <color rgb="FF000000"/>
      <name val="Arial"/>
      <family val="2"/>
      <charset val="1"/>
    </font>
    <font>
      <sz val="10"/>
      <name val="Arial"/>
      <family val="2"/>
    </font>
    <font>
      <sz val="10"/>
      <name val="FreeSans"/>
      <family val="2"/>
    </font>
    <font>
      <sz val="14"/>
      <color theme="1"/>
      <name val="Arial"/>
      <family val="2"/>
      <charset val="1"/>
    </font>
    <font>
      <b val="true"/>
      <sz val="14"/>
      <color theme="1"/>
      <name val="Arial"/>
      <family val="2"/>
      <charset val="1"/>
    </font>
    <font>
      <b val="true"/>
      <sz val="16"/>
      <color theme="1"/>
      <name val="Arial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theme="2" tint="-0.1"/>
        <bgColor rgb="FFCCCCCC"/>
      </patternFill>
    </fill>
    <fill>
      <patternFill patternType="solid">
        <fgColor theme="5" tint="0.7998"/>
        <bgColor rgb="FFFFF2CC"/>
      </patternFill>
    </fill>
    <fill>
      <patternFill patternType="solid">
        <fgColor theme="0" tint="-0.05"/>
        <bgColor rgb="FFEDEDED"/>
      </patternFill>
    </fill>
    <fill>
      <patternFill patternType="solid">
        <fgColor rgb="FFFFFF00"/>
        <bgColor rgb="FFFFC000"/>
      </patternFill>
    </fill>
    <fill>
      <patternFill patternType="solid">
        <fgColor theme="0"/>
        <bgColor rgb="FFF2F2F2"/>
      </patternFill>
    </fill>
    <fill>
      <patternFill patternType="solid">
        <fgColor rgb="FF92D050"/>
        <bgColor rgb="FFB5E6A2"/>
      </patternFill>
    </fill>
    <fill>
      <patternFill patternType="solid">
        <fgColor rgb="FFFFC000"/>
        <bgColor rgb="FFFF9900"/>
      </patternFill>
    </fill>
    <fill>
      <patternFill patternType="solid">
        <fgColor theme="4" tint="0.7998"/>
        <bgColor rgb="FFD9D9D9"/>
      </patternFill>
    </fill>
    <fill>
      <patternFill patternType="solid">
        <fgColor theme="7" tint="0.5998"/>
        <bgColor rgb="FFFFF2CC"/>
      </patternFill>
    </fill>
    <fill>
      <patternFill patternType="solid">
        <fgColor theme="9" tint="0.5998"/>
        <bgColor rgb="FFB5E6A2"/>
      </patternFill>
    </fill>
    <fill>
      <patternFill patternType="solid">
        <fgColor theme="7" tint="0.7998"/>
        <bgColor rgb="FFFBE5D6"/>
      </patternFill>
    </fill>
    <fill>
      <patternFill patternType="solid">
        <fgColor rgb="FFD9D9D9"/>
        <bgColor rgb="FFD0CECE"/>
      </patternFill>
    </fill>
    <fill>
      <patternFill patternType="solid">
        <fgColor rgb="FF00B0F0"/>
        <bgColor rgb="FF0F9ED5"/>
      </patternFill>
    </fill>
    <fill>
      <patternFill patternType="solid">
        <fgColor rgb="FF0F9ED5"/>
        <bgColor rgb="FF00B0F0"/>
      </patternFill>
    </fill>
    <fill>
      <patternFill patternType="solid">
        <fgColor rgb="FFB5E6A2"/>
        <bgColor rgb="FFC5E0B4"/>
      </patternFill>
    </fill>
    <fill>
      <patternFill patternType="solid">
        <fgColor rgb="FFF5FF9C"/>
        <bgColor rgb="FFFFF2CC"/>
      </patternFill>
    </fill>
    <fill>
      <patternFill patternType="solid">
        <fgColor rgb="FFFF0000"/>
        <bgColor rgb="FF993300"/>
      </patternFill>
    </fill>
    <fill>
      <patternFill patternType="solid">
        <fgColor theme="6" tint="0.7998"/>
        <bgColor rgb="FFF2F2F2"/>
      </patternFill>
    </fill>
    <fill>
      <patternFill patternType="solid">
        <fgColor theme="5" tint="0.5998"/>
        <bgColor rgb="FFFFE699"/>
      </patternFill>
    </fill>
    <fill>
      <patternFill patternType="solid">
        <fgColor rgb="FF00B050"/>
        <bgColor rgb="FF008080"/>
      </patternFill>
    </fill>
    <fill>
      <patternFill patternType="solid">
        <fgColor theme="4" tint="0.5998"/>
        <bgColor rgb="FFBDD7EE"/>
      </patternFill>
    </fill>
    <fill>
      <patternFill patternType="solid">
        <fgColor theme="4" tint="0.3998"/>
        <bgColor rgb="FFB4C7E7"/>
      </patternFill>
    </fill>
    <fill>
      <patternFill patternType="solid">
        <fgColor theme="5"/>
        <bgColor rgb="FFFF9900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dashed">
        <color rgb="FFCCCCCC"/>
      </top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8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7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2" xfId="1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5" fillId="5" borderId="2" xfId="1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5" fontId="17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1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1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12" borderId="2" xfId="1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13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20" fillId="13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21" fillId="14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1" fillId="7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2" fillId="14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1" fillId="0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1" fillId="15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1" fillId="5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70" fontId="21" fillId="8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1" fillId="0" borderId="1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2" fillId="5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1" fillId="16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3" fillId="5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1" fillId="8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3" fillId="8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2" fillId="8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2" fillId="17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1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22" fillId="0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1" fillId="18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2" fillId="18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4" fillId="18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1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4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4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4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29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30" fillId="13" borderId="46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9" fillId="13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30" fillId="13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15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5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7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23" borderId="46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18" fillId="0" borderId="2" xfId="0" applyFont="true" applyBorder="true" applyAlignment="true" applyProtection="false">
      <alignment horizontal="right" vertical="center" textRotation="90" wrapText="false" indent="0" shrinkToFit="false" readingOrder="2"/>
      <protection locked="true" hidden="false"/>
    </xf>
    <xf numFmtId="164" fontId="18" fillId="0" borderId="2" xfId="0" applyFont="true" applyBorder="true" applyAlignment="true" applyProtection="false">
      <alignment horizontal="right" vertical="top" textRotation="90" wrapText="true" indent="0" shrinkToFit="false" readingOrder="2"/>
      <protection locked="true" hidden="false"/>
    </xf>
    <xf numFmtId="164" fontId="18" fillId="0" borderId="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18" fillId="0" borderId="7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8" fillId="0" borderId="15" xfId="0" applyFont="true" applyBorder="true" applyAlignment="true" applyProtection="false">
      <alignment horizontal="right" vertical="center" textRotation="90" wrapText="false" indent="0" shrinkToFit="false" readingOrder="2"/>
      <protection locked="true" hidden="false"/>
    </xf>
    <xf numFmtId="164" fontId="4" fillId="23" borderId="47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31" fillId="24" borderId="1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24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5" borderId="15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5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5" borderId="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9" fillId="0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9">
    <dxf>
      <fill>
        <patternFill patternType="solid">
          <fgColor rgb="FF00B050"/>
          <bgColor rgb="FF000000"/>
        </patternFill>
      </fill>
    </dxf>
    <dxf>
      <fill>
        <patternFill patternType="solid">
          <fgColor rgb="FFB4C7E7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9ED5"/>
      <rgbColor rgb="FFCCCCCC"/>
      <rgbColor rgb="FF808080"/>
      <rgbColor rgb="FF8FAADC"/>
      <rgbColor rgb="FF993366"/>
      <rgbColor rgb="FFFFF2CC"/>
      <rgbColor rgb="FFDAE3F3"/>
      <rgbColor rgb="FF660066"/>
      <rgbColor rgb="FFFBE5D6"/>
      <rgbColor rgb="FF0066CC"/>
      <rgbColor rgb="FFBDD7EE"/>
      <rgbColor rgb="FF000080"/>
      <rgbColor rgb="FFFF00FF"/>
      <rgbColor rgb="FFFFE699"/>
      <rgbColor rgb="FF00FFFF"/>
      <rgbColor rgb="FF800080"/>
      <rgbColor rgb="FF800000"/>
      <rgbColor rgb="FF008080"/>
      <rgbColor rgb="FF0000FF"/>
      <rgbColor rgb="FF00B0F0"/>
      <rgbColor rgb="FFF2F2F2"/>
      <rgbColor rgb="FFEDEDED"/>
      <rgbColor rgb="FFF5FF9C"/>
      <rgbColor rgb="FFB4C7E7"/>
      <rgbColor rgb="FFD9D9D9"/>
      <rgbColor rgb="FFD0CECE"/>
      <rgbColor rgb="FFF8CBAD"/>
      <rgbColor rgb="FF3366FF"/>
      <rgbColor rgb="FFB5E6A2"/>
      <rgbColor rgb="FF92D050"/>
      <rgbColor rgb="FFFFC000"/>
      <rgbColor rgb="FFFF9900"/>
      <rgbColor rgb="FFED7D31"/>
      <rgbColor rgb="FF666699"/>
      <rgbColor rgb="FFC5E0B4"/>
      <rgbColor rgb="FF003366"/>
      <rgbColor rgb="FF00B050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ערכת נושא של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78"/>
  <sheetViews>
    <sheetView showFormulas="false" showGridLines="true" showRowColHeaders="true" showZeros="true" rightToLeft="true" tabSelected="false" showOutlineSymbols="true" defaultGridColor="true" view="normal" topLeftCell="A1" colorId="64" zoomScale="70" zoomScaleNormal="7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A31" activeCellId="0" sqref="AA31"/>
    </sheetView>
  </sheetViews>
  <sheetFormatPr defaultColWidth="8.625" defaultRowHeight="14.25" zeroHeight="false" outlineLevelRow="0" outlineLevelCol="0"/>
  <cols>
    <col collapsed="false" customWidth="true" hidden="false" outlineLevel="0" max="1" min="1" style="0" width="3.62"/>
    <col collapsed="false" customWidth="true" hidden="false" outlineLevel="0" max="2" min="2" style="0" width="37.25"/>
    <col collapsed="false" customWidth="true" hidden="false" outlineLevel="0" max="3" min="3" style="0" width="27"/>
    <col collapsed="false" customWidth="true" hidden="false" outlineLevel="0" max="4" min="4" style="1" width="8.5"/>
    <col collapsed="false" customWidth="true" hidden="false" outlineLevel="0" max="13" min="5" style="2" width="9.75"/>
    <col collapsed="false" customWidth="true" hidden="false" outlineLevel="0" max="14" min="14" style="3" width="9.75"/>
    <col collapsed="false" customWidth="true" hidden="false" outlineLevel="0" max="16" min="15" style="2" width="9.75"/>
    <col collapsed="false" customWidth="true" hidden="false" outlineLevel="0" max="17" min="17" style="3" width="11.75"/>
    <col collapsed="false" customWidth="true" hidden="true" outlineLevel="0" max="18" min="18" style="4" width="9.75"/>
    <col collapsed="false" customWidth="true" hidden="false" outlineLevel="0" max="19" min="19" style="4" width="9.75"/>
    <col collapsed="false" customWidth="true" hidden="true" outlineLevel="0" max="20" min="20" style="0" width="10.5"/>
    <col collapsed="false" customWidth="true" hidden="false" outlineLevel="0" max="21" min="21" style="4" width="12.12"/>
    <col collapsed="false" customWidth="true" hidden="false" outlineLevel="0" max="22" min="22" style="4" width="9.87"/>
    <col collapsed="false" customWidth="true" hidden="false" outlineLevel="0" max="23" min="23" style="4" width="11.12"/>
    <col collapsed="false" customWidth="true" hidden="false" outlineLevel="0" max="26" min="24" style="4" width="10.88"/>
    <col collapsed="false" customWidth="true" hidden="false" outlineLevel="0" max="27" min="27" style="4" width="11.75"/>
    <col collapsed="false" customWidth="true" hidden="false" outlineLevel="0" max="28" min="28" style="4" width="13.12"/>
    <col collapsed="false" customWidth="true" hidden="false" outlineLevel="0" max="29" min="29" style="4" width="12.88"/>
    <col collapsed="false" customWidth="true" hidden="false" outlineLevel="0" max="30" min="30" style="4" width="12.12"/>
    <col collapsed="false" customWidth="true" hidden="false" outlineLevel="0" max="31" min="31" style="4" width="11.75"/>
    <col collapsed="false" customWidth="true" hidden="false" outlineLevel="0" max="33" min="33" style="4" width="11.75"/>
    <col collapsed="false" customWidth="true" hidden="false" outlineLevel="0" max="37" min="35" style="0" width="9.87"/>
    <col collapsed="false" customWidth="true" hidden="false" outlineLevel="0" max="42" min="38" style="0" width="10.88"/>
    <col collapsed="false" customWidth="true" hidden="false" outlineLevel="0" max="44" min="44" style="0" width="10.88"/>
    <col collapsed="false" customWidth="true" hidden="false" outlineLevel="0" max="45" min="45" style="0" width="11"/>
    <col collapsed="false" customWidth="true" hidden="false" outlineLevel="0" max="46" min="46" style="0" width="12.5"/>
    <col collapsed="false" customWidth="true" hidden="false" outlineLevel="0" max="47" min="47" style="0" width="11.75"/>
    <col collapsed="false" customWidth="true" hidden="false" outlineLevel="0" max="48" min="48" style="0" width="10.75"/>
    <col collapsed="false" customWidth="true" hidden="false" outlineLevel="0" max="49" min="49" style="0" width="12.12"/>
  </cols>
  <sheetData>
    <row r="1" customFormat="false" ht="14.25" hidden="true" customHeight="true" outlineLevel="0" collapsed="false">
      <c r="E1" s="2" t="n">
        <v>2</v>
      </c>
      <c r="F1" s="2" t="n">
        <f aca="false">+E1+1</f>
        <v>3</v>
      </c>
      <c r="G1" s="2" t="n">
        <f aca="false">+F1+1</f>
        <v>4</v>
      </c>
      <c r="H1" s="2" t="n">
        <f aca="false">+G1+1</f>
        <v>5</v>
      </c>
      <c r="I1" s="2" t="n">
        <f aca="false">+H1+1</f>
        <v>6</v>
      </c>
      <c r="J1" s="2" t="n">
        <f aca="false">+I1+1</f>
        <v>7</v>
      </c>
      <c r="K1" s="2" t="n">
        <f aca="false">+J1+1</f>
        <v>8</v>
      </c>
      <c r="L1" s="2" t="n">
        <f aca="false">+K1+1</f>
        <v>9</v>
      </c>
      <c r="M1" s="2" t="n">
        <f aca="false">+L1+1</f>
        <v>10</v>
      </c>
      <c r="N1" s="2" t="n">
        <f aca="false">+M1+1</f>
        <v>11</v>
      </c>
      <c r="O1" s="2" t="n">
        <f aca="false">+N1+1</f>
        <v>12</v>
      </c>
      <c r="P1" s="2" t="n">
        <f aca="false">+O1+1</f>
        <v>13</v>
      </c>
    </row>
    <row r="2" customFormat="false" ht="15.75" hidden="true" customHeight="true" outlineLevel="0" collapsed="false">
      <c r="B2" s="5"/>
      <c r="C2" s="6"/>
      <c r="D2" s="6"/>
      <c r="E2" s="3" t="n">
        <v>3</v>
      </c>
      <c r="F2" s="3" t="n">
        <f aca="false">E2+3</f>
        <v>6</v>
      </c>
      <c r="G2" s="3" t="n">
        <f aca="false">F2+3</f>
        <v>9</v>
      </c>
      <c r="H2" s="3" t="n">
        <f aca="false">G2+3</f>
        <v>12</v>
      </c>
      <c r="I2" s="3" t="n">
        <f aca="false">H2+3</f>
        <v>15</v>
      </c>
      <c r="J2" s="3" t="n">
        <f aca="false">I2+3</f>
        <v>18</v>
      </c>
      <c r="K2" s="3" t="n">
        <f aca="false">J2+3</f>
        <v>21</v>
      </c>
      <c r="L2" s="3" t="n">
        <f aca="false">K2+3</f>
        <v>24</v>
      </c>
      <c r="M2" s="3" t="n">
        <f aca="false">L2+3</f>
        <v>27</v>
      </c>
      <c r="N2" s="3" t="n">
        <f aca="false">M2+3</f>
        <v>30</v>
      </c>
      <c r="O2" s="3" t="n">
        <f aca="false">N2+3</f>
        <v>33</v>
      </c>
      <c r="P2" s="3" t="n">
        <f aca="false">O2+3</f>
        <v>36</v>
      </c>
    </row>
    <row r="3" customFormat="false" ht="16.5" hidden="false" customHeight="true" outlineLevel="0" collapsed="false">
      <c r="B3" s="5"/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AG3" s="4" t="s">
        <v>0</v>
      </c>
      <c r="AI3" s="8" t="s">
        <v>1</v>
      </c>
    </row>
    <row r="4" customFormat="false" ht="14.25" hidden="false" customHeight="true" outlineLevel="0" collapsed="false">
      <c r="A4" s="9" t="s">
        <v>2</v>
      </c>
      <c r="B4" s="9"/>
      <c r="C4" s="9"/>
      <c r="D4" s="9" t="s">
        <v>3</v>
      </c>
      <c r="E4" s="9" t="s">
        <v>4</v>
      </c>
      <c r="F4" s="9" t="s">
        <v>5</v>
      </c>
      <c r="G4" s="9" t="s">
        <v>6</v>
      </c>
      <c r="H4" s="10" t="s">
        <v>7</v>
      </c>
      <c r="I4" s="10" t="s">
        <v>8</v>
      </c>
      <c r="J4" s="9" t="s">
        <v>9</v>
      </c>
      <c r="K4" s="9" t="s">
        <v>10</v>
      </c>
      <c r="L4" s="9" t="s">
        <v>11</v>
      </c>
      <c r="M4" s="9" t="s">
        <v>12</v>
      </c>
      <c r="N4" s="10" t="s">
        <v>13</v>
      </c>
      <c r="O4" s="9" t="s">
        <v>14</v>
      </c>
      <c r="P4" s="11" t="s">
        <v>15</v>
      </c>
      <c r="Q4" s="12" t="s">
        <v>16</v>
      </c>
      <c r="S4" s="13" t="s">
        <v>17</v>
      </c>
      <c r="T4" s="14"/>
      <c r="U4" s="13" t="s">
        <v>18</v>
      </c>
      <c r="V4" s="13" t="s">
        <v>19</v>
      </c>
      <c r="W4" s="13" t="s">
        <v>20</v>
      </c>
      <c r="X4" s="13" t="s">
        <v>21</v>
      </c>
      <c r="Y4" s="13" t="s">
        <v>22</v>
      </c>
      <c r="Z4" s="13" t="s">
        <v>23</v>
      </c>
      <c r="AA4" s="13" t="s">
        <v>24</v>
      </c>
      <c r="AB4" s="13" t="s">
        <v>25</v>
      </c>
      <c r="AC4" s="13" t="s">
        <v>26</v>
      </c>
      <c r="AD4" s="13" t="s">
        <v>27</v>
      </c>
      <c r="AE4" s="13" t="s">
        <v>28</v>
      </c>
      <c r="AG4" s="15" t="s">
        <v>29</v>
      </c>
      <c r="AI4" s="8" t="s">
        <v>10</v>
      </c>
      <c r="AJ4" s="8" t="s">
        <v>11</v>
      </c>
      <c r="AK4" s="8" t="s">
        <v>12</v>
      </c>
      <c r="AL4" s="16" t="s">
        <v>13</v>
      </c>
      <c r="AM4" s="8" t="s">
        <v>14</v>
      </c>
      <c r="AN4" s="17" t="s">
        <v>15</v>
      </c>
      <c r="AO4" s="18" t="s">
        <v>30</v>
      </c>
      <c r="AP4" s="19" t="s">
        <v>16</v>
      </c>
      <c r="AR4" s="20" t="s">
        <v>23</v>
      </c>
      <c r="AS4" s="21" t="s">
        <v>24</v>
      </c>
      <c r="AT4" s="21" t="s">
        <v>25</v>
      </c>
      <c r="AU4" s="21" t="s">
        <v>26</v>
      </c>
      <c r="AV4" s="21" t="s">
        <v>27</v>
      </c>
      <c r="AW4" s="22" t="s">
        <v>28</v>
      </c>
    </row>
    <row r="5" customFormat="false" ht="15" hidden="false" customHeight="true" outlineLevel="0" collapsed="false">
      <c r="A5" s="23" t="n">
        <v>5</v>
      </c>
      <c r="B5" s="23" t="s">
        <v>31</v>
      </c>
      <c r="C5" s="24" t="s">
        <v>31</v>
      </c>
      <c r="D5" s="25" t="s">
        <v>32</v>
      </c>
      <c r="E5" s="26" t="n">
        <v>176666.666666667</v>
      </c>
      <c r="F5" s="26" t="n">
        <v>168253.968253968</v>
      </c>
      <c r="G5" s="26" t="n">
        <v>193492.063492064</v>
      </c>
      <c r="H5" s="26" t="n">
        <v>173015.873015873</v>
      </c>
      <c r="I5" s="26" t="n">
        <v>188253.968253968</v>
      </c>
      <c r="J5" s="26" t="n">
        <v>235079.365079365</v>
      </c>
      <c r="K5" s="26" t="n">
        <v>235079.365079365</v>
      </c>
      <c r="L5" s="26" t="n">
        <v>235079.365079365</v>
      </c>
      <c r="M5" s="26" t="n">
        <v>209841.26984127</v>
      </c>
      <c r="N5" s="26" t="n">
        <v>226666.666666667</v>
      </c>
      <c r="O5" s="26" t="n">
        <v>235079.365079365</v>
      </c>
      <c r="P5" s="26" t="n">
        <v>243492.063492064</v>
      </c>
      <c r="Q5" s="27" t="n">
        <f aca="false">SUM(E5:P5)</f>
        <v>2520000</v>
      </c>
      <c r="S5" s="28" t="n">
        <f aca="false">SUM(E5:E5)</f>
        <v>176666.666666667</v>
      </c>
      <c r="U5" s="28" t="n">
        <f aca="false">SUM($E5:F5)</f>
        <v>344920.634920635</v>
      </c>
      <c r="V5" s="28" t="n">
        <f aca="false">SUM($E5:G5)</f>
        <v>538412.698412699</v>
      </c>
      <c r="W5" s="28" t="n">
        <f aca="false">SUM($E5:H5)</f>
        <v>711428.571428572</v>
      </c>
      <c r="X5" s="28" t="n">
        <f aca="false">SUM($E5:I5)</f>
        <v>899682.53968254</v>
      </c>
      <c r="Y5" s="28" t="n">
        <f aca="false">SUM($E5:J5)</f>
        <v>1134761.90476191</v>
      </c>
      <c r="Z5" s="28" t="n">
        <f aca="false">SUM($E5:K5)</f>
        <v>1369841.26984127</v>
      </c>
      <c r="AA5" s="28" t="n">
        <f aca="false">SUM($E5:L5)</f>
        <v>1604920.63492064</v>
      </c>
      <c r="AB5" s="28" t="n">
        <f aca="false">SUM($E5:M5)</f>
        <v>1814761.90476191</v>
      </c>
      <c r="AC5" s="28" t="n">
        <f aca="false">SUM($E5:N5)</f>
        <v>2041428.57142857</v>
      </c>
      <c r="AD5" s="28" t="n">
        <f aca="false">SUM($E5:O5)</f>
        <v>2276507.93650794</v>
      </c>
      <c r="AE5" s="28" t="n">
        <f aca="false">SUM($E5:P5)</f>
        <v>2520000</v>
      </c>
      <c r="AG5" s="29" t="n">
        <v>740443.3</v>
      </c>
      <c r="AI5" s="30" t="n">
        <f aca="false">AJ5</f>
        <v>200000</v>
      </c>
      <c r="AJ5" s="30" t="n">
        <v>200000</v>
      </c>
      <c r="AK5" s="30" t="n">
        <v>200000</v>
      </c>
      <c r="AL5" s="30" t="n">
        <v>200000</v>
      </c>
      <c r="AM5" s="30" t="n">
        <v>200000</v>
      </c>
      <c r="AN5" s="31" t="n">
        <v>200000</v>
      </c>
      <c r="AO5" s="29" t="n">
        <f aca="false">SUM(AI5:AN5)</f>
        <v>1200000</v>
      </c>
      <c r="AP5" s="32" t="n">
        <f aca="false">SUM(AI5:AN5)+Y5</f>
        <v>2334761.90476191</v>
      </c>
      <c r="AR5" s="33" t="n">
        <f aca="false">AI5+AG5</f>
        <v>940443.3</v>
      </c>
      <c r="AS5" s="30" t="n">
        <f aca="false">AR5+AJ5</f>
        <v>1140443.3</v>
      </c>
      <c r="AT5" s="30" t="n">
        <f aca="false">AS5+AK5</f>
        <v>1340443.3</v>
      </c>
      <c r="AU5" s="30" t="n">
        <f aca="false">AT5+AL5</f>
        <v>1540443.3</v>
      </c>
      <c r="AV5" s="30" t="n">
        <f aca="false">AU5+AM5</f>
        <v>1740443.3</v>
      </c>
      <c r="AW5" s="34" t="n">
        <f aca="false">AV5+AN5</f>
        <v>1940443.3</v>
      </c>
    </row>
    <row r="6" customFormat="false" ht="15" hidden="false" customHeight="true" outlineLevel="0" collapsed="false">
      <c r="A6" s="23" t="n">
        <v>1</v>
      </c>
      <c r="B6" s="23" t="s">
        <v>33</v>
      </c>
      <c r="C6" s="24" t="s">
        <v>33</v>
      </c>
      <c r="D6" s="25" t="s">
        <v>32</v>
      </c>
      <c r="E6" s="26" t="n">
        <v>536666.666666667</v>
      </c>
      <c r="F6" s="26" t="n">
        <v>532634.920634921</v>
      </c>
      <c r="G6" s="26" t="n">
        <v>610730.158730159</v>
      </c>
      <c r="H6" s="26" t="n">
        <v>475539.682539683</v>
      </c>
      <c r="I6" s="26" t="n">
        <v>558634.920634921</v>
      </c>
      <c r="J6" s="26" t="n">
        <v>605698.412698413</v>
      </c>
      <c r="K6" s="26" t="n">
        <v>605698.412698413</v>
      </c>
      <c r="L6" s="26" t="n">
        <v>605698.412698413</v>
      </c>
      <c r="M6" s="26" t="n">
        <v>527603.174603175</v>
      </c>
      <c r="N6" s="26" t="n">
        <v>546666.666666667</v>
      </c>
      <c r="O6" s="26" t="n">
        <v>574698.412698413</v>
      </c>
      <c r="P6" s="26" t="n">
        <v>598730.158730159</v>
      </c>
      <c r="Q6" s="27" t="n">
        <f aca="false">SUM(E6:P6)</f>
        <v>6779000</v>
      </c>
      <c r="S6" s="28" t="n">
        <f aca="false">SUM(E6:E6)</f>
        <v>536666.666666667</v>
      </c>
      <c r="U6" s="28" t="n">
        <f aca="false">SUM($E6:F6)</f>
        <v>1069301.58730159</v>
      </c>
      <c r="V6" s="28" t="n">
        <f aca="false">SUM($E6:G6)</f>
        <v>1680031.74603175</v>
      </c>
      <c r="W6" s="28" t="n">
        <f aca="false">SUM($E6:H6)</f>
        <v>2155571.42857143</v>
      </c>
      <c r="X6" s="28" t="n">
        <f aca="false">SUM($E6:I6)</f>
        <v>2714206.34920635</v>
      </c>
      <c r="Y6" s="28" t="n">
        <f aca="false">SUM($E6:J6)</f>
        <v>3319904.76190476</v>
      </c>
      <c r="Z6" s="28" t="n">
        <f aca="false">SUM($E6:K6)</f>
        <v>3925603.17460318</v>
      </c>
      <c r="AA6" s="28" t="n">
        <f aca="false">SUM($E6:L6)</f>
        <v>4531301.58730159</v>
      </c>
      <c r="AB6" s="28" t="n">
        <f aca="false">SUM($E6:M6)</f>
        <v>5058904.76190477</v>
      </c>
      <c r="AC6" s="28" t="n">
        <f aca="false">SUM($E6:N6)</f>
        <v>5605571.42857143</v>
      </c>
      <c r="AD6" s="28" t="n">
        <f aca="false">SUM($E6:O6)</f>
        <v>6180269.84126985</v>
      </c>
      <c r="AE6" s="28" t="n">
        <f aca="false">SUM($E6:P6)</f>
        <v>6779000</v>
      </c>
      <c r="AG6" s="29" t="n">
        <v>2774937.893</v>
      </c>
      <c r="AI6" s="30" t="n">
        <f aca="false">AJ6</f>
        <v>550000</v>
      </c>
      <c r="AJ6" s="30" t="n">
        <v>550000</v>
      </c>
      <c r="AK6" s="30" t="n">
        <v>550000</v>
      </c>
      <c r="AL6" s="30" t="n">
        <v>550000</v>
      </c>
      <c r="AM6" s="30" t="n">
        <v>550000</v>
      </c>
      <c r="AN6" s="31" t="n">
        <v>550000</v>
      </c>
      <c r="AO6" s="29" t="n">
        <f aca="false">SUM(AI6:AN6)</f>
        <v>3300000</v>
      </c>
      <c r="AP6" s="32" t="n">
        <f aca="false">SUM(AI6:AN6)+Y6</f>
        <v>6619904.76190476</v>
      </c>
      <c r="AR6" s="33" t="n">
        <f aca="false">AI6+AG6</f>
        <v>3324937.893</v>
      </c>
      <c r="AS6" s="30" t="n">
        <f aca="false">AR6+AJ6</f>
        <v>3874937.893</v>
      </c>
      <c r="AT6" s="30" t="n">
        <f aca="false">AS6+AK6</f>
        <v>4424937.893</v>
      </c>
      <c r="AU6" s="30" t="n">
        <f aca="false">AT6+AL6</f>
        <v>4974937.893</v>
      </c>
      <c r="AV6" s="30" t="n">
        <f aca="false">AU6+AM6</f>
        <v>5524937.893</v>
      </c>
      <c r="AW6" s="34" t="n">
        <f aca="false">AV6+AN6</f>
        <v>6074937.893</v>
      </c>
    </row>
    <row r="7" customFormat="false" ht="15" hidden="false" customHeight="true" outlineLevel="0" collapsed="false">
      <c r="A7" s="23" t="n">
        <v>7</v>
      </c>
      <c r="B7" s="23" t="s">
        <v>34</v>
      </c>
      <c r="C7" s="24" t="s">
        <v>34</v>
      </c>
      <c r="D7" s="25" t="s">
        <v>32</v>
      </c>
      <c r="E7" s="26" t="n">
        <v>73000</v>
      </c>
      <c r="F7" s="26" t="n">
        <v>73428.5714285714</v>
      </c>
      <c r="G7" s="26" t="n">
        <v>82142.8571428571</v>
      </c>
      <c r="H7" s="26" t="n">
        <v>60714.2857142857</v>
      </c>
      <c r="I7" s="26" t="n">
        <v>71428.5714285714</v>
      </c>
      <c r="J7" s="26" t="n">
        <v>78571.4285714286</v>
      </c>
      <c r="K7" s="26" t="n">
        <v>78571.4285714286</v>
      </c>
      <c r="L7" s="26" t="n">
        <v>78571.4285714286</v>
      </c>
      <c r="M7" s="26" t="n">
        <v>67857.1428571428</v>
      </c>
      <c r="N7" s="26" t="n">
        <v>75000</v>
      </c>
      <c r="O7" s="26" t="n">
        <v>78571.4285714286</v>
      </c>
      <c r="P7" s="26" t="n">
        <v>82142.8571428571</v>
      </c>
      <c r="Q7" s="27" t="n">
        <f aca="false">SUM(E7:P7)</f>
        <v>900000</v>
      </c>
      <c r="S7" s="28" t="n">
        <f aca="false">SUM(E7:E7)</f>
        <v>73000</v>
      </c>
      <c r="U7" s="28" t="n">
        <f aca="false">SUM($E7:F7)</f>
        <v>146428.571428571</v>
      </c>
      <c r="V7" s="28" t="n">
        <f aca="false">SUM($E7:G7)</f>
        <v>228571.428571429</v>
      </c>
      <c r="W7" s="28" t="n">
        <f aca="false">SUM($E7:H7)</f>
        <v>289285.714285714</v>
      </c>
      <c r="X7" s="28" t="n">
        <f aca="false">SUM($E7:I7)</f>
        <v>360714.285714286</v>
      </c>
      <c r="Y7" s="28" t="n">
        <f aca="false">SUM($E7:J7)</f>
        <v>439285.714285714</v>
      </c>
      <c r="Z7" s="28" t="n">
        <f aca="false">SUM($E7:K7)</f>
        <v>517857.142857143</v>
      </c>
      <c r="AA7" s="28" t="n">
        <f aca="false">SUM($E7:L7)</f>
        <v>596428.571428571</v>
      </c>
      <c r="AB7" s="28" t="n">
        <f aca="false">SUM($E7:M7)</f>
        <v>664285.714285714</v>
      </c>
      <c r="AC7" s="28" t="n">
        <f aca="false">SUM($E7:N7)</f>
        <v>739285.714285714</v>
      </c>
      <c r="AD7" s="28" t="n">
        <f aca="false">SUM($E7:O7)</f>
        <v>817857.142857143</v>
      </c>
      <c r="AE7" s="28" t="n">
        <f aca="false">SUM($E7:P7)</f>
        <v>900000</v>
      </c>
      <c r="AG7" s="29" t="n">
        <v>437274.565</v>
      </c>
      <c r="AI7" s="30" t="n">
        <f aca="false">AJ7</f>
        <v>100000</v>
      </c>
      <c r="AJ7" s="30" t="n">
        <v>100000</v>
      </c>
      <c r="AK7" s="30" t="n">
        <v>100000</v>
      </c>
      <c r="AL7" s="30" t="n">
        <v>100000</v>
      </c>
      <c r="AM7" s="30" t="n">
        <v>100000</v>
      </c>
      <c r="AN7" s="31" t="n">
        <v>100000</v>
      </c>
      <c r="AO7" s="29" t="n">
        <f aca="false">SUM(AI7:AN7)</f>
        <v>600000</v>
      </c>
      <c r="AP7" s="32" t="n">
        <f aca="false">SUM(AI7:AN7)+Y7</f>
        <v>1039285.71428571</v>
      </c>
      <c r="AR7" s="33" t="n">
        <f aca="false">AI7+AG7</f>
        <v>537274.565</v>
      </c>
      <c r="AS7" s="30" t="n">
        <f aca="false">AR7+AJ7</f>
        <v>637274.565</v>
      </c>
      <c r="AT7" s="30" t="n">
        <f aca="false">AS7+AK7</f>
        <v>737274.565</v>
      </c>
      <c r="AU7" s="30" t="n">
        <f aca="false">AT7+AL7</f>
        <v>837274.565</v>
      </c>
      <c r="AV7" s="30" t="n">
        <f aca="false">AU7+AM7</f>
        <v>937274.565</v>
      </c>
      <c r="AW7" s="34" t="n">
        <f aca="false">AV7+AN7</f>
        <v>1037274.565</v>
      </c>
    </row>
    <row r="8" customFormat="false" ht="15" hidden="false" customHeight="true" outlineLevel="0" collapsed="false">
      <c r="A8" s="23" t="n">
        <v>4</v>
      </c>
      <c r="B8" s="23" t="s">
        <v>35</v>
      </c>
      <c r="C8" s="24" t="s">
        <v>35</v>
      </c>
      <c r="D8" s="25" t="s">
        <v>32</v>
      </c>
      <c r="E8" s="26" t="n">
        <v>152333.333333333</v>
      </c>
      <c r="F8" s="26" t="n">
        <v>156793.650793651</v>
      </c>
      <c r="G8" s="26" t="n">
        <v>173412.698412698</v>
      </c>
      <c r="H8" s="26" t="n">
        <v>134174.603174603</v>
      </c>
      <c r="I8" s="26" t="n">
        <v>160793.650793651</v>
      </c>
      <c r="J8" s="26" t="n">
        <v>170873.015873016</v>
      </c>
      <c r="K8" s="26" t="n">
        <v>170873.015873016</v>
      </c>
      <c r="L8" s="26" t="n">
        <v>170873.015873016</v>
      </c>
      <c r="M8" s="26" t="n">
        <v>150253.968253968</v>
      </c>
      <c r="N8" s="26" t="n">
        <v>162333.333333333</v>
      </c>
      <c r="O8" s="26" t="n">
        <v>170873.015873016</v>
      </c>
      <c r="P8" s="26" t="n">
        <v>173412.698412698</v>
      </c>
      <c r="Q8" s="27" t="n">
        <f aca="false">SUM(E8:P8)</f>
        <v>1947000</v>
      </c>
      <c r="S8" s="28" t="n">
        <f aca="false">SUM(E8:E8)</f>
        <v>152333.333333333</v>
      </c>
      <c r="U8" s="28" t="n">
        <f aca="false">SUM($E8:F8)</f>
        <v>309126.984126984</v>
      </c>
      <c r="V8" s="28" t="n">
        <f aca="false">SUM($E8:G8)</f>
        <v>482539.682539682</v>
      </c>
      <c r="W8" s="28" t="n">
        <f aca="false">SUM($E8:H8)</f>
        <v>616714.285714285</v>
      </c>
      <c r="X8" s="28" t="n">
        <f aca="false">SUM($E8:I8)</f>
        <v>777507.936507936</v>
      </c>
      <c r="Y8" s="28" t="n">
        <f aca="false">SUM($E8:J8)</f>
        <v>948380.952380952</v>
      </c>
      <c r="Z8" s="28" t="n">
        <f aca="false">SUM($E8:K8)</f>
        <v>1119253.96825397</v>
      </c>
      <c r="AA8" s="28" t="n">
        <f aca="false">SUM($E8:L8)</f>
        <v>1290126.98412698</v>
      </c>
      <c r="AB8" s="28" t="n">
        <f aca="false">SUM($E8:M8)</f>
        <v>1440380.95238095</v>
      </c>
      <c r="AC8" s="28" t="n">
        <f aca="false">SUM($E8:N8)</f>
        <v>1602714.28571429</v>
      </c>
      <c r="AD8" s="28" t="n">
        <f aca="false">SUM($E8:O8)</f>
        <v>1773587.3015873</v>
      </c>
      <c r="AE8" s="28" t="n">
        <f aca="false">SUM($E8:P8)</f>
        <v>1947000</v>
      </c>
      <c r="AG8" s="29" t="n">
        <v>918523.978</v>
      </c>
      <c r="AI8" s="30" t="n">
        <f aca="false">AJ8</f>
        <v>200000</v>
      </c>
      <c r="AJ8" s="30" t="n">
        <v>200000</v>
      </c>
      <c r="AK8" s="30" t="n">
        <v>200000</v>
      </c>
      <c r="AL8" s="30" t="n">
        <v>200000</v>
      </c>
      <c r="AM8" s="30" t="n">
        <v>200000</v>
      </c>
      <c r="AN8" s="31" t="n">
        <v>200000</v>
      </c>
      <c r="AO8" s="29" t="n">
        <f aca="false">SUM(AI8:AN8)</f>
        <v>1200000</v>
      </c>
      <c r="AP8" s="32" t="n">
        <f aca="false">SUM(AI8:AN8)+Y8</f>
        <v>2148380.95238095</v>
      </c>
      <c r="AR8" s="33" t="n">
        <f aca="false">AI8+AG8</f>
        <v>1118523.978</v>
      </c>
      <c r="AS8" s="30" t="n">
        <f aca="false">AR8+AJ8</f>
        <v>1318523.978</v>
      </c>
      <c r="AT8" s="30" t="n">
        <f aca="false">AS8+AK8</f>
        <v>1518523.978</v>
      </c>
      <c r="AU8" s="30" t="n">
        <f aca="false">AT8+AL8</f>
        <v>1718523.978</v>
      </c>
      <c r="AV8" s="30" t="n">
        <f aca="false">AU8+AM8</f>
        <v>1918523.978</v>
      </c>
      <c r="AW8" s="34" t="n">
        <f aca="false">AV8+AN8</f>
        <v>2118523.978</v>
      </c>
    </row>
    <row r="9" customFormat="false" ht="15" hidden="false" customHeight="true" outlineLevel="0" collapsed="false">
      <c r="A9" s="23" t="n">
        <v>3</v>
      </c>
      <c r="B9" s="23" t="s">
        <v>36</v>
      </c>
      <c r="C9" s="24" t="s">
        <v>36</v>
      </c>
      <c r="D9" s="25" t="s">
        <v>32</v>
      </c>
      <c r="E9" s="26" t="n">
        <v>365000</v>
      </c>
      <c r="F9" s="26" t="n">
        <v>365000</v>
      </c>
      <c r="G9" s="26" t="n">
        <v>365000</v>
      </c>
      <c r="H9" s="26" t="n">
        <v>365000</v>
      </c>
      <c r="I9" s="26" t="n">
        <v>365000</v>
      </c>
      <c r="J9" s="26" t="n">
        <v>365000</v>
      </c>
      <c r="K9" s="26" t="n">
        <v>365000</v>
      </c>
      <c r="L9" s="26" t="n">
        <v>365000</v>
      </c>
      <c r="M9" s="26" t="n">
        <v>365000</v>
      </c>
      <c r="N9" s="26" t="n">
        <v>365000</v>
      </c>
      <c r="O9" s="26" t="n">
        <v>365000</v>
      </c>
      <c r="P9" s="26" t="n">
        <v>366000</v>
      </c>
      <c r="Q9" s="27" t="n">
        <f aca="false">SUM(E9:P9)</f>
        <v>4381000</v>
      </c>
      <c r="S9" s="28" t="n">
        <f aca="false">SUM(E9:E9)</f>
        <v>365000</v>
      </c>
      <c r="U9" s="28" t="n">
        <f aca="false">SUM($E9:F9)</f>
        <v>730000</v>
      </c>
      <c r="V9" s="28" t="n">
        <f aca="false">SUM($E9:G9)</f>
        <v>1095000</v>
      </c>
      <c r="W9" s="28" t="n">
        <f aca="false">SUM($E9:H9)</f>
        <v>1460000</v>
      </c>
      <c r="X9" s="28" t="n">
        <f aca="false">SUM($E9:I9)</f>
        <v>1825000</v>
      </c>
      <c r="Y9" s="28" t="n">
        <f aca="false">SUM($E9:J9)</f>
        <v>2190000</v>
      </c>
      <c r="Z9" s="28" t="n">
        <f aca="false">SUM($E9:K9)</f>
        <v>2555000</v>
      </c>
      <c r="AA9" s="28" t="n">
        <f aca="false">SUM($E9:L9)</f>
        <v>2920000</v>
      </c>
      <c r="AB9" s="28" t="n">
        <f aca="false">SUM($E9:M9)</f>
        <v>3285000</v>
      </c>
      <c r="AC9" s="28" t="n">
        <f aca="false">SUM($E9:N9)</f>
        <v>3650000</v>
      </c>
      <c r="AD9" s="28" t="n">
        <f aca="false">SUM($E9:O9)</f>
        <v>4015000</v>
      </c>
      <c r="AE9" s="28" t="n">
        <f aca="false">SUM($E9:P9)</f>
        <v>4381000</v>
      </c>
      <c r="AG9" s="29" t="n">
        <v>1742410.85</v>
      </c>
      <c r="AI9" s="30" t="n">
        <f aca="false">AJ9</f>
        <v>330000</v>
      </c>
      <c r="AJ9" s="30" t="n">
        <v>330000</v>
      </c>
      <c r="AK9" s="30" t="n">
        <v>330000</v>
      </c>
      <c r="AL9" s="30" t="n">
        <v>330000</v>
      </c>
      <c r="AM9" s="30" t="n">
        <v>330000</v>
      </c>
      <c r="AN9" s="31" t="n">
        <v>330000</v>
      </c>
      <c r="AO9" s="29" t="n">
        <f aca="false">SUM(AI9:AN9)</f>
        <v>1980000</v>
      </c>
      <c r="AP9" s="32" t="n">
        <f aca="false">SUM(AI9:AN9)+Y9</f>
        <v>4170000</v>
      </c>
      <c r="AR9" s="33" t="n">
        <f aca="false">AI9+AG9</f>
        <v>2072410.85</v>
      </c>
      <c r="AS9" s="30" t="n">
        <f aca="false">AR9+AJ9</f>
        <v>2402410.85</v>
      </c>
      <c r="AT9" s="30" t="n">
        <f aca="false">AS9+AK9</f>
        <v>2732410.85</v>
      </c>
      <c r="AU9" s="30" t="n">
        <f aca="false">AT9+AL9</f>
        <v>3062410.85</v>
      </c>
      <c r="AV9" s="30" t="n">
        <f aca="false">AU9+AM9</f>
        <v>3392410.85</v>
      </c>
      <c r="AW9" s="34" t="n">
        <f aca="false">AV9+AN9</f>
        <v>3722410.85</v>
      </c>
    </row>
    <row r="10" customFormat="false" ht="15" hidden="false" customHeight="true" outlineLevel="0" collapsed="false">
      <c r="A10" s="23" t="n">
        <v>8</v>
      </c>
      <c r="B10" s="23" t="s">
        <v>37</v>
      </c>
      <c r="C10" s="24" t="s">
        <v>37</v>
      </c>
      <c r="D10" s="25" t="s">
        <v>32</v>
      </c>
      <c r="E10" s="26" t="n">
        <v>83333.3333333333</v>
      </c>
      <c r="F10" s="26" t="n">
        <v>109365.079365079</v>
      </c>
      <c r="G10" s="26" t="n">
        <v>111269.841269841</v>
      </c>
      <c r="H10" s="26" t="n">
        <v>97460.3174603175</v>
      </c>
      <c r="I10" s="26" t="n">
        <v>99365.0793650794</v>
      </c>
      <c r="J10" s="26" t="n">
        <v>107301.587301587</v>
      </c>
      <c r="K10" s="26" t="n">
        <v>107301.587301587</v>
      </c>
      <c r="L10" s="26" t="n">
        <v>107301.587301587</v>
      </c>
      <c r="M10" s="26" t="n">
        <v>95396.8253968254</v>
      </c>
      <c r="N10" s="26" t="n">
        <v>103333.333333333</v>
      </c>
      <c r="O10" s="26" t="n">
        <v>107301.587301587</v>
      </c>
      <c r="P10" s="26" t="n">
        <v>91269.8412698413</v>
      </c>
      <c r="Q10" s="27" t="n">
        <f aca="false">SUM(E10:P10)</f>
        <v>1220000</v>
      </c>
      <c r="S10" s="28" t="n">
        <f aca="false">SUM(E10:E10)</f>
        <v>83333.3333333333</v>
      </c>
      <c r="U10" s="28" t="n">
        <f aca="false">SUM($E10:F10)</f>
        <v>192698.412698412</v>
      </c>
      <c r="V10" s="28" t="n">
        <f aca="false">SUM($E10:G10)</f>
        <v>303968.253968253</v>
      </c>
      <c r="W10" s="28" t="n">
        <f aca="false">SUM($E10:H10)</f>
        <v>401428.571428571</v>
      </c>
      <c r="X10" s="28" t="n">
        <f aca="false">SUM($E10:I10)</f>
        <v>500793.65079365</v>
      </c>
      <c r="Y10" s="28" t="n">
        <f aca="false">SUM($E10:J10)</f>
        <v>608095.238095237</v>
      </c>
      <c r="Z10" s="28" t="n">
        <f aca="false">SUM($E10:K10)</f>
        <v>715396.825396824</v>
      </c>
      <c r="AA10" s="28" t="n">
        <f aca="false">SUM($E10:L10)</f>
        <v>822698.412698411</v>
      </c>
      <c r="AB10" s="28" t="n">
        <f aca="false">SUM($E10:M10)</f>
        <v>918095.238095237</v>
      </c>
      <c r="AC10" s="28" t="n">
        <f aca="false">SUM($E10:N10)</f>
        <v>1021428.57142857</v>
      </c>
      <c r="AD10" s="28" t="n">
        <f aca="false">SUM($E10:O10)</f>
        <v>1128730.15873016</v>
      </c>
      <c r="AE10" s="28" t="n">
        <f aca="false">SUM($E10:P10)</f>
        <v>1220000</v>
      </c>
      <c r="AG10" s="29" t="n">
        <v>343097.611</v>
      </c>
      <c r="AI10" s="30" t="n">
        <f aca="false">AJ10</f>
        <v>100000</v>
      </c>
      <c r="AJ10" s="30" t="n">
        <v>100000</v>
      </c>
      <c r="AK10" s="30" t="n">
        <v>100000</v>
      </c>
      <c r="AL10" s="30" t="n">
        <v>100000</v>
      </c>
      <c r="AM10" s="30" t="n">
        <v>100000</v>
      </c>
      <c r="AN10" s="31" t="n">
        <v>100000</v>
      </c>
      <c r="AO10" s="29" t="n">
        <f aca="false">SUM(AI10:AN10)</f>
        <v>600000</v>
      </c>
      <c r="AP10" s="32" t="n">
        <f aca="false">SUM(AI10:AN10)+Y10</f>
        <v>1208095.23809524</v>
      </c>
      <c r="AR10" s="33" t="n">
        <f aca="false">AI10+AG10</f>
        <v>443097.611</v>
      </c>
      <c r="AS10" s="30" t="n">
        <f aca="false">AR10+AJ10</f>
        <v>543097.611</v>
      </c>
      <c r="AT10" s="30" t="n">
        <f aca="false">AS10+AK10</f>
        <v>643097.611</v>
      </c>
      <c r="AU10" s="30" t="n">
        <f aca="false">AT10+AL10</f>
        <v>743097.611</v>
      </c>
      <c r="AV10" s="30" t="n">
        <f aca="false">AU10+AM10</f>
        <v>843097.611</v>
      </c>
      <c r="AW10" s="34" t="n">
        <f aca="false">AV10+AN10</f>
        <v>943097.611</v>
      </c>
    </row>
    <row r="11" customFormat="false" ht="15" hidden="false" customHeight="true" outlineLevel="0" collapsed="false">
      <c r="A11" s="23" t="n">
        <v>6</v>
      </c>
      <c r="B11" s="23" t="s">
        <v>38</v>
      </c>
      <c r="C11" s="24" t="s">
        <v>38</v>
      </c>
      <c r="D11" s="25" t="s">
        <v>32</v>
      </c>
      <c r="E11" s="26" t="n">
        <v>127583.333333333</v>
      </c>
      <c r="F11" s="26" t="n">
        <v>155079.365079365</v>
      </c>
      <c r="G11" s="26" t="n">
        <v>160591.26984127</v>
      </c>
      <c r="H11" s="26" t="n">
        <v>139567.46031746</v>
      </c>
      <c r="I11" s="26" t="n">
        <v>170079.365079365</v>
      </c>
      <c r="J11" s="26" t="n">
        <v>177087.301587302</v>
      </c>
      <c r="K11" s="26" t="n">
        <v>177087.301587302</v>
      </c>
      <c r="L11" s="26" t="n">
        <v>177087.301587302</v>
      </c>
      <c r="M11" s="26" t="n">
        <v>166575.396825397</v>
      </c>
      <c r="N11" s="26" t="n">
        <v>173583.333333333</v>
      </c>
      <c r="O11" s="26" t="n">
        <v>177087.301587302</v>
      </c>
      <c r="P11" s="26" t="n">
        <v>177591.26984127</v>
      </c>
      <c r="Q11" s="27" t="n">
        <f aca="false">SUM(E11:P11)</f>
        <v>1979000</v>
      </c>
      <c r="S11" s="28" t="n">
        <f aca="false">SUM(E11:E11)</f>
        <v>127583.333333333</v>
      </c>
      <c r="U11" s="28" t="n">
        <f aca="false">SUM($E11:F11)</f>
        <v>282662.698412698</v>
      </c>
      <c r="V11" s="28" t="n">
        <f aca="false">SUM($E11:G11)</f>
        <v>443253.968253968</v>
      </c>
      <c r="W11" s="28" t="n">
        <f aca="false">SUM($E11:H11)</f>
        <v>582821.428571428</v>
      </c>
      <c r="X11" s="28" t="n">
        <f aca="false">SUM($E11:I11)</f>
        <v>752900.793650793</v>
      </c>
      <c r="Y11" s="28" t="n">
        <f aca="false">SUM($E11:J11)</f>
        <v>929988.095238095</v>
      </c>
      <c r="Z11" s="28" t="n">
        <f aca="false">SUM($E11:K11)</f>
        <v>1107075.3968254</v>
      </c>
      <c r="AA11" s="28" t="n">
        <f aca="false">SUM($E11:L11)</f>
        <v>1284162.6984127</v>
      </c>
      <c r="AB11" s="28" t="n">
        <f aca="false">SUM($E11:M11)</f>
        <v>1450738.0952381</v>
      </c>
      <c r="AC11" s="28" t="n">
        <f aca="false">SUM($E11:N11)</f>
        <v>1624321.42857143</v>
      </c>
      <c r="AD11" s="28" t="n">
        <f aca="false">SUM($E11:O11)</f>
        <v>1801408.73015873</v>
      </c>
      <c r="AE11" s="28" t="n">
        <f aca="false">SUM($E11:P11)</f>
        <v>1979000</v>
      </c>
      <c r="AG11" s="29" t="n">
        <v>475277.57</v>
      </c>
      <c r="AI11" s="30" t="n">
        <f aca="false">AJ11</f>
        <v>100000</v>
      </c>
      <c r="AJ11" s="30" t="n">
        <v>100000</v>
      </c>
      <c r="AK11" s="30" t="n">
        <v>100000</v>
      </c>
      <c r="AL11" s="30" t="n">
        <v>100000</v>
      </c>
      <c r="AM11" s="30" t="n">
        <v>100000</v>
      </c>
      <c r="AN11" s="31" t="n">
        <v>100000</v>
      </c>
      <c r="AO11" s="29" t="n">
        <f aca="false">SUM(AI11:AN11)</f>
        <v>600000</v>
      </c>
      <c r="AP11" s="32" t="n">
        <f aca="false">SUM(AI11:AN11)+Y11</f>
        <v>1529988.0952381</v>
      </c>
      <c r="AR11" s="33" t="n">
        <f aca="false">AI11+AG11</f>
        <v>575277.57</v>
      </c>
      <c r="AS11" s="30" t="n">
        <f aca="false">AR11+AJ11</f>
        <v>675277.57</v>
      </c>
      <c r="AT11" s="30" t="n">
        <f aca="false">AS11+AK11</f>
        <v>775277.57</v>
      </c>
      <c r="AU11" s="30" t="n">
        <f aca="false">AT11+AL11</f>
        <v>875277.57</v>
      </c>
      <c r="AV11" s="30" t="n">
        <f aca="false">AU11+AM11</f>
        <v>975277.57</v>
      </c>
      <c r="AW11" s="34" t="n">
        <f aca="false">AV11+AN11</f>
        <v>1075277.57</v>
      </c>
    </row>
    <row r="12" customFormat="false" ht="15" hidden="false" customHeight="true" outlineLevel="0" collapsed="false">
      <c r="A12" s="35" t="n">
        <v>10</v>
      </c>
      <c r="B12" s="35" t="s">
        <v>39</v>
      </c>
      <c r="C12" s="36" t="s">
        <v>39</v>
      </c>
      <c r="D12" s="25" t="s">
        <v>32</v>
      </c>
      <c r="E12" s="26" t="n">
        <v>15833.3333333333</v>
      </c>
      <c r="F12" s="26" t="n">
        <v>15079.3650793651</v>
      </c>
      <c r="G12" s="26" t="n">
        <v>17341.2698412698</v>
      </c>
      <c r="H12" s="26" t="n">
        <v>12817.4603174603</v>
      </c>
      <c r="I12" s="26" t="n">
        <v>15079.3650793651</v>
      </c>
      <c r="J12" s="26" t="n">
        <v>16587.3015873016</v>
      </c>
      <c r="K12" s="26" t="n">
        <v>16587.3015873016</v>
      </c>
      <c r="L12" s="26" t="n">
        <v>16587.3015873016</v>
      </c>
      <c r="M12" s="26" t="n">
        <v>14325.3968253968</v>
      </c>
      <c r="N12" s="26" t="n">
        <v>15833.3333333333</v>
      </c>
      <c r="O12" s="26" t="n">
        <v>16587.3015873016</v>
      </c>
      <c r="P12" s="26" t="n">
        <v>17341.2698412698</v>
      </c>
      <c r="Q12" s="27" t="n">
        <f aca="false">SUM(E12:P12)</f>
        <v>190000</v>
      </c>
      <c r="S12" s="28" t="n">
        <f aca="false">SUM(E12:E12)</f>
        <v>15833.3333333333</v>
      </c>
      <c r="U12" s="28" t="n">
        <f aca="false">SUM($E12:F12)</f>
        <v>30912.6984126984</v>
      </c>
      <c r="V12" s="28" t="n">
        <f aca="false">SUM($E12:G12)</f>
        <v>48253.9682539682</v>
      </c>
      <c r="W12" s="28" t="n">
        <f aca="false">SUM($E12:H12)</f>
        <v>61071.4285714285</v>
      </c>
      <c r="X12" s="28" t="n">
        <f aca="false">SUM($E12:I12)</f>
        <v>76150.7936507936</v>
      </c>
      <c r="Y12" s="28" t="n">
        <f aca="false">SUM($E12:J12)</f>
        <v>92738.0952380952</v>
      </c>
      <c r="Z12" s="28" t="n">
        <f aca="false">SUM($E12:K12)</f>
        <v>109325.396825397</v>
      </c>
      <c r="AA12" s="28" t="n">
        <f aca="false">SUM($E12:L12)</f>
        <v>125912.698412698</v>
      </c>
      <c r="AB12" s="28" t="n">
        <f aca="false">SUM($E12:M12)</f>
        <v>140238.095238095</v>
      </c>
      <c r="AC12" s="28" t="n">
        <f aca="false">SUM($E12:N12)</f>
        <v>156071.428571429</v>
      </c>
      <c r="AD12" s="28" t="n">
        <f aca="false">SUM($E12:O12)</f>
        <v>172658.73015873</v>
      </c>
      <c r="AE12" s="28" t="n">
        <f aca="false">SUM($E12:P12)</f>
        <v>190000</v>
      </c>
      <c r="AG12" s="29" t="n">
        <v>61235.08</v>
      </c>
      <c r="AI12" s="30" t="n">
        <f aca="false">AJ12</f>
        <v>15000</v>
      </c>
      <c r="AJ12" s="30" t="n">
        <v>15000</v>
      </c>
      <c r="AK12" s="30" t="n">
        <v>15000</v>
      </c>
      <c r="AL12" s="30" t="n">
        <v>15000</v>
      </c>
      <c r="AM12" s="30" t="n">
        <v>15000</v>
      </c>
      <c r="AN12" s="31" t="n">
        <v>15000</v>
      </c>
      <c r="AO12" s="29" t="n">
        <f aca="false">SUM(AI12:AN12)</f>
        <v>90000</v>
      </c>
      <c r="AP12" s="32" t="n">
        <f aca="false">SUM(AI12:AN12)+Y12</f>
        <v>182738.095238095</v>
      </c>
      <c r="AR12" s="33" t="n">
        <f aca="false">AI12+AG12</f>
        <v>76235.08</v>
      </c>
      <c r="AS12" s="30" t="n">
        <f aca="false">AR12+AJ12</f>
        <v>91235.08</v>
      </c>
      <c r="AT12" s="30" t="n">
        <f aca="false">AS12+AK12</f>
        <v>106235.08</v>
      </c>
      <c r="AU12" s="30" t="n">
        <f aca="false">AT12+AL12</f>
        <v>121235.08</v>
      </c>
      <c r="AV12" s="30" t="n">
        <f aca="false">AU12+AM12</f>
        <v>136235.08</v>
      </c>
      <c r="AW12" s="34" t="n">
        <f aca="false">AV12+AN12</f>
        <v>151235.08</v>
      </c>
    </row>
    <row r="13" customFormat="false" ht="15" hidden="false" customHeight="true" outlineLevel="0" collapsed="false">
      <c r="A13" s="23" t="n">
        <v>11</v>
      </c>
      <c r="B13" s="23" t="s">
        <v>40</v>
      </c>
      <c r="C13" s="24" t="s">
        <v>40</v>
      </c>
      <c r="D13" s="25" t="s">
        <v>32</v>
      </c>
      <c r="E13" s="26" t="n">
        <v>6333.33333333333</v>
      </c>
      <c r="F13" s="26" t="n">
        <v>7936.50793650794</v>
      </c>
      <c r="G13" s="26" t="n">
        <v>9126.98412698413</v>
      </c>
      <c r="H13" s="26" t="n">
        <v>6746.03174603175</v>
      </c>
      <c r="I13" s="26" t="n">
        <v>7936.50793650794</v>
      </c>
      <c r="J13" s="26" t="n">
        <v>8730.15873015873</v>
      </c>
      <c r="K13" s="26" t="n">
        <v>8730.15873015873</v>
      </c>
      <c r="L13" s="26" t="n">
        <v>8730.15873015873</v>
      </c>
      <c r="M13" s="26" t="n">
        <v>8539.68253968254</v>
      </c>
      <c r="N13" s="26" t="n">
        <v>9333.33333333333</v>
      </c>
      <c r="O13" s="26" t="n">
        <v>8730.15873015873</v>
      </c>
      <c r="P13" s="26" t="n">
        <v>9126.98412698413</v>
      </c>
      <c r="Q13" s="27" t="n">
        <f aca="false">SUM(E13:P13)</f>
        <v>100000</v>
      </c>
      <c r="S13" s="28" t="n">
        <f aca="false">SUM(E13:E13)</f>
        <v>6333.33333333333</v>
      </c>
      <c r="U13" s="28" t="n">
        <f aca="false">SUM($E13:F13)</f>
        <v>14269.8412698413</v>
      </c>
      <c r="V13" s="28" t="n">
        <f aca="false">SUM($E13:G13)</f>
        <v>23396.8253968254</v>
      </c>
      <c r="W13" s="28" t="n">
        <f aca="false">SUM($E13:H13)</f>
        <v>30142.8571428572</v>
      </c>
      <c r="X13" s="28" t="n">
        <f aca="false">SUM($E13:I13)</f>
        <v>38079.3650793651</v>
      </c>
      <c r="Y13" s="28" t="n">
        <f aca="false">SUM($E13:J13)</f>
        <v>46809.5238095238</v>
      </c>
      <c r="Z13" s="28" t="n">
        <f aca="false">SUM($E13:K13)</f>
        <v>55539.6825396826</v>
      </c>
      <c r="AA13" s="28" t="n">
        <f aca="false">SUM($E13:L13)</f>
        <v>64269.8412698413</v>
      </c>
      <c r="AB13" s="28" t="n">
        <f aca="false">SUM($E13:M13)</f>
        <v>72809.5238095238</v>
      </c>
      <c r="AC13" s="28" t="n">
        <f aca="false">SUM($E13:N13)</f>
        <v>82142.8571428571</v>
      </c>
      <c r="AD13" s="28" t="n">
        <f aca="false">SUM($E13:O13)</f>
        <v>90873.0158730159</v>
      </c>
      <c r="AE13" s="28" t="n">
        <f aca="false">SUM($E13:P13)</f>
        <v>100000</v>
      </c>
      <c r="AG13" s="29" t="n">
        <v>34015.41</v>
      </c>
      <c r="AI13" s="30" t="n">
        <f aca="false">AJ13</f>
        <v>10000</v>
      </c>
      <c r="AJ13" s="30" t="n">
        <v>10000</v>
      </c>
      <c r="AK13" s="30" t="n">
        <v>10000</v>
      </c>
      <c r="AL13" s="30" t="n">
        <v>10000</v>
      </c>
      <c r="AM13" s="30" t="n">
        <v>10000</v>
      </c>
      <c r="AN13" s="31" t="n">
        <v>10000</v>
      </c>
      <c r="AO13" s="29" t="n">
        <f aca="false">SUM(AI13:AN13)</f>
        <v>60000</v>
      </c>
      <c r="AP13" s="32" t="n">
        <f aca="false">SUM(AI13:AN13)+Y13</f>
        <v>106809.523809524</v>
      </c>
      <c r="AR13" s="33" t="n">
        <f aca="false">AI13+AG13</f>
        <v>44015.41</v>
      </c>
      <c r="AS13" s="30" t="n">
        <f aca="false">AR13+AJ13</f>
        <v>54015.41</v>
      </c>
      <c r="AT13" s="30" t="n">
        <f aca="false">AS13+AK13</f>
        <v>64015.41</v>
      </c>
      <c r="AU13" s="30" t="n">
        <f aca="false">AT13+AL13</f>
        <v>74015.41</v>
      </c>
      <c r="AV13" s="30" t="n">
        <f aca="false">AU13+AM13</f>
        <v>84015.41</v>
      </c>
      <c r="AW13" s="34" t="n">
        <f aca="false">AV13+AN13</f>
        <v>94015.41</v>
      </c>
    </row>
    <row r="14" customFormat="false" ht="15" hidden="false" customHeight="true" outlineLevel="0" collapsed="false">
      <c r="A14" s="23" t="n">
        <v>14</v>
      </c>
      <c r="B14" s="23" t="s">
        <v>41</v>
      </c>
      <c r="C14" s="24" t="s">
        <v>41</v>
      </c>
      <c r="D14" s="25" t="s">
        <v>32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0</v>
      </c>
      <c r="L14" s="26" t="n">
        <v>0</v>
      </c>
      <c r="M14" s="26" t="n">
        <v>0</v>
      </c>
      <c r="N14" s="26" t="n">
        <v>0</v>
      </c>
      <c r="O14" s="26" t="n">
        <v>0</v>
      </c>
      <c r="P14" s="26" t="n">
        <v>0</v>
      </c>
      <c r="Q14" s="27" t="n">
        <f aca="false">SUM(E14:P14)</f>
        <v>0</v>
      </c>
      <c r="S14" s="28" t="n">
        <f aca="false">SUM(E14:E14)</f>
        <v>0</v>
      </c>
      <c r="U14" s="28" t="n">
        <f aca="false">SUM($E14:F14)</f>
        <v>0</v>
      </c>
      <c r="V14" s="28" t="n">
        <f aca="false">SUM($E14:G14)</f>
        <v>0</v>
      </c>
      <c r="W14" s="28" t="n">
        <f aca="false">SUM($E14:H14)</f>
        <v>0</v>
      </c>
      <c r="X14" s="28" t="n">
        <f aca="false">SUM($E14:I14)</f>
        <v>0</v>
      </c>
      <c r="Y14" s="28" t="n">
        <f aca="false">SUM($E14:J14)</f>
        <v>0</v>
      </c>
      <c r="Z14" s="28" t="n">
        <f aca="false">SUM($E14:K14)</f>
        <v>0</v>
      </c>
      <c r="AA14" s="28" t="n">
        <f aca="false">SUM($E14:L14)</f>
        <v>0</v>
      </c>
      <c r="AB14" s="28" t="n">
        <f aca="false">SUM($E14:M14)</f>
        <v>0</v>
      </c>
      <c r="AC14" s="28" t="n">
        <f aca="false">SUM($E14:N14)</f>
        <v>0</v>
      </c>
      <c r="AD14" s="28" t="n">
        <f aca="false">SUM($E14:O14)</f>
        <v>0</v>
      </c>
      <c r="AE14" s="28" t="n">
        <f aca="false">SUM($E14:P14)</f>
        <v>0</v>
      </c>
      <c r="AG14" s="29" t="n">
        <v>3576.15</v>
      </c>
      <c r="AI14" s="30" t="n">
        <f aca="false">AJ14</f>
        <v>5000</v>
      </c>
      <c r="AJ14" s="30" t="n">
        <v>5000</v>
      </c>
      <c r="AK14" s="30" t="n">
        <v>5000</v>
      </c>
      <c r="AL14" s="30" t="n">
        <v>5000</v>
      </c>
      <c r="AM14" s="30" t="n">
        <v>5000</v>
      </c>
      <c r="AN14" s="31" t="n">
        <v>5000</v>
      </c>
      <c r="AO14" s="29" t="n">
        <f aca="false">SUM(AI14:AN14)</f>
        <v>30000</v>
      </c>
      <c r="AP14" s="32" t="n">
        <f aca="false">SUM(AI14:AN14)+Y14</f>
        <v>30000</v>
      </c>
      <c r="AR14" s="33" t="n">
        <f aca="false">AI14+AG14</f>
        <v>8576.15</v>
      </c>
      <c r="AS14" s="30" t="n">
        <f aca="false">AR14+AJ14</f>
        <v>13576.15</v>
      </c>
      <c r="AT14" s="30" t="n">
        <f aca="false">AS14+AK14</f>
        <v>18576.15</v>
      </c>
      <c r="AU14" s="30" t="n">
        <f aca="false">AT14+AL14</f>
        <v>23576.15</v>
      </c>
      <c r="AV14" s="30" t="n">
        <f aca="false">AU14+AM14</f>
        <v>28576.15</v>
      </c>
      <c r="AW14" s="34" t="n">
        <f aca="false">AV14+AN14</f>
        <v>33576.15</v>
      </c>
    </row>
    <row r="15" customFormat="false" ht="15" hidden="false" customHeight="true" outlineLevel="0" collapsed="false">
      <c r="A15" s="23" t="n">
        <v>16</v>
      </c>
      <c r="B15" s="23" t="s">
        <v>42</v>
      </c>
      <c r="C15" s="24" t="s">
        <v>42</v>
      </c>
      <c r="D15" s="25" t="s">
        <v>32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0</v>
      </c>
      <c r="J15" s="26" t="n">
        <v>0</v>
      </c>
      <c r="K15" s="26" t="n">
        <v>0</v>
      </c>
      <c r="L15" s="26" t="n">
        <v>0</v>
      </c>
      <c r="M15" s="26" t="n">
        <v>0</v>
      </c>
      <c r="N15" s="26" t="n">
        <v>0</v>
      </c>
      <c r="O15" s="26" t="n">
        <v>0</v>
      </c>
      <c r="P15" s="26" t="n">
        <v>0</v>
      </c>
      <c r="Q15" s="27" t="n">
        <f aca="false">SUM(E15:P15)</f>
        <v>0</v>
      </c>
      <c r="S15" s="28" t="n">
        <f aca="false">SUM(E15:E15)</f>
        <v>0</v>
      </c>
      <c r="U15" s="28" t="n">
        <f aca="false">SUM($E15:F15)</f>
        <v>0</v>
      </c>
      <c r="V15" s="28" t="n">
        <f aca="false">SUM($E15:G15)</f>
        <v>0</v>
      </c>
      <c r="W15" s="28" t="n">
        <f aca="false">SUM($E15:H15)</f>
        <v>0</v>
      </c>
      <c r="X15" s="28" t="n">
        <f aca="false">SUM($E15:I15)</f>
        <v>0</v>
      </c>
      <c r="Y15" s="28" t="n">
        <f aca="false">SUM($E15:J15)</f>
        <v>0</v>
      </c>
      <c r="Z15" s="28" t="n">
        <f aca="false">SUM($E15:K15)</f>
        <v>0</v>
      </c>
      <c r="AA15" s="28" t="n">
        <f aca="false">SUM($E15:L15)</f>
        <v>0</v>
      </c>
      <c r="AB15" s="28" t="n">
        <f aca="false">SUM($E15:M15)</f>
        <v>0</v>
      </c>
      <c r="AC15" s="28" t="n">
        <f aca="false">SUM($E15:N15)</f>
        <v>0</v>
      </c>
      <c r="AD15" s="28" t="n">
        <f aca="false">SUM($E15:O15)</f>
        <v>0</v>
      </c>
      <c r="AE15" s="28" t="n">
        <f aca="false">SUM($E15:P15)</f>
        <v>0</v>
      </c>
      <c r="AG15" s="29"/>
      <c r="AI15" s="30" t="n">
        <f aca="false">AJ15</f>
        <v>0</v>
      </c>
      <c r="AJ15" s="30"/>
      <c r="AK15" s="30"/>
      <c r="AL15" s="30"/>
      <c r="AM15" s="30"/>
      <c r="AN15" s="31"/>
      <c r="AO15" s="29" t="n">
        <f aca="false">SUM(AI15:AN15)</f>
        <v>0</v>
      </c>
      <c r="AP15" s="32" t="n">
        <f aca="false">SUM(AI15:AN15)+Y15</f>
        <v>0</v>
      </c>
      <c r="AR15" s="33" t="n">
        <f aca="false">AI15+AG15</f>
        <v>0</v>
      </c>
      <c r="AS15" s="30" t="n">
        <f aca="false">AR15+AJ15</f>
        <v>0</v>
      </c>
      <c r="AT15" s="30" t="n">
        <f aca="false">AS15+AK15</f>
        <v>0</v>
      </c>
      <c r="AU15" s="30" t="n">
        <f aca="false">AT15+AL15</f>
        <v>0</v>
      </c>
      <c r="AV15" s="30" t="n">
        <f aca="false">AU15+AM15</f>
        <v>0</v>
      </c>
      <c r="AW15" s="34" t="n">
        <f aca="false">AV15+AN15</f>
        <v>0</v>
      </c>
    </row>
    <row r="16" customFormat="false" ht="15" hidden="false" customHeight="true" outlineLevel="0" collapsed="false">
      <c r="A16" s="23" t="n">
        <v>13</v>
      </c>
      <c r="B16" s="23" t="s">
        <v>43</v>
      </c>
      <c r="C16" s="24" t="s">
        <v>43</v>
      </c>
      <c r="D16" s="25" t="s">
        <v>32</v>
      </c>
      <c r="E16" s="26" t="n">
        <v>0</v>
      </c>
      <c r="F16" s="26" t="n">
        <v>0</v>
      </c>
      <c r="G16" s="26" t="n">
        <v>0</v>
      </c>
      <c r="H16" s="26" t="n">
        <v>50000</v>
      </c>
      <c r="I16" s="26" t="n">
        <v>50000</v>
      </c>
      <c r="J16" s="26" t="n">
        <v>50000</v>
      </c>
      <c r="K16" s="26" t="n">
        <v>50000</v>
      </c>
      <c r="L16" s="26" t="n">
        <v>50000</v>
      </c>
      <c r="M16" s="26" t="n">
        <v>50000</v>
      </c>
      <c r="N16" s="26" t="n">
        <v>50000</v>
      </c>
      <c r="O16" s="26" t="n">
        <v>50000</v>
      </c>
      <c r="P16" s="26" t="n">
        <v>0</v>
      </c>
      <c r="Q16" s="27" t="n">
        <f aca="false">SUM(E16:P16)</f>
        <v>400000</v>
      </c>
      <c r="S16" s="28" t="n">
        <f aca="false">SUM(E16:E16)</f>
        <v>0</v>
      </c>
      <c r="U16" s="28" t="n">
        <f aca="false">SUM($E16:F16)</f>
        <v>0</v>
      </c>
      <c r="V16" s="28" t="n">
        <f aca="false">SUM($E16:G16)</f>
        <v>0</v>
      </c>
      <c r="W16" s="28" t="n">
        <f aca="false">SUM($E16:H16)</f>
        <v>50000</v>
      </c>
      <c r="X16" s="28" t="n">
        <f aca="false">SUM($E16:I16)</f>
        <v>100000</v>
      </c>
      <c r="Y16" s="28" t="n">
        <f aca="false">SUM($E16:J16)</f>
        <v>150000</v>
      </c>
      <c r="Z16" s="28" t="n">
        <f aca="false">SUM($E16:K16)</f>
        <v>200000</v>
      </c>
      <c r="AA16" s="28" t="n">
        <f aca="false">SUM($E16:L16)</f>
        <v>250000</v>
      </c>
      <c r="AB16" s="28" t="n">
        <f aca="false">SUM($E16:M16)</f>
        <v>300000</v>
      </c>
      <c r="AC16" s="28" t="n">
        <f aca="false">SUM($E16:N16)</f>
        <v>350000</v>
      </c>
      <c r="AD16" s="28" t="n">
        <f aca="false">SUM($E16:O16)</f>
        <v>400000</v>
      </c>
      <c r="AE16" s="28" t="n">
        <f aca="false">SUM($E16:P16)</f>
        <v>400000</v>
      </c>
      <c r="AG16" s="29" t="n">
        <v>7748.72</v>
      </c>
      <c r="AI16" s="30" t="n">
        <f aca="false">AJ16</f>
        <v>5000</v>
      </c>
      <c r="AJ16" s="30" t="n">
        <v>5000</v>
      </c>
      <c r="AK16" s="30" t="n">
        <v>5000</v>
      </c>
      <c r="AL16" s="30" t="n">
        <v>5000</v>
      </c>
      <c r="AM16" s="30" t="n">
        <v>5000</v>
      </c>
      <c r="AN16" s="31" t="n">
        <v>5000</v>
      </c>
      <c r="AO16" s="29" t="n">
        <f aca="false">SUM(AI16:AN16)</f>
        <v>30000</v>
      </c>
      <c r="AP16" s="32" t="n">
        <f aca="false">SUM(AI16:AN16)+Y16</f>
        <v>180000</v>
      </c>
      <c r="AR16" s="33" t="n">
        <f aca="false">AI16+AG16</f>
        <v>12748.72</v>
      </c>
      <c r="AS16" s="30" t="n">
        <f aca="false">AR16+AJ16</f>
        <v>17748.72</v>
      </c>
      <c r="AT16" s="30" t="n">
        <f aca="false">AS16+AK16</f>
        <v>22748.72</v>
      </c>
      <c r="AU16" s="30" t="n">
        <f aca="false">AT16+AL16</f>
        <v>27748.72</v>
      </c>
      <c r="AV16" s="30" t="n">
        <f aca="false">AU16+AM16</f>
        <v>32748.72</v>
      </c>
      <c r="AW16" s="34" t="n">
        <f aca="false">AV16+AN16</f>
        <v>37748.72</v>
      </c>
    </row>
    <row r="17" customFormat="false" ht="15" hidden="false" customHeight="true" outlineLevel="0" collapsed="false">
      <c r="A17" s="23" t="n">
        <v>9</v>
      </c>
      <c r="B17" s="23" t="s">
        <v>44</v>
      </c>
      <c r="C17" s="24" t="s">
        <v>44</v>
      </c>
      <c r="D17" s="25" t="s">
        <v>32</v>
      </c>
      <c r="E17" s="26" t="n">
        <v>16666.6666666667</v>
      </c>
      <c r="F17" s="26" t="n">
        <v>15873.0158730159</v>
      </c>
      <c r="G17" s="26" t="n">
        <v>18253.9682539683</v>
      </c>
      <c r="H17" s="26" t="n">
        <v>13492.0634920635</v>
      </c>
      <c r="I17" s="26" t="n">
        <v>15873.0158730159</v>
      </c>
      <c r="J17" s="26" t="n">
        <v>17460.3174603175</v>
      </c>
      <c r="K17" s="26" t="n">
        <v>17460.3174603175</v>
      </c>
      <c r="L17" s="26" t="n">
        <v>17460.3174603175</v>
      </c>
      <c r="M17" s="26" t="n">
        <v>15079.3650793651</v>
      </c>
      <c r="N17" s="26" t="n">
        <v>16666.6666666667</v>
      </c>
      <c r="O17" s="26" t="n">
        <v>17460.3174603175</v>
      </c>
      <c r="P17" s="26" t="n">
        <v>18253.9682539683</v>
      </c>
      <c r="Q17" s="27" t="n">
        <f aca="false">SUM(E17:P17)</f>
        <v>200000</v>
      </c>
      <c r="S17" s="28" t="n">
        <f aca="false">SUM(E17:E17)</f>
        <v>16666.6666666667</v>
      </c>
      <c r="U17" s="28" t="n">
        <f aca="false">SUM($E17:F17)</f>
        <v>32539.6825396826</v>
      </c>
      <c r="V17" s="28" t="n">
        <f aca="false">SUM($E17:G17)</f>
        <v>50793.6507936509</v>
      </c>
      <c r="W17" s="28" t="n">
        <f aca="false">SUM($E17:H17)</f>
        <v>64285.7142857144</v>
      </c>
      <c r="X17" s="28" t="n">
        <f aca="false">SUM($E17:I17)</f>
        <v>80158.7301587303</v>
      </c>
      <c r="Y17" s="28" t="n">
        <f aca="false">SUM($E17:J17)</f>
        <v>97619.0476190478</v>
      </c>
      <c r="Z17" s="28" t="n">
        <f aca="false">SUM($E17:K17)</f>
        <v>115079.365079365</v>
      </c>
      <c r="AA17" s="28" t="n">
        <f aca="false">SUM($E17:L17)</f>
        <v>132539.682539683</v>
      </c>
      <c r="AB17" s="28" t="n">
        <f aca="false">SUM($E17:M17)</f>
        <v>147619.047619048</v>
      </c>
      <c r="AC17" s="28" t="n">
        <f aca="false">SUM($E17:N17)</f>
        <v>164285.714285715</v>
      </c>
      <c r="AD17" s="28" t="n">
        <f aca="false">SUM($E17:O17)</f>
        <v>181746.031746032</v>
      </c>
      <c r="AE17" s="28" t="n">
        <f aca="false">SUM($E17:P17)</f>
        <v>200000</v>
      </c>
      <c r="AG17" s="29" t="n">
        <v>89111.1</v>
      </c>
      <c r="AI17" s="30" t="n">
        <f aca="false">AJ17</f>
        <v>25000</v>
      </c>
      <c r="AJ17" s="30" t="n">
        <v>25000</v>
      </c>
      <c r="AK17" s="30" t="n">
        <v>25000</v>
      </c>
      <c r="AL17" s="30" t="n">
        <v>25000</v>
      </c>
      <c r="AM17" s="30" t="n">
        <v>25000</v>
      </c>
      <c r="AN17" s="31" t="n">
        <v>25000</v>
      </c>
      <c r="AO17" s="29" t="n">
        <f aca="false">SUM(AI17:AN17)</f>
        <v>150000</v>
      </c>
      <c r="AP17" s="32" t="n">
        <f aca="false">SUM(AI17:AN17)+Y17</f>
        <v>247619.047619048</v>
      </c>
      <c r="AR17" s="33" t="n">
        <f aca="false">AI17+AG17</f>
        <v>114111.1</v>
      </c>
      <c r="AS17" s="30" t="n">
        <f aca="false">AR17+AJ17</f>
        <v>139111.1</v>
      </c>
      <c r="AT17" s="30" t="n">
        <f aca="false">AS17+AK17</f>
        <v>164111.1</v>
      </c>
      <c r="AU17" s="30" t="n">
        <f aca="false">AT17+AL17</f>
        <v>189111.1</v>
      </c>
      <c r="AV17" s="30" t="n">
        <f aca="false">AU17+AM17</f>
        <v>214111.1</v>
      </c>
      <c r="AW17" s="34" t="n">
        <f aca="false">AV17+AN17</f>
        <v>239111.1</v>
      </c>
    </row>
    <row r="18" customFormat="false" ht="15" hidden="false" customHeight="true" outlineLevel="0" collapsed="false">
      <c r="A18" s="23" t="n">
        <v>2</v>
      </c>
      <c r="B18" s="23" t="s">
        <v>45</v>
      </c>
      <c r="C18" s="24" t="s">
        <v>45</v>
      </c>
      <c r="D18" s="25" t="s">
        <v>32</v>
      </c>
      <c r="E18" s="26" t="n">
        <v>296610.169491525</v>
      </c>
      <c r="F18" s="26" t="n">
        <v>444915.254237288</v>
      </c>
      <c r="G18" s="26" t="n">
        <v>489406.779661017</v>
      </c>
      <c r="H18" s="26" t="n">
        <v>453601.694915254</v>
      </c>
      <c r="I18" s="26" t="n">
        <v>592182.203389831</v>
      </c>
      <c r="J18" s="26" t="n">
        <v>888273.728813559</v>
      </c>
      <c r="K18" s="26" t="n">
        <v>977100.847457627</v>
      </c>
      <c r="L18" s="26" t="n">
        <v>1159556.77966102</v>
      </c>
      <c r="M18" s="26" t="n">
        <v>1012800</v>
      </c>
      <c r="N18" s="26" t="n">
        <v>1300521.18644068</v>
      </c>
      <c r="O18" s="26" t="n">
        <v>1684810.16949153</v>
      </c>
      <c r="P18" s="26" t="n">
        <v>1488884.74576271</v>
      </c>
      <c r="Q18" s="27" t="n">
        <v>10788663.559322</v>
      </c>
      <c r="S18" s="28" t="n">
        <f aca="false">SUM(E18:E18)</f>
        <v>296610.169491525</v>
      </c>
      <c r="U18" s="28" t="n">
        <f aca="false">SUM($E18:F18)</f>
        <v>741525.423728813</v>
      </c>
      <c r="V18" s="28" t="n">
        <f aca="false">SUM($E18:G18)</f>
        <v>1230932.20338983</v>
      </c>
      <c r="W18" s="28" t="n">
        <f aca="false">SUM($E18:H18)</f>
        <v>1684533.89830508</v>
      </c>
      <c r="X18" s="28" t="n">
        <f aca="false">SUM($E18:I18)</f>
        <v>2276716.10169492</v>
      </c>
      <c r="Y18" s="28" t="n">
        <f aca="false">SUM($E18:J18)</f>
        <v>3164989.83050847</v>
      </c>
      <c r="Z18" s="28" t="n">
        <f aca="false">SUM($E18:K18)</f>
        <v>4142090.6779661</v>
      </c>
      <c r="AA18" s="28" t="n">
        <f aca="false">SUM($E18:L18)</f>
        <v>5301647.45762712</v>
      </c>
      <c r="AB18" s="28" t="n">
        <f aca="false">SUM($E18:M18)</f>
        <v>6314447.45762712</v>
      </c>
      <c r="AC18" s="28" t="n">
        <f aca="false">SUM($E18:N18)</f>
        <v>7614968.6440678</v>
      </c>
      <c r="AD18" s="28" t="n">
        <f aca="false">SUM($E18:O18)</f>
        <v>9299778.81355933</v>
      </c>
      <c r="AE18" s="28" t="n">
        <f aca="false">SUM($E18:P18)</f>
        <v>10788663.559322</v>
      </c>
      <c r="AG18" s="29" t="n">
        <v>2231238.20000003</v>
      </c>
      <c r="AI18" s="30" t="n">
        <v>450000</v>
      </c>
      <c r="AJ18" s="30" t="n">
        <v>481500</v>
      </c>
      <c r="AK18" s="30" t="n">
        <v>977100.847457627</v>
      </c>
      <c r="AL18" s="30" t="n">
        <v>1159556.77966102</v>
      </c>
      <c r="AM18" s="30" t="n">
        <v>1012800</v>
      </c>
      <c r="AN18" s="31" t="n">
        <v>1300521.18644068</v>
      </c>
      <c r="AO18" s="29" t="n">
        <f aca="false">SUM(AI18:AN18)</f>
        <v>5381478.81355933</v>
      </c>
      <c r="AP18" s="32" t="n">
        <f aca="false">SUM(AI18:AN18)+Y18</f>
        <v>8546468.6440678</v>
      </c>
      <c r="AR18" s="33" t="n">
        <f aca="false">AI18+AG18</f>
        <v>2681238.20000003</v>
      </c>
      <c r="AS18" s="30" t="n">
        <f aca="false">AR18+AJ18</f>
        <v>3162738.20000003</v>
      </c>
      <c r="AT18" s="30" t="n">
        <f aca="false">AS18+AK18</f>
        <v>4139839.04745766</v>
      </c>
      <c r="AU18" s="30" t="n">
        <f aca="false">AT18+AL18</f>
        <v>5299395.82711868</v>
      </c>
      <c r="AV18" s="30" t="n">
        <f aca="false">AU18+AM18</f>
        <v>6312195.82711868</v>
      </c>
      <c r="AW18" s="34" t="n">
        <f aca="false">AV18+AN18</f>
        <v>7612717.01355936</v>
      </c>
    </row>
    <row r="19" customFormat="false" ht="15" hidden="false" customHeight="true" outlineLevel="0" collapsed="false">
      <c r="A19" s="37" t="n">
        <v>12</v>
      </c>
      <c r="B19" s="37" t="s">
        <v>46</v>
      </c>
      <c r="C19" s="38" t="s">
        <v>46</v>
      </c>
      <c r="D19" s="25" t="s">
        <v>32</v>
      </c>
      <c r="E19" s="26" t="n">
        <v>2536.92833333333</v>
      </c>
      <c r="F19" s="26" t="n">
        <v>2536.92833333333</v>
      </c>
      <c r="G19" s="26" t="n">
        <v>2536.92833333333</v>
      </c>
      <c r="H19" s="26" t="n">
        <v>2536.92833333333</v>
      </c>
      <c r="I19" s="26" t="n">
        <v>2536.92833333333</v>
      </c>
      <c r="J19" s="26" t="n">
        <v>2536.92833333333</v>
      </c>
      <c r="K19" s="26" t="n">
        <v>2536.92833333333</v>
      </c>
      <c r="L19" s="26" t="n">
        <v>2536.92833333333</v>
      </c>
      <c r="M19" s="26" t="n">
        <v>2536.92833333333</v>
      </c>
      <c r="N19" s="26" t="n">
        <v>2536.92833333333</v>
      </c>
      <c r="O19" s="26" t="n">
        <v>2536.92833333333</v>
      </c>
      <c r="P19" s="26" t="n">
        <v>2536.92833333333</v>
      </c>
      <c r="Q19" s="27" t="n">
        <v>30443.14</v>
      </c>
      <c r="S19" s="28" t="n">
        <f aca="false">SUM(E19:E19)</f>
        <v>2536.92833333333</v>
      </c>
      <c r="U19" s="28" t="n">
        <f aca="false">SUM($E19:F19)</f>
        <v>5073.85666666666</v>
      </c>
      <c r="V19" s="28" t="n">
        <f aca="false">SUM($E19:G19)</f>
        <v>7610.78499999999</v>
      </c>
      <c r="W19" s="28" t="n">
        <f aca="false">SUM($E19:H19)</f>
        <v>10147.7133333333</v>
      </c>
      <c r="X19" s="28" t="n">
        <f aca="false">SUM($E19:I19)</f>
        <v>12684.6416666667</v>
      </c>
      <c r="Y19" s="28" t="n">
        <f aca="false">SUM($E19:J19)</f>
        <v>15221.57</v>
      </c>
      <c r="Z19" s="28" t="n">
        <f aca="false">SUM($E19:K19)</f>
        <v>17758.4983333333</v>
      </c>
      <c r="AA19" s="28" t="n">
        <f aca="false">SUM($E19:L19)</f>
        <v>20295.4266666666</v>
      </c>
      <c r="AB19" s="28" t="n">
        <f aca="false">SUM($E19:M19)</f>
        <v>22832.355</v>
      </c>
      <c r="AC19" s="28" t="n">
        <f aca="false">SUM($E19:N19)</f>
        <v>25369.2833333333</v>
      </c>
      <c r="AD19" s="28" t="n">
        <f aca="false">SUM($E19:O19)</f>
        <v>27906.2116666666</v>
      </c>
      <c r="AE19" s="28" t="n">
        <f aca="false">SUM($E19:P19)</f>
        <v>30443.14</v>
      </c>
      <c r="AG19" s="29" t="n">
        <v>9807.02</v>
      </c>
      <c r="AI19" s="30" t="n">
        <f aca="false">AJ19</f>
        <v>5000</v>
      </c>
      <c r="AJ19" s="30" t="n">
        <v>5000</v>
      </c>
      <c r="AK19" s="30" t="n">
        <v>5000</v>
      </c>
      <c r="AL19" s="30" t="n">
        <v>5000</v>
      </c>
      <c r="AM19" s="30" t="n">
        <v>5000</v>
      </c>
      <c r="AN19" s="31" t="n">
        <v>5000</v>
      </c>
      <c r="AO19" s="29" t="n">
        <f aca="false">SUM(AI19:AN19)</f>
        <v>30000</v>
      </c>
      <c r="AP19" s="32" t="n">
        <f aca="false">SUM(AI19:AN19)+Y19</f>
        <v>45221.57</v>
      </c>
      <c r="AR19" s="33" t="n">
        <f aca="false">AI19+AG19</f>
        <v>14807.02</v>
      </c>
      <c r="AS19" s="30" t="n">
        <f aca="false">AR19+AJ19</f>
        <v>19807.02</v>
      </c>
      <c r="AT19" s="30" t="n">
        <f aca="false">AS19+AK19</f>
        <v>24807.02</v>
      </c>
      <c r="AU19" s="30" t="n">
        <f aca="false">AT19+AL19</f>
        <v>29807.02</v>
      </c>
      <c r="AV19" s="30" t="n">
        <f aca="false">AU19+AM19</f>
        <v>34807.02</v>
      </c>
      <c r="AW19" s="34" t="n">
        <f aca="false">AV19+AN19</f>
        <v>39807.02</v>
      </c>
    </row>
    <row r="20" customFormat="false" ht="15.75" hidden="false" customHeight="true" outlineLevel="0" collapsed="false">
      <c r="A20" s="39" t="n">
        <v>15</v>
      </c>
      <c r="B20" s="23" t="s">
        <v>47</v>
      </c>
      <c r="C20" s="24" t="s">
        <v>47</v>
      </c>
      <c r="D20" s="25" t="s">
        <v>32</v>
      </c>
      <c r="E20" s="26" t="n">
        <v>0</v>
      </c>
      <c r="F20" s="26" t="n">
        <v>0</v>
      </c>
      <c r="G20" s="26" t="n">
        <v>0</v>
      </c>
      <c r="H20" s="26" t="n">
        <v>12500</v>
      </c>
      <c r="I20" s="26" t="n">
        <v>0</v>
      </c>
      <c r="J20" s="26" t="n">
        <v>0</v>
      </c>
      <c r="K20" s="26" t="n">
        <v>0</v>
      </c>
      <c r="L20" s="26" t="n">
        <v>0</v>
      </c>
      <c r="M20" s="26" t="n">
        <v>0</v>
      </c>
      <c r="N20" s="26" t="n">
        <v>0</v>
      </c>
      <c r="O20" s="26" t="n">
        <v>12500</v>
      </c>
      <c r="P20" s="26" t="n">
        <v>0</v>
      </c>
      <c r="Q20" s="27" t="n">
        <f aca="false">SUM(E20:P20)</f>
        <v>25000</v>
      </c>
      <c r="S20" s="28" t="n">
        <f aca="false">SUM(E20:E20)</f>
        <v>0</v>
      </c>
      <c r="U20" s="28" t="n">
        <f aca="false">SUM($E20:F20)</f>
        <v>0</v>
      </c>
      <c r="V20" s="28" t="n">
        <f aca="false">SUM($E20:G20)</f>
        <v>0</v>
      </c>
      <c r="W20" s="28" t="n">
        <f aca="false">SUM($E20:H20)</f>
        <v>12500</v>
      </c>
      <c r="X20" s="28" t="n">
        <f aca="false">SUM($E20:I20)</f>
        <v>12500</v>
      </c>
      <c r="Y20" s="28" t="n">
        <f aca="false">SUM($E20:J20)</f>
        <v>12500</v>
      </c>
      <c r="Z20" s="28" t="n">
        <f aca="false">SUM($E20:K20)</f>
        <v>12500</v>
      </c>
      <c r="AA20" s="28" t="n">
        <f aca="false">SUM($E20:L20)</f>
        <v>12500</v>
      </c>
      <c r="AB20" s="28" t="n">
        <f aca="false">SUM($E20:M20)</f>
        <v>12500</v>
      </c>
      <c r="AC20" s="28" t="n">
        <f aca="false">SUM($E20:N20)</f>
        <v>12500</v>
      </c>
      <c r="AD20" s="28" t="n">
        <f aca="false">SUM($E20:O20)</f>
        <v>25000</v>
      </c>
      <c r="AE20" s="28" t="n">
        <f aca="false">SUM($E20:P20)</f>
        <v>25000</v>
      </c>
      <c r="AG20" s="29" t="n">
        <v>1896.82</v>
      </c>
      <c r="AI20" s="40" t="n">
        <f aca="false">AJ20</f>
        <v>5000</v>
      </c>
      <c r="AJ20" s="40" t="n">
        <v>5000</v>
      </c>
      <c r="AK20" s="40" t="n">
        <v>5000</v>
      </c>
      <c r="AL20" s="40" t="n">
        <v>5000</v>
      </c>
      <c r="AM20" s="40" t="n">
        <v>5000</v>
      </c>
      <c r="AN20" s="41" t="n">
        <v>5000</v>
      </c>
      <c r="AO20" s="42" t="n">
        <f aca="false">SUM(AI20:AN20)</f>
        <v>30000</v>
      </c>
      <c r="AP20" s="43" t="n">
        <f aca="false">SUM(AI20:AN20)+Y20</f>
        <v>42500</v>
      </c>
      <c r="AR20" s="44" t="n">
        <f aca="false">AI20+AG20</f>
        <v>6896.82</v>
      </c>
      <c r="AS20" s="30" t="n">
        <f aca="false">AR20+AJ20</f>
        <v>11896.82</v>
      </c>
      <c r="AT20" s="30" t="n">
        <f aca="false">AS20+AK20</f>
        <v>16896.82</v>
      </c>
      <c r="AU20" s="30" t="n">
        <f aca="false">AT20+AL20</f>
        <v>21896.82</v>
      </c>
      <c r="AV20" s="30" t="n">
        <f aca="false">AU20+AM20</f>
        <v>26896.82</v>
      </c>
      <c r="AW20" s="34" t="n">
        <f aca="false">AV20+AN20</f>
        <v>31896.82</v>
      </c>
    </row>
    <row r="21" customFormat="false" ht="15" hidden="false" customHeight="true" outlineLevel="0" collapsed="false">
      <c r="A21" s="45"/>
      <c r="B21" s="45" t="s">
        <v>48</v>
      </c>
      <c r="C21" s="45"/>
      <c r="D21" s="45"/>
      <c r="E21" s="46" t="n">
        <f aca="false">SUM(E5:E20)</f>
        <v>1852563.76449153</v>
      </c>
      <c r="F21" s="46" t="n">
        <f aca="false">SUM(F5:F20)</f>
        <v>2046896.62701507</v>
      </c>
      <c r="G21" s="46" t="n">
        <f aca="false">SUM(G5:G20)</f>
        <v>2233304.81910546</v>
      </c>
      <c r="H21" s="46" t="n">
        <f aca="false">SUM(H5:H20)</f>
        <v>1997166.40102637</v>
      </c>
      <c r="I21" s="46" t="n">
        <f aca="false">SUM(I5:I20)</f>
        <v>2297163.57616761</v>
      </c>
      <c r="J21" s="46" t="n">
        <f aca="false">SUM(J5:J20)</f>
        <v>2723199.54603578</v>
      </c>
      <c r="K21" s="46" t="n">
        <f aca="false">SUM(K5:K20)</f>
        <v>2812026.66467985</v>
      </c>
      <c r="L21" s="46" t="n">
        <f aca="false">SUM(L5:L20)</f>
        <v>2994482.59688324</v>
      </c>
      <c r="M21" s="46" t="n">
        <f aca="false">SUM(M5:M20)</f>
        <v>2685809.15055556</v>
      </c>
      <c r="N21" s="46" t="n">
        <f aca="false">SUM(N5:N20)</f>
        <v>3047474.78144068</v>
      </c>
      <c r="O21" s="46" t="n">
        <f aca="false">SUM(O5:O20)</f>
        <v>3501235.98671375</v>
      </c>
      <c r="P21" s="46" t="n">
        <f aca="false">SUM(P5:P20)</f>
        <v>3268782.78520716</v>
      </c>
      <c r="Q21" s="47" t="n">
        <f aca="false">SUM(Q5:Q20)</f>
        <v>31460106.699322</v>
      </c>
      <c r="S21" s="47" t="n">
        <f aca="false">SUM(S5:S20)</f>
        <v>1852563.76449152</v>
      </c>
      <c r="U21" s="47" t="n">
        <f aca="false">SUM(U5:U20)</f>
        <v>3899460.39150659</v>
      </c>
      <c r="V21" s="47" t="n">
        <f aca="false">SUM(V5:V20)</f>
        <v>6132765.21061205</v>
      </c>
      <c r="W21" s="47" t="n">
        <f aca="false">SUM(W5:W20)</f>
        <v>8129931.61163842</v>
      </c>
      <c r="X21" s="47" t="n">
        <f aca="false">SUM(X5:X20)</f>
        <v>10427095.187806</v>
      </c>
      <c r="Y21" s="47" t="n">
        <f aca="false">SUM(Y5:Y20)</f>
        <v>13150294.7338418</v>
      </c>
      <c r="Z21" s="47" t="n">
        <f aca="false">SUM(Z5:Z20)</f>
        <v>15962321.3985217</v>
      </c>
      <c r="AA21" s="47" t="n">
        <f aca="false">SUM(AA5:AA20)</f>
        <v>18956803.9954049</v>
      </c>
      <c r="AB21" s="47" t="n">
        <f aca="false">SUM(AB5:AB20)</f>
        <v>21642613.1459605</v>
      </c>
      <c r="AC21" s="47" t="n">
        <f aca="false">SUM(AC5:AC20)</f>
        <v>24690087.9274011</v>
      </c>
      <c r="AD21" s="47" t="n">
        <f aca="false">SUM(AD5:AD20)</f>
        <v>28191323.9141149</v>
      </c>
      <c r="AE21" s="47" t="n">
        <f aca="false">SUM(AE5:AE20)</f>
        <v>31460106.699322</v>
      </c>
      <c r="AG21" s="48" t="n">
        <f aca="false">SUM(AG5:AG20)</f>
        <v>9870594.26700003</v>
      </c>
      <c r="AI21" s="49" t="n">
        <f aca="false">SUM(AI5:AI20)</f>
        <v>2100000</v>
      </c>
      <c r="AJ21" s="50" t="n">
        <f aca="false">SUM(AJ5:AJ20)</f>
        <v>2131500</v>
      </c>
      <c r="AK21" s="50" t="n">
        <f aca="false">SUM(AK5:AK20)</f>
        <v>2627100.84745763</v>
      </c>
      <c r="AL21" s="50" t="n">
        <f aca="false">SUM(AL5:AL20)</f>
        <v>2809556.77966102</v>
      </c>
      <c r="AM21" s="50" t="n">
        <f aca="false">SUM(AM5:AM20)</f>
        <v>2662800</v>
      </c>
      <c r="AN21" s="51" t="n">
        <f aca="false">SUM(AN5:AN20)</f>
        <v>2950521.18644068</v>
      </c>
      <c r="AO21" s="52" t="n">
        <f aca="false">SUM(AO5:AO20)</f>
        <v>15281478.8135593</v>
      </c>
      <c r="AP21" s="53" t="n">
        <f aca="false">SUM(AP5:AP20)</f>
        <v>28431773.5474011</v>
      </c>
      <c r="AR21" s="52" t="n">
        <f aca="false">AI21+AG21</f>
        <v>11970594.267</v>
      </c>
      <c r="AS21" s="50" t="n">
        <f aca="false">AR21+AJ21</f>
        <v>14102094.267</v>
      </c>
      <c r="AT21" s="50" t="n">
        <f aca="false">AS21+AK21</f>
        <v>16729195.1144577</v>
      </c>
      <c r="AU21" s="50" t="n">
        <f aca="false">AT21+AL21</f>
        <v>19538751.8941187</v>
      </c>
      <c r="AV21" s="50" t="n">
        <f aca="false">AU21+AM21</f>
        <v>22201551.8941187</v>
      </c>
      <c r="AW21" s="54" t="n">
        <f aca="false">AV21+AN21</f>
        <v>25152073.0805594</v>
      </c>
    </row>
    <row r="22" s="4" customFormat="true" ht="15" hidden="false" customHeight="true" outlineLevel="0" collapsed="false">
      <c r="A22" s="55" t="n">
        <v>50</v>
      </c>
      <c r="B22" s="56" t="s">
        <v>49</v>
      </c>
      <c r="C22" s="57" t="s">
        <v>50</v>
      </c>
      <c r="D22" s="58" t="s">
        <v>51</v>
      </c>
      <c r="E22" s="26" t="n">
        <v>272275.1101125</v>
      </c>
      <c r="F22" s="26" t="n">
        <v>312309.9243</v>
      </c>
      <c r="G22" s="26" t="n">
        <v>332824.444425</v>
      </c>
      <c r="H22" s="26" t="n">
        <v>367136.1903</v>
      </c>
      <c r="I22" s="26" t="n">
        <v>398486.4708</v>
      </c>
      <c r="J22" s="26" t="n">
        <v>428463.7533</v>
      </c>
      <c r="K22" s="26" t="n">
        <v>461212.916175</v>
      </c>
      <c r="L22" s="26" t="n">
        <v>481801.946175</v>
      </c>
      <c r="M22" s="26" t="n">
        <v>477395.46855</v>
      </c>
      <c r="N22" s="26" t="n">
        <v>443955.5208</v>
      </c>
      <c r="O22" s="26" t="n">
        <v>398561.0817375</v>
      </c>
      <c r="P22" s="26" t="n">
        <v>402156.5266125</v>
      </c>
      <c r="Q22" s="27" t="n">
        <v>4776579.3532875</v>
      </c>
      <c r="R22" s="30"/>
      <c r="S22" s="28" t="n">
        <f aca="false">SUM(E22:E22)</f>
        <v>272275.1101125</v>
      </c>
      <c r="U22" s="28" t="n">
        <f aca="false">SUM($E22:F22)</f>
        <v>584585.0344125</v>
      </c>
      <c r="V22" s="28" t="n">
        <f aca="false">SUM($E22:G22)</f>
        <v>917409.4788375</v>
      </c>
      <c r="W22" s="28" t="n">
        <f aca="false">SUM($E22:H22)</f>
        <v>1284545.6691375</v>
      </c>
      <c r="X22" s="28" t="n">
        <f aca="false">SUM($E22:I22)</f>
        <v>1683032.1399375</v>
      </c>
      <c r="Y22" s="28" t="n">
        <f aca="false">SUM($E22:J22)</f>
        <v>2111495.8932375</v>
      </c>
      <c r="Z22" s="28" t="n">
        <f aca="false">SUM($E22:K22)</f>
        <v>2572708.8094125</v>
      </c>
      <c r="AA22" s="28" t="n">
        <f aca="false">SUM($E22:L22)</f>
        <v>3054510.7555875</v>
      </c>
      <c r="AB22" s="28" t="n">
        <f aca="false">SUM($E22:M22)</f>
        <v>3531906.2241375</v>
      </c>
      <c r="AC22" s="28" t="n">
        <f aca="false">SUM($E22:N22)</f>
        <v>3975861.7449375</v>
      </c>
      <c r="AD22" s="28" t="n">
        <f aca="false">SUM($E22:O22)</f>
        <v>4374422.826675</v>
      </c>
      <c r="AE22" s="28" t="n">
        <f aca="false">SUM($E22:P22)</f>
        <v>4776579.3532875</v>
      </c>
      <c r="AG22" s="29" t="n">
        <v>1254357.41</v>
      </c>
      <c r="AI22" s="59" t="n">
        <v>265966.8</v>
      </c>
      <c r="AJ22" s="59" t="n">
        <v>305012.4</v>
      </c>
      <c r="AK22" s="59" t="n">
        <v>327115.8</v>
      </c>
      <c r="AL22" s="59" t="n">
        <v>321888.6</v>
      </c>
      <c r="AM22" s="59" t="n">
        <v>326122.5</v>
      </c>
      <c r="AN22" s="60" t="n">
        <v>297561</v>
      </c>
      <c r="AO22" s="61" t="n">
        <f aca="false">SUM(AI22:AN22)</f>
        <v>1843667.1</v>
      </c>
      <c r="AP22" s="62" t="n">
        <f aca="false">SUM(AI22:AN22)+Y22</f>
        <v>3955162.9932375</v>
      </c>
      <c r="AR22" s="63" t="n">
        <f aca="false">AI22+AG22</f>
        <v>1520324.21</v>
      </c>
      <c r="AS22" s="30" t="n">
        <f aca="false">AR22+AJ22</f>
        <v>1825336.61</v>
      </c>
      <c r="AT22" s="30" t="n">
        <f aca="false">AS22+AK22</f>
        <v>2152452.41</v>
      </c>
      <c r="AU22" s="30" t="n">
        <f aca="false">AT22+AL22</f>
        <v>2474341.01</v>
      </c>
      <c r="AV22" s="30" t="n">
        <f aca="false">AU22+AM22</f>
        <v>2800463.51</v>
      </c>
      <c r="AW22" s="34" t="n">
        <f aca="false">AV22+AN22</f>
        <v>3098024.51</v>
      </c>
    </row>
    <row r="23" customFormat="false" ht="15" hidden="false" customHeight="true" outlineLevel="0" collapsed="false">
      <c r="A23" s="23" t="n">
        <v>20</v>
      </c>
      <c r="B23" s="64" t="s">
        <v>52</v>
      </c>
      <c r="C23" s="57" t="s">
        <v>53</v>
      </c>
      <c r="D23" s="25" t="s">
        <v>54</v>
      </c>
      <c r="E23" s="26"/>
      <c r="F23" s="26" t="n">
        <f aca="false">980000*0.24</f>
        <v>235200</v>
      </c>
      <c r="G23" s="26"/>
      <c r="H23" s="26"/>
      <c r="I23" s="26" t="n">
        <f aca="false">980000*0.24</f>
        <v>235200</v>
      </c>
      <c r="J23" s="26"/>
      <c r="K23" s="26" t="n">
        <f aca="false">980000*0.21</f>
        <v>205800</v>
      </c>
      <c r="L23" s="26"/>
      <c r="M23" s="26"/>
      <c r="N23" s="26" t="n">
        <f aca="false">980000*0.16</f>
        <v>156800</v>
      </c>
      <c r="O23" s="26"/>
      <c r="P23" s="26" t="n">
        <f aca="false">980000*0.15</f>
        <v>147000</v>
      </c>
      <c r="Q23" s="27" t="n">
        <f aca="false">SUM(E23:P23)</f>
        <v>980000</v>
      </c>
      <c r="R23" s="30" t="n">
        <v>980000</v>
      </c>
      <c r="S23" s="28" t="n">
        <f aca="false">SUM(E23:E23)</f>
        <v>0</v>
      </c>
      <c r="T23" s="4"/>
      <c r="U23" s="28" t="n">
        <f aca="false">SUM($E23:F23)</f>
        <v>235200</v>
      </c>
      <c r="V23" s="28" t="n">
        <f aca="false">SUM($E23:G23)</f>
        <v>235200</v>
      </c>
      <c r="W23" s="28" t="n">
        <f aca="false">SUM($E23:H23)</f>
        <v>235200</v>
      </c>
      <c r="X23" s="28" t="n">
        <f aca="false">SUM($E23:I23)</f>
        <v>470400</v>
      </c>
      <c r="Y23" s="28" t="n">
        <f aca="false">SUM($E23:J23)</f>
        <v>470400</v>
      </c>
      <c r="Z23" s="28" t="n">
        <f aca="false">SUM($E23:K23)</f>
        <v>676200</v>
      </c>
      <c r="AA23" s="28" t="n">
        <f aca="false">SUM($E23:L23)</f>
        <v>676200</v>
      </c>
      <c r="AB23" s="28" t="n">
        <f aca="false">SUM($E23:M23)</f>
        <v>676200</v>
      </c>
      <c r="AC23" s="28" t="n">
        <f aca="false">SUM($E23:N23)</f>
        <v>833000</v>
      </c>
      <c r="AD23" s="28" t="n">
        <f aca="false">SUM($E23:O23)</f>
        <v>833000</v>
      </c>
      <c r="AE23" s="28" t="n">
        <f aca="false">SUM($E23:P23)</f>
        <v>980000</v>
      </c>
      <c r="AG23" s="29" t="n">
        <v>342081.02</v>
      </c>
      <c r="AI23" s="30" t="n">
        <v>0</v>
      </c>
      <c r="AJ23" s="30" t="n">
        <v>130000</v>
      </c>
      <c r="AK23" s="30" t="n">
        <v>0</v>
      </c>
      <c r="AL23" s="30" t="n">
        <v>300000</v>
      </c>
      <c r="AM23" s="30" t="n">
        <v>0</v>
      </c>
      <c r="AN23" s="31" t="n">
        <v>150000</v>
      </c>
      <c r="AO23" s="29" t="n">
        <f aca="false">SUM(AI23:AN23)</f>
        <v>580000</v>
      </c>
      <c r="AP23" s="32" t="n">
        <f aca="false">SUM(AI23:AN23)+Y23</f>
        <v>1050400</v>
      </c>
      <c r="AR23" s="33" t="n">
        <f aca="false">AI23+AG23</f>
        <v>342081.02</v>
      </c>
      <c r="AS23" s="30" t="n">
        <f aca="false">AR23+AJ23</f>
        <v>472081.02</v>
      </c>
      <c r="AT23" s="30" t="n">
        <f aca="false">AS23+AK23</f>
        <v>472081.02</v>
      </c>
      <c r="AU23" s="30" t="n">
        <f aca="false">AT23+AL23</f>
        <v>772081.02</v>
      </c>
      <c r="AV23" s="30" t="n">
        <f aca="false">AU23+AM23</f>
        <v>772081.02</v>
      </c>
      <c r="AW23" s="34" t="n">
        <f aca="false">AV23+AN23</f>
        <v>922081.02</v>
      </c>
    </row>
    <row r="24" customFormat="false" ht="15" hidden="false" customHeight="true" outlineLevel="0" collapsed="false">
      <c r="A24" s="23" t="n">
        <v>21</v>
      </c>
      <c r="B24" s="64" t="s">
        <v>55</v>
      </c>
      <c r="C24" s="57" t="s">
        <v>56</v>
      </c>
      <c r="D24" s="25" t="s">
        <v>57</v>
      </c>
      <c r="E24" s="26" t="n">
        <v>124895.37</v>
      </c>
      <c r="F24" s="26" t="n">
        <f aca="false">3779*3.1</f>
        <v>11714.9</v>
      </c>
      <c r="G24" s="26" t="n">
        <v>15000</v>
      </c>
      <c r="H24" s="26" t="n">
        <v>100000</v>
      </c>
      <c r="I24" s="26" t="n">
        <v>15000</v>
      </c>
      <c r="J24" s="26" t="n">
        <v>35000</v>
      </c>
      <c r="K24" s="26" t="n">
        <v>13390</v>
      </c>
      <c r="L24" s="26" t="n">
        <v>120000</v>
      </c>
      <c r="M24" s="26" t="n">
        <v>15000</v>
      </c>
      <c r="N24" s="26"/>
      <c r="O24" s="26" t="n">
        <v>200000</v>
      </c>
      <c r="P24" s="26"/>
      <c r="Q24" s="27" t="n">
        <f aca="false">SUM(E24:P24)</f>
        <v>650000.27</v>
      </c>
      <c r="R24" s="30" t="n">
        <v>650000</v>
      </c>
      <c r="S24" s="28" t="n">
        <f aca="false">SUM(E24:E24)</f>
        <v>124895.37</v>
      </c>
      <c r="T24" s="4"/>
      <c r="U24" s="28" t="n">
        <f aca="false">SUM($E24:F24)</f>
        <v>136610.27</v>
      </c>
      <c r="V24" s="28" t="n">
        <f aca="false">SUM($E24:G24)</f>
        <v>151610.27</v>
      </c>
      <c r="W24" s="28" t="n">
        <f aca="false">SUM($E24:H24)</f>
        <v>251610.27</v>
      </c>
      <c r="X24" s="28" t="n">
        <f aca="false">SUM($E24:I24)</f>
        <v>266610.27</v>
      </c>
      <c r="Y24" s="28" t="n">
        <f aca="false">SUM($E24:J24)</f>
        <v>301610.27</v>
      </c>
      <c r="Z24" s="28" t="n">
        <f aca="false">SUM($E24:K24)</f>
        <v>315000.27</v>
      </c>
      <c r="AA24" s="28" t="n">
        <f aca="false">SUM($E24:L24)</f>
        <v>435000.27</v>
      </c>
      <c r="AB24" s="28" t="n">
        <f aca="false">SUM($E24:M24)</f>
        <v>450000.27</v>
      </c>
      <c r="AC24" s="28" t="n">
        <f aca="false">SUM($E24:N24)</f>
        <v>450000.27</v>
      </c>
      <c r="AD24" s="28" t="n">
        <f aca="false">SUM($E24:O24)</f>
        <v>650000.27</v>
      </c>
      <c r="AE24" s="28" t="n">
        <f aca="false">SUM($E24:P24)</f>
        <v>650000.27</v>
      </c>
      <c r="AG24" s="29" t="n">
        <v>333276.52</v>
      </c>
      <c r="AI24" s="30" t="n">
        <v>0</v>
      </c>
      <c r="AJ24" s="30" t="n">
        <v>20000</v>
      </c>
      <c r="AK24" s="30" t="n">
        <v>40000</v>
      </c>
      <c r="AL24" s="30" t="n">
        <v>0</v>
      </c>
      <c r="AM24" s="30" t="n">
        <v>220000</v>
      </c>
      <c r="AN24" s="31" t="n">
        <v>0</v>
      </c>
      <c r="AO24" s="29" t="n">
        <f aca="false">SUM(AI24:AN24)</f>
        <v>280000</v>
      </c>
      <c r="AP24" s="32" t="n">
        <f aca="false">SUM(AI24:AN24)+Y24</f>
        <v>581610.27</v>
      </c>
      <c r="AR24" s="33" t="n">
        <f aca="false">AI24+AG24</f>
        <v>333276.52</v>
      </c>
      <c r="AS24" s="30" t="n">
        <f aca="false">AR24+AJ24</f>
        <v>353276.52</v>
      </c>
      <c r="AT24" s="30" t="n">
        <f aca="false">AS24+AK24</f>
        <v>393276.52</v>
      </c>
      <c r="AU24" s="30" t="n">
        <f aca="false">AT24+AL24</f>
        <v>393276.52</v>
      </c>
      <c r="AV24" s="30" t="n">
        <f aca="false">AU24+AM24</f>
        <v>613276.52</v>
      </c>
      <c r="AW24" s="34" t="n">
        <f aca="false">AV24+AN24</f>
        <v>613276.52</v>
      </c>
    </row>
    <row r="25" customFormat="false" ht="15" hidden="false" customHeight="true" outlineLevel="0" collapsed="false">
      <c r="A25" s="23" t="n">
        <v>22</v>
      </c>
      <c r="B25" s="64" t="s">
        <v>58</v>
      </c>
      <c r="C25" s="57" t="s">
        <v>59</v>
      </c>
      <c r="D25" s="25" t="s">
        <v>60</v>
      </c>
      <c r="E25" s="26" t="n">
        <v>67158.97</v>
      </c>
      <c r="F25" s="26"/>
      <c r="G25" s="26" t="n">
        <v>95000</v>
      </c>
      <c r="H25" s="26"/>
      <c r="I25" s="26" t="n">
        <v>85000</v>
      </c>
      <c r="J25" s="26"/>
      <c r="K25" s="26" t="n">
        <v>85000</v>
      </c>
      <c r="L25" s="26"/>
      <c r="M25" s="26" t="n">
        <v>85000</v>
      </c>
      <c r="N25" s="26"/>
      <c r="O25" s="26" t="n">
        <v>82841</v>
      </c>
      <c r="P25" s="26"/>
      <c r="Q25" s="27" t="n">
        <f aca="false">SUM(E25:P25)</f>
        <v>499999.97</v>
      </c>
      <c r="R25" s="30" t="n">
        <v>500000</v>
      </c>
      <c r="S25" s="28" t="n">
        <f aca="false">SUM(E25:E25)</f>
        <v>67158.97</v>
      </c>
      <c r="T25" s="4"/>
      <c r="U25" s="28" t="n">
        <f aca="false">SUM($E25:F25)</f>
        <v>67158.97</v>
      </c>
      <c r="V25" s="28" t="n">
        <f aca="false">SUM($E25:G25)</f>
        <v>162158.97</v>
      </c>
      <c r="W25" s="28" t="n">
        <f aca="false">SUM($E25:H25)</f>
        <v>162158.97</v>
      </c>
      <c r="X25" s="28" t="n">
        <f aca="false">SUM($E25:I25)</f>
        <v>247158.97</v>
      </c>
      <c r="Y25" s="28" t="n">
        <f aca="false">SUM($E25:J25)</f>
        <v>247158.97</v>
      </c>
      <c r="Z25" s="28" t="n">
        <f aca="false">SUM($E25:K25)</f>
        <v>332158.97</v>
      </c>
      <c r="AA25" s="28" t="n">
        <f aca="false">SUM($E25:L25)</f>
        <v>332158.97</v>
      </c>
      <c r="AB25" s="28" t="n">
        <f aca="false">SUM($E25:M25)</f>
        <v>417158.97</v>
      </c>
      <c r="AC25" s="28" t="n">
        <f aca="false">SUM($E25:N25)</f>
        <v>417158.97</v>
      </c>
      <c r="AD25" s="28" t="n">
        <f aca="false">SUM($E25:O25)</f>
        <v>499999.97</v>
      </c>
      <c r="AE25" s="28" t="n">
        <f aca="false">SUM($E25:P25)</f>
        <v>499999.97</v>
      </c>
      <c r="AG25" s="29" t="n">
        <v>307053.13</v>
      </c>
      <c r="AI25" s="30" t="n">
        <v>0</v>
      </c>
      <c r="AJ25" s="30" t="n">
        <v>0</v>
      </c>
      <c r="AK25" s="30" t="n">
        <v>75000</v>
      </c>
      <c r="AL25" s="30" t="n">
        <v>0</v>
      </c>
      <c r="AM25" s="30" t="n">
        <v>75000</v>
      </c>
      <c r="AN25" s="31" t="n">
        <v>0</v>
      </c>
      <c r="AO25" s="29" t="n">
        <f aca="false">SUM(AI25:AN25)</f>
        <v>150000</v>
      </c>
      <c r="AP25" s="32" t="n">
        <f aca="false">SUM(AI25:AN25)+Y25</f>
        <v>397158.97</v>
      </c>
      <c r="AR25" s="33" t="n">
        <f aca="false">AI25+AG25</f>
        <v>307053.13</v>
      </c>
      <c r="AS25" s="30" t="n">
        <f aca="false">AR25+AJ25</f>
        <v>307053.13</v>
      </c>
      <c r="AT25" s="30" t="n">
        <f aca="false">AS25+AK25</f>
        <v>382053.13</v>
      </c>
      <c r="AU25" s="30" t="n">
        <f aca="false">AT25+AL25</f>
        <v>382053.13</v>
      </c>
      <c r="AV25" s="30" t="n">
        <f aca="false">AU25+AM25</f>
        <v>457053.13</v>
      </c>
      <c r="AW25" s="34" t="n">
        <f aca="false">AV25+AN25</f>
        <v>457053.13</v>
      </c>
    </row>
    <row r="26" customFormat="false" ht="15" hidden="false" customHeight="true" outlineLevel="0" collapsed="false">
      <c r="A26" s="23" t="n">
        <v>23</v>
      </c>
      <c r="B26" s="64" t="s">
        <v>61</v>
      </c>
      <c r="C26" s="57" t="s">
        <v>62</v>
      </c>
      <c r="D26" s="25" t="s">
        <v>63</v>
      </c>
      <c r="E26" s="26" t="n">
        <v>15774.92</v>
      </c>
      <c r="F26" s="26"/>
      <c r="G26" s="26" t="n">
        <v>17000</v>
      </c>
      <c r="H26" s="26" t="n">
        <v>10000</v>
      </c>
      <c r="I26" s="26" t="n">
        <v>17000</v>
      </c>
      <c r="J26" s="26" t="n">
        <v>10000</v>
      </c>
      <c r="K26" s="26" t="n">
        <v>17000</v>
      </c>
      <c r="L26" s="26" t="n">
        <v>10000</v>
      </c>
      <c r="M26" s="26" t="n">
        <v>17000</v>
      </c>
      <c r="N26" s="26" t="n">
        <v>9225</v>
      </c>
      <c r="O26" s="26" t="n">
        <v>17000</v>
      </c>
      <c r="P26" s="26"/>
      <c r="Q26" s="27" t="n">
        <f aca="false">SUM(E26:P26)</f>
        <v>139999.92</v>
      </c>
      <c r="R26" s="30" t="n">
        <v>140000</v>
      </c>
      <c r="S26" s="28" t="n">
        <f aca="false">SUM(E26:E26)</f>
        <v>15774.92</v>
      </c>
      <c r="T26" s="4"/>
      <c r="U26" s="28" t="n">
        <f aca="false">SUM($E26:F26)</f>
        <v>15774.92</v>
      </c>
      <c r="V26" s="28" t="n">
        <f aca="false">SUM($E26:G26)</f>
        <v>32774.92</v>
      </c>
      <c r="W26" s="28" t="n">
        <f aca="false">SUM($E26:H26)</f>
        <v>42774.92</v>
      </c>
      <c r="X26" s="28" t="n">
        <f aca="false">SUM($E26:I26)</f>
        <v>59774.92</v>
      </c>
      <c r="Y26" s="28" t="n">
        <f aca="false">SUM($E26:J26)</f>
        <v>69774.92</v>
      </c>
      <c r="Z26" s="28" t="n">
        <f aca="false">SUM($E26:K26)</f>
        <v>86774.92</v>
      </c>
      <c r="AA26" s="28" t="n">
        <f aca="false">SUM($E26:L26)</f>
        <v>96774.92</v>
      </c>
      <c r="AB26" s="28" t="n">
        <f aca="false">SUM($E26:M26)</f>
        <v>113774.92</v>
      </c>
      <c r="AC26" s="28" t="n">
        <f aca="false">SUM($E26:N26)</f>
        <v>122999.92</v>
      </c>
      <c r="AD26" s="28" t="n">
        <f aca="false">SUM($E26:O26)</f>
        <v>139999.92</v>
      </c>
      <c r="AE26" s="28" t="n">
        <f aca="false">SUM($E26:P26)</f>
        <v>139999.92</v>
      </c>
      <c r="AG26" s="29" t="n">
        <v>76678.59</v>
      </c>
      <c r="AI26" s="30" t="n">
        <v>20000</v>
      </c>
      <c r="AJ26" s="30" t="n">
        <v>0</v>
      </c>
      <c r="AK26" s="30" t="n">
        <v>15000</v>
      </c>
      <c r="AL26" s="30" t="n">
        <v>0</v>
      </c>
      <c r="AM26" s="30" t="n">
        <v>20000</v>
      </c>
      <c r="AN26" s="31" t="n">
        <v>0</v>
      </c>
      <c r="AO26" s="29" t="n">
        <f aca="false">SUM(AI26:AN26)</f>
        <v>55000</v>
      </c>
      <c r="AP26" s="32" t="n">
        <f aca="false">SUM(AI26:AN26)+Y26</f>
        <v>124774.92</v>
      </c>
      <c r="AR26" s="33" t="n">
        <f aca="false">AI26+AG26</f>
        <v>96678.59</v>
      </c>
      <c r="AS26" s="30" t="n">
        <f aca="false">AR26+AJ26</f>
        <v>96678.59</v>
      </c>
      <c r="AT26" s="30" t="n">
        <f aca="false">AS26+AK26</f>
        <v>111678.59</v>
      </c>
      <c r="AU26" s="30" t="n">
        <f aca="false">AT26+AL26</f>
        <v>111678.59</v>
      </c>
      <c r="AV26" s="30" t="n">
        <f aca="false">AU26+AM26</f>
        <v>131678.59</v>
      </c>
      <c r="AW26" s="34" t="n">
        <f aca="false">AV26+AN26</f>
        <v>131678.59</v>
      </c>
    </row>
    <row r="27" customFormat="false" ht="15" hidden="false" customHeight="true" outlineLevel="0" collapsed="false">
      <c r="A27" s="23" t="n">
        <v>24</v>
      </c>
      <c r="B27" s="64" t="s">
        <v>64</v>
      </c>
      <c r="C27" s="57" t="s">
        <v>65</v>
      </c>
      <c r="D27" s="25" t="s">
        <v>66</v>
      </c>
      <c r="E27" s="26"/>
      <c r="F27" s="26"/>
      <c r="G27" s="26" t="n">
        <v>5000</v>
      </c>
      <c r="H27" s="26" t="n">
        <v>5000</v>
      </c>
      <c r="I27" s="26" t="n">
        <v>5000</v>
      </c>
      <c r="J27" s="26" t="n">
        <v>5000</v>
      </c>
      <c r="K27" s="26" t="n">
        <v>5000</v>
      </c>
      <c r="L27" s="26" t="n">
        <v>5000</v>
      </c>
      <c r="M27" s="26" t="n">
        <v>5000</v>
      </c>
      <c r="N27" s="26" t="n">
        <v>5000</v>
      </c>
      <c r="O27" s="26" t="n">
        <v>5000</v>
      </c>
      <c r="P27" s="26" t="n">
        <v>5000</v>
      </c>
      <c r="Q27" s="27" t="n">
        <f aca="false">SUM(E27:P27)</f>
        <v>50000</v>
      </c>
      <c r="R27" s="30" t="n">
        <v>50000</v>
      </c>
      <c r="S27" s="28" t="n">
        <f aca="false">SUM(E27:E27)</f>
        <v>0</v>
      </c>
      <c r="T27" s="4"/>
      <c r="U27" s="28" t="n">
        <f aca="false">SUM($E27:F27)</f>
        <v>0</v>
      </c>
      <c r="V27" s="28" t="n">
        <f aca="false">SUM($E27:G27)</f>
        <v>5000</v>
      </c>
      <c r="W27" s="28" t="n">
        <f aca="false">SUM($E27:H27)</f>
        <v>10000</v>
      </c>
      <c r="X27" s="28" t="n">
        <f aca="false">SUM($E27:I27)</f>
        <v>15000</v>
      </c>
      <c r="Y27" s="28" t="n">
        <f aca="false">SUM($E27:J27)</f>
        <v>20000</v>
      </c>
      <c r="Z27" s="28" t="n">
        <f aca="false">SUM($E27:K27)</f>
        <v>25000</v>
      </c>
      <c r="AA27" s="28" t="n">
        <f aca="false">SUM($E27:L27)</f>
        <v>30000</v>
      </c>
      <c r="AB27" s="28" t="n">
        <f aca="false">SUM($E27:M27)</f>
        <v>35000</v>
      </c>
      <c r="AC27" s="28" t="n">
        <f aca="false">SUM($E27:N27)</f>
        <v>40000</v>
      </c>
      <c r="AD27" s="28" t="n">
        <f aca="false">SUM($E27:O27)</f>
        <v>45000</v>
      </c>
      <c r="AE27" s="28" t="n">
        <f aca="false">SUM($E27:P27)</f>
        <v>50000</v>
      </c>
      <c r="AG27" s="29" t="n">
        <v>0</v>
      </c>
      <c r="AI27" s="30" t="n">
        <v>0</v>
      </c>
      <c r="AJ27" s="30" t="n">
        <v>0</v>
      </c>
      <c r="AK27" s="30" t="n">
        <v>0</v>
      </c>
      <c r="AL27" s="30" t="n">
        <v>0</v>
      </c>
      <c r="AM27" s="30" t="n">
        <v>0</v>
      </c>
      <c r="AN27" s="31" t="n">
        <v>0</v>
      </c>
      <c r="AO27" s="29" t="n">
        <f aca="false">SUM(AI27:AN27)</f>
        <v>0</v>
      </c>
      <c r="AP27" s="32" t="n">
        <f aca="false">SUM(AI27:AN27)+Y27</f>
        <v>20000</v>
      </c>
      <c r="AR27" s="33" t="n">
        <f aca="false">AI27+AG27</f>
        <v>0</v>
      </c>
      <c r="AS27" s="30" t="n">
        <f aca="false">AR27+AJ27</f>
        <v>0</v>
      </c>
      <c r="AT27" s="30" t="n">
        <f aca="false">AS27+AK27</f>
        <v>0</v>
      </c>
      <c r="AU27" s="30" t="n">
        <f aca="false">AT27+AL27</f>
        <v>0</v>
      </c>
      <c r="AV27" s="30" t="n">
        <f aca="false">AU27+AM27</f>
        <v>0</v>
      </c>
      <c r="AW27" s="34" t="n">
        <f aca="false">AV27+AN27</f>
        <v>0</v>
      </c>
    </row>
    <row r="28" customFormat="false" ht="15" hidden="false" customHeight="true" outlineLevel="0" collapsed="false">
      <c r="A28" s="23" t="n">
        <v>25</v>
      </c>
      <c r="B28" s="64" t="s">
        <v>67</v>
      </c>
      <c r="C28" s="57" t="s">
        <v>68</v>
      </c>
      <c r="D28" s="25" t="s">
        <v>69</v>
      </c>
      <c r="E28" s="26"/>
      <c r="F28" s="26"/>
      <c r="G28" s="26"/>
      <c r="H28" s="26" t="n">
        <v>150000</v>
      </c>
      <c r="I28" s="26"/>
      <c r="J28" s="26"/>
      <c r="K28" s="26" t="n">
        <v>150000</v>
      </c>
      <c r="L28" s="26"/>
      <c r="M28" s="26"/>
      <c r="N28" s="26"/>
      <c r="O28" s="26" t="n">
        <v>150000</v>
      </c>
      <c r="P28" s="26"/>
      <c r="Q28" s="27" t="n">
        <f aca="false">SUM(E28:P28)</f>
        <v>450000</v>
      </c>
      <c r="R28" s="30" t="n">
        <v>450000</v>
      </c>
      <c r="S28" s="28" t="n">
        <f aca="false">SUM(E28:E28)</f>
        <v>0</v>
      </c>
      <c r="T28" s="4"/>
      <c r="U28" s="28" t="n">
        <f aca="false">SUM($E28:F28)</f>
        <v>0</v>
      </c>
      <c r="V28" s="28" t="n">
        <f aca="false">SUM($E28:G28)</f>
        <v>0</v>
      </c>
      <c r="W28" s="28" t="n">
        <f aca="false">SUM($E28:H28)</f>
        <v>150000</v>
      </c>
      <c r="X28" s="28" t="n">
        <f aca="false">SUM($E28:I28)</f>
        <v>150000</v>
      </c>
      <c r="Y28" s="28" t="n">
        <f aca="false">SUM($E28:J28)</f>
        <v>150000</v>
      </c>
      <c r="Z28" s="28" t="n">
        <f aca="false">SUM($E28:K28)</f>
        <v>300000</v>
      </c>
      <c r="AA28" s="28" t="n">
        <f aca="false">SUM($E28:L28)</f>
        <v>300000</v>
      </c>
      <c r="AB28" s="28" t="n">
        <f aca="false">SUM($E28:M28)</f>
        <v>300000</v>
      </c>
      <c r="AC28" s="28" t="n">
        <f aca="false">SUM($E28:N28)</f>
        <v>300000</v>
      </c>
      <c r="AD28" s="28" t="n">
        <f aca="false">SUM($E28:O28)</f>
        <v>450000</v>
      </c>
      <c r="AE28" s="28" t="n">
        <f aca="false">SUM($E28:P28)</f>
        <v>450000</v>
      </c>
      <c r="AG28" s="29" t="n">
        <v>144147.47</v>
      </c>
      <c r="AI28" s="30" t="n">
        <v>240000</v>
      </c>
      <c r="AJ28" s="30" t="n">
        <v>0</v>
      </c>
      <c r="AK28" s="30" t="n">
        <v>70000</v>
      </c>
      <c r="AL28" s="30" t="n">
        <v>0</v>
      </c>
      <c r="AM28" s="30" t="n">
        <v>70000</v>
      </c>
      <c r="AN28" s="31" t="n">
        <v>0</v>
      </c>
      <c r="AO28" s="29" t="n">
        <f aca="false">SUM(AI28:AN28)</f>
        <v>380000</v>
      </c>
      <c r="AP28" s="32" t="n">
        <f aca="false">SUM(AI28:AN28)+Y28</f>
        <v>530000</v>
      </c>
      <c r="AR28" s="33" t="n">
        <f aca="false">AI28+AG28</f>
        <v>384147.47</v>
      </c>
      <c r="AS28" s="30" t="n">
        <f aca="false">AR28+AJ28</f>
        <v>384147.47</v>
      </c>
      <c r="AT28" s="30" t="n">
        <f aca="false">AS28+AK28</f>
        <v>454147.47</v>
      </c>
      <c r="AU28" s="30" t="n">
        <f aca="false">AT28+AL28</f>
        <v>454147.47</v>
      </c>
      <c r="AV28" s="30" t="n">
        <f aca="false">AU28+AM28</f>
        <v>524147.47</v>
      </c>
      <c r="AW28" s="34" t="n">
        <f aca="false">AV28+AN28</f>
        <v>524147.47</v>
      </c>
    </row>
    <row r="29" customFormat="false" ht="15" hidden="false" customHeight="true" outlineLevel="0" collapsed="false">
      <c r="A29" s="23" t="n">
        <v>26</v>
      </c>
      <c r="B29" s="64" t="s">
        <v>70</v>
      </c>
      <c r="C29" s="57" t="s">
        <v>71</v>
      </c>
      <c r="D29" s="25" t="s">
        <v>72</v>
      </c>
      <c r="E29" s="26"/>
      <c r="F29" s="26" t="n">
        <v>40000</v>
      </c>
      <c r="G29" s="26"/>
      <c r="H29" s="26" t="n">
        <v>40000</v>
      </c>
      <c r="I29" s="26"/>
      <c r="J29" s="26" t="n">
        <v>40000</v>
      </c>
      <c r="K29" s="26"/>
      <c r="L29" s="26" t="n">
        <v>40000</v>
      </c>
      <c r="M29" s="26"/>
      <c r="N29" s="26"/>
      <c r="O29" s="26" t="n">
        <v>40000</v>
      </c>
      <c r="P29" s="26"/>
      <c r="Q29" s="27" t="n">
        <f aca="false">SUM(E29:P29)</f>
        <v>200000</v>
      </c>
      <c r="R29" s="30" t="n">
        <v>200000</v>
      </c>
      <c r="S29" s="28" t="n">
        <f aca="false">SUM(E29:E29)</f>
        <v>0</v>
      </c>
      <c r="T29" s="4" t="n">
        <f aca="false">R29-Q29</f>
        <v>0</v>
      </c>
      <c r="U29" s="28" t="n">
        <f aca="false">SUM($E29:F29)</f>
        <v>40000</v>
      </c>
      <c r="V29" s="28" t="n">
        <f aca="false">SUM($E29:G29)</f>
        <v>40000</v>
      </c>
      <c r="W29" s="28" t="n">
        <f aca="false">SUM($E29:H29)</f>
        <v>80000</v>
      </c>
      <c r="X29" s="28" t="n">
        <f aca="false">SUM($E29:I29)</f>
        <v>80000</v>
      </c>
      <c r="Y29" s="28" t="n">
        <f aca="false">SUM($E29:J29)</f>
        <v>120000</v>
      </c>
      <c r="Z29" s="28" t="n">
        <f aca="false">SUM($E29:K29)</f>
        <v>120000</v>
      </c>
      <c r="AA29" s="28" t="n">
        <f aca="false">SUM($E29:L29)</f>
        <v>160000</v>
      </c>
      <c r="AB29" s="28" t="n">
        <f aca="false">SUM($E29:M29)</f>
        <v>160000</v>
      </c>
      <c r="AC29" s="28" t="n">
        <f aca="false">SUM($E29:N29)</f>
        <v>160000</v>
      </c>
      <c r="AD29" s="28" t="n">
        <f aca="false">SUM($E29:O29)</f>
        <v>200000</v>
      </c>
      <c r="AE29" s="28" t="n">
        <f aca="false">SUM($E29:P29)</f>
        <v>200000</v>
      </c>
      <c r="AG29" s="29" t="n">
        <v>60694.01</v>
      </c>
      <c r="AI29" s="30" t="n">
        <v>0</v>
      </c>
      <c r="AJ29" s="30" t="n">
        <v>0</v>
      </c>
      <c r="AK29" s="30" t="n">
        <v>20000</v>
      </c>
      <c r="AL29" s="30" t="n">
        <v>0</v>
      </c>
      <c r="AM29" s="30" t="n">
        <v>20000</v>
      </c>
      <c r="AN29" s="31" t="n">
        <v>0</v>
      </c>
      <c r="AO29" s="29" t="n">
        <f aca="false">SUM(AI29:AN29)</f>
        <v>40000</v>
      </c>
      <c r="AP29" s="32" t="n">
        <f aca="false">SUM(AI29:AN29)+Y29</f>
        <v>160000</v>
      </c>
      <c r="AR29" s="33" t="n">
        <f aca="false">AI29+AG29</f>
        <v>60694.01</v>
      </c>
      <c r="AS29" s="30" t="n">
        <f aca="false">AR29+AJ29</f>
        <v>60694.01</v>
      </c>
      <c r="AT29" s="30" t="n">
        <f aca="false">AS29+AK29</f>
        <v>80694.01</v>
      </c>
      <c r="AU29" s="30" t="n">
        <f aca="false">AT29+AL29</f>
        <v>80694.01</v>
      </c>
      <c r="AV29" s="30" t="n">
        <f aca="false">AU29+AM29</f>
        <v>100694.01</v>
      </c>
      <c r="AW29" s="34" t="n">
        <f aca="false">AV29+AN29</f>
        <v>100694.01</v>
      </c>
    </row>
    <row r="30" customFormat="false" ht="15" hidden="false" customHeight="true" outlineLevel="0" collapsed="false">
      <c r="A30" s="23" t="n">
        <v>27</v>
      </c>
      <c r="B30" s="64" t="s">
        <v>73</v>
      </c>
      <c r="C30" s="57" t="s">
        <v>74</v>
      </c>
      <c r="D30" s="25" t="s">
        <v>75</v>
      </c>
      <c r="E30" s="26"/>
      <c r="F30" s="26"/>
      <c r="G30" s="26"/>
      <c r="H30" s="26"/>
      <c r="I30" s="26"/>
      <c r="J30" s="26"/>
      <c r="K30" s="26"/>
      <c r="L30" s="26" t="n">
        <v>250000</v>
      </c>
      <c r="M30" s="26"/>
      <c r="N30" s="26"/>
      <c r="O30" s="26"/>
      <c r="P30" s="26"/>
      <c r="Q30" s="27" t="n">
        <f aca="false">SUM(E30:P30)</f>
        <v>250000</v>
      </c>
      <c r="R30" s="30" t="n">
        <v>250000</v>
      </c>
      <c r="S30" s="28" t="n">
        <f aca="false">SUM(E30:E30)</f>
        <v>0</v>
      </c>
      <c r="T30" s="4" t="n">
        <f aca="false">R30-Q30</f>
        <v>0</v>
      </c>
      <c r="U30" s="28" t="n">
        <f aca="false">SUM($E30:F30)</f>
        <v>0</v>
      </c>
      <c r="V30" s="28" t="n">
        <f aca="false">SUM($E30:G30)</f>
        <v>0</v>
      </c>
      <c r="W30" s="28" t="n">
        <f aca="false">SUM($E30:H30)</f>
        <v>0</v>
      </c>
      <c r="X30" s="28" t="n">
        <f aca="false">SUM($E30:I30)</f>
        <v>0</v>
      </c>
      <c r="Y30" s="28" t="n">
        <f aca="false">SUM($E30:J30)</f>
        <v>0</v>
      </c>
      <c r="Z30" s="28" t="n">
        <f aca="false">SUM($E30:K30)</f>
        <v>0</v>
      </c>
      <c r="AA30" s="28" t="n">
        <f aca="false">SUM($E30:L30)</f>
        <v>250000</v>
      </c>
      <c r="AB30" s="28" t="n">
        <f aca="false">SUM($E30:M30)</f>
        <v>250000</v>
      </c>
      <c r="AC30" s="28" t="n">
        <f aca="false">SUM($E30:N30)</f>
        <v>250000</v>
      </c>
      <c r="AD30" s="28" t="n">
        <f aca="false">SUM($E30:O30)</f>
        <v>250000</v>
      </c>
      <c r="AE30" s="28" t="n">
        <f aca="false">SUM($E30:P30)</f>
        <v>250000</v>
      </c>
      <c r="AG30" s="29" t="n">
        <v>0</v>
      </c>
      <c r="AI30" s="30" t="n">
        <v>0</v>
      </c>
      <c r="AJ30" s="30" t="n">
        <v>0</v>
      </c>
      <c r="AK30" s="30" t="n">
        <v>150000</v>
      </c>
      <c r="AL30" s="30" t="n">
        <v>100000</v>
      </c>
      <c r="AM30" s="30" t="n">
        <v>0</v>
      </c>
      <c r="AN30" s="31" t="n">
        <v>0</v>
      </c>
      <c r="AO30" s="29" t="n">
        <f aca="false">SUM(AI30:AN30)</f>
        <v>250000</v>
      </c>
      <c r="AP30" s="32" t="n">
        <f aca="false">SUM(AI30:AN30)+Y30</f>
        <v>250000</v>
      </c>
      <c r="AR30" s="33" t="n">
        <f aca="false">AI30+AG30</f>
        <v>0</v>
      </c>
      <c r="AS30" s="30" t="n">
        <f aca="false">AR30+AJ30</f>
        <v>0</v>
      </c>
      <c r="AT30" s="30" t="n">
        <f aca="false">AS30+AK30</f>
        <v>150000</v>
      </c>
      <c r="AU30" s="30" t="n">
        <f aca="false">AT30+AL30</f>
        <v>250000</v>
      </c>
      <c r="AV30" s="30" t="n">
        <f aca="false">AU30+AM30</f>
        <v>250000</v>
      </c>
      <c r="AW30" s="34" t="n">
        <f aca="false">AV30+AN30</f>
        <v>250000</v>
      </c>
    </row>
    <row r="31" customFormat="false" ht="15" hidden="false" customHeight="true" outlineLevel="0" collapsed="false">
      <c r="A31" s="23" t="n">
        <v>28</v>
      </c>
      <c r="B31" s="64" t="s">
        <v>76</v>
      </c>
      <c r="C31" s="57" t="s">
        <v>77</v>
      </c>
      <c r="D31" s="25" t="s">
        <v>78</v>
      </c>
      <c r="E31" s="26" t="n">
        <v>27429.74</v>
      </c>
      <c r="F31" s="26" t="n">
        <f aca="false">6735*3.7</f>
        <v>24919.5</v>
      </c>
      <c r="G31" s="26" t="n">
        <f aca="false">(450000-$E$31-$F$31)/10</f>
        <v>39765.076</v>
      </c>
      <c r="H31" s="26" t="n">
        <f aca="false">(450000-$E$31-$F$31)/10</f>
        <v>39765.076</v>
      </c>
      <c r="I31" s="26" t="n">
        <f aca="false">(450000-$E$31-$F$31)/10</f>
        <v>39765.076</v>
      </c>
      <c r="J31" s="26" t="n">
        <f aca="false">(450000-$E$31-$F$31)/10</f>
        <v>39765.076</v>
      </c>
      <c r="K31" s="26" t="n">
        <f aca="false">(450000-$E$31-$F$31)/10</f>
        <v>39765.076</v>
      </c>
      <c r="L31" s="26" t="n">
        <f aca="false">(450000-$E$31-$F$31)/10</f>
        <v>39765.076</v>
      </c>
      <c r="M31" s="26" t="n">
        <f aca="false">(450000-$E$31-$F$31)/10</f>
        <v>39765.076</v>
      </c>
      <c r="N31" s="26" t="n">
        <f aca="false">(450000-$E$31-$F$31)/10</f>
        <v>39765.076</v>
      </c>
      <c r="O31" s="26" t="n">
        <f aca="false">(450000-$E$31-$F$31)/10</f>
        <v>39765.076</v>
      </c>
      <c r="P31" s="26" t="n">
        <f aca="false">(450000-$E$31-$F$31)/10</f>
        <v>39765.076</v>
      </c>
      <c r="Q31" s="27" t="n">
        <f aca="false">SUM(E31:P31)</f>
        <v>450000</v>
      </c>
      <c r="R31" s="30" t="n">
        <v>450000</v>
      </c>
      <c r="S31" s="28" t="n">
        <f aca="false">SUM(E31:E31)</f>
        <v>27429.74</v>
      </c>
      <c r="T31" s="4" t="n">
        <f aca="false">R31-Q31</f>
        <v>0</v>
      </c>
      <c r="U31" s="28" t="n">
        <f aca="false">SUM($E31:F31)</f>
        <v>52349.24</v>
      </c>
      <c r="V31" s="28" t="n">
        <f aca="false">SUM($E31:G31)</f>
        <v>92114.316</v>
      </c>
      <c r="W31" s="28" t="n">
        <f aca="false">SUM($E31:H31)</f>
        <v>131879.392</v>
      </c>
      <c r="X31" s="28" t="n">
        <f aca="false">SUM($E31:I31)</f>
        <v>171644.468</v>
      </c>
      <c r="Y31" s="28" t="n">
        <f aca="false">SUM($E31:J31)</f>
        <v>211409.544</v>
      </c>
      <c r="Z31" s="28" t="n">
        <f aca="false">SUM($E31:K31)</f>
        <v>251174.62</v>
      </c>
      <c r="AA31" s="28" t="n">
        <f aca="false">SUM($E31:L31)</f>
        <v>290939.696</v>
      </c>
      <c r="AB31" s="28" t="n">
        <f aca="false">SUM($E31:M31)</f>
        <v>330704.772</v>
      </c>
      <c r="AC31" s="28" t="n">
        <f aca="false">SUM($E31:N31)</f>
        <v>370469.848</v>
      </c>
      <c r="AD31" s="28" t="n">
        <f aca="false">SUM($E31:O31)</f>
        <v>410234.924</v>
      </c>
      <c r="AE31" s="28" t="n">
        <f aca="false">SUM($E31:P31)</f>
        <v>450000</v>
      </c>
      <c r="AG31" s="29" t="n">
        <v>203207.09</v>
      </c>
      <c r="AI31" s="30" t="n">
        <v>40000</v>
      </c>
      <c r="AJ31" s="30" t="n">
        <v>20000</v>
      </c>
      <c r="AK31" s="30" t="n">
        <v>40000</v>
      </c>
      <c r="AL31" s="30" t="n">
        <v>20000</v>
      </c>
      <c r="AM31" s="30" t="n">
        <v>40000</v>
      </c>
      <c r="AN31" s="31" t="n">
        <v>15000</v>
      </c>
      <c r="AO31" s="29" t="n">
        <f aca="false">SUM(AI31:AN31)</f>
        <v>175000</v>
      </c>
      <c r="AP31" s="32" t="n">
        <f aca="false">SUM(AI31:AN31)+Y31</f>
        <v>386409.544</v>
      </c>
      <c r="AR31" s="33" t="n">
        <f aca="false">AI31+AG31</f>
        <v>243207.09</v>
      </c>
      <c r="AS31" s="30" t="n">
        <f aca="false">AR31+AJ31</f>
        <v>263207.09</v>
      </c>
      <c r="AT31" s="30" t="n">
        <f aca="false">AS31+AK31</f>
        <v>303207.09</v>
      </c>
      <c r="AU31" s="30" t="n">
        <f aca="false">AT31+AL31</f>
        <v>323207.09</v>
      </c>
      <c r="AV31" s="30" t="n">
        <f aca="false">AU31+AM31</f>
        <v>363207.09</v>
      </c>
      <c r="AW31" s="34" t="n">
        <f aca="false">AV31+AN31</f>
        <v>378207.09</v>
      </c>
    </row>
    <row r="32" customFormat="false" ht="15" hidden="false" customHeight="true" outlineLevel="0" collapsed="false">
      <c r="A32" s="23" t="n">
        <v>29</v>
      </c>
      <c r="B32" s="64" t="s">
        <v>79</v>
      </c>
      <c r="C32" s="57" t="s">
        <v>80</v>
      </c>
      <c r="D32" s="25" t="s">
        <v>81</v>
      </c>
      <c r="E32" s="26"/>
      <c r="F32" s="26"/>
      <c r="G32" s="26"/>
      <c r="H32" s="26" t="n">
        <v>35000</v>
      </c>
      <c r="I32" s="26"/>
      <c r="J32" s="26"/>
      <c r="K32" s="26"/>
      <c r="L32" s="26"/>
      <c r="M32" s="26"/>
      <c r="N32" s="26" t="n">
        <v>35000</v>
      </c>
      <c r="O32" s="26"/>
      <c r="P32" s="26"/>
      <c r="Q32" s="27" t="n">
        <f aca="false">SUM(E32:P32)</f>
        <v>70000</v>
      </c>
      <c r="R32" s="30" t="n">
        <v>70000</v>
      </c>
      <c r="S32" s="28" t="n">
        <f aca="false">SUM(E32:E32)</f>
        <v>0</v>
      </c>
      <c r="T32" s="4" t="n">
        <f aca="false">R32-Q32</f>
        <v>0</v>
      </c>
      <c r="U32" s="28" t="n">
        <f aca="false">SUM($E32:F32)</f>
        <v>0</v>
      </c>
      <c r="V32" s="28" t="n">
        <f aca="false">SUM($E32:G32)</f>
        <v>0</v>
      </c>
      <c r="W32" s="28" t="n">
        <f aca="false">SUM($E32:H32)</f>
        <v>35000</v>
      </c>
      <c r="X32" s="28" t="n">
        <f aca="false">SUM($E32:I32)</f>
        <v>35000</v>
      </c>
      <c r="Y32" s="28" t="n">
        <f aca="false">SUM($E32:J32)</f>
        <v>35000</v>
      </c>
      <c r="Z32" s="28" t="n">
        <f aca="false">SUM($E32:K32)</f>
        <v>35000</v>
      </c>
      <c r="AA32" s="28" t="n">
        <f aca="false">SUM($E32:L32)</f>
        <v>35000</v>
      </c>
      <c r="AB32" s="28" t="n">
        <f aca="false">SUM($E32:M32)</f>
        <v>35000</v>
      </c>
      <c r="AC32" s="28" t="n">
        <f aca="false">SUM($E32:N32)</f>
        <v>70000</v>
      </c>
      <c r="AD32" s="28" t="n">
        <f aca="false">SUM($E32:O32)</f>
        <v>70000</v>
      </c>
      <c r="AE32" s="28" t="n">
        <f aca="false">SUM($E32:P32)</f>
        <v>70000</v>
      </c>
      <c r="AG32" s="29" t="n">
        <v>43116.44</v>
      </c>
      <c r="AI32" s="30" t="n">
        <v>0</v>
      </c>
      <c r="AJ32" s="30" t="n">
        <v>0</v>
      </c>
      <c r="AK32" s="30" t="n">
        <v>0</v>
      </c>
      <c r="AL32" s="30" t="n">
        <v>30000</v>
      </c>
      <c r="AM32" s="30" t="n">
        <v>0</v>
      </c>
      <c r="AN32" s="31" t="n">
        <v>0</v>
      </c>
      <c r="AO32" s="29" t="n">
        <f aca="false">SUM(AI32:AN32)</f>
        <v>30000</v>
      </c>
      <c r="AP32" s="32" t="n">
        <f aca="false">SUM(AI32:AN32)+Y32</f>
        <v>65000</v>
      </c>
      <c r="AR32" s="33" t="n">
        <f aca="false">AI32+AG32</f>
        <v>43116.44</v>
      </c>
      <c r="AS32" s="30" t="n">
        <f aca="false">AR32+AJ32</f>
        <v>43116.44</v>
      </c>
      <c r="AT32" s="30" t="n">
        <f aca="false">AS32+AK32</f>
        <v>43116.44</v>
      </c>
      <c r="AU32" s="30" t="n">
        <f aca="false">AT32+AL32</f>
        <v>73116.44</v>
      </c>
      <c r="AV32" s="30" t="n">
        <f aca="false">AU32+AM32</f>
        <v>73116.44</v>
      </c>
      <c r="AW32" s="34" t="n">
        <f aca="false">AV32+AN32</f>
        <v>73116.44</v>
      </c>
    </row>
    <row r="33" customFormat="false" ht="15" hidden="false" customHeight="true" outlineLevel="0" collapsed="false">
      <c r="A33" s="23" t="n">
        <v>30</v>
      </c>
      <c r="B33" s="64" t="s">
        <v>82</v>
      </c>
      <c r="C33" s="57" t="s">
        <v>83</v>
      </c>
      <c r="D33" s="25" t="s">
        <v>81</v>
      </c>
      <c r="E33" s="26"/>
      <c r="F33" s="26"/>
      <c r="G33" s="26" t="n">
        <v>20000</v>
      </c>
      <c r="H33" s="26"/>
      <c r="I33" s="26"/>
      <c r="J33" s="26"/>
      <c r="K33" s="26" t="n">
        <v>20000</v>
      </c>
      <c r="L33" s="26"/>
      <c r="M33" s="26"/>
      <c r="N33" s="26"/>
      <c r="O33" s="26" t="n">
        <f aca="false">20000-207</f>
        <v>19793</v>
      </c>
      <c r="P33" s="26"/>
      <c r="Q33" s="27" t="n">
        <f aca="false">SUM(E33:P33)</f>
        <v>59793</v>
      </c>
      <c r="R33" s="30" t="n">
        <v>59793.3</v>
      </c>
      <c r="S33" s="28" t="n">
        <f aca="false">SUM(E33:E33)</f>
        <v>0</v>
      </c>
      <c r="T33" s="4" t="n">
        <f aca="false">R33-Q33</f>
        <v>0.30000000000291</v>
      </c>
      <c r="U33" s="28" t="n">
        <f aca="false">SUM($E33:F33)</f>
        <v>0</v>
      </c>
      <c r="V33" s="28" t="n">
        <f aca="false">SUM($E33:G33)</f>
        <v>20000</v>
      </c>
      <c r="W33" s="28" t="n">
        <f aca="false">SUM($E33:H33)</f>
        <v>20000</v>
      </c>
      <c r="X33" s="28" t="n">
        <f aca="false">SUM($E33:I33)</f>
        <v>20000</v>
      </c>
      <c r="Y33" s="28" t="n">
        <f aca="false">SUM($E33:J33)</f>
        <v>20000</v>
      </c>
      <c r="Z33" s="28" t="n">
        <f aca="false">SUM($E33:K33)</f>
        <v>40000</v>
      </c>
      <c r="AA33" s="28" t="n">
        <f aca="false">SUM($E33:L33)</f>
        <v>40000</v>
      </c>
      <c r="AB33" s="28" t="n">
        <f aca="false">SUM($E33:M33)</f>
        <v>40000</v>
      </c>
      <c r="AC33" s="28" t="n">
        <f aca="false">SUM($E33:N33)</f>
        <v>40000</v>
      </c>
      <c r="AD33" s="28" t="n">
        <f aca="false">SUM($E33:O33)</f>
        <v>59793</v>
      </c>
      <c r="AE33" s="28" t="n">
        <f aca="false">SUM($E33:P33)</f>
        <v>59793</v>
      </c>
      <c r="AG33" s="29" t="n">
        <v>17809.5</v>
      </c>
      <c r="AI33" s="30" t="n">
        <v>0</v>
      </c>
      <c r="AJ33" s="30" t="n">
        <v>0</v>
      </c>
      <c r="AK33" s="30" t="n">
        <v>25000</v>
      </c>
      <c r="AL33" s="30" t="n">
        <v>0</v>
      </c>
      <c r="AM33" s="30" t="n">
        <v>0</v>
      </c>
      <c r="AN33" s="31" t="n">
        <v>0</v>
      </c>
      <c r="AO33" s="29" t="n">
        <f aca="false">SUM(AI33:AN33)</f>
        <v>25000</v>
      </c>
      <c r="AP33" s="32" t="n">
        <f aca="false">SUM(AI33:AN33)+Y33</f>
        <v>45000</v>
      </c>
      <c r="AR33" s="33" t="n">
        <f aca="false">AI33+AG33</f>
        <v>17809.5</v>
      </c>
      <c r="AS33" s="30" t="n">
        <f aca="false">AR33+AJ33</f>
        <v>17809.5</v>
      </c>
      <c r="AT33" s="30" t="n">
        <f aca="false">AS33+AK33</f>
        <v>42809.5</v>
      </c>
      <c r="AU33" s="30" t="n">
        <f aca="false">AT33+AL33</f>
        <v>42809.5</v>
      </c>
      <c r="AV33" s="30" t="n">
        <f aca="false">AU33+AM33</f>
        <v>42809.5</v>
      </c>
      <c r="AW33" s="34" t="n">
        <f aca="false">AV33+AN33</f>
        <v>42809.5</v>
      </c>
    </row>
    <row r="34" customFormat="false" ht="15" hidden="false" customHeight="true" outlineLevel="0" collapsed="false">
      <c r="A34" s="23" t="n">
        <v>31</v>
      </c>
      <c r="B34" s="64" t="s">
        <v>84</v>
      </c>
      <c r="C34" s="57" t="s">
        <v>85</v>
      </c>
      <c r="D34" s="25" t="s">
        <v>86</v>
      </c>
      <c r="E34" s="26"/>
      <c r="F34" s="26"/>
      <c r="G34" s="26" t="n">
        <v>18000</v>
      </c>
      <c r="H34" s="26"/>
      <c r="I34" s="26"/>
      <c r="J34" s="26"/>
      <c r="K34" s="26" t="n">
        <v>18000</v>
      </c>
      <c r="L34" s="26"/>
      <c r="M34" s="26" t="n">
        <f aca="false">85000-18000*2</f>
        <v>49000</v>
      </c>
      <c r="N34" s="26"/>
      <c r="O34" s="26"/>
      <c r="P34" s="26"/>
      <c r="Q34" s="27" t="n">
        <f aca="false">SUM(E34:P34)</f>
        <v>85000</v>
      </c>
      <c r="R34" s="30" t="n">
        <v>85000</v>
      </c>
      <c r="S34" s="28" t="n">
        <f aca="false">SUM(E34:E34)</f>
        <v>0</v>
      </c>
      <c r="T34" s="4" t="n">
        <f aca="false">R34-Q34</f>
        <v>0</v>
      </c>
      <c r="U34" s="28" t="n">
        <f aca="false">SUM($E34:F34)</f>
        <v>0</v>
      </c>
      <c r="V34" s="28" t="n">
        <f aca="false">SUM($E34:G34)</f>
        <v>18000</v>
      </c>
      <c r="W34" s="28" t="n">
        <f aca="false">SUM($E34:H34)</f>
        <v>18000</v>
      </c>
      <c r="X34" s="28" t="n">
        <f aca="false">SUM($E34:I34)</f>
        <v>18000</v>
      </c>
      <c r="Y34" s="28" t="n">
        <f aca="false">SUM($E34:J34)</f>
        <v>18000</v>
      </c>
      <c r="Z34" s="28" t="n">
        <f aca="false">SUM($E34:K34)</f>
        <v>36000</v>
      </c>
      <c r="AA34" s="28" t="n">
        <f aca="false">SUM($E34:L34)</f>
        <v>36000</v>
      </c>
      <c r="AB34" s="28" t="n">
        <f aca="false">SUM($E34:M34)</f>
        <v>85000</v>
      </c>
      <c r="AC34" s="28" t="n">
        <f aca="false">SUM($E34:N34)</f>
        <v>85000</v>
      </c>
      <c r="AD34" s="28" t="n">
        <f aca="false">SUM($E34:O34)</f>
        <v>85000</v>
      </c>
      <c r="AE34" s="28" t="n">
        <f aca="false">SUM($E34:P34)</f>
        <v>85000</v>
      </c>
      <c r="AG34" s="29" t="n">
        <v>0</v>
      </c>
      <c r="AI34" s="30" t="n">
        <v>0</v>
      </c>
      <c r="AJ34" s="30" t="n">
        <v>0</v>
      </c>
      <c r="AK34" s="30" t="n">
        <v>17500</v>
      </c>
      <c r="AL34" s="30" t="n">
        <v>0</v>
      </c>
      <c r="AM34" s="30" t="n">
        <v>0</v>
      </c>
      <c r="AN34" s="31" t="n">
        <v>0</v>
      </c>
      <c r="AO34" s="29" t="n">
        <f aca="false">SUM(AI34:AN34)</f>
        <v>17500</v>
      </c>
      <c r="AP34" s="32" t="n">
        <f aca="false">SUM(AI34:AN34)+Y34</f>
        <v>35500</v>
      </c>
      <c r="AR34" s="33" t="n">
        <f aca="false">AI34+AG34</f>
        <v>0</v>
      </c>
      <c r="AS34" s="30" t="n">
        <f aca="false">AR34+AJ34</f>
        <v>0</v>
      </c>
      <c r="AT34" s="30" t="n">
        <f aca="false">AS34+AK34</f>
        <v>17500</v>
      </c>
      <c r="AU34" s="30" t="n">
        <f aca="false">AT34+AL34</f>
        <v>17500</v>
      </c>
      <c r="AV34" s="30" t="n">
        <f aca="false">AU34+AM34</f>
        <v>17500</v>
      </c>
      <c r="AW34" s="34" t="n">
        <f aca="false">AV34+AN34</f>
        <v>17500</v>
      </c>
    </row>
    <row r="35" customFormat="false" ht="15" hidden="false" customHeight="true" outlineLevel="0" collapsed="false">
      <c r="A35" s="23" t="n">
        <v>32</v>
      </c>
      <c r="B35" s="64" t="s">
        <v>87</v>
      </c>
      <c r="C35" s="57" t="s">
        <v>88</v>
      </c>
      <c r="D35" s="25" t="s">
        <v>89</v>
      </c>
      <c r="E35" s="26" t="n">
        <v>18792.66</v>
      </c>
      <c r="F35" s="26"/>
      <c r="G35" s="26"/>
      <c r="H35" s="26"/>
      <c r="I35" s="26" t="n">
        <f aca="false">40000-E35</f>
        <v>21207.34</v>
      </c>
      <c r="J35" s="26"/>
      <c r="K35" s="26"/>
      <c r="L35" s="26"/>
      <c r="M35" s="26"/>
      <c r="N35" s="26"/>
      <c r="O35" s="26"/>
      <c r="P35" s="26"/>
      <c r="Q35" s="27" t="n">
        <f aca="false">SUM(E35:P35)</f>
        <v>40000</v>
      </c>
      <c r="R35" s="30" t="n">
        <v>40000</v>
      </c>
      <c r="S35" s="28" t="n">
        <f aca="false">SUM(E35:E35)</f>
        <v>18792.66</v>
      </c>
      <c r="T35" s="4" t="n">
        <f aca="false">R35-Q35</f>
        <v>0</v>
      </c>
      <c r="U35" s="28" t="n">
        <f aca="false">SUM($E35:F35)</f>
        <v>18792.66</v>
      </c>
      <c r="V35" s="28" t="n">
        <f aca="false">SUM($E35:G35)</f>
        <v>18792.66</v>
      </c>
      <c r="W35" s="28" t="n">
        <f aca="false">SUM($E35:H35)</f>
        <v>18792.66</v>
      </c>
      <c r="X35" s="28" t="n">
        <f aca="false">SUM($E35:I35)</f>
        <v>40000</v>
      </c>
      <c r="Y35" s="28" t="n">
        <f aca="false">SUM($E35:J35)</f>
        <v>40000</v>
      </c>
      <c r="Z35" s="28" t="n">
        <f aca="false">SUM($E35:K35)</f>
        <v>40000</v>
      </c>
      <c r="AA35" s="28" t="n">
        <f aca="false">SUM($E35:L35)</f>
        <v>40000</v>
      </c>
      <c r="AB35" s="28" t="n">
        <f aca="false">SUM($E35:M35)</f>
        <v>40000</v>
      </c>
      <c r="AC35" s="28" t="n">
        <f aca="false">SUM($E35:N35)</f>
        <v>40000</v>
      </c>
      <c r="AD35" s="28" t="n">
        <f aca="false">SUM($E35:O35)</f>
        <v>40000</v>
      </c>
      <c r="AE35" s="28" t="n">
        <f aca="false">SUM($E35:P35)</f>
        <v>40000</v>
      </c>
      <c r="AG35" s="29" t="n">
        <v>18792.66</v>
      </c>
      <c r="AI35" s="30" t="n">
        <v>0</v>
      </c>
      <c r="AJ35" s="30" t="n">
        <v>20000</v>
      </c>
      <c r="AK35" s="30" t="n">
        <v>0</v>
      </c>
      <c r="AL35" s="30" t="n">
        <v>0</v>
      </c>
      <c r="AM35" s="30" t="n">
        <v>0</v>
      </c>
      <c r="AN35" s="31" t="n">
        <v>0</v>
      </c>
      <c r="AO35" s="29" t="n">
        <f aca="false">SUM(AI35:AN35)</f>
        <v>20000</v>
      </c>
      <c r="AP35" s="32" t="n">
        <f aca="false">SUM(AI35:AN35)+Y35</f>
        <v>60000</v>
      </c>
      <c r="AR35" s="33" t="n">
        <f aca="false">AI35+AG35</f>
        <v>18792.66</v>
      </c>
      <c r="AS35" s="30" t="n">
        <f aca="false">AR35+AJ35</f>
        <v>38792.66</v>
      </c>
      <c r="AT35" s="30" t="n">
        <f aca="false">AS35+AK35</f>
        <v>38792.66</v>
      </c>
      <c r="AU35" s="30" t="n">
        <f aca="false">AT35+AL35</f>
        <v>38792.66</v>
      </c>
      <c r="AV35" s="30" t="n">
        <f aca="false">AU35+AM35</f>
        <v>38792.66</v>
      </c>
      <c r="AW35" s="34" t="n">
        <f aca="false">AV35+AN35</f>
        <v>38792.66</v>
      </c>
    </row>
    <row r="36" customFormat="false" ht="15" hidden="false" customHeight="true" outlineLevel="0" collapsed="false">
      <c r="A36" s="23" t="n">
        <v>33</v>
      </c>
      <c r="B36" s="64" t="s">
        <v>90</v>
      </c>
      <c r="C36" s="57" t="s">
        <v>91</v>
      </c>
      <c r="D36" s="25" t="s">
        <v>92</v>
      </c>
      <c r="E36" s="26"/>
      <c r="F36" s="26"/>
      <c r="G36" s="26"/>
      <c r="H36" s="26"/>
      <c r="I36" s="26" t="n">
        <v>40000</v>
      </c>
      <c r="J36" s="26"/>
      <c r="K36" s="26"/>
      <c r="L36" s="26"/>
      <c r="M36" s="26"/>
      <c r="N36" s="26"/>
      <c r="O36" s="26" t="n">
        <v>40000</v>
      </c>
      <c r="P36" s="26"/>
      <c r="Q36" s="27" t="n">
        <f aca="false">SUM(E36:P36)</f>
        <v>80000</v>
      </c>
      <c r="R36" s="30" t="n">
        <v>80000</v>
      </c>
      <c r="S36" s="28" t="n">
        <f aca="false">SUM(E36:E36)</f>
        <v>0</v>
      </c>
      <c r="T36" s="4" t="n">
        <f aca="false">R36-Q36</f>
        <v>0</v>
      </c>
      <c r="U36" s="28" t="n">
        <f aca="false">SUM($E36:F36)</f>
        <v>0</v>
      </c>
      <c r="V36" s="28" t="n">
        <f aca="false">SUM($E36:G36)</f>
        <v>0</v>
      </c>
      <c r="W36" s="28" t="n">
        <f aca="false">SUM($E36:H36)</f>
        <v>0</v>
      </c>
      <c r="X36" s="28" t="n">
        <f aca="false">SUM($E36:I36)</f>
        <v>40000</v>
      </c>
      <c r="Y36" s="28" t="n">
        <f aca="false">SUM($E36:J36)</f>
        <v>40000</v>
      </c>
      <c r="Z36" s="28" t="n">
        <f aca="false">SUM($E36:K36)</f>
        <v>40000</v>
      </c>
      <c r="AA36" s="28" t="n">
        <f aca="false">SUM($E36:L36)</f>
        <v>40000</v>
      </c>
      <c r="AB36" s="28" t="n">
        <f aca="false">SUM($E36:M36)</f>
        <v>40000</v>
      </c>
      <c r="AC36" s="28" t="n">
        <f aca="false">SUM($E36:N36)</f>
        <v>40000</v>
      </c>
      <c r="AD36" s="28" t="n">
        <f aca="false">SUM($E36:O36)</f>
        <v>80000</v>
      </c>
      <c r="AE36" s="28" t="n">
        <f aca="false">SUM($E36:P36)</f>
        <v>80000</v>
      </c>
      <c r="AG36" s="29" t="n">
        <v>0</v>
      </c>
      <c r="AI36" s="30" t="n">
        <v>0</v>
      </c>
      <c r="AJ36" s="30" t="n">
        <v>0</v>
      </c>
      <c r="AK36" s="30" t="n">
        <v>0</v>
      </c>
      <c r="AL36" s="30" t="n">
        <v>0</v>
      </c>
      <c r="AM36" s="30" t="n">
        <v>0</v>
      </c>
      <c r="AN36" s="31" t="n">
        <v>25000</v>
      </c>
      <c r="AO36" s="29" t="n">
        <f aca="false">SUM(AI36:AN36)</f>
        <v>25000</v>
      </c>
      <c r="AP36" s="32" t="n">
        <f aca="false">SUM(AI36:AN36)+Y36</f>
        <v>65000</v>
      </c>
      <c r="AR36" s="33" t="n">
        <f aca="false">AI36+AG36</f>
        <v>0</v>
      </c>
      <c r="AS36" s="30" t="n">
        <f aca="false">AR36+AJ36</f>
        <v>0</v>
      </c>
      <c r="AT36" s="30" t="n">
        <f aca="false">AS36+AK36</f>
        <v>0</v>
      </c>
      <c r="AU36" s="30" t="n">
        <f aca="false">AT36+AL36</f>
        <v>0</v>
      </c>
      <c r="AV36" s="30" t="n">
        <f aca="false">AU36+AM36</f>
        <v>0</v>
      </c>
      <c r="AW36" s="34" t="n">
        <f aca="false">AV36+AN36</f>
        <v>25000</v>
      </c>
    </row>
    <row r="37" customFormat="false" ht="15" hidden="false" customHeight="true" outlineLevel="0" collapsed="false">
      <c r="A37" s="23" t="n">
        <v>34</v>
      </c>
      <c r="B37" s="64"/>
      <c r="C37" s="57" t="s">
        <v>93</v>
      </c>
      <c r="D37" s="25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 t="n">
        <v>20000</v>
      </c>
      <c r="P37" s="26"/>
      <c r="Q37" s="27"/>
      <c r="R37" s="30" t="n">
        <v>20000</v>
      </c>
      <c r="S37" s="28"/>
      <c r="T37" s="4" t="n">
        <f aca="false">R37-Q37</f>
        <v>20000</v>
      </c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G37" s="29" t="n">
        <v>0</v>
      </c>
      <c r="AI37" s="30" t="n">
        <v>0</v>
      </c>
      <c r="AJ37" s="30" t="n">
        <v>0</v>
      </c>
      <c r="AK37" s="30" t="n">
        <v>0</v>
      </c>
      <c r="AL37" s="30" t="n">
        <v>0</v>
      </c>
      <c r="AM37" s="30" t="n">
        <v>0</v>
      </c>
      <c r="AN37" s="31" t="n">
        <v>0</v>
      </c>
      <c r="AO37" s="29" t="n">
        <f aca="false">SUM(AI37:AN37)</f>
        <v>0</v>
      </c>
      <c r="AP37" s="32" t="n">
        <f aca="false">SUM(AI37:AN37)+Y37</f>
        <v>0</v>
      </c>
      <c r="AR37" s="33" t="n">
        <f aca="false">AI37+AG37</f>
        <v>0</v>
      </c>
      <c r="AS37" s="30" t="n">
        <f aca="false">AR37+AJ37</f>
        <v>0</v>
      </c>
      <c r="AT37" s="30" t="n">
        <f aca="false">AS37+AK37</f>
        <v>0</v>
      </c>
      <c r="AU37" s="30" t="n">
        <f aca="false">AT37+AL37</f>
        <v>0</v>
      </c>
      <c r="AV37" s="30" t="n">
        <f aca="false">AU37+AM37</f>
        <v>0</v>
      </c>
      <c r="AW37" s="34" t="n">
        <f aca="false">AV37+AN37</f>
        <v>0</v>
      </c>
    </row>
    <row r="38" customFormat="false" ht="15" hidden="false" customHeight="true" outlineLevel="0" collapsed="false">
      <c r="A38" s="37" t="n">
        <v>35</v>
      </c>
      <c r="B38" s="64" t="s">
        <v>94</v>
      </c>
      <c r="C38" s="57" t="s">
        <v>95</v>
      </c>
      <c r="D38" s="65" t="s">
        <v>51</v>
      </c>
      <c r="E38" s="26"/>
      <c r="F38" s="26"/>
      <c r="G38" s="26"/>
      <c r="H38" s="26" t="n">
        <v>200000</v>
      </c>
      <c r="I38" s="26"/>
      <c r="J38" s="26"/>
      <c r="K38" s="26"/>
      <c r="L38" s="26" t="n">
        <v>200000</v>
      </c>
      <c r="M38" s="26"/>
      <c r="N38" s="26"/>
      <c r="O38" s="26" t="n">
        <v>200000</v>
      </c>
      <c r="P38" s="26"/>
      <c r="Q38" s="27" t="n">
        <f aca="false">SUM(E38:P38)</f>
        <v>600000</v>
      </c>
      <c r="R38" s="30" t="n">
        <v>600000</v>
      </c>
      <c r="S38" s="28" t="n">
        <f aca="false">SUM(E38:E38)</f>
        <v>0</v>
      </c>
      <c r="T38" s="4" t="n">
        <f aca="false">R38-Q38</f>
        <v>0</v>
      </c>
      <c r="U38" s="28" t="n">
        <f aca="false">SUM($E38:F38)</f>
        <v>0</v>
      </c>
      <c r="V38" s="28" t="n">
        <f aca="false">SUM($E38:G38)</f>
        <v>0</v>
      </c>
      <c r="W38" s="28" t="n">
        <f aca="false">SUM($E38:H38)</f>
        <v>200000</v>
      </c>
      <c r="X38" s="28" t="n">
        <f aca="false">SUM($E38:I38)</f>
        <v>200000</v>
      </c>
      <c r="Y38" s="28" t="n">
        <f aca="false">SUM($E38:J38)</f>
        <v>200000</v>
      </c>
      <c r="Z38" s="28" t="n">
        <f aca="false">SUM($E38:K38)</f>
        <v>200000</v>
      </c>
      <c r="AA38" s="28" t="n">
        <f aca="false">SUM($E38:L38)</f>
        <v>400000</v>
      </c>
      <c r="AB38" s="28" t="n">
        <f aca="false">SUM($E38:M38)</f>
        <v>400000</v>
      </c>
      <c r="AC38" s="28" t="n">
        <f aca="false">SUM($E38:N38)</f>
        <v>400000</v>
      </c>
      <c r="AD38" s="28" t="n">
        <f aca="false">SUM($E38:O38)</f>
        <v>600000</v>
      </c>
      <c r="AE38" s="28" t="n">
        <f aca="false">SUM($E38:P38)</f>
        <v>600000</v>
      </c>
      <c r="AG38" s="29" t="n">
        <v>0</v>
      </c>
      <c r="AI38" s="30" t="n">
        <v>0</v>
      </c>
      <c r="AJ38" s="30" t="n">
        <v>0</v>
      </c>
      <c r="AK38" s="30" t="n">
        <v>0</v>
      </c>
      <c r="AL38" s="30" t="n">
        <v>0</v>
      </c>
      <c r="AM38" s="30" t="n">
        <v>0</v>
      </c>
      <c r="AN38" s="31" t="n">
        <v>0</v>
      </c>
      <c r="AO38" s="29" t="n">
        <f aca="false">SUM(AI38:AN38)</f>
        <v>0</v>
      </c>
      <c r="AP38" s="32" t="n">
        <f aca="false">SUM(AI38:AN38)+Y38</f>
        <v>200000</v>
      </c>
      <c r="AR38" s="33" t="n">
        <f aca="false">AI38+AG38</f>
        <v>0</v>
      </c>
      <c r="AS38" s="30" t="n">
        <f aca="false">AR38+AJ38</f>
        <v>0</v>
      </c>
      <c r="AT38" s="30" t="n">
        <f aca="false">AS38+AK38</f>
        <v>0</v>
      </c>
      <c r="AU38" s="30" t="n">
        <f aca="false">AT38+AL38</f>
        <v>0</v>
      </c>
      <c r="AV38" s="30" t="n">
        <f aca="false">AU38+AM38</f>
        <v>0</v>
      </c>
      <c r="AW38" s="34" t="n">
        <f aca="false">AV38+AN38</f>
        <v>0</v>
      </c>
    </row>
    <row r="39" customFormat="false" ht="15.75" hidden="false" customHeight="true" outlineLevel="0" collapsed="false">
      <c r="A39" s="23" t="n">
        <v>36</v>
      </c>
      <c r="B39" s="64" t="s">
        <v>96</v>
      </c>
      <c r="C39" s="57" t="s">
        <v>97</v>
      </c>
      <c r="D39" s="25"/>
      <c r="E39" s="26"/>
      <c r="F39" s="26"/>
      <c r="G39" s="26"/>
      <c r="H39" s="26"/>
      <c r="I39" s="26"/>
      <c r="J39" s="26" t="n">
        <v>200000</v>
      </c>
      <c r="K39" s="26"/>
      <c r="L39" s="26"/>
      <c r="M39" s="26"/>
      <c r="N39" s="26"/>
      <c r="O39" s="26" t="n">
        <v>200000</v>
      </c>
      <c r="P39" s="26"/>
      <c r="Q39" s="27" t="n">
        <f aca="false">SUM(E39:P39)</f>
        <v>400000</v>
      </c>
      <c r="R39" s="30" t="n">
        <v>400000</v>
      </c>
      <c r="S39" s="28" t="n">
        <f aca="false">SUM(E39:E39)</f>
        <v>0</v>
      </c>
      <c r="T39" s="4" t="n">
        <f aca="false">R39-Q39</f>
        <v>0</v>
      </c>
      <c r="U39" s="28" t="n">
        <f aca="false">SUM($E39:F39)</f>
        <v>0</v>
      </c>
      <c r="V39" s="28" t="n">
        <f aca="false">SUM($E39:G39)</f>
        <v>0</v>
      </c>
      <c r="W39" s="28" t="n">
        <f aca="false">SUM($E39:H39)</f>
        <v>0</v>
      </c>
      <c r="X39" s="28" t="n">
        <f aca="false">SUM($E39:I39)</f>
        <v>0</v>
      </c>
      <c r="Y39" s="28" t="n">
        <f aca="false">SUM($E39:J39)</f>
        <v>200000</v>
      </c>
      <c r="Z39" s="28" t="n">
        <f aca="false">SUM($E39:K39)</f>
        <v>200000</v>
      </c>
      <c r="AA39" s="28" t="n">
        <f aca="false">SUM($E39:L39)</f>
        <v>200000</v>
      </c>
      <c r="AB39" s="28" t="n">
        <f aca="false">SUM($E39:M39)</f>
        <v>200000</v>
      </c>
      <c r="AC39" s="28" t="n">
        <f aca="false">SUM($E39:N39)</f>
        <v>200000</v>
      </c>
      <c r="AD39" s="28" t="n">
        <f aca="false">SUM($E39:O39)</f>
        <v>400000</v>
      </c>
      <c r="AE39" s="28" t="n">
        <f aca="false">SUM($E39:P39)</f>
        <v>400000</v>
      </c>
      <c r="AG39" s="29" t="n">
        <v>0</v>
      </c>
      <c r="AI39" s="30" t="n">
        <v>0</v>
      </c>
      <c r="AJ39" s="30" t="n">
        <v>0</v>
      </c>
      <c r="AK39" s="30" t="n">
        <v>0</v>
      </c>
      <c r="AL39" s="30" t="n">
        <v>100000</v>
      </c>
      <c r="AM39" s="30" t="n">
        <v>0</v>
      </c>
      <c r="AN39" s="31" t="n">
        <v>0</v>
      </c>
      <c r="AO39" s="29" t="n">
        <f aca="false">SUM(AI39:AN39)</f>
        <v>100000</v>
      </c>
      <c r="AP39" s="32" t="n">
        <f aca="false">SUM(AI39:AN39)+Y39</f>
        <v>300000</v>
      </c>
      <c r="AR39" s="33" t="n">
        <f aca="false">AI39+AG39</f>
        <v>0</v>
      </c>
      <c r="AS39" s="30" t="n">
        <f aca="false">AR39+AJ39</f>
        <v>0</v>
      </c>
      <c r="AT39" s="30" t="n">
        <f aca="false">AS39+AK39</f>
        <v>0</v>
      </c>
      <c r="AU39" s="30" t="n">
        <f aca="false">AT39+AL39</f>
        <v>100000</v>
      </c>
      <c r="AV39" s="30" t="n">
        <f aca="false">AU39+AM39</f>
        <v>100000</v>
      </c>
      <c r="AW39" s="34" t="n">
        <f aca="false">AV39+AN39</f>
        <v>100000</v>
      </c>
    </row>
    <row r="40" customFormat="false" ht="15" hidden="false" customHeight="true" outlineLevel="0" collapsed="false">
      <c r="A40" s="45"/>
      <c r="B40" s="45" t="s">
        <v>98</v>
      </c>
      <c r="C40" s="45"/>
      <c r="D40" s="45"/>
      <c r="E40" s="46" t="n">
        <f aca="false">SUM(E22:E39)</f>
        <v>526326.7701125</v>
      </c>
      <c r="F40" s="46" t="n">
        <f aca="false">SUM(F22:F39)</f>
        <v>624144.3243</v>
      </c>
      <c r="G40" s="46" t="n">
        <f aca="false">SUM(G22:G39)</f>
        <v>542589.520425</v>
      </c>
      <c r="H40" s="46" t="n">
        <f aca="false">SUM(H22:H39)</f>
        <v>946901.2663</v>
      </c>
      <c r="I40" s="46" t="n">
        <f aca="false">SUM(I22:I39)</f>
        <v>856658.8868</v>
      </c>
      <c r="J40" s="46" t="n">
        <f aca="false">SUM(J22:J39)</f>
        <v>758228.8293</v>
      </c>
      <c r="K40" s="46" t="n">
        <f aca="false">SUM(K22:K39)</f>
        <v>1015167.992175</v>
      </c>
      <c r="L40" s="46" t="n">
        <f aca="false">SUM(L22:L39)</f>
        <v>1146567.022175</v>
      </c>
      <c r="M40" s="46" t="n">
        <f aca="false">SUM(M22:M39)</f>
        <v>688160.54455</v>
      </c>
      <c r="N40" s="46" t="n">
        <f aca="false">SUM(N22:N39)</f>
        <v>689745.5968</v>
      </c>
      <c r="O40" s="46" t="n">
        <f aca="false">SUM(O22:O39)</f>
        <v>1412960.1577375</v>
      </c>
      <c r="P40" s="66" t="n">
        <f aca="false">SUM(P22:P39)</f>
        <v>593921.6026125</v>
      </c>
      <c r="Q40" s="47" t="n">
        <f aca="false">SUM(Q22:Q39)</f>
        <v>9781372.5132875</v>
      </c>
      <c r="R40" s="47" t="n">
        <f aca="false">SUM(R22:R39)</f>
        <v>5024793.3</v>
      </c>
      <c r="S40" s="47" t="n">
        <f aca="false">SUM(S22:S39)</f>
        <v>526326.7701125</v>
      </c>
      <c r="T40" s="4" t="n">
        <f aca="false">R40-Q40</f>
        <v>-4756579.2132875</v>
      </c>
      <c r="U40" s="47" t="n">
        <f aca="false">SUM(U22:U39)</f>
        <v>1150471.0944125</v>
      </c>
      <c r="V40" s="47" t="n">
        <f aca="false">SUM(V22:V39)</f>
        <v>1693060.6148375</v>
      </c>
      <c r="W40" s="47" t="n">
        <f aca="false">SUM(W22:W39)</f>
        <v>2639961.8811375</v>
      </c>
      <c r="X40" s="47" t="n">
        <f aca="false">SUM(X22:X39)</f>
        <v>3496620.7679375</v>
      </c>
      <c r="Y40" s="47" t="n">
        <f aca="false">SUM(Y22:Y39)</f>
        <v>4254849.5972375</v>
      </c>
      <c r="Z40" s="47" t="n">
        <f aca="false">SUM(Z22:Z39)</f>
        <v>5270017.5894125</v>
      </c>
      <c r="AA40" s="47" t="n">
        <f aca="false">SUM(AA22:AA39)</f>
        <v>6416584.6115875</v>
      </c>
      <c r="AB40" s="47" t="n">
        <f aca="false">SUM(AB22:AB39)</f>
        <v>7104745.1561375</v>
      </c>
      <c r="AC40" s="47" t="n">
        <f aca="false">SUM(AC22:AC39)</f>
        <v>7794490.7529375</v>
      </c>
      <c r="AD40" s="47" t="n">
        <f aca="false">SUM(AD22:AD39)</f>
        <v>9187450.910675</v>
      </c>
      <c r="AE40" s="47" t="n">
        <f aca="false">SUM(AE22:AE39)</f>
        <v>9781372.5132875</v>
      </c>
      <c r="AG40" s="48" t="n">
        <f aca="false">SUM(AG22:AG39)</f>
        <v>2801213.84</v>
      </c>
      <c r="AI40" s="54" t="n">
        <f aca="false">SUM(AI22:AI39)</f>
        <v>565966.8</v>
      </c>
      <c r="AJ40" s="54" t="n">
        <f aca="false">SUM(AJ22:AJ39)</f>
        <v>495012.4</v>
      </c>
      <c r="AK40" s="54" t="n">
        <f aca="false">SUM(AK22:AK39)</f>
        <v>779615.8</v>
      </c>
      <c r="AL40" s="54" t="n">
        <f aca="false">SUM(AL22:AL39)</f>
        <v>871888.6</v>
      </c>
      <c r="AM40" s="54" t="n">
        <f aca="false">SUM(AM22:AM39)</f>
        <v>771122.5</v>
      </c>
      <c r="AN40" s="51" t="n">
        <f aca="false">SUM(AN22:AN39)</f>
        <v>487561</v>
      </c>
      <c r="AO40" s="52" t="n">
        <f aca="false">SUM(AO22:AO39)</f>
        <v>3971167.1</v>
      </c>
      <c r="AP40" s="53" t="n">
        <f aca="false">SUM(AP22:AP39)</f>
        <v>8226016.6972375</v>
      </c>
      <c r="AR40" s="52" t="n">
        <f aca="false">AI40+AG40</f>
        <v>3367180.64</v>
      </c>
      <c r="AS40" s="54" t="n">
        <f aca="false">SUM(AS22:AS39)</f>
        <v>3862193.04</v>
      </c>
      <c r="AT40" s="54" t="n">
        <f aca="false">SUM(AT22:AT39)</f>
        <v>4641808.84</v>
      </c>
      <c r="AU40" s="54" t="n">
        <f aca="false">SUM(AU22:AU39)</f>
        <v>5513697.44</v>
      </c>
      <c r="AV40" s="54" t="n">
        <f aca="false">SUM(AV22:AV39)</f>
        <v>6284819.94</v>
      </c>
      <c r="AW40" s="54" t="n">
        <f aca="false">SUM(AW22:AW39)</f>
        <v>6772380.94</v>
      </c>
    </row>
    <row r="41" customFormat="false" ht="15" hidden="false" customHeight="true" outlineLevel="0" collapsed="false">
      <c r="A41" s="67"/>
      <c r="B41" s="67" t="s">
        <v>99</v>
      </c>
      <c r="C41" s="67"/>
      <c r="D41" s="67"/>
      <c r="E41" s="68" t="n">
        <f aca="false">E40+E21</f>
        <v>2378890.53460403</v>
      </c>
      <c r="F41" s="68" t="n">
        <f aca="false">F40+F21</f>
        <v>2671040.95131507</v>
      </c>
      <c r="G41" s="68" t="n">
        <f aca="false">G40+G21</f>
        <v>2775894.33953046</v>
      </c>
      <c r="H41" s="68" t="n">
        <f aca="false">H40+H21</f>
        <v>2944067.66732637</v>
      </c>
      <c r="I41" s="68" t="n">
        <f aca="false">I40+I21</f>
        <v>3153822.46296761</v>
      </c>
      <c r="J41" s="68" t="n">
        <f aca="false">J40+J21</f>
        <v>3481428.37533578</v>
      </c>
      <c r="K41" s="68" t="n">
        <f aca="false">K40+K21</f>
        <v>3827194.65685485</v>
      </c>
      <c r="L41" s="68" t="n">
        <f aca="false">L40+L21</f>
        <v>4141049.61905824</v>
      </c>
      <c r="M41" s="68" t="n">
        <f aca="false">M40+M21</f>
        <v>3373969.69510556</v>
      </c>
      <c r="N41" s="68" t="n">
        <f aca="false">N40+N21</f>
        <v>3737220.37824068</v>
      </c>
      <c r="O41" s="68" t="n">
        <f aca="false">O40+O21</f>
        <v>4914196.14445125</v>
      </c>
      <c r="P41" s="69" t="n">
        <f aca="false">P40+P21</f>
        <v>3862704.38781966</v>
      </c>
      <c r="Q41" s="70" t="n">
        <f aca="false">Q40+Q21</f>
        <v>41241479.2126095</v>
      </c>
      <c r="R41" s="70" t="n">
        <f aca="false">R40+R21</f>
        <v>5024793.3</v>
      </c>
      <c r="S41" s="70" t="n">
        <f aca="false">S40+S21</f>
        <v>2378890.53460403</v>
      </c>
      <c r="U41" s="70" t="n">
        <f aca="false">U40+U21</f>
        <v>5049931.48591909</v>
      </c>
      <c r="V41" s="70" t="n">
        <f aca="false">V40+V21</f>
        <v>7825825.82544955</v>
      </c>
      <c r="W41" s="70" t="n">
        <f aca="false">W40+W21</f>
        <v>10769893.4927759</v>
      </c>
      <c r="X41" s="70" t="n">
        <f aca="false">X40+X21</f>
        <v>13923715.9557435</v>
      </c>
      <c r="Y41" s="70" t="n">
        <f aca="false">Y40+Y21</f>
        <v>17405144.3310793</v>
      </c>
      <c r="Z41" s="70" t="n">
        <f aca="false">Z40+Z21</f>
        <v>21232338.9879342</v>
      </c>
      <c r="AA41" s="70" t="n">
        <f aca="false">AA40+AA21</f>
        <v>25373388.6069924</v>
      </c>
      <c r="AB41" s="70" t="n">
        <f aca="false">AB40+AB21</f>
        <v>28747358.302098</v>
      </c>
      <c r="AC41" s="70" t="n">
        <f aca="false">AC40+AC21</f>
        <v>32484578.6803386</v>
      </c>
      <c r="AD41" s="70" t="n">
        <f aca="false">AD40+AD21</f>
        <v>37378774.8247899</v>
      </c>
      <c r="AE41" s="70" t="n">
        <f aca="false">AE40+AE21</f>
        <v>41241479.2126095</v>
      </c>
      <c r="AG41" s="71" t="n">
        <f aca="false">AG40+AG21</f>
        <v>12671808.107</v>
      </c>
      <c r="AI41" s="72" t="n">
        <f aca="false">AI40+AI21</f>
        <v>2665966.8</v>
      </c>
      <c r="AJ41" s="73" t="n">
        <f aca="false">AJ40+AJ21</f>
        <v>2626512.4</v>
      </c>
      <c r="AK41" s="73" t="n">
        <f aca="false">AK40+AK21</f>
        <v>3406716.64745763</v>
      </c>
      <c r="AL41" s="73" t="n">
        <f aca="false">AL40+AL21</f>
        <v>3681445.37966102</v>
      </c>
      <c r="AM41" s="73" t="n">
        <f aca="false">AM40+AM21</f>
        <v>3433922.5</v>
      </c>
      <c r="AN41" s="74" t="n">
        <f aca="false">AN40+AN21</f>
        <v>3438082.18644068</v>
      </c>
      <c r="AO41" s="72" t="n">
        <f aca="false">AO40+AO21</f>
        <v>19252645.9135593</v>
      </c>
      <c r="AP41" s="73" t="n">
        <f aca="false">AP40+AP21</f>
        <v>36657790.2446386</v>
      </c>
      <c r="AR41" s="72" t="n">
        <f aca="false">AI41+AG41</f>
        <v>15337774.907</v>
      </c>
      <c r="AS41" s="73" t="n">
        <f aca="false">AS40+AS21</f>
        <v>17964287.307</v>
      </c>
      <c r="AT41" s="73" t="n">
        <f aca="false">AT40+AT21</f>
        <v>21371003.9544577</v>
      </c>
      <c r="AU41" s="73" t="n">
        <f aca="false">AU40+AU21</f>
        <v>25052449.3341187</v>
      </c>
      <c r="AV41" s="73" t="n">
        <f aca="false">AV40+AV21</f>
        <v>28486371.8341187</v>
      </c>
      <c r="AW41" s="73" t="n">
        <f aca="false">AW40+AW21</f>
        <v>31924454.0205594</v>
      </c>
    </row>
    <row r="42" customFormat="false" ht="15" hidden="false" customHeight="true" outlineLevel="0" collapsed="false">
      <c r="H42" s="3"/>
      <c r="S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G42" s="75"/>
    </row>
    <row r="43" customFormat="false" ht="14.25" hidden="false" customHeight="true" outlineLevel="0" collapsed="false">
      <c r="B43" s="76"/>
      <c r="C43" s="9"/>
      <c r="D43" s="9" t="s">
        <v>3</v>
      </c>
      <c r="E43" s="9" t="s">
        <v>4</v>
      </c>
      <c r="F43" s="9" t="s">
        <v>5</v>
      </c>
      <c r="G43" s="9" t="s">
        <v>6</v>
      </c>
      <c r="H43" s="10" t="s">
        <v>7</v>
      </c>
      <c r="I43" s="10" t="s">
        <v>8</v>
      </c>
      <c r="J43" s="9" t="s">
        <v>9</v>
      </c>
      <c r="K43" s="9" t="s">
        <v>10</v>
      </c>
      <c r="L43" s="9" t="s">
        <v>11</v>
      </c>
      <c r="M43" s="9" t="s">
        <v>12</v>
      </c>
      <c r="N43" s="10" t="s">
        <v>13</v>
      </c>
      <c r="O43" s="9" t="s">
        <v>14</v>
      </c>
      <c r="P43" s="11" t="s">
        <v>15</v>
      </c>
      <c r="Q43" s="12" t="s">
        <v>16</v>
      </c>
    </row>
    <row r="44" customFormat="false" ht="14.25" hidden="false" customHeight="true" outlineLevel="0" collapsed="false">
      <c r="B44" s="23" t="s">
        <v>31</v>
      </c>
      <c r="C44" s="23" t="s">
        <v>31</v>
      </c>
      <c r="D44" s="25" t="s">
        <v>32</v>
      </c>
      <c r="E44" s="77" t="n">
        <f aca="false">E5/$Q5</f>
        <v>0.0701058201058202</v>
      </c>
      <c r="F44" s="77" t="n">
        <f aca="false">F5/$Q5</f>
        <v>0.0667674477198285</v>
      </c>
      <c r="G44" s="77" t="n">
        <f aca="false">G5/$Q5</f>
        <v>0.0767825648778032</v>
      </c>
      <c r="H44" s="77" t="n">
        <f aca="false">H5/$Q5</f>
        <v>0.0686570924666162</v>
      </c>
      <c r="I44" s="77" t="n">
        <f aca="false">I5/$Q5</f>
        <v>0.0747039556563365</v>
      </c>
      <c r="J44" s="77" t="n">
        <f aca="false">J5/$Q5</f>
        <v>0.0932854623330813</v>
      </c>
      <c r="K44" s="77" t="n">
        <f aca="false">K5/$Q5</f>
        <v>0.0932854623330813</v>
      </c>
      <c r="L44" s="77" t="n">
        <f aca="false">L5/$Q5</f>
        <v>0.0932854623330813</v>
      </c>
      <c r="M44" s="77" t="n">
        <f aca="false">M5/$Q5</f>
        <v>0.0832703451751071</v>
      </c>
      <c r="N44" s="77" t="n">
        <f aca="false">N5/$Q5</f>
        <v>0.0899470899470901</v>
      </c>
      <c r="O44" s="77" t="n">
        <f aca="false">O5/$Q5</f>
        <v>0.0932854623330813</v>
      </c>
      <c r="P44" s="77" t="n">
        <f aca="false">P5/$Q5</f>
        <v>0.096623834719073</v>
      </c>
      <c r="Q44" s="78" t="n">
        <f aca="false">SUM(E44:P44)</f>
        <v>1</v>
      </c>
    </row>
    <row r="45" customFormat="false" ht="14.25" hidden="false" customHeight="true" outlineLevel="0" collapsed="false">
      <c r="B45" s="23" t="s">
        <v>33</v>
      </c>
      <c r="C45" s="23" t="s">
        <v>33</v>
      </c>
      <c r="D45" s="25" t="s">
        <v>32</v>
      </c>
      <c r="E45" s="77" t="n">
        <f aca="false">E6/$Q6</f>
        <v>0.0791660520234056</v>
      </c>
      <c r="F45" s="77" t="n">
        <f aca="false">F6/$Q6</f>
        <v>0.0785713114965217</v>
      </c>
      <c r="G45" s="77" t="n">
        <f aca="false">G6/$Q6</f>
        <v>0.0900914823322258</v>
      </c>
      <c r="H45" s="77" t="n">
        <f aca="false">H6/$Q6</f>
        <v>0.0701489426965161</v>
      </c>
      <c r="I45" s="77" t="n">
        <f aca="false">I6/$Q6</f>
        <v>0.0824066854454817</v>
      </c>
      <c r="J45" s="77" t="n">
        <f aca="false">J6/$Q6</f>
        <v>0.0893492274226896</v>
      </c>
      <c r="K45" s="77" t="n">
        <f aca="false">K6/$Q6</f>
        <v>0.0893492274226896</v>
      </c>
      <c r="L45" s="77" t="n">
        <f aca="false">L6/$Q6</f>
        <v>0.0893492274226896</v>
      </c>
      <c r="M45" s="77" t="n">
        <f aca="false">M6/$Q6</f>
        <v>0.0778290565869855</v>
      </c>
      <c r="N45" s="77" t="n">
        <f aca="false">N6/$Q6</f>
        <v>0.0806411958499287</v>
      </c>
      <c r="O45" s="77" t="n">
        <f aca="false">O6/$Q6</f>
        <v>0.084776281560468</v>
      </c>
      <c r="P45" s="77" t="n">
        <f aca="false">P6/$Q6</f>
        <v>0.0883213097403981</v>
      </c>
      <c r="Q45" s="78" t="n">
        <f aca="false">SUM(E45:P45)</f>
        <v>1</v>
      </c>
    </row>
    <row r="46" customFormat="false" ht="14.25" hidden="false" customHeight="true" outlineLevel="0" collapsed="false">
      <c r="B46" s="23" t="s">
        <v>34</v>
      </c>
      <c r="C46" s="23" t="s">
        <v>34</v>
      </c>
      <c r="D46" s="25" t="s">
        <v>32</v>
      </c>
      <c r="E46" s="77" t="n">
        <f aca="false">E7/$Q7</f>
        <v>0.0811111111111111</v>
      </c>
      <c r="F46" s="77" t="n">
        <f aca="false">F7/$Q7</f>
        <v>0.0815873015873016</v>
      </c>
      <c r="G46" s="77" t="n">
        <f aca="false">G7/$Q7</f>
        <v>0.0912698412698412</v>
      </c>
      <c r="H46" s="77" t="n">
        <f aca="false">H7/$Q7</f>
        <v>0.0674603174603174</v>
      </c>
      <c r="I46" s="77" t="n">
        <f aca="false">I7/$Q7</f>
        <v>0.0793650793650793</v>
      </c>
      <c r="J46" s="77" t="n">
        <f aca="false">J7/$Q7</f>
        <v>0.0873015873015873</v>
      </c>
      <c r="K46" s="77" t="n">
        <f aca="false">K7/$Q7</f>
        <v>0.0873015873015873</v>
      </c>
      <c r="L46" s="77" t="n">
        <f aca="false">L7/$Q7</f>
        <v>0.0873015873015873</v>
      </c>
      <c r="M46" s="77" t="n">
        <f aca="false">M7/$Q7</f>
        <v>0.0753968253968253</v>
      </c>
      <c r="N46" s="77" t="n">
        <f aca="false">N7/$Q7</f>
        <v>0.0833333333333333</v>
      </c>
      <c r="O46" s="77" t="n">
        <f aca="false">O7/$Q7</f>
        <v>0.0873015873015873</v>
      </c>
      <c r="P46" s="77" t="n">
        <f aca="false">P7/$Q7</f>
        <v>0.0912698412698412</v>
      </c>
      <c r="Q46" s="78" t="n">
        <f aca="false">SUM(E46:P46)</f>
        <v>1</v>
      </c>
    </row>
    <row r="47" customFormat="false" ht="14.25" hidden="false" customHeight="true" outlineLevel="0" collapsed="false">
      <c r="B47" s="23" t="s">
        <v>100</v>
      </c>
      <c r="C47" s="23" t="s">
        <v>35</v>
      </c>
      <c r="D47" s="25" t="s">
        <v>32</v>
      </c>
      <c r="E47" s="77" t="n">
        <f aca="false">E8/$Q8</f>
        <v>0.0782400273925696</v>
      </c>
      <c r="F47" s="77" t="n">
        <f aca="false">F8/$Q8</f>
        <v>0.0805308940902163</v>
      </c>
      <c r="G47" s="77" t="n">
        <f aca="false">G8/$Q8</f>
        <v>0.0890666144903431</v>
      </c>
      <c r="H47" s="77" t="n">
        <f aca="false">H8/$Q8</f>
        <v>0.0689135095914756</v>
      </c>
      <c r="I47" s="77" t="n">
        <f aca="false">I8/$Q8</f>
        <v>0.0825853368226251</v>
      </c>
      <c r="J47" s="77" t="n">
        <f aca="false">J8/$Q8</f>
        <v>0.0877622064062743</v>
      </c>
      <c r="K47" s="77" t="n">
        <f aca="false">K8/$Q8</f>
        <v>0.0877622064062743</v>
      </c>
      <c r="L47" s="77" t="n">
        <f aca="false">L8/$Q8</f>
        <v>0.0877622064062743</v>
      </c>
      <c r="M47" s="77" t="n">
        <f aca="false">M8/$Q8</f>
        <v>0.0771720432737381</v>
      </c>
      <c r="N47" s="77" t="n">
        <f aca="false">N8/$Q8</f>
        <v>0.0833761342235917</v>
      </c>
      <c r="O47" s="77" t="n">
        <f aca="false">O8/$Q8</f>
        <v>0.0877622064062743</v>
      </c>
      <c r="P47" s="77" t="n">
        <f aca="false">P8/$Q8</f>
        <v>0.0890666144903431</v>
      </c>
      <c r="Q47" s="78" t="n">
        <f aca="false">SUM(E47:P47)</f>
        <v>1</v>
      </c>
    </row>
    <row r="48" customFormat="false" ht="14.25" hidden="false" customHeight="true" outlineLevel="0" collapsed="false">
      <c r="B48" s="23" t="s">
        <v>36</v>
      </c>
      <c r="C48" s="23" t="s">
        <v>36</v>
      </c>
      <c r="D48" s="25" t="s">
        <v>32</v>
      </c>
      <c r="E48" s="77" t="n">
        <f aca="false">E9/$Q9</f>
        <v>0.0833143118009587</v>
      </c>
      <c r="F48" s="77" t="n">
        <f aca="false">F9/$Q9</f>
        <v>0.0833143118009587</v>
      </c>
      <c r="G48" s="77" t="n">
        <f aca="false">G9/$Q9</f>
        <v>0.0833143118009587</v>
      </c>
      <c r="H48" s="77" t="n">
        <f aca="false">H9/$Q9</f>
        <v>0.0833143118009587</v>
      </c>
      <c r="I48" s="77" t="n">
        <f aca="false">I9/$Q9</f>
        <v>0.0833143118009587</v>
      </c>
      <c r="J48" s="77" t="n">
        <f aca="false">J9/$Q9</f>
        <v>0.0833143118009587</v>
      </c>
      <c r="K48" s="77" t="n">
        <f aca="false">K9/$Q9</f>
        <v>0.0833143118009587</v>
      </c>
      <c r="L48" s="77" t="n">
        <f aca="false">L9/$Q9</f>
        <v>0.0833143118009587</v>
      </c>
      <c r="M48" s="77" t="n">
        <f aca="false">M9/$Q9</f>
        <v>0.0833143118009587</v>
      </c>
      <c r="N48" s="77" t="n">
        <f aca="false">N9/$Q9</f>
        <v>0.0833143118009587</v>
      </c>
      <c r="O48" s="77" t="n">
        <f aca="false">O9/$Q9</f>
        <v>0.0833143118009587</v>
      </c>
      <c r="P48" s="77" t="n">
        <f aca="false">P9/$Q9</f>
        <v>0.0835425701894545</v>
      </c>
      <c r="Q48" s="78" t="n">
        <f aca="false">SUM(E48:P48)</f>
        <v>1</v>
      </c>
    </row>
    <row r="49" customFormat="false" ht="14.25" hidden="false" customHeight="true" outlineLevel="0" collapsed="false">
      <c r="B49" s="23" t="s">
        <v>37</v>
      </c>
      <c r="C49" s="23" t="s">
        <v>37</v>
      </c>
      <c r="D49" s="25" t="s">
        <v>32</v>
      </c>
      <c r="E49" s="77" t="n">
        <f aca="false">E10/$Q10</f>
        <v>0.0683060109289619</v>
      </c>
      <c r="F49" s="77" t="n">
        <f aca="false">F10/$Q10</f>
        <v>0.0896435076762944</v>
      </c>
      <c r="G49" s="77" t="n">
        <f aca="false">G10/$Q10</f>
        <v>0.0912047879260994</v>
      </c>
      <c r="H49" s="77" t="n">
        <f aca="false">H10/$Q10</f>
        <v>0.0798855061150145</v>
      </c>
      <c r="I49" s="77" t="n">
        <f aca="false">I10/$Q10</f>
        <v>0.0814467863648193</v>
      </c>
      <c r="J49" s="77" t="n">
        <f aca="false">J10/$Q10</f>
        <v>0.0879521207390059</v>
      </c>
      <c r="K49" s="77" t="n">
        <f aca="false">K10/$Q10</f>
        <v>0.0879521207390059</v>
      </c>
      <c r="L49" s="77" t="n">
        <f aca="false">L10/$Q10</f>
        <v>0.0879521207390059</v>
      </c>
      <c r="M49" s="77" t="n">
        <f aca="false">M10/$Q10</f>
        <v>0.0781941191777259</v>
      </c>
      <c r="N49" s="77" t="n">
        <f aca="false">N10/$Q10</f>
        <v>0.0846994535519125</v>
      </c>
      <c r="O49" s="77" t="n">
        <f aca="false">O10/$Q10</f>
        <v>0.0879521207390059</v>
      </c>
      <c r="P49" s="77" t="n">
        <f aca="false">P10/$Q10</f>
        <v>0.0748113453031487</v>
      </c>
      <c r="Q49" s="78" t="n">
        <f aca="false">SUM(E49:P49)</f>
        <v>1</v>
      </c>
    </row>
    <row r="50" customFormat="false" ht="14.25" hidden="false" customHeight="true" outlineLevel="0" collapsed="false">
      <c r="B50" s="23" t="s">
        <v>38</v>
      </c>
      <c r="C50" s="23" t="s">
        <v>38</v>
      </c>
      <c r="D50" s="25" t="s">
        <v>32</v>
      </c>
      <c r="E50" s="77" t="n">
        <f aca="false">E11/$Q11</f>
        <v>0.0644685868283643</v>
      </c>
      <c r="F50" s="77" t="n">
        <f aca="false">F11/$Q11</f>
        <v>0.0783624886707251</v>
      </c>
      <c r="G50" s="77" t="n">
        <f aca="false">G11/$Q11</f>
        <v>0.0811476856196412</v>
      </c>
      <c r="H50" s="77" t="n">
        <f aca="false">H11/$Q11</f>
        <v>0.0705242346222637</v>
      </c>
      <c r="I50" s="77" t="n">
        <f aca="false">I11/$Q11</f>
        <v>0.0859420743200429</v>
      </c>
      <c r="J50" s="77" t="n">
        <f aca="false">J11/$Q11</f>
        <v>0.0894832246525022</v>
      </c>
      <c r="K50" s="77" t="n">
        <f aca="false">K11/$Q11</f>
        <v>0.0894832246525022</v>
      </c>
      <c r="L50" s="77" t="n">
        <f aca="false">L11/$Q11</f>
        <v>0.0894832246525022</v>
      </c>
      <c r="M50" s="77" t="n">
        <f aca="false">M11/$Q11</f>
        <v>0.0841714991538135</v>
      </c>
      <c r="N50" s="77" t="n">
        <f aca="false">N11/$Q11</f>
        <v>0.0877126494862723</v>
      </c>
      <c r="O50" s="77" t="n">
        <f aca="false">O11/$Q11</f>
        <v>0.0894832246525022</v>
      </c>
      <c r="P50" s="77" t="n">
        <f aca="false">P11/$Q11</f>
        <v>0.0897378826888681</v>
      </c>
      <c r="Q50" s="78" t="n">
        <f aca="false">SUM(E50:P50)</f>
        <v>1</v>
      </c>
    </row>
    <row r="51" customFormat="false" ht="14.25" hidden="false" customHeight="true" outlineLevel="0" collapsed="false">
      <c r="B51" s="35" t="s">
        <v>39</v>
      </c>
      <c r="C51" s="35" t="s">
        <v>39</v>
      </c>
      <c r="D51" s="25" t="s">
        <v>32</v>
      </c>
      <c r="E51" s="77" t="n">
        <f aca="false">E12/$Q12</f>
        <v>0.0833333333333332</v>
      </c>
      <c r="F51" s="77" t="n">
        <f aca="false">F12/$Q12</f>
        <v>0.0793650793650795</v>
      </c>
      <c r="G51" s="77" t="n">
        <f aca="false">G12/$Q12</f>
        <v>0.0912698412698411</v>
      </c>
      <c r="H51" s="77" t="n">
        <f aca="false">H12/$Q12</f>
        <v>0.0674603174603174</v>
      </c>
      <c r="I51" s="77" t="n">
        <f aca="false">I12/$Q12</f>
        <v>0.0793650793650795</v>
      </c>
      <c r="J51" s="77" t="n">
        <f aca="false">J12/$Q12</f>
        <v>0.0873015873015874</v>
      </c>
      <c r="K51" s="77" t="n">
        <f aca="false">K12/$Q12</f>
        <v>0.0873015873015874</v>
      </c>
      <c r="L51" s="77" t="n">
        <f aca="false">L12/$Q12</f>
        <v>0.0873015873015874</v>
      </c>
      <c r="M51" s="77" t="n">
        <f aca="false">M12/$Q12</f>
        <v>0.0753968253968253</v>
      </c>
      <c r="N51" s="77" t="n">
        <f aca="false">N12/$Q12</f>
        <v>0.0833333333333332</v>
      </c>
      <c r="O51" s="77" t="n">
        <f aca="false">O12/$Q12</f>
        <v>0.0873015873015874</v>
      </c>
      <c r="P51" s="77" t="n">
        <f aca="false">P12/$Q12</f>
        <v>0.0912698412698411</v>
      </c>
      <c r="Q51" s="78" t="n">
        <f aca="false">SUM(E51:P51)</f>
        <v>1</v>
      </c>
    </row>
    <row r="52" customFormat="false" ht="14.25" hidden="false" customHeight="true" outlineLevel="0" collapsed="false">
      <c r="B52" s="23" t="s">
        <v>40</v>
      </c>
      <c r="C52" s="23" t="s">
        <v>40</v>
      </c>
      <c r="D52" s="25" t="s">
        <v>32</v>
      </c>
      <c r="E52" s="77" t="n">
        <f aca="false">E13/$Q13</f>
        <v>0.0633333333333333</v>
      </c>
      <c r="F52" s="77" t="n">
        <f aca="false">F13/$Q13</f>
        <v>0.0793650793650794</v>
      </c>
      <c r="G52" s="77" t="n">
        <f aca="false">G13/$Q13</f>
        <v>0.0912698412698413</v>
      </c>
      <c r="H52" s="77" t="n">
        <f aca="false">H13/$Q13</f>
        <v>0.0674603174603175</v>
      </c>
      <c r="I52" s="77" t="n">
        <f aca="false">I13/$Q13</f>
        <v>0.0793650793650794</v>
      </c>
      <c r="J52" s="77" t="n">
        <f aca="false">J13/$Q13</f>
        <v>0.0873015873015873</v>
      </c>
      <c r="K52" s="77" t="n">
        <f aca="false">K13/$Q13</f>
        <v>0.0873015873015873</v>
      </c>
      <c r="L52" s="77" t="n">
        <f aca="false">L13/$Q13</f>
        <v>0.0873015873015873</v>
      </c>
      <c r="M52" s="77" t="n">
        <f aca="false">M13/$Q13</f>
        <v>0.0853968253968254</v>
      </c>
      <c r="N52" s="77" t="n">
        <f aca="false">N13/$Q13</f>
        <v>0.0933333333333333</v>
      </c>
      <c r="O52" s="77" t="n">
        <f aca="false">O13/$Q13</f>
        <v>0.0873015873015873</v>
      </c>
      <c r="P52" s="77" t="n">
        <f aca="false">P13/$Q13</f>
        <v>0.0912698412698413</v>
      </c>
      <c r="Q52" s="78" t="n">
        <f aca="false">SUM(E52:P52)</f>
        <v>1</v>
      </c>
    </row>
    <row r="53" customFormat="false" ht="14.25" hidden="true" customHeight="true" outlineLevel="0" collapsed="false">
      <c r="B53" s="23" t="s">
        <v>42</v>
      </c>
      <c r="C53" s="23" t="s">
        <v>42</v>
      </c>
      <c r="D53" s="25" t="s">
        <v>32</v>
      </c>
      <c r="E53" s="77" t="e">
        <f aca="false">E15/$Q15</f>
        <v>#DIV/0!</v>
      </c>
      <c r="F53" s="77" t="e">
        <f aca="false">F15/$Q15</f>
        <v>#DIV/0!</v>
      </c>
      <c r="G53" s="77" t="e">
        <f aca="false">G15/$Q15</f>
        <v>#DIV/0!</v>
      </c>
      <c r="H53" s="77" t="e">
        <f aca="false">H15/$Q15</f>
        <v>#DIV/0!</v>
      </c>
      <c r="I53" s="77" t="e">
        <f aca="false">I15/$Q15</f>
        <v>#DIV/0!</v>
      </c>
      <c r="J53" s="77" t="e">
        <f aca="false">J15/$Q15</f>
        <v>#DIV/0!</v>
      </c>
      <c r="K53" s="77" t="e">
        <f aca="false">K15/$Q15</f>
        <v>#DIV/0!</v>
      </c>
      <c r="L53" s="77" t="e">
        <f aca="false">L15/$Q15</f>
        <v>#DIV/0!</v>
      </c>
      <c r="M53" s="77" t="e">
        <f aca="false">M15/$Q15</f>
        <v>#DIV/0!</v>
      </c>
      <c r="N53" s="77" t="e">
        <f aca="false">N15/$Q15</f>
        <v>#DIV/0!</v>
      </c>
      <c r="O53" s="77" t="e">
        <f aca="false">O15/$Q15</f>
        <v>#DIV/0!</v>
      </c>
      <c r="P53" s="77" t="e">
        <f aca="false">P15/$Q15</f>
        <v>#DIV/0!</v>
      </c>
      <c r="Q53" s="78" t="e">
        <f aca="false">SUM(E53:P53)</f>
        <v>#DIV/0!</v>
      </c>
    </row>
    <row r="54" customFormat="false" ht="14.25" hidden="false" customHeight="true" outlineLevel="0" collapsed="false">
      <c r="B54" s="23" t="s">
        <v>44</v>
      </c>
      <c r="C54" s="23" t="s">
        <v>44</v>
      </c>
      <c r="D54" s="25" t="s">
        <v>32</v>
      </c>
      <c r="E54" s="77" t="n">
        <f aca="false">E17/$Q17</f>
        <v>0.0833333333333333</v>
      </c>
      <c r="F54" s="77" t="n">
        <f aca="false">F17/$Q17</f>
        <v>0.0793650793650793</v>
      </c>
      <c r="G54" s="77" t="n">
        <f aca="false">G17/$Q17</f>
        <v>0.0912698412698413</v>
      </c>
      <c r="H54" s="77" t="n">
        <f aca="false">H17/$Q17</f>
        <v>0.0674603174603174</v>
      </c>
      <c r="I54" s="77" t="n">
        <f aca="false">I17/$Q17</f>
        <v>0.0793650793650793</v>
      </c>
      <c r="J54" s="77" t="n">
        <f aca="false">J17/$Q17</f>
        <v>0.0873015873015873</v>
      </c>
      <c r="K54" s="77" t="n">
        <f aca="false">K17/$Q17</f>
        <v>0.0873015873015873</v>
      </c>
      <c r="L54" s="77" t="n">
        <f aca="false">L17/$Q17</f>
        <v>0.0873015873015873</v>
      </c>
      <c r="M54" s="77" t="n">
        <f aca="false">M17/$Q17</f>
        <v>0.0753968253968253</v>
      </c>
      <c r="N54" s="77" t="n">
        <f aca="false">N17/$Q17</f>
        <v>0.0833333333333333</v>
      </c>
      <c r="O54" s="77" t="n">
        <f aca="false">O17/$Q17</f>
        <v>0.0873015873015873</v>
      </c>
      <c r="P54" s="77" t="n">
        <f aca="false">P17/$Q17</f>
        <v>0.0912698412698413</v>
      </c>
      <c r="Q54" s="78" t="n">
        <f aca="false">SUM(E54:P54)</f>
        <v>1</v>
      </c>
    </row>
    <row r="55" customFormat="false" ht="14.25" hidden="false" customHeight="true" outlineLevel="0" collapsed="false">
      <c r="B55" s="23" t="s">
        <v>45</v>
      </c>
      <c r="C55" s="23" t="s">
        <v>45</v>
      </c>
      <c r="D55" s="25" t="s">
        <v>32</v>
      </c>
      <c r="E55" s="77" t="n">
        <f aca="false">E18/$Q18</f>
        <v>0.0274927629229143</v>
      </c>
      <c r="F55" s="77" t="n">
        <f aca="false">F18/$Q18</f>
        <v>0.0412391443843716</v>
      </c>
      <c r="G55" s="77" t="n">
        <f aca="false">G18/$Q18</f>
        <v>0.0453630588228087</v>
      </c>
      <c r="H55" s="77" t="n">
        <f aca="false">H18/$Q18</f>
        <v>0.0420442895842569</v>
      </c>
      <c r="I55" s="77" t="n">
        <f aca="false">I18/$Q18</f>
        <v>0.0548893011755986</v>
      </c>
      <c r="J55" s="77" t="n">
        <f aca="false">J18/$Q18</f>
        <v>0.0823339910387734</v>
      </c>
      <c r="K55" s="77" t="n">
        <f aca="false">K18/$Q18</f>
        <v>0.0905673665774254</v>
      </c>
      <c r="L55" s="77" t="n">
        <f aca="false">L18/$Q18</f>
        <v>0.107479186211076</v>
      </c>
      <c r="M55" s="77" t="n">
        <f aca="false">M18/$Q18</f>
        <v>0.0938763169720762</v>
      </c>
      <c r="N55" s="77" t="n">
        <f aca="false">N18/$Q18</f>
        <v>0.120545161065567</v>
      </c>
      <c r="O55" s="77" t="n">
        <f aca="false">O18/$Q18</f>
        <v>0.156164863259246</v>
      </c>
      <c r="P55" s="77" t="n">
        <f aca="false">P18/$Q18</f>
        <v>0.13800455798589</v>
      </c>
      <c r="Q55" s="78" t="n">
        <f aca="false">SUM(E55:P55)</f>
        <v>1</v>
      </c>
    </row>
    <row r="56" customFormat="false" ht="14.25" hidden="false" customHeight="true" outlineLevel="0" collapsed="false">
      <c r="B56" s="37" t="s">
        <v>46</v>
      </c>
      <c r="C56" s="37" t="s">
        <v>46</v>
      </c>
      <c r="D56" s="25" t="s">
        <v>32</v>
      </c>
      <c r="E56" s="77" t="n">
        <f aca="false">E19/$Q19</f>
        <v>0.0833333333333332</v>
      </c>
      <c r="F56" s="77" t="n">
        <f aca="false">F19/$Q19</f>
        <v>0.0833333333333332</v>
      </c>
      <c r="G56" s="77" t="n">
        <f aca="false">G19/$Q19</f>
        <v>0.0833333333333332</v>
      </c>
      <c r="H56" s="77" t="n">
        <f aca="false">H19/$Q19</f>
        <v>0.0833333333333332</v>
      </c>
      <c r="I56" s="77" t="n">
        <f aca="false">I19/$Q19</f>
        <v>0.0833333333333332</v>
      </c>
      <c r="J56" s="77" t="n">
        <f aca="false">J19/$Q19</f>
        <v>0.0833333333333332</v>
      </c>
      <c r="K56" s="77" t="n">
        <f aca="false">K19/$Q19</f>
        <v>0.0833333333333332</v>
      </c>
      <c r="L56" s="77" t="n">
        <f aca="false">L19/$Q19</f>
        <v>0.0833333333333332</v>
      </c>
      <c r="M56" s="77" t="n">
        <f aca="false">M19/$Q19</f>
        <v>0.0833333333333332</v>
      </c>
      <c r="N56" s="77" t="n">
        <f aca="false">N19/$Q19</f>
        <v>0.0833333333333332</v>
      </c>
      <c r="O56" s="77" t="n">
        <f aca="false">O19/$Q19</f>
        <v>0.0833333333333332</v>
      </c>
      <c r="P56" s="77" t="n">
        <f aca="false">P19/$Q19</f>
        <v>0.0833333333333332</v>
      </c>
      <c r="Q56" s="78" t="n">
        <f aca="false">SUM(E56:P56)</f>
        <v>0.999999999999999</v>
      </c>
    </row>
    <row r="57" customFormat="false" ht="14.25" hidden="false" customHeight="true" outlineLevel="0" collapsed="false">
      <c r="B57" s="79"/>
      <c r="C57" s="37"/>
      <c r="D57" s="25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7"/>
    </row>
    <row r="58" customFormat="false" ht="14.25" hidden="false" customHeight="true" outlineLevel="0" collapsed="false">
      <c r="B58" s="80" t="s">
        <v>48</v>
      </c>
      <c r="C58" s="80"/>
      <c r="D58" s="80"/>
      <c r="E58" s="81" t="n">
        <f aca="false">E21/$Q$21</f>
        <v>0.0588861246465973</v>
      </c>
      <c r="F58" s="81" t="n">
        <f aca="false">F21/$Q$21</f>
        <v>0.0650632449081674</v>
      </c>
      <c r="G58" s="81" t="n">
        <f aca="false">G21/$Q$21</f>
        <v>0.0709884693160812</v>
      </c>
      <c r="H58" s="81" t="n">
        <f aca="false">H21/$Q$21</f>
        <v>0.0634825056416419</v>
      </c>
      <c r="I58" s="81" t="n">
        <f aca="false">I21/$Q$21</f>
        <v>0.0730183021349103</v>
      </c>
      <c r="J58" s="81" t="n">
        <f aca="false">J21/$Q$21</f>
        <v>0.0865604040082442</v>
      </c>
      <c r="K58" s="81" t="n">
        <f aca="false">K21/$Q$21</f>
        <v>0.0893838883496365</v>
      </c>
      <c r="L58" s="81" t="n">
        <f aca="false">L21/$Q$21</f>
        <v>0.0951834850880457</v>
      </c>
      <c r="M58" s="81" t="n">
        <f aca="false">M21/$Q$21</f>
        <v>0.0853719021434037</v>
      </c>
      <c r="N58" s="81" t="n">
        <f aca="false">N21/$Q$21</f>
        <v>0.0968679099078312</v>
      </c>
      <c r="O58" s="81" t="n">
        <f aca="false">O21/$Q$21</f>
        <v>0.111291294087989</v>
      </c>
      <c r="P58" s="81" t="n">
        <f aca="false">P21/$Q$21</f>
        <v>0.103902469767453</v>
      </c>
      <c r="Q58" s="81" t="n">
        <f aca="false">SUM(E58:P58)</f>
        <v>1</v>
      </c>
    </row>
    <row r="59" s="4" customFormat="true" ht="14.25" hidden="false" customHeight="true" outlineLevel="0" collapsed="false">
      <c r="B59" s="82" t="s">
        <v>49</v>
      </c>
      <c r="C59" s="56" t="s">
        <v>50</v>
      </c>
      <c r="D59" s="58" t="s">
        <v>51</v>
      </c>
      <c r="E59" s="77" t="n">
        <f aca="false">E22/$Q22</f>
        <v>0.0570021117570476</v>
      </c>
      <c r="F59" s="77" t="n">
        <f aca="false">F22/$Q22</f>
        <v>0.0653835938232768</v>
      </c>
      <c r="G59" s="77" t="n">
        <f aca="false">G22/$Q22</f>
        <v>0.0696784078748597</v>
      </c>
      <c r="H59" s="77" t="n">
        <f aca="false">H22/$Q22</f>
        <v>0.0768617378977106</v>
      </c>
      <c r="I59" s="77" t="n">
        <f aca="false">I22/$Q22</f>
        <v>0.0834250708146909</v>
      </c>
      <c r="J59" s="77" t="n">
        <f aca="false">J22/$Q22</f>
        <v>0.0897009599568587</v>
      </c>
      <c r="K59" s="77" t="n">
        <f aca="false">K22/$Q22</f>
        <v>0.0965571556678041</v>
      </c>
      <c r="L59" s="77" t="n">
        <f aca="false">L22/$Q22</f>
        <v>0.100867568722248</v>
      </c>
      <c r="M59" s="77" t="n">
        <f aca="false">M22/$Q22</f>
        <v>0.0999450513098732</v>
      </c>
      <c r="N59" s="77" t="n">
        <f aca="false">N22/$Q22</f>
        <v>0.0929442364428523</v>
      </c>
      <c r="O59" s="77" t="n">
        <f aca="false">O22/$Q22</f>
        <v>0.0834406909754757</v>
      </c>
      <c r="P59" s="77" t="n">
        <f aca="false">P22/$Q22</f>
        <v>0.084193414757302</v>
      </c>
      <c r="Q59" s="78" t="n">
        <f aca="false">SUM(E59:P59)</f>
        <v>1</v>
      </c>
    </row>
    <row r="60" customFormat="false" ht="14.25" hidden="false" customHeight="true" outlineLevel="0" collapsed="false">
      <c r="B60" s="83" t="s">
        <v>52</v>
      </c>
      <c r="C60" s="64" t="s">
        <v>53</v>
      </c>
      <c r="D60" s="25" t="s">
        <v>54</v>
      </c>
      <c r="E60" s="77" t="n">
        <f aca="false">E23/$Q23</f>
        <v>0</v>
      </c>
      <c r="F60" s="77" t="n">
        <f aca="false">F23/$Q23</f>
        <v>0.24</v>
      </c>
      <c r="G60" s="77" t="n">
        <f aca="false">G23/$Q23</f>
        <v>0</v>
      </c>
      <c r="H60" s="77" t="n">
        <f aca="false">H23/$Q23</f>
        <v>0</v>
      </c>
      <c r="I60" s="77" t="n">
        <f aca="false">I23/$Q23</f>
        <v>0.24</v>
      </c>
      <c r="J60" s="77" t="n">
        <f aca="false">J23/$Q23</f>
        <v>0</v>
      </c>
      <c r="K60" s="77" t="n">
        <f aca="false">K23/$Q23</f>
        <v>0.21</v>
      </c>
      <c r="L60" s="77" t="n">
        <f aca="false">L23/$Q23</f>
        <v>0</v>
      </c>
      <c r="M60" s="77" t="n">
        <f aca="false">M23/$Q23</f>
        <v>0</v>
      </c>
      <c r="N60" s="77" t="n">
        <f aca="false">N23/$Q23</f>
        <v>0.16</v>
      </c>
      <c r="O60" s="77" t="n">
        <f aca="false">O23/$Q23</f>
        <v>0</v>
      </c>
      <c r="P60" s="77" t="n">
        <f aca="false">P23/$Q23</f>
        <v>0.15</v>
      </c>
      <c r="Q60" s="78" t="n">
        <f aca="false">SUM(E60:P60)</f>
        <v>1</v>
      </c>
    </row>
    <row r="61" customFormat="false" ht="14.25" hidden="false" customHeight="true" outlineLevel="0" collapsed="false">
      <c r="B61" s="83" t="s">
        <v>55</v>
      </c>
      <c r="C61" s="64" t="s">
        <v>56</v>
      </c>
      <c r="D61" s="25" t="s">
        <v>57</v>
      </c>
      <c r="E61" s="77" t="n">
        <f aca="false">E24/$Q24</f>
        <v>0.192146643262164</v>
      </c>
      <c r="F61" s="77" t="n">
        <f aca="false">F24/$Q24</f>
        <v>0.0180229155904812</v>
      </c>
      <c r="G61" s="77" t="n">
        <f aca="false">G24/$Q24</f>
        <v>0.0230769134911282</v>
      </c>
      <c r="H61" s="77" t="n">
        <f aca="false">H24/$Q24</f>
        <v>0.153846089940855</v>
      </c>
      <c r="I61" s="77" t="n">
        <f aca="false">I24/$Q24</f>
        <v>0.0230769134911282</v>
      </c>
      <c r="J61" s="77" t="n">
        <f aca="false">J24/$Q24</f>
        <v>0.0538461314792992</v>
      </c>
      <c r="K61" s="77" t="n">
        <f aca="false">K24/$Q24</f>
        <v>0.0205999914430805</v>
      </c>
      <c r="L61" s="77" t="n">
        <f aca="false">L24/$Q24</f>
        <v>0.184615307929026</v>
      </c>
      <c r="M61" s="77" t="n">
        <f aca="false">M24/$Q24</f>
        <v>0.0230769134911282</v>
      </c>
      <c r="N61" s="77" t="n">
        <f aca="false">N24/$Q24</f>
        <v>0</v>
      </c>
      <c r="O61" s="77" t="n">
        <f aca="false">O24/$Q24</f>
        <v>0.30769217988171</v>
      </c>
      <c r="P61" s="77" t="n">
        <f aca="false">P24/$Q24</f>
        <v>0</v>
      </c>
      <c r="Q61" s="78" t="n">
        <f aca="false">SUM(E61:P61)</f>
        <v>1</v>
      </c>
    </row>
    <row r="62" customFormat="false" ht="14.25" hidden="false" customHeight="true" outlineLevel="0" collapsed="false">
      <c r="B62" s="83" t="s">
        <v>58</v>
      </c>
      <c r="C62" s="64" t="s">
        <v>59</v>
      </c>
      <c r="D62" s="25" t="s">
        <v>60</v>
      </c>
      <c r="E62" s="77" t="n">
        <f aca="false">E25/$Q25</f>
        <v>0.134317948059077</v>
      </c>
      <c r="F62" s="77" t="n">
        <f aca="false">F25/$Q25</f>
        <v>0</v>
      </c>
      <c r="G62" s="77" t="n">
        <f aca="false">G25/$Q25</f>
        <v>0.190000011400001</v>
      </c>
      <c r="H62" s="77" t="n">
        <f aca="false">H25/$Q25</f>
        <v>0</v>
      </c>
      <c r="I62" s="77" t="n">
        <f aca="false">I25/$Q25</f>
        <v>0.170000010200001</v>
      </c>
      <c r="J62" s="77" t="n">
        <f aca="false">J25/$Q25</f>
        <v>0</v>
      </c>
      <c r="K62" s="77" t="n">
        <f aca="false">K25/$Q25</f>
        <v>0.170000010200001</v>
      </c>
      <c r="L62" s="77" t="n">
        <f aca="false">L25/$Q25</f>
        <v>0</v>
      </c>
      <c r="M62" s="77" t="n">
        <f aca="false">M25/$Q25</f>
        <v>0.170000010200001</v>
      </c>
      <c r="N62" s="77" t="n">
        <f aca="false">N25/$Q25</f>
        <v>0</v>
      </c>
      <c r="O62" s="77" t="n">
        <f aca="false">O25/$Q25</f>
        <v>0.165682009940921</v>
      </c>
      <c r="P62" s="77" t="n">
        <f aca="false">P25/$Q25</f>
        <v>0</v>
      </c>
      <c r="Q62" s="78" t="n">
        <f aca="false">SUM(E62:P62)</f>
        <v>1</v>
      </c>
    </row>
    <row r="63" customFormat="false" ht="14.25" hidden="false" customHeight="true" outlineLevel="0" collapsed="false">
      <c r="B63" s="83" t="s">
        <v>61</v>
      </c>
      <c r="C63" s="64" t="s">
        <v>62</v>
      </c>
      <c r="D63" s="25" t="s">
        <v>63</v>
      </c>
      <c r="E63" s="77" t="n">
        <f aca="false">E26/$Q26</f>
        <v>0.112678064387465</v>
      </c>
      <c r="F63" s="77" t="n">
        <f aca="false">F26/$Q26</f>
        <v>0</v>
      </c>
      <c r="G63" s="77" t="n">
        <f aca="false">G26/$Q26</f>
        <v>0.121428640816366</v>
      </c>
      <c r="H63" s="77" t="n">
        <f aca="false">H26/$Q26</f>
        <v>0.0714286122449213</v>
      </c>
      <c r="I63" s="77" t="n">
        <f aca="false">I26/$Q26</f>
        <v>0.121428640816366</v>
      </c>
      <c r="J63" s="77" t="n">
        <f aca="false">J26/$Q26</f>
        <v>0.0714286122449213</v>
      </c>
      <c r="K63" s="77" t="n">
        <f aca="false">K26/$Q26</f>
        <v>0.121428640816366</v>
      </c>
      <c r="L63" s="77" t="n">
        <f aca="false">L26/$Q26</f>
        <v>0.0714286122449213</v>
      </c>
      <c r="M63" s="77" t="n">
        <f aca="false">M26/$Q26</f>
        <v>0.121428640816366</v>
      </c>
      <c r="N63" s="77" t="n">
        <f aca="false">N26/$Q26</f>
        <v>0.0658928947959399</v>
      </c>
      <c r="O63" s="77" t="n">
        <f aca="false">O26/$Q26</f>
        <v>0.121428640816366</v>
      </c>
      <c r="P63" s="77" t="n">
        <f aca="false">P26/$Q26</f>
        <v>0</v>
      </c>
      <c r="Q63" s="78" t="n">
        <f aca="false">SUM(E63:P63)</f>
        <v>1</v>
      </c>
    </row>
    <row r="64" customFormat="false" ht="14.25" hidden="false" customHeight="true" outlineLevel="0" collapsed="false">
      <c r="B64" s="83" t="s">
        <v>64</v>
      </c>
      <c r="C64" s="64" t="s">
        <v>65</v>
      </c>
      <c r="D64" s="25" t="s">
        <v>66</v>
      </c>
      <c r="E64" s="77" t="n">
        <f aca="false">E27/$Q27</f>
        <v>0</v>
      </c>
      <c r="F64" s="77" t="n">
        <f aca="false">F27/$Q27</f>
        <v>0</v>
      </c>
      <c r="G64" s="77" t="n">
        <f aca="false">G27/$Q27</f>
        <v>0.1</v>
      </c>
      <c r="H64" s="77" t="n">
        <f aca="false">H27/$Q27</f>
        <v>0.1</v>
      </c>
      <c r="I64" s="77" t="n">
        <f aca="false">I27/$Q27</f>
        <v>0.1</v>
      </c>
      <c r="J64" s="77" t="n">
        <f aca="false">J27/$Q27</f>
        <v>0.1</v>
      </c>
      <c r="K64" s="77" t="n">
        <f aca="false">K27/$Q27</f>
        <v>0.1</v>
      </c>
      <c r="L64" s="77" t="n">
        <f aca="false">L27/$Q27</f>
        <v>0.1</v>
      </c>
      <c r="M64" s="77" t="n">
        <f aca="false">M27/$Q27</f>
        <v>0.1</v>
      </c>
      <c r="N64" s="77" t="n">
        <f aca="false">N27/$Q27</f>
        <v>0.1</v>
      </c>
      <c r="O64" s="77" t="n">
        <f aca="false">O27/$Q27</f>
        <v>0.1</v>
      </c>
      <c r="P64" s="77" t="n">
        <f aca="false">P27/$Q27</f>
        <v>0.1</v>
      </c>
      <c r="Q64" s="78" t="n">
        <f aca="false">SUM(E64:P64)</f>
        <v>1</v>
      </c>
    </row>
    <row r="65" customFormat="false" ht="14.25" hidden="false" customHeight="true" outlineLevel="0" collapsed="false">
      <c r="B65" s="83" t="s">
        <v>67</v>
      </c>
      <c r="C65" s="64" t="s">
        <v>68</v>
      </c>
      <c r="D65" s="25" t="s">
        <v>69</v>
      </c>
      <c r="E65" s="77" t="n">
        <f aca="false">E28/$Q28</f>
        <v>0</v>
      </c>
      <c r="F65" s="77" t="n">
        <f aca="false">F28/$Q28</f>
        <v>0</v>
      </c>
      <c r="G65" s="77" t="n">
        <f aca="false">G28/$Q28</f>
        <v>0</v>
      </c>
      <c r="H65" s="77" t="n">
        <f aca="false">H28/$Q28</f>
        <v>0.333333333333333</v>
      </c>
      <c r="I65" s="77" t="n">
        <f aca="false">I28/$Q28</f>
        <v>0</v>
      </c>
      <c r="J65" s="77" t="n">
        <f aca="false">J28/$Q28</f>
        <v>0</v>
      </c>
      <c r="K65" s="77" t="n">
        <f aca="false">K28/$Q28</f>
        <v>0.333333333333333</v>
      </c>
      <c r="L65" s="77" t="n">
        <f aca="false">L28/$Q28</f>
        <v>0</v>
      </c>
      <c r="M65" s="77" t="n">
        <f aca="false">M28/$Q28</f>
        <v>0</v>
      </c>
      <c r="N65" s="77" t="n">
        <f aca="false">N28/$Q28</f>
        <v>0</v>
      </c>
      <c r="O65" s="77" t="n">
        <f aca="false">O28/$Q28</f>
        <v>0.333333333333333</v>
      </c>
      <c r="P65" s="77" t="n">
        <f aca="false">P28/$Q28</f>
        <v>0</v>
      </c>
      <c r="Q65" s="78" t="n">
        <f aca="false">SUM(E65:P65)</f>
        <v>1</v>
      </c>
    </row>
    <row r="66" customFormat="false" ht="14.25" hidden="false" customHeight="true" outlineLevel="0" collapsed="false">
      <c r="B66" s="83" t="s">
        <v>70</v>
      </c>
      <c r="C66" s="64" t="s">
        <v>71</v>
      </c>
      <c r="D66" s="25" t="s">
        <v>72</v>
      </c>
      <c r="E66" s="77" t="n">
        <f aca="false">E29/$Q29</f>
        <v>0</v>
      </c>
      <c r="F66" s="77" t="n">
        <f aca="false">F29/$Q29</f>
        <v>0.2</v>
      </c>
      <c r="G66" s="77" t="n">
        <f aca="false">G29/$Q29</f>
        <v>0</v>
      </c>
      <c r="H66" s="77" t="n">
        <f aca="false">H29/$Q29</f>
        <v>0.2</v>
      </c>
      <c r="I66" s="77" t="n">
        <f aca="false">I29/$Q29</f>
        <v>0</v>
      </c>
      <c r="J66" s="77" t="n">
        <f aca="false">J29/$Q29</f>
        <v>0.2</v>
      </c>
      <c r="K66" s="77" t="n">
        <f aca="false">K29/$Q29</f>
        <v>0</v>
      </c>
      <c r="L66" s="77" t="n">
        <f aca="false">L29/$Q29</f>
        <v>0.2</v>
      </c>
      <c r="M66" s="77" t="n">
        <f aca="false">M29/$Q29</f>
        <v>0</v>
      </c>
      <c r="N66" s="77" t="n">
        <f aca="false">N29/$Q29</f>
        <v>0</v>
      </c>
      <c r="O66" s="77" t="n">
        <f aca="false">O29/$Q29</f>
        <v>0.2</v>
      </c>
      <c r="P66" s="77" t="n">
        <f aca="false">P29/$Q29</f>
        <v>0</v>
      </c>
      <c r="Q66" s="78" t="n">
        <f aca="false">SUM(E66:P66)</f>
        <v>1</v>
      </c>
    </row>
    <row r="67" customFormat="false" ht="14.25" hidden="false" customHeight="true" outlineLevel="0" collapsed="false">
      <c r="B67" s="83" t="s">
        <v>73</v>
      </c>
      <c r="C67" s="64" t="s">
        <v>74</v>
      </c>
      <c r="D67" s="25" t="s">
        <v>75</v>
      </c>
      <c r="E67" s="77" t="n">
        <f aca="false">E30/$Q30</f>
        <v>0</v>
      </c>
      <c r="F67" s="77" t="n">
        <f aca="false">F30/$Q30</f>
        <v>0</v>
      </c>
      <c r="G67" s="77" t="n">
        <f aca="false">G30/$Q30</f>
        <v>0</v>
      </c>
      <c r="H67" s="77" t="n">
        <f aca="false">H30/$Q30</f>
        <v>0</v>
      </c>
      <c r="I67" s="77" t="n">
        <f aca="false">I30/$Q30</f>
        <v>0</v>
      </c>
      <c r="J67" s="77" t="n">
        <f aca="false">J30/$Q30</f>
        <v>0</v>
      </c>
      <c r="K67" s="77" t="n">
        <f aca="false">K30/$Q30</f>
        <v>0</v>
      </c>
      <c r="L67" s="77" t="n">
        <f aca="false">L30/$Q30</f>
        <v>1</v>
      </c>
      <c r="M67" s="77" t="n">
        <f aca="false">M30/$Q30</f>
        <v>0</v>
      </c>
      <c r="N67" s="77" t="n">
        <f aca="false">N30/$Q30</f>
        <v>0</v>
      </c>
      <c r="O67" s="77" t="n">
        <f aca="false">O30/$Q30</f>
        <v>0</v>
      </c>
      <c r="P67" s="77" t="n">
        <f aca="false">P30/$Q30</f>
        <v>0</v>
      </c>
      <c r="Q67" s="78" t="n">
        <f aca="false">SUM(E67:P67)</f>
        <v>1</v>
      </c>
    </row>
    <row r="68" customFormat="false" ht="14.25" hidden="false" customHeight="true" outlineLevel="0" collapsed="false">
      <c r="B68" s="83" t="s">
        <v>76</v>
      </c>
      <c r="C68" s="64" t="s">
        <v>77</v>
      </c>
      <c r="D68" s="25" t="s">
        <v>78</v>
      </c>
      <c r="E68" s="77" t="n">
        <f aca="false">E31/$Q31</f>
        <v>0.0609549777777778</v>
      </c>
      <c r="F68" s="77" t="n">
        <f aca="false">F31/$Q31</f>
        <v>0.0553766666666667</v>
      </c>
      <c r="G68" s="77" t="n">
        <f aca="false">G31/$Q31</f>
        <v>0.0883668355555556</v>
      </c>
      <c r="H68" s="77" t="n">
        <f aca="false">H31/$Q31</f>
        <v>0.0883668355555556</v>
      </c>
      <c r="I68" s="77" t="n">
        <f aca="false">I31/$Q31</f>
        <v>0.0883668355555556</v>
      </c>
      <c r="J68" s="77" t="n">
        <f aca="false">J31/$Q31</f>
        <v>0.0883668355555556</v>
      </c>
      <c r="K68" s="77" t="n">
        <f aca="false">K31/$Q31</f>
        <v>0.0883668355555556</v>
      </c>
      <c r="L68" s="77" t="n">
        <f aca="false">L31/$Q31</f>
        <v>0.0883668355555556</v>
      </c>
      <c r="M68" s="77" t="n">
        <f aca="false">M31/$Q31</f>
        <v>0.0883668355555556</v>
      </c>
      <c r="N68" s="77" t="n">
        <f aca="false">N31/$Q31</f>
        <v>0.0883668355555556</v>
      </c>
      <c r="O68" s="77" t="n">
        <f aca="false">O31/$Q31</f>
        <v>0.0883668355555556</v>
      </c>
      <c r="P68" s="77" t="n">
        <f aca="false">P31/$Q31</f>
        <v>0.0883668355555556</v>
      </c>
      <c r="Q68" s="78" t="n">
        <f aca="false">SUM(E68:P68)</f>
        <v>1</v>
      </c>
    </row>
    <row r="69" customFormat="false" ht="14.25" hidden="false" customHeight="true" outlineLevel="0" collapsed="false">
      <c r="B69" s="83" t="s">
        <v>79</v>
      </c>
      <c r="C69" s="64" t="s">
        <v>80</v>
      </c>
      <c r="D69" s="25" t="s">
        <v>81</v>
      </c>
      <c r="E69" s="77" t="n">
        <f aca="false">E32/$Q32</f>
        <v>0</v>
      </c>
      <c r="F69" s="77" t="n">
        <f aca="false">F32/$Q32</f>
        <v>0</v>
      </c>
      <c r="G69" s="77" t="n">
        <f aca="false">G32/$Q32</f>
        <v>0</v>
      </c>
      <c r="H69" s="77" t="n">
        <f aca="false">H32/$Q32</f>
        <v>0.5</v>
      </c>
      <c r="I69" s="77" t="n">
        <f aca="false">I32/$Q32</f>
        <v>0</v>
      </c>
      <c r="J69" s="77" t="n">
        <f aca="false">J32/$Q32</f>
        <v>0</v>
      </c>
      <c r="K69" s="77" t="n">
        <f aca="false">K32/$Q32</f>
        <v>0</v>
      </c>
      <c r="L69" s="77" t="n">
        <f aca="false">L32/$Q32</f>
        <v>0</v>
      </c>
      <c r="M69" s="77" t="n">
        <f aca="false">M32/$Q32</f>
        <v>0</v>
      </c>
      <c r="N69" s="77" t="n">
        <f aca="false">N32/$Q32</f>
        <v>0.5</v>
      </c>
      <c r="O69" s="77" t="n">
        <f aca="false">O32/$Q32</f>
        <v>0</v>
      </c>
      <c r="P69" s="77" t="n">
        <f aca="false">P32/$Q32</f>
        <v>0</v>
      </c>
      <c r="Q69" s="78" t="n">
        <f aca="false">SUM(E69:P69)</f>
        <v>1</v>
      </c>
    </row>
    <row r="70" customFormat="false" ht="14.25" hidden="false" customHeight="true" outlineLevel="0" collapsed="false">
      <c r="B70" s="83" t="s">
        <v>82</v>
      </c>
      <c r="C70" s="64" t="s">
        <v>83</v>
      </c>
      <c r="D70" s="25" t="s">
        <v>81</v>
      </c>
      <c r="E70" s="77" t="n">
        <f aca="false">E33/$Q33</f>
        <v>0</v>
      </c>
      <c r="F70" s="77" t="n">
        <f aca="false">F33/$Q33</f>
        <v>0</v>
      </c>
      <c r="G70" s="77" t="n">
        <f aca="false">G33/$Q33</f>
        <v>0.334487314568595</v>
      </c>
      <c r="H70" s="77" t="n">
        <f aca="false">H33/$Q33</f>
        <v>0</v>
      </c>
      <c r="I70" s="77" t="n">
        <f aca="false">I33/$Q33</f>
        <v>0</v>
      </c>
      <c r="J70" s="77" t="n">
        <f aca="false">J33/$Q33</f>
        <v>0</v>
      </c>
      <c r="K70" s="77" t="n">
        <f aca="false">K33/$Q33</f>
        <v>0.334487314568595</v>
      </c>
      <c r="L70" s="77" t="n">
        <f aca="false">L33/$Q33</f>
        <v>0</v>
      </c>
      <c r="M70" s="77" t="n">
        <f aca="false">M33/$Q33</f>
        <v>0</v>
      </c>
      <c r="N70" s="77" t="n">
        <f aca="false">N33/$Q33</f>
        <v>0</v>
      </c>
      <c r="O70" s="77" t="n">
        <f aca="false">O33/$Q33</f>
        <v>0.33102537086281</v>
      </c>
      <c r="P70" s="77" t="n">
        <f aca="false">P33/$Q33</f>
        <v>0</v>
      </c>
      <c r="Q70" s="78" t="n">
        <f aca="false">SUM(E70:P70)</f>
        <v>1</v>
      </c>
    </row>
    <row r="71" customFormat="false" ht="14.25" hidden="false" customHeight="true" outlineLevel="0" collapsed="false">
      <c r="B71" s="84" t="s">
        <v>84</v>
      </c>
      <c r="C71" s="64" t="s">
        <v>85</v>
      </c>
      <c r="D71" s="25" t="s">
        <v>86</v>
      </c>
      <c r="E71" s="77" t="n">
        <f aca="false">E34/$Q34</f>
        <v>0</v>
      </c>
      <c r="F71" s="77" t="n">
        <f aca="false">F34/$Q34</f>
        <v>0</v>
      </c>
      <c r="G71" s="77" t="n">
        <f aca="false">G34/$Q34</f>
        <v>0.211764705882353</v>
      </c>
      <c r="H71" s="77" t="n">
        <f aca="false">H34/$Q34</f>
        <v>0</v>
      </c>
      <c r="I71" s="77" t="n">
        <f aca="false">I34/$Q34</f>
        <v>0</v>
      </c>
      <c r="J71" s="77" t="n">
        <f aca="false">J34/$Q34</f>
        <v>0</v>
      </c>
      <c r="K71" s="77" t="n">
        <f aca="false">K34/$Q34</f>
        <v>0.211764705882353</v>
      </c>
      <c r="L71" s="77" t="n">
        <f aca="false">L34/$Q34</f>
        <v>0</v>
      </c>
      <c r="M71" s="77" t="n">
        <f aca="false">M34/$Q34</f>
        <v>0.576470588235294</v>
      </c>
      <c r="N71" s="77" t="n">
        <f aca="false">N34/$Q34</f>
        <v>0</v>
      </c>
      <c r="O71" s="77" t="n">
        <f aca="false">O34/$Q34</f>
        <v>0</v>
      </c>
      <c r="P71" s="77" t="n">
        <f aca="false">P34/$Q34</f>
        <v>0</v>
      </c>
      <c r="Q71" s="78" t="n">
        <f aca="false">SUM(E71:P71)</f>
        <v>1</v>
      </c>
    </row>
    <row r="72" customFormat="false" ht="14.25" hidden="false" customHeight="true" outlineLevel="0" collapsed="false">
      <c r="B72" s="83" t="s">
        <v>87</v>
      </c>
      <c r="C72" s="64" t="s">
        <v>88</v>
      </c>
      <c r="D72" s="25" t="s">
        <v>89</v>
      </c>
      <c r="E72" s="77" t="n">
        <f aca="false">E35/$Q35</f>
        <v>0.4698165</v>
      </c>
      <c r="F72" s="77" t="n">
        <f aca="false">F35/$Q35</f>
        <v>0</v>
      </c>
      <c r="G72" s="77" t="n">
        <f aca="false">G35/$Q35</f>
        <v>0</v>
      </c>
      <c r="H72" s="77" t="n">
        <f aca="false">H35/$Q35</f>
        <v>0</v>
      </c>
      <c r="I72" s="77" t="n">
        <f aca="false">I35/$Q35</f>
        <v>0.5301835</v>
      </c>
      <c r="J72" s="77" t="n">
        <f aca="false">J35/$Q35</f>
        <v>0</v>
      </c>
      <c r="K72" s="77" t="n">
        <f aca="false">K35/$Q35</f>
        <v>0</v>
      </c>
      <c r="L72" s="77" t="n">
        <f aca="false">L35/$Q35</f>
        <v>0</v>
      </c>
      <c r="M72" s="77" t="n">
        <f aca="false">M35/$Q35</f>
        <v>0</v>
      </c>
      <c r="N72" s="77" t="n">
        <f aca="false">N35/$Q35</f>
        <v>0</v>
      </c>
      <c r="O72" s="77" t="n">
        <f aca="false">O35/$Q35</f>
        <v>0</v>
      </c>
      <c r="P72" s="77" t="n">
        <f aca="false">P35/$Q35</f>
        <v>0</v>
      </c>
      <c r="Q72" s="78" t="n">
        <f aca="false">SUM(E72:P72)</f>
        <v>1</v>
      </c>
    </row>
    <row r="73" customFormat="false" ht="14.25" hidden="false" customHeight="true" outlineLevel="0" collapsed="false">
      <c r="B73" s="83" t="s">
        <v>90</v>
      </c>
      <c r="C73" s="64" t="s">
        <v>91</v>
      </c>
      <c r="D73" s="25" t="s">
        <v>92</v>
      </c>
      <c r="E73" s="77" t="n">
        <f aca="false">E36/$Q36</f>
        <v>0</v>
      </c>
      <c r="F73" s="77" t="n">
        <f aca="false">F36/$Q36</f>
        <v>0</v>
      </c>
      <c r="G73" s="77" t="n">
        <f aca="false">G36/$Q36</f>
        <v>0</v>
      </c>
      <c r="H73" s="77" t="n">
        <f aca="false">H36/$Q36</f>
        <v>0</v>
      </c>
      <c r="I73" s="77" t="n">
        <f aca="false">I36/$Q36</f>
        <v>0.5</v>
      </c>
      <c r="J73" s="77" t="n">
        <f aca="false">J36/$Q36</f>
        <v>0</v>
      </c>
      <c r="K73" s="77" t="n">
        <f aca="false">K36/$Q36</f>
        <v>0</v>
      </c>
      <c r="L73" s="77" t="n">
        <f aca="false">L36/$Q36</f>
        <v>0</v>
      </c>
      <c r="M73" s="77" t="n">
        <f aca="false">M36/$Q36</f>
        <v>0</v>
      </c>
      <c r="N73" s="77" t="n">
        <f aca="false">N36/$Q36</f>
        <v>0</v>
      </c>
      <c r="O73" s="77" t="n">
        <f aca="false">O36/$Q36</f>
        <v>0.5</v>
      </c>
      <c r="P73" s="77" t="n">
        <f aca="false">P36/$Q36</f>
        <v>0</v>
      </c>
      <c r="Q73" s="78" t="n">
        <f aca="false">SUM(E73:P73)</f>
        <v>1</v>
      </c>
    </row>
    <row r="74" customFormat="false" ht="14.25" hidden="false" customHeight="true" outlineLevel="0" collapsed="false">
      <c r="B74" s="84"/>
      <c r="C74" s="64" t="s">
        <v>93</v>
      </c>
      <c r="D74" s="25"/>
      <c r="E74" s="77" t="e">
        <f aca="false">E37/$Q37</f>
        <v>#DIV/0!</v>
      </c>
      <c r="F74" s="77" t="e">
        <f aca="false">F37/$Q37</f>
        <v>#DIV/0!</v>
      </c>
      <c r="G74" s="77" t="e">
        <f aca="false">G37/$Q37</f>
        <v>#DIV/0!</v>
      </c>
      <c r="H74" s="77" t="e">
        <f aca="false">H37/$Q37</f>
        <v>#DIV/0!</v>
      </c>
      <c r="I74" s="77" t="e">
        <f aca="false">I37/$Q37</f>
        <v>#DIV/0!</v>
      </c>
      <c r="J74" s="77" t="e">
        <f aca="false">J37/$Q37</f>
        <v>#DIV/0!</v>
      </c>
      <c r="K74" s="77" t="e">
        <f aca="false">K37/$Q37</f>
        <v>#DIV/0!</v>
      </c>
      <c r="L74" s="77" t="e">
        <f aca="false">L37/$Q37</f>
        <v>#DIV/0!</v>
      </c>
      <c r="M74" s="77" t="e">
        <f aca="false">M37/$Q37</f>
        <v>#DIV/0!</v>
      </c>
      <c r="N74" s="77" t="e">
        <f aca="false">N37/$Q37</f>
        <v>#DIV/0!</v>
      </c>
      <c r="O74" s="77" t="e">
        <f aca="false">O37/$Q37</f>
        <v>#DIV/0!</v>
      </c>
      <c r="P74" s="77" t="e">
        <f aca="false">P37/$Q37</f>
        <v>#DIV/0!</v>
      </c>
      <c r="Q74" s="78" t="e">
        <f aca="false">SUM(E74:P74)</f>
        <v>#DIV/0!</v>
      </c>
    </row>
    <row r="75" customFormat="false" ht="14.25" hidden="false" customHeight="true" outlineLevel="0" collapsed="false">
      <c r="B75" s="84" t="s">
        <v>94</v>
      </c>
      <c r="C75" s="64" t="s">
        <v>95</v>
      </c>
      <c r="D75" s="25" t="s">
        <v>51</v>
      </c>
      <c r="E75" s="77" t="n">
        <f aca="false">E38/$Q38</f>
        <v>0</v>
      </c>
      <c r="F75" s="77" t="n">
        <f aca="false">F38/$Q38</f>
        <v>0</v>
      </c>
      <c r="G75" s="77" t="n">
        <f aca="false">G38/$Q38</f>
        <v>0</v>
      </c>
      <c r="H75" s="77" t="n">
        <f aca="false">H38/$Q38</f>
        <v>0.333333333333333</v>
      </c>
      <c r="I75" s="77" t="n">
        <f aca="false">I38/$Q38</f>
        <v>0</v>
      </c>
      <c r="J75" s="77" t="n">
        <f aca="false">J38/$Q38</f>
        <v>0</v>
      </c>
      <c r="K75" s="77" t="n">
        <f aca="false">K38/$Q38</f>
        <v>0</v>
      </c>
      <c r="L75" s="77" t="n">
        <f aca="false">L38/$Q38</f>
        <v>0.333333333333333</v>
      </c>
      <c r="M75" s="77" t="n">
        <f aca="false">M38/$Q38</f>
        <v>0</v>
      </c>
      <c r="N75" s="77" t="n">
        <f aca="false">N38/$Q38</f>
        <v>0</v>
      </c>
      <c r="O75" s="77" t="n">
        <f aca="false">O38/$Q38</f>
        <v>0.333333333333333</v>
      </c>
      <c r="P75" s="77" t="n">
        <f aca="false">P38/$Q38</f>
        <v>0</v>
      </c>
      <c r="Q75" s="78" t="n">
        <f aca="false">SUM(E75:P75)</f>
        <v>1</v>
      </c>
    </row>
    <row r="76" customFormat="false" ht="14.25" hidden="false" customHeight="true" outlineLevel="0" collapsed="false">
      <c r="B76" s="85" t="s">
        <v>96</v>
      </c>
      <c r="C76" s="64" t="s">
        <v>97</v>
      </c>
      <c r="D76" s="25"/>
      <c r="E76" s="77" t="n">
        <f aca="false">E39/$Q39</f>
        <v>0</v>
      </c>
      <c r="F76" s="77" t="n">
        <f aca="false">F39/$Q39</f>
        <v>0</v>
      </c>
      <c r="G76" s="77" t="n">
        <f aca="false">G39/$Q39</f>
        <v>0</v>
      </c>
      <c r="H76" s="77" t="n">
        <f aca="false">H39/$Q39</f>
        <v>0</v>
      </c>
      <c r="I76" s="77" t="n">
        <f aca="false">I39/$Q39</f>
        <v>0</v>
      </c>
      <c r="J76" s="77" t="n">
        <f aca="false">J39/$Q39</f>
        <v>0.5</v>
      </c>
      <c r="K76" s="77" t="n">
        <f aca="false">K39/$Q39</f>
        <v>0</v>
      </c>
      <c r="L76" s="77" t="n">
        <f aca="false">L39/$Q39</f>
        <v>0</v>
      </c>
      <c r="M76" s="77" t="n">
        <f aca="false">M39/$Q39</f>
        <v>0</v>
      </c>
      <c r="N76" s="77" t="n">
        <f aca="false">N39/$Q39</f>
        <v>0</v>
      </c>
      <c r="O76" s="77" t="n">
        <f aca="false">O39/$Q39</f>
        <v>0.5</v>
      </c>
      <c r="P76" s="77" t="n">
        <f aca="false">P39/$Q39</f>
        <v>0</v>
      </c>
      <c r="Q76" s="78" t="n">
        <f aca="false">SUM(E76:P76)</f>
        <v>1</v>
      </c>
    </row>
    <row r="77" customFormat="false" ht="14.25" hidden="false" customHeight="true" outlineLevel="0" collapsed="false">
      <c r="B77" s="80" t="s">
        <v>98</v>
      </c>
      <c r="C77" s="80"/>
      <c r="D77" s="80"/>
      <c r="E77" s="81" t="n">
        <f aca="false">E40/$Q$40</f>
        <v>0.053809091658406</v>
      </c>
      <c r="F77" s="81" t="n">
        <f aca="false">F40/$Q$40</f>
        <v>0.0638094831223462</v>
      </c>
      <c r="G77" s="81" t="n">
        <f aca="false">G40/$Q$40</f>
        <v>0.055471716232862</v>
      </c>
      <c r="H77" s="81" t="n">
        <f aca="false">H40/$Q$40</f>
        <v>0.0968065846601469</v>
      </c>
      <c r="I77" s="81" t="n">
        <f aca="false">I40/$Q$40</f>
        <v>0.0875806422499779</v>
      </c>
      <c r="J77" s="81" t="n">
        <f aca="false">J40/$Q$40</f>
        <v>0.0775176314234004</v>
      </c>
      <c r="K77" s="81" t="n">
        <f aca="false">K40/$Q$40</f>
        <v>0.10378584301906</v>
      </c>
      <c r="L77" s="81" t="n">
        <f aca="false">L40/$Q$40</f>
        <v>0.117219441404307</v>
      </c>
      <c r="M77" s="81" t="n">
        <f aca="false">M40/$Q$40</f>
        <v>0.0703541904385268</v>
      </c>
      <c r="N77" s="81" t="n">
        <f aca="false">N40/$Q$40</f>
        <v>0.0705162384791107</v>
      </c>
      <c r="O77" s="81" t="n">
        <f aca="false">O40/$Q$40</f>
        <v>0.144454181232548</v>
      </c>
      <c r="P77" s="81" t="n">
        <f aca="false">P40/$Q$40</f>
        <v>0.0607196589032559</v>
      </c>
      <c r="Q77" s="81" t="n">
        <f aca="false">SUM(E77:P77)</f>
        <v>1.00204470282395</v>
      </c>
    </row>
    <row r="78" customFormat="false" ht="15" hidden="false" customHeight="true" outlineLevel="0" collapsed="false">
      <c r="B78" s="86" t="s">
        <v>99</v>
      </c>
      <c r="C78" s="86"/>
      <c r="D78" s="86"/>
      <c r="E78" s="87" t="n">
        <f aca="false">E41/$Q$41</f>
        <v>0.0576819886197652</v>
      </c>
      <c r="F78" s="87" t="n">
        <f aca="false">F41/$Q$41</f>
        <v>0.0647658862463498</v>
      </c>
      <c r="G78" s="87" t="n">
        <f aca="false">G41/$Q$41</f>
        <v>0.0673083117416831</v>
      </c>
      <c r="H78" s="87" t="n">
        <f aca="false">H41/$Q$41</f>
        <v>0.0713860832233734</v>
      </c>
      <c r="I78" s="87" t="n">
        <f aca="false">I41/$Q$41</f>
        <v>0.0764720985566234</v>
      </c>
      <c r="J78" s="87" t="n">
        <f aca="false">J41/$Q$41</f>
        <v>0.0844157009351726</v>
      </c>
      <c r="K78" s="87" t="n">
        <f aca="false">K41/$Q$41</f>
        <v>0.0927996456461894</v>
      </c>
      <c r="L78" s="87" t="n">
        <f aca="false">L41/$Q$41</f>
        <v>0.100409822783275</v>
      </c>
      <c r="M78" s="87" t="n">
        <f aca="false">M41/$Q$41</f>
        <v>0.0818101037965188</v>
      </c>
      <c r="N78" s="87" t="n">
        <f aca="false">N41/$Q$41</f>
        <v>0.0906180003625581</v>
      </c>
      <c r="O78" s="87" t="n">
        <f aca="false">O41/$Q$41</f>
        <v>0.119156641281401</v>
      </c>
      <c r="P78" s="87" t="n">
        <f aca="false">P41/$Q$41</f>
        <v>0.0936606654651379</v>
      </c>
      <c r="Q78" s="88" t="n">
        <f aca="false">SUM(E78:P78)</f>
        <v>1.00048494865805</v>
      </c>
    </row>
  </sheetData>
  <mergeCells count="3">
    <mergeCell ref="B58:D58"/>
    <mergeCell ref="B77:D77"/>
    <mergeCell ref="B78:D7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K6" activeCellId="0" sqref="K6"/>
    </sheetView>
  </sheetViews>
  <sheetFormatPr defaultColWidth="8.625" defaultRowHeight="14.25" zeroHeight="false" outlineLevelRow="0" outlineLevelCol="0"/>
  <cols>
    <col collapsed="false" customWidth="true" hidden="false" outlineLevel="0" max="1" min="1" style="0" width="2.88"/>
    <col collapsed="false" customWidth="true" hidden="true" outlineLevel="0" max="3" min="2" style="0" width="28"/>
    <col collapsed="false" customWidth="true" hidden="false" outlineLevel="0" max="4" min="4" style="0" width="28"/>
    <col collapsed="false" customWidth="true" hidden="false" outlineLevel="0" max="5" min="5" style="0" width="13.38"/>
    <col collapsed="false" customWidth="true" hidden="false" outlineLevel="0" max="9" min="6" style="0" width="12.25"/>
    <col collapsed="false" customWidth="true" hidden="false" outlineLevel="0" max="11" min="11" style="0" width="13.62"/>
    <col collapsed="false" customWidth="true" hidden="false" outlineLevel="0" max="12" min="12" style="0" width="14.25"/>
    <col collapsed="false" customWidth="true" hidden="false" outlineLevel="0" max="17" min="14" style="0" width="13.25"/>
  </cols>
  <sheetData>
    <row r="1" customFormat="false" ht="15.75" hidden="false" customHeight="true" outlineLevel="0" collapsed="false">
      <c r="B1" s="6"/>
      <c r="C1" s="6" t="s">
        <v>101</v>
      </c>
      <c r="D1" s="6" t="s">
        <v>101</v>
      </c>
      <c r="E1" s="6"/>
      <c r="F1" s="89"/>
      <c r="G1" s="89"/>
      <c r="H1" s="89"/>
      <c r="I1" s="89"/>
      <c r="K1" s="0" t="n">
        <v>2025</v>
      </c>
      <c r="L1" s="0" t="n">
        <v>2025</v>
      </c>
      <c r="N1" s="0" t="n">
        <v>2026</v>
      </c>
      <c r="O1" s="0" t="n">
        <v>2026</v>
      </c>
      <c r="P1" s="0" t="n">
        <v>2026</v>
      </c>
      <c r="Q1" s="0" t="n">
        <v>2026</v>
      </c>
    </row>
    <row r="2" customFormat="false" ht="15" hidden="false" customHeight="true" outlineLevel="0" collapsed="false">
      <c r="A2" s="90" t="s">
        <v>2</v>
      </c>
      <c r="B2" s="91"/>
      <c r="C2" s="91"/>
      <c r="D2" s="91"/>
      <c r="E2" s="91" t="s">
        <v>3</v>
      </c>
      <c r="F2" s="92" t="n">
        <v>2024</v>
      </c>
      <c r="G2" s="92" t="n">
        <v>2025</v>
      </c>
      <c r="H2" s="92" t="s">
        <v>102</v>
      </c>
      <c r="I2" s="92" t="s">
        <v>103</v>
      </c>
      <c r="K2" s="92" t="s">
        <v>104</v>
      </c>
      <c r="L2" s="92" t="s">
        <v>105</v>
      </c>
      <c r="N2" s="92" t="s">
        <v>106</v>
      </c>
      <c r="O2" s="92" t="s">
        <v>107</v>
      </c>
      <c r="P2" s="92" t="s">
        <v>108</v>
      </c>
      <c r="Q2" s="92" t="s">
        <v>105</v>
      </c>
    </row>
    <row r="3" customFormat="false" ht="14.25" hidden="false" customHeight="true" outlineLevel="0" collapsed="false">
      <c r="A3" s="93" t="n">
        <v>5</v>
      </c>
      <c r="B3" s="94" t="s">
        <v>109</v>
      </c>
      <c r="C3" s="94" t="s">
        <v>31</v>
      </c>
      <c r="D3" s="94" t="s">
        <v>31</v>
      </c>
      <c r="E3" s="94" t="s">
        <v>32</v>
      </c>
      <c r="F3" s="95" t="n">
        <v>2052731.8</v>
      </c>
      <c r="G3" s="95" t="n">
        <v>1708656.85</v>
      </c>
      <c r="H3" s="95" t="n">
        <v>2520000</v>
      </c>
      <c r="I3" s="95" t="n">
        <v>1940443.3</v>
      </c>
      <c r="K3" s="96" t="n">
        <v>118392</v>
      </c>
      <c r="L3" s="96" t="n">
        <v>1708656.85</v>
      </c>
      <c r="N3" s="96" t="n">
        <v>0</v>
      </c>
      <c r="O3" s="96" t="n">
        <v>0</v>
      </c>
      <c r="P3" s="96" t="n">
        <v>78890.5263157895</v>
      </c>
      <c r="Q3" s="96" t="n">
        <v>1406948.02105263</v>
      </c>
    </row>
    <row r="4" customFormat="false" ht="14.25" hidden="false" customHeight="true" outlineLevel="0" collapsed="false">
      <c r="A4" s="97" t="n">
        <v>1</v>
      </c>
      <c r="B4" s="94" t="s">
        <v>33</v>
      </c>
      <c r="C4" s="94" t="s">
        <v>33</v>
      </c>
      <c r="D4" s="94" t="s">
        <v>33</v>
      </c>
      <c r="E4" s="94" t="s">
        <v>32</v>
      </c>
      <c r="F4" s="95" t="n">
        <v>5482291.178</v>
      </c>
      <c r="G4" s="95" t="n">
        <v>6071777.62260004</v>
      </c>
      <c r="H4" s="95" t="n">
        <v>6779000</v>
      </c>
      <c r="I4" s="95" t="n">
        <v>6074937.893</v>
      </c>
      <c r="K4" s="96" t="n">
        <v>176505</v>
      </c>
      <c r="L4" s="96" t="n">
        <v>6689220.5</v>
      </c>
      <c r="N4" s="96" t="n">
        <v>1952</v>
      </c>
      <c r="O4" s="96" t="n">
        <v>147652.2</v>
      </c>
      <c r="P4" s="96" t="n">
        <v>149440.421052632</v>
      </c>
      <c r="Q4" s="96" t="n">
        <v>5654545.64210526</v>
      </c>
    </row>
    <row r="5" s="14" customFormat="true" ht="14.25" hidden="false" customHeight="true" outlineLevel="0" collapsed="false">
      <c r="A5" s="98" t="n">
        <v>7</v>
      </c>
      <c r="B5" s="99" t="s">
        <v>34</v>
      </c>
      <c r="C5" s="99" t="s">
        <v>34</v>
      </c>
      <c r="D5" s="99" t="s">
        <v>34</v>
      </c>
      <c r="E5" s="99" t="s">
        <v>32</v>
      </c>
      <c r="F5" s="100" t="n">
        <v>1089803.806</v>
      </c>
      <c r="G5" s="100" t="n">
        <v>828689.86</v>
      </c>
      <c r="H5" s="100" t="n">
        <v>900000</v>
      </c>
      <c r="I5" s="100" t="n">
        <v>1037274.565</v>
      </c>
      <c r="K5" s="101" t="n">
        <v>27268</v>
      </c>
      <c r="L5" s="101" t="n">
        <v>889501.1</v>
      </c>
      <c r="N5" s="101" t="n">
        <v>8</v>
      </c>
      <c r="O5" s="101" t="n">
        <v>918.4</v>
      </c>
      <c r="P5" s="101" t="n">
        <v>24137.6842105263</v>
      </c>
      <c r="Q5" s="101" t="n">
        <v>854230.484210526</v>
      </c>
    </row>
    <row r="6" customFormat="false" ht="14.25" hidden="false" customHeight="true" outlineLevel="0" collapsed="false">
      <c r="A6" s="97" t="n">
        <v>4</v>
      </c>
      <c r="B6" s="94" t="s">
        <v>35</v>
      </c>
      <c r="C6" s="94" t="s">
        <v>35</v>
      </c>
      <c r="D6" s="94" t="s">
        <v>35</v>
      </c>
      <c r="E6" s="94" t="s">
        <v>32</v>
      </c>
      <c r="F6" s="95" t="n">
        <v>1835959.53</v>
      </c>
      <c r="G6" s="95" t="n">
        <v>1941001.5794</v>
      </c>
      <c r="H6" s="95" t="n">
        <v>1947000</v>
      </c>
      <c r="I6" s="95" t="n">
        <v>2118523.978</v>
      </c>
      <c r="K6" s="96"/>
      <c r="L6" s="96" t="n">
        <v>2120059.06</v>
      </c>
      <c r="N6" s="96"/>
      <c r="O6" s="96" t="n">
        <v>63207.99</v>
      </c>
      <c r="P6" s="96"/>
      <c r="Q6" s="96" t="n">
        <v>1774351.41473685</v>
      </c>
    </row>
    <row r="7" customFormat="false" ht="14.25" hidden="false" customHeight="true" outlineLevel="0" collapsed="false">
      <c r="A7" s="97" t="n">
        <v>3</v>
      </c>
      <c r="B7" s="94" t="s">
        <v>110</v>
      </c>
      <c r="C7" s="94" t="s">
        <v>36</v>
      </c>
      <c r="D7" s="94" t="s">
        <v>36</v>
      </c>
      <c r="E7" s="94" t="s">
        <v>32</v>
      </c>
      <c r="F7" s="95" t="n">
        <v>4118466.1</v>
      </c>
      <c r="G7" s="95" t="n">
        <v>3809616.42</v>
      </c>
      <c r="H7" s="95" t="n">
        <v>4381000</v>
      </c>
      <c r="I7" s="95" t="n">
        <v>3722410.85</v>
      </c>
      <c r="K7" s="96" t="n">
        <v>152395</v>
      </c>
      <c r="L7" s="96" t="n">
        <v>3809616.42</v>
      </c>
      <c r="N7" s="96" t="n">
        <v>-2</v>
      </c>
      <c r="O7" s="96" t="n">
        <v>-1176</v>
      </c>
      <c r="P7" s="96" t="n">
        <v>139120.421052632</v>
      </c>
      <c r="Q7" s="96" t="n">
        <v>3245877.53684211</v>
      </c>
    </row>
    <row r="8" customFormat="false" ht="14.25" hidden="false" customHeight="true" outlineLevel="0" collapsed="false">
      <c r="A8" s="97" t="n">
        <v>8</v>
      </c>
      <c r="B8" s="94" t="s">
        <v>111</v>
      </c>
      <c r="C8" s="94" t="s">
        <v>37</v>
      </c>
      <c r="D8" s="94" t="s">
        <v>37</v>
      </c>
      <c r="E8" s="94" t="s">
        <v>32</v>
      </c>
      <c r="F8" s="95" t="n">
        <v>797978.25</v>
      </c>
      <c r="G8" s="95" t="n">
        <v>892626.19</v>
      </c>
      <c r="H8" s="95" t="n">
        <v>1220000</v>
      </c>
      <c r="I8" s="95" t="n">
        <v>943097.611</v>
      </c>
      <c r="K8" s="96"/>
      <c r="L8" s="96" t="n">
        <v>860680.72</v>
      </c>
      <c r="N8" s="96"/>
      <c r="O8" s="96" t="n">
        <v>308751.05</v>
      </c>
      <c r="P8" s="96"/>
      <c r="Q8" s="96" t="n">
        <v>624255.688421052</v>
      </c>
    </row>
    <row r="9" customFormat="false" ht="14.25" hidden="false" customHeight="true" outlineLevel="0" collapsed="false">
      <c r="A9" s="97" t="n">
        <v>6</v>
      </c>
      <c r="B9" s="94" t="s">
        <v>112</v>
      </c>
      <c r="C9" s="94" t="s">
        <v>38</v>
      </c>
      <c r="D9" s="94" t="s">
        <v>38</v>
      </c>
      <c r="E9" s="94" t="s">
        <v>32</v>
      </c>
      <c r="F9" s="95" t="n">
        <v>901019.25</v>
      </c>
      <c r="G9" s="95" t="n">
        <v>854818.94</v>
      </c>
      <c r="H9" s="95" t="n">
        <v>1979000</v>
      </c>
      <c r="I9" s="95" t="n">
        <v>1075277.57</v>
      </c>
      <c r="K9" s="96" t="n">
        <v>11637</v>
      </c>
      <c r="L9" s="96" t="n">
        <v>850045.24</v>
      </c>
      <c r="N9" s="96" t="n">
        <v>728</v>
      </c>
      <c r="O9" s="96" t="n">
        <v>56220.09</v>
      </c>
      <c r="P9" s="96" t="n">
        <v>9871.57894736842</v>
      </c>
      <c r="Q9" s="96" t="n">
        <v>818053.907368421</v>
      </c>
    </row>
    <row r="10" customFormat="false" ht="14.25" hidden="false" customHeight="true" outlineLevel="0" collapsed="false">
      <c r="A10" s="102" t="n">
        <v>10</v>
      </c>
      <c r="B10" s="94" t="s">
        <v>113</v>
      </c>
      <c r="C10" s="94" t="s">
        <v>39</v>
      </c>
      <c r="D10" s="94" t="s">
        <v>39</v>
      </c>
      <c r="E10" s="94" t="s">
        <v>32</v>
      </c>
      <c r="F10" s="95" t="n">
        <v>187203.67</v>
      </c>
      <c r="G10" s="95" t="n">
        <v>185250.51</v>
      </c>
      <c r="H10" s="95" t="n">
        <v>190000</v>
      </c>
      <c r="I10" s="95" t="n">
        <v>151235.08</v>
      </c>
      <c r="K10" s="96" t="n">
        <v>3679</v>
      </c>
      <c r="L10" s="96" t="n">
        <v>185250.51</v>
      </c>
      <c r="N10" s="96" t="n">
        <v>253</v>
      </c>
      <c r="O10" s="96" t="n">
        <v>13716.33</v>
      </c>
      <c r="P10" s="96" t="n">
        <v>1740.63157894737</v>
      </c>
      <c r="Q10" s="96" t="n">
        <v>98772.012631579</v>
      </c>
    </row>
    <row r="11" customFormat="false" ht="14.25" hidden="false" customHeight="true" outlineLevel="0" collapsed="false">
      <c r="A11" s="97" t="n">
        <v>11</v>
      </c>
      <c r="B11" s="94" t="s">
        <v>114</v>
      </c>
      <c r="C11" s="94" t="s">
        <v>40</v>
      </c>
      <c r="D11" s="94" t="s">
        <v>40</v>
      </c>
      <c r="E11" s="94" t="s">
        <v>32</v>
      </c>
      <c r="F11" s="95" t="n">
        <v>92204.35</v>
      </c>
      <c r="G11" s="95" t="n">
        <v>57359.72</v>
      </c>
      <c r="H11" s="95" t="n">
        <v>100000</v>
      </c>
      <c r="I11" s="95" t="n">
        <v>94015.41</v>
      </c>
      <c r="K11" s="96" t="n">
        <v>1208</v>
      </c>
      <c r="L11" s="96" t="n">
        <v>58306.79</v>
      </c>
      <c r="N11" s="96" t="n">
        <v>244</v>
      </c>
      <c r="O11" s="96" t="n">
        <v>18033.75</v>
      </c>
      <c r="P11" s="96" t="n">
        <v>833.684210526316</v>
      </c>
      <c r="Q11" s="96" t="n">
        <v>58745.8736842105</v>
      </c>
    </row>
    <row r="12" customFormat="false" ht="14.25" hidden="false" customHeight="true" outlineLevel="0" collapsed="false">
      <c r="A12" s="97" t="n">
        <v>14</v>
      </c>
      <c r="B12" s="94" t="s">
        <v>115</v>
      </c>
      <c r="C12" s="94" t="s">
        <v>41</v>
      </c>
      <c r="D12" s="94" t="s">
        <v>41</v>
      </c>
      <c r="E12" s="94" t="s">
        <v>32</v>
      </c>
      <c r="F12" s="95" t="n">
        <v>3230.5</v>
      </c>
      <c r="G12" s="95" t="n">
        <v>4145.68</v>
      </c>
      <c r="H12" s="95" t="n">
        <v>0</v>
      </c>
      <c r="I12" s="95" t="n">
        <v>33576.15</v>
      </c>
      <c r="K12" s="96" t="n">
        <v>114</v>
      </c>
      <c r="L12" s="96" t="n">
        <v>4145.68</v>
      </c>
      <c r="N12" s="96" t="n">
        <v>18</v>
      </c>
      <c r="O12" s="96" t="n">
        <v>1012.72</v>
      </c>
      <c r="P12" s="96" t="n">
        <v>122.526315789474</v>
      </c>
      <c r="Q12" s="96" t="n">
        <v>5437.92</v>
      </c>
    </row>
    <row r="13" customFormat="false" ht="14.25" hidden="false" customHeight="true" outlineLevel="0" collapsed="false">
      <c r="A13" s="97" t="n">
        <v>15</v>
      </c>
      <c r="B13" s="94" t="s">
        <v>116</v>
      </c>
      <c r="C13" s="94" t="s">
        <v>47</v>
      </c>
      <c r="D13" s="94" t="s">
        <v>47</v>
      </c>
      <c r="E13" s="94" t="s">
        <v>32</v>
      </c>
      <c r="F13" s="95" t="n">
        <v>1583.18</v>
      </c>
      <c r="G13" s="95" t="n">
        <v>514.2</v>
      </c>
      <c r="H13" s="95" t="n">
        <v>25000</v>
      </c>
      <c r="I13" s="95" t="n">
        <v>31896.82</v>
      </c>
      <c r="K13" s="96" t="n">
        <v>16</v>
      </c>
      <c r="L13" s="96" t="n">
        <v>514.2</v>
      </c>
      <c r="N13" s="96" t="n">
        <v>59</v>
      </c>
      <c r="O13" s="96" t="n">
        <v>1896.82</v>
      </c>
      <c r="P13" s="96" t="n">
        <v>74.5263157894737</v>
      </c>
      <c r="Q13" s="96" t="n">
        <v>2395.98315789474</v>
      </c>
    </row>
    <row r="14" customFormat="false" ht="14.25" hidden="false" customHeight="true" outlineLevel="0" collapsed="false">
      <c r="A14" s="97" t="n">
        <v>13</v>
      </c>
      <c r="B14" s="94" t="s">
        <v>117</v>
      </c>
      <c r="C14" s="94" t="s">
        <v>43</v>
      </c>
      <c r="D14" s="94" t="s">
        <v>43</v>
      </c>
      <c r="E14" s="94" t="s">
        <v>32</v>
      </c>
      <c r="F14" s="95" t="n">
        <v>9577.5</v>
      </c>
      <c r="G14" s="95" t="n">
        <v>13532.23</v>
      </c>
      <c r="H14" s="95" t="n">
        <v>400000</v>
      </c>
      <c r="I14" s="95" t="n">
        <v>37748.72</v>
      </c>
      <c r="K14" s="96" t="n">
        <v>286</v>
      </c>
      <c r="L14" s="96" t="n">
        <v>13532.23</v>
      </c>
      <c r="N14" s="96" t="n">
        <v>41</v>
      </c>
      <c r="O14" s="96" t="n">
        <v>4381.47</v>
      </c>
      <c r="P14" s="96" t="n">
        <v>261.473684210526</v>
      </c>
      <c r="Q14" s="96" t="n">
        <v>14829.2589473684</v>
      </c>
    </row>
    <row r="15" customFormat="false" ht="14.25" hidden="false" customHeight="true" outlineLevel="0" collapsed="false">
      <c r="A15" s="97" t="n">
        <v>9</v>
      </c>
      <c r="B15" s="94" t="s">
        <v>118</v>
      </c>
      <c r="C15" s="94" t="s">
        <v>44</v>
      </c>
      <c r="D15" s="94" t="s">
        <v>44</v>
      </c>
      <c r="E15" s="94" t="s">
        <v>32</v>
      </c>
      <c r="F15" s="95" t="n">
        <v>72915.81</v>
      </c>
      <c r="G15" s="95" t="n">
        <v>94701.6</v>
      </c>
      <c r="H15" s="95" t="n">
        <v>200000</v>
      </c>
      <c r="I15" s="95" t="n">
        <v>239111.1</v>
      </c>
      <c r="K15" s="96" t="n">
        <v>1673</v>
      </c>
      <c r="L15" s="96" t="n">
        <v>98528.23</v>
      </c>
      <c r="N15" s="96" t="n">
        <v>322</v>
      </c>
      <c r="O15" s="96" t="n">
        <v>27429.03</v>
      </c>
      <c r="P15" s="96" t="n">
        <v>1917.47368421053</v>
      </c>
      <c r="Q15" s="96" t="n">
        <v>143175.309473684</v>
      </c>
    </row>
    <row r="16" customFormat="false" ht="15" hidden="false" customHeight="true" outlineLevel="0" collapsed="false">
      <c r="A16" s="103"/>
      <c r="B16" s="104"/>
      <c r="C16" s="104" t="s">
        <v>119</v>
      </c>
      <c r="D16" s="104" t="s">
        <v>119</v>
      </c>
      <c r="E16" s="104"/>
      <c r="F16" s="104" t="n">
        <f aca="false">SUM(F3:F15)</f>
        <v>16644964.924</v>
      </c>
      <c r="G16" s="104" t="n">
        <f aca="false">SUM(G3:G15)</f>
        <v>16462691.402</v>
      </c>
      <c r="H16" s="104" t="n">
        <f aca="false">SUM(H3:H15)</f>
        <v>20641000</v>
      </c>
      <c r="I16" s="104" t="n">
        <f aca="false">SUM(I3:I15)</f>
        <v>17499549.047</v>
      </c>
      <c r="K16" s="104" t="n">
        <f aca="false">SUM(K3:K15)</f>
        <v>493173</v>
      </c>
      <c r="L16" s="104" t="n">
        <f aca="false">SUM(L3:L15)</f>
        <v>17288057.53</v>
      </c>
      <c r="N16" s="104" t="n">
        <f aca="false">SUM(N3:N15)</f>
        <v>3623</v>
      </c>
      <c r="O16" s="104" t="n">
        <f aca="false">SUM(O3:O15)</f>
        <v>642043.85</v>
      </c>
      <c r="P16" s="104" t="n">
        <f aca="false">SUM(P3:P15)</f>
        <v>406410.947368422</v>
      </c>
      <c r="Q16" s="104" t="n">
        <f aca="false">SUM(Q3:Q15)</f>
        <v>14701619.0526316</v>
      </c>
    </row>
    <row r="17" customFormat="false" ht="14.25" hidden="false" customHeight="true" outlineLevel="0" collapsed="false">
      <c r="A17" s="97" t="n">
        <v>2</v>
      </c>
      <c r="B17" s="94" t="s">
        <v>120</v>
      </c>
      <c r="C17" s="94" t="s">
        <v>45</v>
      </c>
      <c r="D17" s="94" t="s">
        <v>45</v>
      </c>
      <c r="E17" s="94" t="s">
        <v>32</v>
      </c>
      <c r="F17" s="95" t="n">
        <v>683558.5</v>
      </c>
      <c r="G17" s="95" t="n">
        <v>1656258.29</v>
      </c>
      <c r="H17" s="95" t="n">
        <v>10788663.559322</v>
      </c>
      <c r="I17" s="95" t="n">
        <v>7612717.01355935</v>
      </c>
      <c r="K17" s="96" t="n">
        <v>20470</v>
      </c>
      <c r="L17" s="96" t="n">
        <v>1657320.76</v>
      </c>
      <c r="N17" s="96" t="n">
        <v>2375</v>
      </c>
      <c r="O17" s="96" t="n">
        <v>147591.2</v>
      </c>
      <c r="P17" s="96" t="n">
        <v>36103.5789473684</v>
      </c>
      <c r="Q17" s="96" t="n">
        <v>4037646.48</v>
      </c>
    </row>
    <row r="18" customFormat="false" ht="14.25" hidden="false" customHeight="true" outlineLevel="0" collapsed="false">
      <c r="A18" s="97" t="n">
        <v>12</v>
      </c>
      <c r="B18" s="94" t="s">
        <v>121</v>
      </c>
      <c r="C18" s="94" t="s">
        <v>46</v>
      </c>
      <c r="D18" s="94" t="s">
        <v>46</v>
      </c>
      <c r="E18" s="94" t="s">
        <v>32</v>
      </c>
      <c r="F18" s="95" t="n">
        <v>35758.89</v>
      </c>
      <c r="G18" s="95" t="n">
        <v>27325.74</v>
      </c>
      <c r="H18" s="95" t="n">
        <v>30443.14</v>
      </c>
      <c r="I18" s="95" t="n">
        <v>39807.02</v>
      </c>
      <c r="K18" s="96" t="n">
        <v>415</v>
      </c>
      <c r="L18" s="96" t="n">
        <v>27325.74</v>
      </c>
      <c r="N18" s="96" t="n">
        <v>12</v>
      </c>
      <c r="O18" s="96" t="n">
        <v>1716.98</v>
      </c>
      <c r="P18" s="96" t="n">
        <v>252.631578947368</v>
      </c>
      <c r="Q18" s="96" t="n">
        <v>16463.3178947368</v>
      </c>
    </row>
    <row r="19" customFormat="false" ht="15" hidden="false" customHeight="true" outlineLevel="0" collapsed="false">
      <c r="A19" s="102"/>
      <c r="B19" s="104"/>
      <c r="C19" s="104" t="s">
        <v>48</v>
      </c>
      <c r="D19" s="104" t="s">
        <v>48</v>
      </c>
      <c r="E19" s="104"/>
      <c r="F19" s="104" t="n">
        <f aca="false">F16+F17+F18</f>
        <v>17364282.314</v>
      </c>
      <c r="G19" s="104" t="n">
        <f aca="false">G16+G17+G18</f>
        <v>18146275.432</v>
      </c>
      <c r="H19" s="104" t="n">
        <f aca="false">H16+H17+H18</f>
        <v>31460106.699322</v>
      </c>
      <c r="I19" s="104" t="n">
        <f aca="false">I16+I17+I18</f>
        <v>25152073.0805594</v>
      </c>
      <c r="K19" s="104" t="n">
        <f aca="false">K16+K17+K18</f>
        <v>514058</v>
      </c>
      <c r="L19" s="104" t="n">
        <f aca="false">L16+L17+L18</f>
        <v>18972704.03</v>
      </c>
      <c r="N19" s="104" t="n">
        <f aca="false">N16+N17+N18</f>
        <v>6010</v>
      </c>
      <c r="O19" s="104" t="n">
        <f aca="false">O16+O17+O18</f>
        <v>791352.03</v>
      </c>
      <c r="P19" s="104" t="n">
        <f aca="false">P16+P17+P18</f>
        <v>442767.157894738</v>
      </c>
      <c r="Q19" s="104" t="n">
        <f aca="false">Q16+Q17+Q18</f>
        <v>18755728.8505263</v>
      </c>
    </row>
    <row r="20" customFormat="false" ht="14.25" hidden="false" customHeight="true" outlineLevel="0" collapsed="false">
      <c r="A20" s="102" t="n">
        <v>50</v>
      </c>
      <c r="B20" s="94" t="s">
        <v>122</v>
      </c>
      <c r="C20" s="94" t="s">
        <v>49</v>
      </c>
      <c r="D20" s="94" t="s">
        <v>50</v>
      </c>
      <c r="E20" s="94" t="s">
        <v>51</v>
      </c>
      <c r="F20" s="95" t="n">
        <v>3501494.53</v>
      </c>
      <c r="G20" s="95" t="n">
        <v>2705391.22</v>
      </c>
      <c r="H20" s="95" t="n">
        <v>4776579.3532875</v>
      </c>
      <c r="I20" s="95" t="n">
        <v>3098024.51</v>
      </c>
      <c r="K20" s="96" t="n">
        <v>27158</v>
      </c>
      <c r="L20" s="96" t="n">
        <v>2705391.22</v>
      </c>
      <c r="N20" s="96" t="n">
        <v>47</v>
      </c>
      <c r="O20" s="96" t="n">
        <v>3274.06</v>
      </c>
      <c r="P20" s="96" t="n">
        <v>23757.4736842105</v>
      </c>
      <c r="Q20" s="96" t="n">
        <v>2062598.93052632</v>
      </c>
    </row>
    <row r="21" customFormat="false" ht="14.25" hidden="false" customHeight="true" outlineLevel="0" collapsed="false">
      <c r="A21" s="102" t="n">
        <v>20</v>
      </c>
      <c r="B21" s="94" t="s">
        <v>123</v>
      </c>
      <c r="C21" s="94" t="s">
        <v>52</v>
      </c>
      <c r="D21" s="94" t="s">
        <v>53</v>
      </c>
      <c r="E21" s="94" t="s">
        <v>54</v>
      </c>
      <c r="F21" s="95" t="n">
        <v>879383.45</v>
      </c>
      <c r="G21" s="95" t="n">
        <v>902537.64</v>
      </c>
      <c r="H21" s="95" t="n">
        <v>980000</v>
      </c>
      <c r="I21" s="95" t="n">
        <v>922081.02</v>
      </c>
      <c r="K21" s="96" t="n">
        <v>48363</v>
      </c>
      <c r="L21" s="96" t="n">
        <v>902537.64</v>
      </c>
      <c r="N21" s="96" t="n">
        <v>250</v>
      </c>
      <c r="O21" s="96" t="n">
        <v>11540.57</v>
      </c>
      <c r="P21" s="96" t="n">
        <v>35605.8947368421</v>
      </c>
      <c r="Q21" s="96" t="n">
        <v>598967.482105263</v>
      </c>
    </row>
    <row r="22" customFormat="false" ht="14.25" hidden="false" customHeight="true" outlineLevel="0" collapsed="false">
      <c r="A22" s="102" t="n">
        <v>21</v>
      </c>
      <c r="B22" s="94" t="s">
        <v>124</v>
      </c>
      <c r="C22" s="94" t="s">
        <v>55</v>
      </c>
      <c r="D22" s="94" t="s">
        <v>56</v>
      </c>
      <c r="E22" s="94" t="s">
        <v>57</v>
      </c>
      <c r="F22" s="95" t="n">
        <v>633752.75</v>
      </c>
      <c r="G22" s="95" t="n">
        <v>405920.85</v>
      </c>
      <c r="H22" s="95" t="n">
        <v>650000.27</v>
      </c>
      <c r="I22" s="95" t="n">
        <v>613276.52</v>
      </c>
      <c r="K22" s="96" t="n">
        <v>6959</v>
      </c>
      <c r="L22" s="96" t="n">
        <v>405920.85</v>
      </c>
      <c r="N22" s="96" t="n">
        <v>131</v>
      </c>
      <c r="O22" s="96" t="n">
        <v>4054.38</v>
      </c>
      <c r="P22" s="96" t="n">
        <v>8513.68421052632</v>
      </c>
      <c r="Q22" s="96" t="n">
        <v>434858.64</v>
      </c>
    </row>
    <row r="23" customFormat="false" ht="14.25" hidden="false" customHeight="true" outlineLevel="0" collapsed="false">
      <c r="A23" s="102" t="n">
        <v>22</v>
      </c>
      <c r="B23" s="94" t="s">
        <v>125</v>
      </c>
      <c r="C23" s="94" t="s">
        <v>58</v>
      </c>
      <c r="D23" s="94" t="s">
        <v>59</v>
      </c>
      <c r="E23" s="94" t="s">
        <v>60</v>
      </c>
      <c r="F23" s="95" t="n">
        <v>489809</v>
      </c>
      <c r="G23" s="95" t="n">
        <v>414072.64</v>
      </c>
      <c r="H23" s="95" t="n">
        <v>499999.97</v>
      </c>
      <c r="I23" s="95" t="n">
        <v>457053.13</v>
      </c>
      <c r="K23" s="96" t="n">
        <v>21177</v>
      </c>
      <c r="L23" s="96" t="n">
        <v>414072.64</v>
      </c>
      <c r="N23" s="96" t="n">
        <v>154</v>
      </c>
      <c r="O23" s="96" t="n">
        <v>3246.9</v>
      </c>
      <c r="P23" s="96" t="n">
        <v>22898.5263157895</v>
      </c>
      <c r="Q23" s="96" t="n">
        <v>387859.162105263</v>
      </c>
    </row>
    <row r="24" customFormat="false" ht="14.25" hidden="false" customHeight="true" outlineLevel="0" collapsed="false">
      <c r="A24" s="102" t="n">
        <v>23</v>
      </c>
      <c r="B24" s="94" t="s">
        <v>126</v>
      </c>
      <c r="C24" s="94" t="s">
        <v>61</v>
      </c>
      <c r="D24" s="94" t="s">
        <v>62</v>
      </c>
      <c r="E24" s="94" t="s">
        <v>63</v>
      </c>
      <c r="F24" s="95" t="n">
        <v>128758.9</v>
      </c>
      <c r="G24" s="95" t="n">
        <v>122339</v>
      </c>
      <c r="H24" s="95" t="n">
        <v>139999.92</v>
      </c>
      <c r="I24" s="95" t="n">
        <v>131678.59</v>
      </c>
      <c r="K24" s="96" t="n">
        <v>12986</v>
      </c>
      <c r="L24" s="96" t="n">
        <v>122339</v>
      </c>
      <c r="N24" s="96" t="n">
        <v>0</v>
      </c>
      <c r="O24" s="96" t="n">
        <v>0</v>
      </c>
      <c r="P24" s="96" t="n">
        <v>16302.3157894737</v>
      </c>
      <c r="Q24" s="96" t="n">
        <v>121427.141052632</v>
      </c>
    </row>
    <row r="25" customFormat="false" ht="14.25" hidden="false" customHeight="true" outlineLevel="0" collapsed="false">
      <c r="A25" s="102" t="n">
        <v>24</v>
      </c>
      <c r="B25" s="94" t="s">
        <v>127</v>
      </c>
      <c r="C25" s="94" t="s">
        <v>64</v>
      </c>
      <c r="D25" s="94" t="s">
        <v>65</v>
      </c>
      <c r="E25" s="94" t="s">
        <v>66</v>
      </c>
      <c r="F25" s="95" t="n">
        <v>160712.5</v>
      </c>
      <c r="G25" s="95" t="n">
        <v>52899.82</v>
      </c>
      <c r="H25" s="95" t="n">
        <v>50000</v>
      </c>
      <c r="I25" s="95" t="n">
        <v>0</v>
      </c>
      <c r="K25" s="96" t="n">
        <v>1817</v>
      </c>
      <c r="L25" s="96" t="n">
        <v>52899.82</v>
      </c>
      <c r="N25" s="96" t="n">
        <v>0</v>
      </c>
      <c r="O25" s="96" t="n">
        <v>0</v>
      </c>
      <c r="P25" s="96" t="n">
        <v>0</v>
      </c>
      <c r="Q25" s="96" t="n">
        <v>0</v>
      </c>
    </row>
    <row r="26" customFormat="false" ht="13.5" hidden="false" customHeight="true" outlineLevel="0" collapsed="false">
      <c r="A26" s="102" t="n">
        <v>25</v>
      </c>
      <c r="B26" s="94" t="s">
        <v>128</v>
      </c>
      <c r="C26" s="94" t="s">
        <v>67</v>
      </c>
      <c r="D26" s="94" t="s">
        <v>68</v>
      </c>
      <c r="E26" s="94" t="s">
        <v>69</v>
      </c>
      <c r="F26" s="95" t="n">
        <v>471280.16</v>
      </c>
      <c r="G26" s="95" t="n">
        <v>319558.55</v>
      </c>
      <c r="H26" s="95" t="n">
        <v>450000</v>
      </c>
      <c r="I26" s="95" t="n">
        <v>524147.47</v>
      </c>
      <c r="K26" s="96" t="n">
        <v>18268</v>
      </c>
      <c r="L26" s="96" t="n">
        <v>319558.55</v>
      </c>
      <c r="N26" s="96" t="n">
        <v>991</v>
      </c>
      <c r="O26" s="96" t="n">
        <v>14625</v>
      </c>
      <c r="P26" s="96" t="n">
        <v>26022.3157894737</v>
      </c>
      <c r="Q26" s="96" t="n">
        <v>461754</v>
      </c>
    </row>
    <row r="27" customFormat="false" ht="14.25" hidden="false" customHeight="true" outlineLevel="0" collapsed="false">
      <c r="A27" s="102" t="n">
        <v>26</v>
      </c>
      <c r="B27" s="94" t="s">
        <v>129</v>
      </c>
      <c r="C27" s="94" t="s">
        <v>70</v>
      </c>
      <c r="D27" s="94" t="s">
        <v>71</v>
      </c>
      <c r="E27" s="94" t="s">
        <v>72</v>
      </c>
      <c r="F27" s="95" t="n">
        <v>162967.91</v>
      </c>
      <c r="G27" s="95" t="n">
        <v>86855.65</v>
      </c>
      <c r="H27" s="95" t="n">
        <v>200000</v>
      </c>
      <c r="I27" s="95" t="n">
        <v>100694.01</v>
      </c>
      <c r="K27" s="96" t="n">
        <v>3507</v>
      </c>
      <c r="L27" s="96" t="n">
        <v>86855.65</v>
      </c>
      <c r="N27" s="96" t="n">
        <v>754</v>
      </c>
      <c r="O27" s="96" t="n">
        <v>27727.77</v>
      </c>
      <c r="P27" s="96" t="n">
        <v>2952</v>
      </c>
      <c r="Q27" s="96" t="n">
        <v>76373.5452631579</v>
      </c>
    </row>
    <row r="28" customFormat="false" ht="13.5" hidden="false" customHeight="true" outlineLevel="0" collapsed="false">
      <c r="A28" s="102" t="n">
        <v>27</v>
      </c>
      <c r="B28" s="94" t="s">
        <v>130</v>
      </c>
      <c r="C28" s="94" t="s">
        <v>73</v>
      </c>
      <c r="D28" s="94" t="s">
        <v>74</v>
      </c>
      <c r="E28" s="94" t="s">
        <v>75</v>
      </c>
      <c r="F28" s="95" t="n">
        <v>370614.64</v>
      </c>
      <c r="G28" s="95" t="n">
        <v>256772.1</v>
      </c>
      <c r="H28" s="95" t="n">
        <v>250000</v>
      </c>
      <c r="I28" s="95" t="n">
        <v>250000</v>
      </c>
      <c r="K28" s="96" t="n">
        <v>6687</v>
      </c>
      <c r="L28" s="96" t="n">
        <v>256772.1</v>
      </c>
      <c r="N28" s="96" t="n">
        <v>0</v>
      </c>
      <c r="O28" s="96" t="n">
        <v>0</v>
      </c>
      <c r="P28" s="96" t="n">
        <v>0</v>
      </c>
      <c r="Q28" s="96" t="n">
        <v>0</v>
      </c>
    </row>
    <row r="29" customFormat="false" ht="13.5" hidden="false" customHeight="true" outlineLevel="0" collapsed="false">
      <c r="A29" s="102" t="n">
        <v>28</v>
      </c>
      <c r="B29" s="94" t="s">
        <v>131</v>
      </c>
      <c r="C29" s="94" t="s">
        <v>76</v>
      </c>
      <c r="D29" s="94" t="s">
        <v>77</v>
      </c>
      <c r="E29" s="94" t="s">
        <v>78</v>
      </c>
      <c r="F29" s="95" t="n">
        <v>348874.04</v>
      </c>
      <c r="G29" s="95" t="n">
        <v>405953.63</v>
      </c>
      <c r="H29" s="95" t="n">
        <v>450000</v>
      </c>
      <c r="I29" s="95" t="n">
        <v>378207.09</v>
      </c>
      <c r="K29" s="96" t="n">
        <v>13479</v>
      </c>
      <c r="L29" s="96" t="n">
        <v>407234.61</v>
      </c>
      <c r="N29" s="96" t="n">
        <v>147</v>
      </c>
      <c r="O29" s="96" t="n">
        <v>6167.14</v>
      </c>
      <c r="P29" s="96" t="n">
        <v>12256.4210526316</v>
      </c>
      <c r="Q29" s="96" t="n">
        <v>380002.345263158</v>
      </c>
    </row>
    <row r="30" customFormat="false" ht="14.25" hidden="false" customHeight="true" outlineLevel="0" collapsed="false">
      <c r="A30" s="102" t="n">
        <v>29</v>
      </c>
      <c r="B30" s="94" t="s">
        <v>132</v>
      </c>
      <c r="C30" s="94" t="s">
        <v>79</v>
      </c>
      <c r="D30" s="94" t="s">
        <v>80</v>
      </c>
      <c r="E30" s="94" t="s">
        <v>81</v>
      </c>
      <c r="F30" s="95" t="n">
        <v>107690.85</v>
      </c>
      <c r="G30" s="95" t="n">
        <v>64554.59</v>
      </c>
      <c r="H30" s="95" t="n">
        <v>70000</v>
      </c>
      <c r="I30" s="95" t="n">
        <v>73116.44</v>
      </c>
      <c r="K30" s="96" t="n">
        <v>2672</v>
      </c>
      <c r="L30" s="96" t="n">
        <v>64554.59</v>
      </c>
      <c r="N30" s="96" t="n">
        <v>360</v>
      </c>
      <c r="O30" s="96" t="n">
        <v>16342.42</v>
      </c>
      <c r="P30" s="96" t="n">
        <v>1914.94736842105</v>
      </c>
      <c r="Q30" s="96" t="n">
        <v>54462.8715789474</v>
      </c>
    </row>
    <row r="31" customFormat="false" ht="14.25" hidden="false" customHeight="true" outlineLevel="0" collapsed="false">
      <c r="A31" s="102" t="n">
        <v>30</v>
      </c>
      <c r="B31" s="94" t="s">
        <v>133</v>
      </c>
      <c r="C31" s="94" t="s">
        <v>82</v>
      </c>
      <c r="D31" s="94" t="s">
        <v>83</v>
      </c>
      <c r="E31" s="94" t="s">
        <v>81</v>
      </c>
      <c r="F31" s="95" t="n">
        <v>41028.36</v>
      </c>
      <c r="G31" s="95" t="n">
        <v>60908.2</v>
      </c>
      <c r="H31" s="95" t="n">
        <v>59793</v>
      </c>
      <c r="I31" s="95" t="n">
        <v>42809.5</v>
      </c>
      <c r="K31" s="96" t="n">
        <v>2980</v>
      </c>
      <c r="L31" s="96" t="n">
        <v>60908.2</v>
      </c>
      <c r="N31" s="96" t="n">
        <v>260</v>
      </c>
      <c r="O31" s="96" t="n">
        <v>5860.29</v>
      </c>
      <c r="P31" s="96" t="n">
        <v>2058.94736842105</v>
      </c>
      <c r="Q31" s="96" t="n">
        <v>41437.3768421053</v>
      </c>
    </row>
    <row r="32" customFormat="false" ht="13.5" hidden="false" customHeight="true" outlineLevel="0" collapsed="false">
      <c r="A32" s="102" t="n">
        <v>31</v>
      </c>
      <c r="B32" s="94" t="s">
        <v>84</v>
      </c>
      <c r="C32" s="94" t="s">
        <v>84</v>
      </c>
      <c r="D32" s="94" t="s">
        <v>85</v>
      </c>
      <c r="E32" s="94" t="s">
        <v>86</v>
      </c>
      <c r="F32" s="95" t="n">
        <v>31722.98</v>
      </c>
      <c r="G32" s="95" t="n">
        <v>81786.57</v>
      </c>
      <c r="H32" s="95" t="n">
        <v>85000</v>
      </c>
      <c r="I32" s="95" t="n">
        <v>17500</v>
      </c>
      <c r="K32" s="96" t="n">
        <v>3060</v>
      </c>
      <c r="L32" s="96" t="n">
        <v>81786.57</v>
      </c>
      <c r="N32" s="96" t="n">
        <v>5</v>
      </c>
      <c r="O32" s="96" t="n">
        <v>86.54</v>
      </c>
      <c r="P32" s="96" t="n">
        <v>851.368421052631</v>
      </c>
      <c r="Q32" s="96" t="n">
        <v>12678.5052631579</v>
      </c>
    </row>
    <row r="33" customFormat="false" ht="13.5" hidden="false" customHeight="true" outlineLevel="0" collapsed="false">
      <c r="A33" s="102"/>
      <c r="B33" s="94"/>
      <c r="C33" s="94"/>
      <c r="D33" s="94" t="s">
        <v>134</v>
      </c>
      <c r="E33" s="94" t="s">
        <v>135</v>
      </c>
      <c r="F33" s="95" t="n">
        <v>0</v>
      </c>
      <c r="G33" s="95" t="n">
        <v>0</v>
      </c>
      <c r="H33" s="95" t="n">
        <v>0</v>
      </c>
      <c r="I33" s="95" t="n">
        <v>0</v>
      </c>
      <c r="K33" s="96"/>
      <c r="L33" s="96"/>
      <c r="N33" s="96"/>
      <c r="O33" s="96"/>
      <c r="P33" s="96"/>
      <c r="Q33" s="96"/>
    </row>
    <row r="34" customFormat="false" ht="13.5" hidden="false" customHeight="true" outlineLevel="0" collapsed="false">
      <c r="A34" s="102" t="n">
        <v>32</v>
      </c>
      <c r="B34" s="94" t="s">
        <v>136</v>
      </c>
      <c r="C34" s="94" t="s">
        <v>87</v>
      </c>
      <c r="D34" s="94" t="s">
        <v>88</v>
      </c>
      <c r="E34" s="94" t="s">
        <v>89</v>
      </c>
      <c r="F34" s="95" t="n">
        <v>35826.78</v>
      </c>
      <c r="G34" s="95" t="n">
        <v>39713.57</v>
      </c>
      <c r="H34" s="95" t="n">
        <v>40000</v>
      </c>
      <c r="I34" s="95" t="n">
        <v>38792.66</v>
      </c>
      <c r="K34" s="96" t="n">
        <v>1359</v>
      </c>
      <c r="L34" s="96" t="n">
        <v>39713.57</v>
      </c>
      <c r="N34" s="96" t="n">
        <v>56</v>
      </c>
      <c r="O34" s="96" t="n">
        <v>1430.29</v>
      </c>
      <c r="P34" s="96" t="n">
        <v>1935.15789473684</v>
      </c>
      <c r="Q34" s="96" t="n">
        <v>46917.1452631579</v>
      </c>
    </row>
    <row r="35" customFormat="false" ht="13.5" hidden="false" customHeight="true" outlineLevel="0" collapsed="false">
      <c r="A35" s="102" t="n">
        <v>33</v>
      </c>
      <c r="B35" s="94" t="s">
        <v>137</v>
      </c>
      <c r="C35" s="94" t="s">
        <v>90</v>
      </c>
      <c r="D35" s="94" t="s">
        <v>91</v>
      </c>
      <c r="E35" s="94" t="s">
        <v>92</v>
      </c>
      <c r="F35" s="95" t="n">
        <v>59175.03</v>
      </c>
      <c r="G35" s="95" t="n">
        <v>53863.18</v>
      </c>
      <c r="H35" s="95" t="n">
        <v>80000</v>
      </c>
      <c r="I35" s="95" t="n">
        <v>25000</v>
      </c>
      <c r="K35" s="96" t="n">
        <v>1737</v>
      </c>
      <c r="L35" s="96" t="n">
        <v>53863.18</v>
      </c>
      <c r="N35" s="96" t="n">
        <v>0</v>
      </c>
      <c r="O35" s="96" t="n">
        <v>0</v>
      </c>
      <c r="P35" s="96" t="n">
        <v>1235.36842105263</v>
      </c>
      <c r="Q35" s="96" t="n">
        <v>32975.6463157895</v>
      </c>
    </row>
    <row r="36" customFormat="false" ht="14.25" hidden="false" customHeight="true" outlineLevel="0" collapsed="false">
      <c r="A36" s="102"/>
      <c r="B36" s="94" t="s">
        <v>138</v>
      </c>
      <c r="C36" s="94" t="s">
        <v>138</v>
      </c>
      <c r="D36" s="94" t="s">
        <v>139</v>
      </c>
      <c r="E36" s="94" t="s">
        <v>78</v>
      </c>
      <c r="F36" s="95" t="n">
        <v>41531.96</v>
      </c>
      <c r="G36" s="95" t="n">
        <v>0</v>
      </c>
      <c r="H36" s="95" t="n">
        <v>0</v>
      </c>
      <c r="I36" s="95" t="n">
        <v>0</v>
      </c>
      <c r="K36" s="96"/>
      <c r="L36" s="96"/>
      <c r="N36" s="96"/>
      <c r="O36" s="96"/>
      <c r="P36" s="96"/>
      <c r="Q36" s="96"/>
    </row>
    <row r="37" customFormat="false" ht="14.25" hidden="false" customHeight="true" outlineLevel="0" collapsed="false">
      <c r="A37" s="102" t="n">
        <v>34</v>
      </c>
      <c r="B37" s="94" t="s">
        <v>140</v>
      </c>
      <c r="C37" s="94" t="s">
        <v>140</v>
      </c>
      <c r="D37" s="94" t="s">
        <v>93</v>
      </c>
      <c r="E37" s="94" t="s">
        <v>141</v>
      </c>
      <c r="F37" s="95" t="n">
        <v>22310.96</v>
      </c>
      <c r="G37" s="95" t="n">
        <v>0</v>
      </c>
      <c r="H37" s="95" t="n">
        <v>0</v>
      </c>
      <c r="I37" s="95" t="n">
        <v>0</v>
      </c>
      <c r="K37" s="96"/>
      <c r="L37" s="96"/>
      <c r="N37" s="96"/>
      <c r="O37" s="96"/>
      <c r="P37" s="96"/>
      <c r="Q37" s="96"/>
    </row>
    <row r="38" customFormat="false" ht="13.5" hidden="false" customHeight="true" outlineLevel="0" collapsed="false">
      <c r="A38" s="102" t="n">
        <v>35</v>
      </c>
      <c r="B38" s="94" t="s">
        <v>94</v>
      </c>
      <c r="C38" s="94" t="s">
        <v>94</v>
      </c>
      <c r="D38" s="94" t="s">
        <v>95</v>
      </c>
      <c r="E38" s="94" t="s">
        <v>51</v>
      </c>
      <c r="F38" s="95" t="n">
        <v>161574.82</v>
      </c>
      <c r="G38" s="95" t="n">
        <v>248.59</v>
      </c>
      <c r="H38" s="95" t="n">
        <v>600000</v>
      </c>
      <c r="I38" s="95" t="n">
        <v>0</v>
      </c>
      <c r="K38" s="96" t="n">
        <v>24</v>
      </c>
      <c r="L38" s="96" t="n">
        <v>248.59</v>
      </c>
      <c r="N38" s="96" t="n">
        <v>0</v>
      </c>
      <c r="O38" s="96" t="n">
        <v>0</v>
      </c>
      <c r="P38" s="96" t="n">
        <v>0</v>
      </c>
      <c r="Q38" s="96" t="n">
        <v>0</v>
      </c>
    </row>
    <row r="39" customFormat="false" ht="13.5" hidden="false" customHeight="true" outlineLevel="0" collapsed="false">
      <c r="A39" s="102" t="n">
        <v>36</v>
      </c>
      <c r="B39" s="94"/>
      <c r="C39" s="94" t="s">
        <v>97</v>
      </c>
      <c r="D39" s="94" t="s">
        <v>97</v>
      </c>
      <c r="E39" s="94"/>
      <c r="F39" s="95" t="n">
        <v>0</v>
      </c>
      <c r="G39" s="95" t="n">
        <v>0</v>
      </c>
      <c r="H39" s="95" t="n">
        <v>400000</v>
      </c>
      <c r="I39" s="95" t="n">
        <v>100000</v>
      </c>
      <c r="K39" s="96"/>
      <c r="L39" s="96"/>
      <c r="N39" s="96"/>
      <c r="O39" s="96"/>
      <c r="P39" s="96"/>
      <c r="Q39" s="96"/>
    </row>
    <row r="40" customFormat="false" ht="13.5" hidden="false" customHeight="true" outlineLevel="0" collapsed="false">
      <c r="A40" s="102" t="n">
        <v>37</v>
      </c>
      <c r="B40" s="94"/>
      <c r="C40" s="94"/>
      <c r="D40" s="94" t="s">
        <v>142</v>
      </c>
      <c r="E40" s="94"/>
      <c r="F40" s="95"/>
      <c r="G40" s="95"/>
      <c r="H40" s="95"/>
      <c r="I40" s="95"/>
      <c r="K40" s="96"/>
      <c r="L40" s="96"/>
      <c r="N40" s="96"/>
      <c r="O40" s="96"/>
      <c r="P40" s="96"/>
      <c r="Q40" s="96"/>
    </row>
    <row r="41" customFormat="false" ht="13.5" hidden="false" customHeight="true" outlineLevel="0" collapsed="false">
      <c r="A41" s="102" t="n">
        <v>38</v>
      </c>
      <c r="B41" s="94"/>
      <c r="C41" s="94" t="s">
        <v>97</v>
      </c>
      <c r="D41" s="94" t="s">
        <v>143</v>
      </c>
      <c r="E41" s="94"/>
      <c r="F41" s="95" t="n">
        <v>0</v>
      </c>
      <c r="G41" s="95" t="n">
        <v>0</v>
      </c>
      <c r="H41" s="95"/>
      <c r="I41" s="95"/>
      <c r="K41" s="96"/>
      <c r="L41" s="96"/>
      <c r="N41" s="96"/>
      <c r="O41" s="96"/>
      <c r="P41" s="96"/>
      <c r="Q41" s="96"/>
    </row>
    <row r="42" customFormat="false" ht="15" hidden="false" customHeight="true" outlineLevel="0" collapsed="false">
      <c r="A42" s="102"/>
      <c r="B42" s="105"/>
      <c r="C42" s="105" t="s">
        <v>98</v>
      </c>
      <c r="D42" s="105" t="s">
        <v>98</v>
      </c>
      <c r="E42" s="105"/>
      <c r="F42" s="105" t="n">
        <f aca="false">SUM(F20:F41)</f>
        <v>7648509.62</v>
      </c>
      <c r="G42" s="105" t="n">
        <f aca="false">SUM(G20:G41)</f>
        <v>5973375.8</v>
      </c>
      <c r="H42" s="105" t="n">
        <f aca="false">SUM(H20:H41)</f>
        <v>9781372.5132875</v>
      </c>
      <c r="I42" s="105" t="n">
        <f aca="false">SUM(I20:I41)</f>
        <v>6772380.94</v>
      </c>
      <c r="K42" s="105" t="n">
        <f aca="false">SUM(K20:K41)</f>
        <v>172233</v>
      </c>
      <c r="L42" s="105" t="n">
        <f aca="false">SUM(L20:L41)</f>
        <v>5974656.78</v>
      </c>
      <c r="N42" s="105" t="n">
        <f aca="false">SUM(N20:N41)</f>
        <v>3155</v>
      </c>
      <c r="O42" s="105" t="n">
        <f aca="false">SUM(O20:O41)</f>
        <v>94355.36</v>
      </c>
      <c r="P42" s="105" t="n">
        <f aca="false">SUM(P20:P41)</f>
        <v>156304.421052632</v>
      </c>
      <c r="Q42" s="105" t="n">
        <f aca="false">SUM(Q20:Q41)</f>
        <v>4712312.79157895</v>
      </c>
    </row>
    <row r="43" customFormat="false" ht="15" hidden="false" customHeight="true" outlineLevel="0" collapsed="false">
      <c r="A43" s="102"/>
      <c r="B43" s="106"/>
      <c r="C43" s="106" t="s">
        <v>144</v>
      </c>
      <c r="D43" s="106" t="s">
        <v>144</v>
      </c>
      <c r="E43" s="106"/>
      <c r="F43" s="106" t="n">
        <f aca="false">F42+F19</f>
        <v>25012791.934</v>
      </c>
      <c r="G43" s="106" t="n">
        <f aca="false">G42+G19</f>
        <v>24119651.232</v>
      </c>
      <c r="H43" s="106" t="n">
        <f aca="false">H42+H19</f>
        <v>41241479.2126095</v>
      </c>
      <c r="I43" s="106" t="n">
        <f aca="false">I42+I19</f>
        <v>31924454.0205594</v>
      </c>
      <c r="K43" s="106" t="n">
        <f aca="false">K42+K19</f>
        <v>686291</v>
      </c>
      <c r="L43" s="106" t="n">
        <f aca="false">L42+L19</f>
        <v>24947360.81</v>
      </c>
      <c r="N43" s="106" t="n">
        <f aca="false">N42+N19</f>
        <v>9165</v>
      </c>
      <c r="O43" s="106" t="n">
        <f aca="false">O42+O19</f>
        <v>885707.39</v>
      </c>
      <c r="P43" s="106" t="n">
        <f aca="false">P42+P19</f>
        <v>599071.578947369</v>
      </c>
      <c r="Q43" s="106" t="n">
        <f aca="false">Q42+Q19</f>
        <v>23468041.6421053</v>
      </c>
    </row>
    <row r="44" customFormat="false" ht="15" hidden="false" customHeight="true" outlineLevel="0" collapsed="false">
      <c r="B44" s="107"/>
      <c r="C44" s="107" t="s">
        <v>145</v>
      </c>
      <c r="D44" s="107" t="s">
        <v>145</v>
      </c>
      <c r="E44" s="107"/>
      <c r="F44" s="108" t="n">
        <f aca="false">F42/F43</f>
        <v>0.305783922090015</v>
      </c>
      <c r="G44" s="108" t="n">
        <f aca="false">G42/G43</f>
        <v>0.247655977383081</v>
      </c>
      <c r="H44" s="108" t="n">
        <f aca="false">H42/H43</f>
        <v>0.237173173708495</v>
      </c>
      <c r="I44" s="108" t="n">
        <f aca="false">I42/I43</f>
        <v>0.212137721623636</v>
      </c>
      <c r="K44" s="108" t="n">
        <f aca="false">IFERROR(K42/K43,"")</f>
        <v>0.25096205545461</v>
      </c>
      <c r="L44" s="108" t="n">
        <f aca="false">IFERROR(L42/L43,"")</f>
        <v>0.239490534710393</v>
      </c>
      <c r="N44" s="108" t="n">
        <f aca="false">IFERROR(N42/N43,"")</f>
        <v>0.344244408074195</v>
      </c>
      <c r="O44" s="108" t="n">
        <f aca="false">IFERROR(O42/O43,"")</f>
        <v>0.106531074557253</v>
      </c>
      <c r="P44" s="108" t="n">
        <f aca="false">IFERROR(P42/P43,"")</f>
        <v>0.260911094008624</v>
      </c>
      <c r="Q44" s="108" t="n">
        <f aca="false">IFERROR(Q42/Q43,"")</f>
        <v>0.20079701849192</v>
      </c>
    </row>
    <row r="46" customFormat="false" ht="15" hidden="false" customHeight="true" outlineLevel="0" collapsed="false">
      <c r="D46" s="91"/>
      <c r="E46" s="4"/>
      <c r="F46" s="92" t="n">
        <v>2024</v>
      </c>
      <c r="G46" s="92" t="n">
        <v>2025</v>
      </c>
      <c r="H46" s="92" t="s">
        <v>102</v>
      </c>
      <c r="I46" s="92" t="s">
        <v>103</v>
      </c>
      <c r="K46" s="92" t="s">
        <v>103</v>
      </c>
    </row>
    <row r="47" customFormat="false" ht="15" hidden="false" customHeight="true" outlineLevel="0" collapsed="false">
      <c r="D47" s="104" t="s">
        <v>146</v>
      </c>
      <c r="E47" s="4"/>
      <c r="F47" s="109" t="n">
        <f aca="false">F16</f>
        <v>16644964.924</v>
      </c>
      <c r="G47" s="109" t="n">
        <f aca="false">G16</f>
        <v>16462691.402</v>
      </c>
      <c r="H47" s="109" t="n">
        <f aca="false">H16</f>
        <v>20641000</v>
      </c>
      <c r="I47" s="109" t="n">
        <f aca="false">I16</f>
        <v>17499549.047</v>
      </c>
      <c r="K47" s="109" t="n">
        <f aca="false">K16</f>
        <v>493173</v>
      </c>
    </row>
    <row r="48" customFormat="false" ht="15" hidden="false" customHeight="true" outlineLevel="0" collapsed="false">
      <c r="D48" s="104" t="s">
        <v>147</v>
      </c>
      <c r="E48" s="4"/>
      <c r="F48" s="109" t="n">
        <f aca="false">F17+F18</f>
        <v>719317.39</v>
      </c>
      <c r="G48" s="109" t="n">
        <f aca="false">G17+G18</f>
        <v>1683584.03</v>
      </c>
      <c r="H48" s="109" t="n">
        <f aca="false">H17+H18</f>
        <v>10819106.699322</v>
      </c>
      <c r="I48" s="109" t="n">
        <f aca="false">I17+I18</f>
        <v>7652524.03355935</v>
      </c>
      <c r="K48" s="109" t="n">
        <f aca="false">K17+K18</f>
        <v>20885</v>
      </c>
    </row>
    <row r="49" customFormat="false" ht="15" hidden="false" customHeight="true" outlineLevel="0" collapsed="false">
      <c r="D49" s="110" t="s">
        <v>148</v>
      </c>
      <c r="E49" s="4"/>
      <c r="F49" s="111" t="n">
        <f aca="false">SUM(F47:F48)</f>
        <v>17364282.314</v>
      </c>
      <c r="G49" s="111" t="n">
        <f aca="false">SUM(G47:G48)</f>
        <v>18146275.432</v>
      </c>
      <c r="H49" s="111" t="n">
        <f aca="false">SUM(H47:H48)</f>
        <v>31460106.699322</v>
      </c>
      <c r="I49" s="111" t="n">
        <f aca="false">SUM(I47:I48)</f>
        <v>25152073.0805594</v>
      </c>
      <c r="K49" s="111" t="n">
        <f aca="false">SUM(K47:K48)</f>
        <v>514058</v>
      </c>
    </row>
    <row r="51" customFormat="false" ht="15" hidden="false" customHeight="true" outlineLevel="0" collapsed="false">
      <c r="D51" s="104" t="s">
        <v>149</v>
      </c>
      <c r="E51" s="4"/>
      <c r="F51" s="109" t="n">
        <f aca="false">F20</f>
        <v>3501494.53</v>
      </c>
      <c r="G51" s="109" t="n">
        <f aca="false">G20</f>
        <v>2705391.22</v>
      </c>
      <c r="H51" s="109" t="n">
        <f aca="false">H20</f>
        <v>4776579.3532875</v>
      </c>
      <c r="I51" s="109" t="n">
        <f aca="false">I20</f>
        <v>3098024.51</v>
      </c>
      <c r="K51" s="109" t="n">
        <f aca="false">K20</f>
        <v>27158</v>
      </c>
    </row>
    <row r="52" customFormat="false" ht="15" hidden="false" customHeight="true" outlineLevel="0" collapsed="false">
      <c r="D52" s="104" t="s">
        <v>150</v>
      </c>
      <c r="E52" s="4"/>
      <c r="F52" s="109" t="n">
        <f aca="false">SUM(F21:F41)</f>
        <v>4147015.09</v>
      </c>
      <c r="G52" s="109" t="n">
        <f aca="false">SUM(G21:G41)</f>
        <v>3267984.58</v>
      </c>
      <c r="H52" s="109" t="n">
        <f aca="false">SUM(H21:H41)</f>
        <v>5004793.16</v>
      </c>
      <c r="I52" s="109" t="n">
        <f aca="false">SUM(I21:I41)</f>
        <v>3674356.43</v>
      </c>
      <c r="K52" s="109" t="n">
        <f aca="false">SUM(K21:K41)</f>
        <v>145075</v>
      </c>
    </row>
    <row r="53" customFormat="false" ht="15" hidden="false" customHeight="true" outlineLevel="0" collapsed="false">
      <c r="D53" s="106" t="s">
        <v>151</v>
      </c>
      <c r="E53" s="4"/>
      <c r="F53" s="106" t="n">
        <f aca="false">SUM(F49:F52)</f>
        <v>25012791.934</v>
      </c>
      <c r="G53" s="106" t="n">
        <f aca="false">SUM(G49:G52)</f>
        <v>24119651.232</v>
      </c>
      <c r="H53" s="106" t="n">
        <f aca="false">SUM(H49:H52)</f>
        <v>41241479.2126095</v>
      </c>
      <c r="I53" s="106" t="n">
        <f aca="false">SUM(I49:I52)</f>
        <v>31924454.0205594</v>
      </c>
      <c r="K53" s="106" t="n">
        <f aca="false">SUM(K49:K52)</f>
        <v>686291</v>
      </c>
    </row>
    <row r="54" customFormat="false" ht="14.25" hidden="false" customHeight="true" outlineLevel="0" collapsed="false">
      <c r="D54" s="0" t="s">
        <v>152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5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J29" activeCellId="0" sqref="J29"/>
    </sheetView>
  </sheetViews>
  <sheetFormatPr defaultColWidth="8.625" defaultRowHeight="14.25" zeroHeight="false" outlineLevelRow="0" outlineLevelCol="0"/>
  <cols>
    <col collapsed="false" customWidth="true" hidden="false" outlineLevel="0" max="1" min="1" style="0" width="2.88"/>
    <col collapsed="false" customWidth="true" hidden="true" outlineLevel="0" max="3" min="2" style="0" width="28"/>
    <col collapsed="false" customWidth="true" hidden="false" outlineLevel="0" max="4" min="4" style="0" width="28"/>
    <col collapsed="false" customWidth="true" hidden="false" outlineLevel="0" max="5" min="5" style="0" width="13.38"/>
    <col collapsed="false" customWidth="true" hidden="false" outlineLevel="0" max="9" min="6" style="0" width="12.25"/>
    <col collapsed="false" customWidth="true" hidden="false" outlineLevel="0" max="11" min="11" style="0" width="13.62"/>
    <col collapsed="false" customWidth="true" hidden="false" outlineLevel="0" max="12" min="12" style="0" width="14.25"/>
    <col collapsed="false" customWidth="true" hidden="false" outlineLevel="0" max="17" min="14" style="0" width="13.25"/>
  </cols>
  <sheetData>
    <row r="1" customFormat="false" ht="15.75" hidden="false" customHeight="true" outlineLevel="0" collapsed="false">
      <c r="B1" s="6"/>
      <c r="C1" s="6" t="s">
        <v>101</v>
      </c>
      <c r="D1" s="6" t="s">
        <v>101</v>
      </c>
      <c r="E1" s="6"/>
      <c r="F1" s="89"/>
      <c r="G1" s="89"/>
      <c r="H1" s="89"/>
      <c r="I1" s="89"/>
      <c r="K1" s="0" t="n">
        <v>2025</v>
      </c>
      <c r="L1" s="0" t="n">
        <v>2025</v>
      </c>
      <c r="N1" s="0" t="n">
        <v>2026</v>
      </c>
      <c r="O1" s="0" t="n">
        <v>2026</v>
      </c>
      <c r="P1" s="0" t="n">
        <v>2026</v>
      </c>
      <c r="Q1" s="0" t="n">
        <v>2026</v>
      </c>
    </row>
    <row r="2" customFormat="false" ht="15" hidden="false" customHeight="true" outlineLevel="0" collapsed="false">
      <c r="A2" s="90" t="s">
        <v>2</v>
      </c>
      <c r="B2" s="91"/>
      <c r="C2" s="91"/>
      <c r="D2" s="91"/>
      <c r="E2" s="91" t="s">
        <v>3</v>
      </c>
      <c r="F2" s="92" t="n">
        <v>2024</v>
      </c>
      <c r="G2" s="92" t="n">
        <v>2025</v>
      </c>
      <c r="H2" s="92" t="s">
        <v>102</v>
      </c>
      <c r="I2" s="92" t="s">
        <v>103</v>
      </c>
      <c r="K2" s="92" t="s">
        <v>104</v>
      </c>
      <c r="L2" s="92" t="s">
        <v>105</v>
      </c>
      <c r="N2" s="92" t="s">
        <v>106</v>
      </c>
      <c r="O2" s="92" t="s">
        <v>107</v>
      </c>
      <c r="P2" s="92" t="s">
        <v>108</v>
      </c>
      <c r="Q2" s="92" t="s">
        <v>105</v>
      </c>
    </row>
    <row r="3" customFormat="false" ht="14.25" hidden="false" customHeight="true" outlineLevel="0" collapsed="false">
      <c r="A3" s="93" t="n">
        <v>5</v>
      </c>
      <c r="B3" s="94" t="s">
        <v>109</v>
      </c>
      <c r="C3" s="94" t="s">
        <v>31</v>
      </c>
      <c r="D3" s="94" t="s">
        <v>31</v>
      </c>
      <c r="E3" s="94" t="s">
        <v>32</v>
      </c>
      <c r="F3" s="95" t="n">
        <v>2052731.8</v>
      </c>
      <c r="G3" s="95" t="n">
        <v>1708656.85</v>
      </c>
      <c r="H3" s="95" t="n">
        <v>2520000</v>
      </c>
      <c r="I3" s="95" t="n">
        <v>1940443.3</v>
      </c>
      <c r="K3" s="112" t="n">
        <v>118392</v>
      </c>
      <c r="L3" s="112" t="n">
        <v>1708657</v>
      </c>
      <c r="N3" s="112" t="n">
        <v>0</v>
      </c>
      <c r="O3" s="112" t="n">
        <v>0</v>
      </c>
      <c r="P3" s="112" t="n">
        <v>78891</v>
      </c>
      <c r="Q3" s="112" t="n">
        <v>1406948</v>
      </c>
    </row>
    <row r="4" customFormat="false" ht="14.25" hidden="false" customHeight="true" outlineLevel="0" collapsed="false">
      <c r="A4" s="97" t="n">
        <v>1</v>
      </c>
      <c r="B4" s="94" t="s">
        <v>33</v>
      </c>
      <c r="C4" s="94" t="s">
        <v>33</v>
      </c>
      <c r="D4" s="94" t="s">
        <v>33</v>
      </c>
      <c r="E4" s="94" t="s">
        <v>32</v>
      </c>
      <c r="F4" s="95" t="n">
        <v>5482291.178</v>
      </c>
      <c r="G4" s="95" t="n">
        <v>6071777.62260004</v>
      </c>
      <c r="H4" s="95" t="n">
        <v>6779000</v>
      </c>
      <c r="I4" s="95" t="n">
        <v>6074937.893</v>
      </c>
      <c r="K4" s="112" t="n">
        <v>176505</v>
      </c>
      <c r="L4" s="112" t="n">
        <v>6087191</v>
      </c>
      <c r="N4" s="112" t="n">
        <v>2449</v>
      </c>
      <c r="O4" s="112" t="n">
        <v>168715</v>
      </c>
      <c r="P4" s="112" t="n">
        <v>149440</v>
      </c>
      <c r="Q4" s="112" t="n">
        <v>5145637</v>
      </c>
    </row>
    <row r="5" customFormat="false" ht="14.25" hidden="false" customHeight="true" outlineLevel="0" collapsed="false">
      <c r="A5" s="97" t="n">
        <v>7</v>
      </c>
      <c r="B5" s="94" t="s">
        <v>34</v>
      </c>
      <c r="C5" s="94" t="s">
        <v>34</v>
      </c>
      <c r="D5" s="94" t="s">
        <v>34</v>
      </c>
      <c r="E5" s="94" t="s">
        <v>32</v>
      </c>
      <c r="F5" s="95" t="n">
        <v>1089803.806</v>
      </c>
      <c r="G5" s="95" t="n">
        <v>828689.86</v>
      </c>
      <c r="H5" s="95" t="n">
        <v>900000</v>
      </c>
      <c r="I5" s="95" t="n">
        <v>1037274.565</v>
      </c>
      <c r="K5" s="112" t="n">
        <v>27268</v>
      </c>
      <c r="L5" s="112" t="n">
        <v>809446</v>
      </c>
      <c r="N5" s="112" t="n">
        <v>14</v>
      </c>
      <c r="O5" s="112" t="n">
        <v>1726</v>
      </c>
      <c r="P5" s="112" t="n">
        <v>24138</v>
      </c>
      <c r="Q5" s="112" t="n">
        <v>777350</v>
      </c>
    </row>
    <row r="6" customFormat="false" ht="14.25" hidden="false" customHeight="true" outlineLevel="0" collapsed="false">
      <c r="A6" s="97" t="n">
        <v>4</v>
      </c>
      <c r="B6" s="94" t="s">
        <v>35</v>
      </c>
      <c r="C6" s="94" t="s">
        <v>35</v>
      </c>
      <c r="D6" s="94" t="s">
        <v>35</v>
      </c>
      <c r="E6" s="94" t="s">
        <v>32</v>
      </c>
      <c r="F6" s="95" t="n">
        <v>1835959.53</v>
      </c>
      <c r="G6" s="95" t="n">
        <v>1941001.5794</v>
      </c>
      <c r="H6" s="95" t="n">
        <v>1947000</v>
      </c>
      <c r="I6" s="95" t="n">
        <v>2118523.978</v>
      </c>
      <c r="K6" s="112" t="n">
        <v>56675</v>
      </c>
      <c r="L6" s="112" t="n">
        <v>1942972</v>
      </c>
      <c r="N6" s="112" t="n">
        <v>494</v>
      </c>
      <c r="O6" s="112" t="n">
        <v>30152</v>
      </c>
      <c r="P6" s="112" t="n">
        <v>44349</v>
      </c>
      <c r="Q6" s="112" t="n">
        <v>1627266</v>
      </c>
    </row>
    <row r="7" customFormat="false" ht="14.25" hidden="false" customHeight="true" outlineLevel="0" collapsed="false">
      <c r="A7" s="97" t="n">
        <v>3</v>
      </c>
      <c r="B7" s="94" t="s">
        <v>110</v>
      </c>
      <c r="C7" s="94" t="s">
        <v>36</v>
      </c>
      <c r="D7" s="94" t="s">
        <v>36</v>
      </c>
      <c r="E7" s="94" t="s">
        <v>32</v>
      </c>
      <c r="F7" s="95" t="n">
        <v>4118466.1</v>
      </c>
      <c r="G7" s="95" t="n">
        <v>3809616.42</v>
      </c>
      <c r="H7" s="95" t="n">
        <v>4381000</v>
      </c>
      <c r="I7" s="95" t="n">
        <v>3722410.85</v>
      </c>
      <c r="K7" s="112" t="n">
        <v>152395</v>
      </c>
      <c r="L7" s="112" t="n">
        <v>3809616</v>
      </c>
      <c r="N7" s="112" t="n">
        <v>-3</v>
      </c>
      <c r="O7" s="112" t="n">
        <v>-1485</v>
      </c>
      <c r="P7" s="112" t="n">
        <v>139120</v>
      </c>
      <c r="Q7" s="112" t="n">
        <v>3245878</v>
      </c>
    </row>
    <row r="8" customFormat="false" ht="14.25" hidden="false" customHeight="true" outlineLevel="0" collapsed="false">
      <c r="A8" s="97" t="n">
        <v>8</v>
      </c>
      <c r="B8" s="94" t="s">
        <v>111</v>
      </c>
      <c r="C8" s="94" t="s">
        <v>37</v>
      </c>
      <c r="D8" s="94" t="s">
        <v>37</v>
      </c>
      <c r="E8" s="94" t="s">
        <v>32</v>
      </c>
      <c r="F8" s="95" t="n">
        <v>797978.25</v>
      </c>
      <c r="G8" s="95" t="n">
        <v>892626.19</v>
      </c>
      <c r="H8" s="95" t="n">
        <v>1220000</v>
      </c>
      <c r="I8" s="95" t="n">
        <v>943097.611</v>
      </c>
      <c r="K8" s="112" t="n">
        <v>29602</v>
      </c>
      <c r="L8" s="112" t="n">
        <v>893548</v>
      </c>
      <c r="N8" s="112" t="n">
        <v>719</v>
      </c>
      <c r="O8" s="112" t="n">
        <v>46600</v>
      </c>
      <c r="P8" s="112" t="n">
        <v>22008</v>
      </c>
      <c r="Q8" s="112" t="n">
        <v>633576</v>
      </c>
    </row>
    <row r="9" customFormat="false" ht="14.25" hidden="false" customHeight="true" outlineLevel="0" collapsed="false">
      <c r="A9" s="97" t="n">
        <v>20</v>
      </c>
      <c r="B9" s="94"/>
      <c r="C9" s="94"/>
      <c r="D9" s="94" t="s">
        <v>153</v>
      </c>
      <c r="E9" s="94" t="s">
        <v>32</v>
      </c>
      <c r="F9" s="95" t="n">
        <v>0</v>
      </c>
      <c r="G9" s="95" t="n">
        <v>0</v>
      </c>
      <c r="H9" s="95" t="n">
        <v>0</v>
      </c>
      <c r="I9" s="95" t="n">
        <v>0</v>
      </c>
      <c r="K9" s="112" t="n">
        <v>0</v>
      </c>
      <c r="L9" s="112" t="n">
        <v>0</v>
      </c>
      <c r="N9" s="112" t="n">
        <v>4</v>
      </c>
      <c r="O9" s="112" t="n">
        <v>766</v>
      </c>
      <c r="P9" s="112" t="n">
        <v>4</v>
      </c>
      <c r="Q9" s="112" t="n">
        <v>766</v>
      </c>
    </row>
    <row r="10" customFormat="false" ht="14.25" hidden="false" customHeight="true" outlineLevel="0" collapsed="false">
      <c r="A10" s="97" t="n">
        <v>6</v>
      </c>
      <c r="B10" s="94" t="s">
        <v>112</v>
      </c>
      <c r="C10" s="94" t="s">
        <v>38</v>
      </c>
      <c r="D10" s="94" t="s">
        <v>38</v>
      </c>
      <c r="E10" s="94" t="s">
        <v>32</v>
      </c>
      <c r="F10" s="95" t="n">
        <v>901019.25</v>
      </c>
      <c r="G10" s="95" t="n">
        <v>854818.94</v>
      </c>
      <c r="H10" s="95" t="n">
        <v>1979000</v>
      </c>
      <c r="I10" s="95" t="n">
        <v>1075277.57</v>
      </c>
      <c r="K10" s="112" t="n">
        <v>11637</v>
      </c>
      <c r="L10" s="112" t="n">
        <v>850045</v>
      </c>
      <c r="N10" s="112" t="n">
        <v>920</v>
      </c>
      <c r="O10" s="112" t="n">
        <v>71015</v>
      </c>
      <c r="P10" s="112" t="n">
        <v>9872</v>
      </c>
      <c r="Q10" s="112" t="n">
        <v>818054</v>
      </c>
    </row>
    <row r="11" customFormat="false" ht="14.25" hidden="false" customHeight="true" outlineLevel="0" collapsed="false">
      <c r="A11" s="102" t="n">
        <v>10</v>
      </c>
      <c r="B11" s="94" t="s">
        <v>113</v>
      </c>
      <c r="C11" s="94" t="s">
        <v>39</v>
      </c>
      <c r="D11" s="94" t="s">
        <v>39</v>
      </c>
      <c r="E11" s="94" t="s">
        <v>32</v>
      </c>
      <c r="F11" s="95" t="n">
        <v>187203.67</v>
      </c>
      <c r="G11" s="95" t="n">
        <v>185250.51</v>
      </c>
      <c r="H11" s="95" t="n">
        <v>190000</v>
      </c>
      <c r="I11" s="95" t="n">
        <v>151235.08</v>
      </c>
      <c r="K11" s="112" t="n">
        <v>3679</v>
      </c>
      <c r="L11" s="112" t="n">
        <v>185251</v>
      </c>
      <c r="N11" s="112" t="n">
        <v>320</v>
      </c>
      <c r="O11" s="112" t="n">
        <v>17326</v>
      </c>
      <c r="P11" s="112" t="n">
        <v>1741</v>
      </c>
      <c r="Q11" s="112" t="n">
        <v>98772</v>
      </c>
    </row>
    <row r="12" customFormat="false" ht="14.25" hidden="false" customHeight="true" outlineLevel="0" collapsed="false">
      <c r="A12" s="97" t="n">
        <v>11</v>
      </c>
      <c r="B12" s="94" t="s">
        <v>114</v>
      </c>
      <c r="C12" s="94" t="s">
        <v>40</v>
      </c>
      <c r="D12" s="94" t="s">
        <v>40</v>
      </c>
      <c r="E12" s="94" t="s">
        <v>32</v>
      </c>
      <c r="F12" s="95" t="n">
        <v>92204.35</v>
      </c>
      <c r="G12" s="95" t="n">
        <v>57359.72</v>
      </c>
      <c r="H12" s="95" t="n">
        <v>100000</v>
      </c>
      <c r="I12" s="95" t="n">
        <v>94015.41</v>
      </c>
      <c r="K12" s="112" t="n">
        <v>1208</v>
      </c>
      <c r="L12" s="112" t="n">
        <v>58307</v>
      </c>
      <c r="N12" s="112" t="n">
        <v>308</v>
      </c>
      <c r="O12" s="112" t="n">
        <v>22779</v>
      </c>
      <c r="P12" s="112" t="n">
        <v>834</v>
      </c>
      <c r="Q12" s="112" t="n">
        <v>58746</v>
      </c>
    </row>
    <row r="13" customFormat="false" ht="14.25" hidden="false" customHeight="true" outlineLevel="0" collapsed="false">
      <c r="A13" s="97" t="n">
        <v>14</v>
      </c>
      <c r="B13" s="94" t="s">
        <v>115</v>
      </c>
      <c r="C13" s="94" t="s">
        <v>41</v>
      </c>
      <c r="D13" s="94" t="s">
        <v>41</v>
      </c>
      <c r="E13" s="94" t="s">
        <v>32</v>
      </c>
      <c r="F13" s="95" t="n">
        <v>3230.5</v>
      </c>
      <c r="G13" s="95" t="n">
        <v>4145.68</v>
      </c>
      <c r="H13" s="95" t="n">
        <v>0</v>
      </c>
      <c r="I13" s="95" t="n">
        <v>33576.15</v>
      </c>
      <c r="K13" s="112" t="n">
        <v>114</v>
      </c>
      <c r="L13" s="112" t="n">
        <v>4146</v>
      </c>
      <c r="N13" s="112" t="n">
        <v>23</v>
      </c>
      <c r="O13" s="112" t="n">
        <v>1279</v>
      </c>
      <c r="P13" s="112" t="n">
        <v>123</v>
      </c>
      <c r="Q13" s="112" t="n">
        <v>5438</v>
      </c>
    </row>
    <row r="14" customFormat="false" ht="14.25" hidden="false" customHeight="true" outlineLevel="0" collapsed="false">
      <c r="A14" s="97" t="n">
        <v>15</v>
      </c>
      <c r="B14" s="94" t="s">
        <v>116</v>
      </c>
      <c r="C14" s="94" t="s">
        <v>47</v>
      </c>
      <c r="D14" s="94" t="s">
        <v>47</v>
      </c>
      <c r="E14" s="94" t="s">
        <v>32</v>
      </c>
      <c r="F14" s="95" t="n">
        <v>1583.18</v>
      </c>
      <c r="G14" s="95" t="n">
        <v>514.2</v>
      </c>
      <c r="H14" s="95" t="n">
        <v>25000</v>
      </c>
      <c r="I14" s="95" t="n">
        <v>31896.82</v>
      </c>
      <c r="K14" s="112" t="n">
        <v>16</v>
      </c>
      <c r="L14" s="112" t="n">
        <v>514</v>
      </c>
      <c r="N14" s="112" t="n">
        <v>75</v>
      </c>
      <c r="O14" s="112" t="n">
        <v>2396</v>
      </c>
      <c r="P14" s="112" t="n">
        <v>75</v>
      </c>
      <c r="Q14" s="112" t="n">
        <v>2396</v>
      </c>
    </row>
    <row r="15" customFormat="false" ht="14.25" hidden="false" customHeight="true" outlineLevel="0" collapsed="false">
      <c r="A15" s="97" t="n">
        <v>13</v>
      </c>
      <c r="B15" s="94" t="s">
        <v>117</v>
      </c>
      <c r="C15" s="94" t="s">
        <v>43</v>
      </c>
      <c r="D15" s="94" t="s">
        <v>43</v>
      </c>
      <c r="E15" s="94" t="s">
        <v>32</v>
      </c>
      <c r="F15" s="95" t="n">
        <v>9577.5</v>
      </c>
      <c r="G15" s="95" t="n">
        <v>13532.23</v>
      </c>
      <c r="H15" s="95" t="n">
        <v>400000</v>
      </c>
      <c r="I15" s="95" t="n">
        <v>37748.72</v>
      </c>
      <c r="K15" s="112" t="n">
        <v>286</v>
      </c>
      <c r="L15" s="112" t="n">
        <v>13532</v>
      </c>
      <c r="N15" s="112" t="n">
        <v>52</v>
      </c>
      <c r="O15" s="112" t="n">
        <v>5534</v>
      </c>
      <c r="P15" s="112" t="n">
        <v>261</v>
      </c>
      <c r="Q15" s="112" t="n">
        <v>14829</v>
      </c>
    </row>
    <row r="16" customFormat="false" ht="14.25" hidden="false" customHeight="true" outlineLevel="0" collapsed="false">
      <c r="A16" s="97" t="n">
        <v>9</v>
      </c>
      <c r="B16" s="94" t="s">
        <v>118</v>
      </c>
      <c r="C16" s="94" t="s">
        <v>44</v>
      </c>
      <c r="D16" s="94" t="s">
        <v>44</v>
      </c>
      <c r="E16" s="94" t="s">
        <v>32</v>
      </c>
      <c r="F16" s="95" t="n">
        <v>72915.81</v>
      </c>
      <c r="G16" s="95" t="n">
        <v>94701.6</v>
      </c>
      <c r="H16" s="95" t="n">
        <v>200000</v>
      </c>
      <c r="I16" s="95" t="n">
        <v>239111.1</v>
      </c>
      <c r="K16" s="112" t="n">
        <v>1673</v>
      </c>
      <c r="L16" s="112" t="n">
        <v>98528</v>
      </c>
      <c r="N16" s="112" t="n">
        <v>407</v>
      </c>
      <c r="O16" s="112" t="n">
        <v>34647</v>
      </c>
      <c r="P16" s="112" t="n">
        <v>1917</v>
      </c>
      <c r="Q16" s="112" t="n">
        <v>143175</v>
      </c>
    </row>
    <row r="17" customFormat="false" ht="15" hidden="false" customHeight="true" outlineLevel="0" collapsed="false">
      <c r="A17" s="103"/>
      <c r="B17" s="104"/>
      <c r="C17" s="104" t="s">
        <v>119</v>
      </c>
      <c r="D17" s="104" t="s">
        <v>119</v>
      </c>
      <c r="E17" s="104"/>
      <c r="F17" s="104" t="n">
        <f aca="false">SUM(F3:F16)</f>
        <v>16644964.924</v>
      </c>
      <c r="G17" s="104" t="n">
        <f aca="false">SUM(G3:G16)</f>
        <v>16462691.402</v>
      </c>
      <c r="H17" s="104" t="n">
        <f aca="false">SUM(H3:H16)</f>
        <v>20641000</v>
      </c>
      <c r="I17" s="104" t="n">
        <f aca="false">SUM(I3:I16)</f>
        <v>17499549.047</v>
      </c>
      <c r="K17" s="104" t="n">
        <f aca="false">SUM(K3:K16)</f>
        <v>579450</v>
      </c>
      <c r="L17" s="104" t="n">
        <f aca="false">SUM(L3:L16)</f>
        <v>16461753</v>
      </c>
      <c r="N17" s="104" t="n">
        <f aca="false">SUM(N3:N16)</f>
        <v>5782</v>
      </c>
      <c r="O17" s="104" t="n">
        <f aca="false">SUM(O3:O16)</f>
        <v>401450</v>
      </c>
      <c r="P17" s="104" t="n">
        <f aca="false">SUM(P3:P16)</f>
        <v>472773</v>
      </c>
      <c r="Q17" s="104" t="n">
        <f aca="false">SUM(Q3:Q16)</f>
        <v>13978831</v>
      </c>
    </row>
    <row r="18" customFormat="false" ht="14.25" hidden="false" customHeight="true" outlineLevel="0" collapsed="false">
      <c r="A18" s="97" t="n">
        <v>2</v>
      </c>
      <c r="B18" s="94" t="s">
        <v>120</v>
      </c>
      <c r="C18" s="94" t="s">
        <v>45</v>
      </c>
      <c r="D18" s="94" t="s">
        <v>45</v>
      </c>
      <c r="E18" s="94" t="s">
        <v>32</v>
      </c>
      <c r="F18" s="95" t="n">
        <v>683558.5</v>
      </c>
      <c r="G18" s="95" t="n">
        <v>1656258.29</v>
      </c>
      <c r="H18" s="95" t="n">
        <v>10788663.559322</v>
      </c>
      <c r="I18" s="95" t="n">
        <v>7612717.01355935</v>
      </c>
      <c r="K18" s="112" t="n">
        <v>20470</v>
      </c>
      <c r="L18" s="112" t="n">
        <v>1657321</v>
      </c>
      <c r="N18" s="112" t="n">
        <v>3000</v>
      </c>
      <c r="O18" s="112" t="n">
        <v>186431</v>
      </c>
      <c r="P18" s="112" t="n">
        <v>36104</v>
      </c>
      <c r="Q18" s="112" t="n">
        <v>4037646</v>
      </c>
    </row>
    <row r="19" customFormat="false" ht="14.25" hidden="false" customHeight="true" outlineLevel="0" collapsed="false">
      <c r="A19" s="97" t="n">
        <v>12</v>
      </c>
      <c r="B19" s="94" t="s">
        <v>121</v>
      </c>
      <c r="C19" s="94" t="s">
        <v>46</v>
      </c>
      <c r="D19" s="94" t="s">
        <v>46</v>
      </c>
      <c r="E19" s="94" t="s">
        <v>32</v>
      </c>
      <c r="F19" s="95" t="n">
        <v>35758.89</v>
      </c>
      <c r="G19" s="95" t="n">
        <v>27325.74</v>
      </c>
      <c r="H19" s="95" t="n">
        <v>30443.14</v>
      </c>
      <c r="I19" s="95" t="n">
        <v>39807.02</v>
      </c>
      <c r="K19" s="112" t="n">
        <v>415</v>
      </c>
      <c r="L19" s="112" t="n">
        <v>27326</v>
      </c>
      <c r="N19" s="112" t="n">
        <v>15</v>
      </c>
      <c r="O19" s="112" t="n">
        <v>2169</v>
      </c>
      <c r="P19" s="112" t="n">
        <v>253</v>
      </c>
      <c r="Q19" s="112" t="n">
        <v>16463</v>
      </c>
    </row>
    <row r="20" customFormat="false" ht="15" hidden="false" customHeight="true" outlineLevel="0" collapsed="false">
      <c r="A20" s="102"/>
      <c r="B20" s="104"/>
      <c r="C20" s="104" t="s">
        <v>48</v>
      </c>
      <c r="D20" s="104" t="s">
        <v>48</v>
      </c>
      <c r="E20" s="104"/>
      <c r="F20" s="104" t="n">
        <f aca="false">F17+F18+F19</f>
        <v>17364282.314</v>
      </c>
      <c r="G20" s="104" t="n">
        <f aca="false">G17+G18+G19</f>
        <v>18146275.432</v>
      </c>
      <c r="H20" s="104" t="n">
        <f aca="false">H17+H18+H19</f>
        <v>31460106.699322</v>
      </c>
      <c r="I20" s="104" t="n">
        <f aca="false">I17+I18+I19</f>
        <v>25152073.0805594</v>
      </c>
      <c r="K20" s="104" t="n">
        <f aca="false">K17+K18+K19</f>
        <v>600335</v>
      </c>
      <c r="L20" s="104" t="n">
        <f aca="false">L17+L18+L19</f>
        <v>18146400</v>
      </c>
      <c r="N20" s="104" t="n">
        <f aca="false">N17+N18+N19</f>
        <v>8797</v>
      </c>
      <c r="O20" s="104" t="n">
        <f aca="false">O17+O18+O19</f>
        <v>590050</v>
      </c>
      <c r="P20" s="104" t="n">
        <f aca="false">P17+P18+P19</f>
        <v>509130</v>
      </c>
      <c r="Q20" s="104" t="n">
        <f aca="false">Q17+Q18+Q19</f>
        <v>18032940</v>
      </c>
    </row>
    <row r="21" customFormat="false" ht="14.25" hidden="false" customHeight="true" outlineLevel="0" collapsed="false">
      <c r="A21" s="102" t="n">
        <v>50</v>
      </c>
      <c r="B21" s="94" t="s">
        <v>122</v>
      </c>
      <c r="C21" s="94" t="s">
        <v>49</v>
      </c>
      <c r="D21" s="94" t="s">
        <v>50</v>
      </c>
      <c r="E21" s="94" t="s">
        <v>51</v>
      </c>
      <c r="F21" s="95" t="n">
        <v>3501494.53</v>
      </c>
      <c r="G21" s="95" t="n">
        <v>2705391.22</v>
      </c>
      <c r="H21" s="95" t="n">
        <v>4776579.3532875</v>
      </c>
      <c r="I21" s="95" t="n">
        <v>3098024.51</v>
      </c>
      <c r="K21" s="112" t="n">
        <v>27158</v>
      </c>
      <c r="L21" s="112" t="n">
        <v>2705391</v>
      </c>
      <c r="N21" s="112" t="n">
        <v>59</v>
      </c>
      <c r="O21" s="112" t="n">
        <v>4136</v>
      </c>
      <c r="P21" s="112" t="n">
        <v>23757</v>
      </c>
      <c r="Q21" s="112" t="n">
        <v>2062599</v>
      </c>
    </row>
    <row r="22" customFormat="false" ht="14.25" hidden="false" customHeight="true" outlineLevel="0" collapsed="false">
      <c r="A22" s="102" t="n">
        <v>20</v>
      </c>
      <c r="B22" s="94" t="s">
        <v>123</v>
      </c>
      <c r="C22" s="94" t="s">
        <v>52</v>
      </c>
      <c r="D22" s="94" t="s">
        <v>53</v>
      </c>
      <c r="E22" s="94" t="s">
        <v>54</v>
      </c>
      <c r="F22" s="95" t="n">
        <v>879383.45</v>
      </c>
      <c r="G22" s="95" t="n">
        <v>902537.64</v>
      </c>
      <c r="H22" s="95" t="n">
        <v>980000</v>
      </c>
      <c r="I22" s="95" t="n">
        <v>922081.02</v>
      </c>
      <c r="K22" s="112" t="n">
        <v>48363</v>
      </c>
      <c r="L22" s="112" t="n">
        <v>902538</v>
      </c>
      <c r="N22" s="112" t="n">
        <v>316</v>
      </c>
      <c r="O22" s="112" t="n">
        <v>14578</v>
      </c>
      <c r="P22" s="112" t="n">
        <v>35606</v>
      </c>
      <c r="Q22" s="112" t="n">
        <v>598967</v>
      </c>
    </row>
    <row r="23" customFormat="false" ht="14.25" hidden="false" customHeight="true" outlineLevel="0" collapsed="false">
      <c r="A23" s="102" t="n">
        <v>21</v>
      </c>
      <c r="B23" s="94" t="s">
        <v>124</v>
      </c>
      <c r="C23" s="94" t="s">
        <v>55</v>
      </c>
      <c r="D23" s="94" t="s">
        <v>56</v>
      </c>
      <c r="E23" s="94" t="s">
        <v>57</v>
      </c>
      <c r="F23" s="95" t="n">
        <v>633752.75</v>
      </c>
      <c r="G23" s="95" t="n">
        <v>405920.85</v>
      </c>
      <c r="H23" s="95" t="n">
        <v>650000.27</v>
      </c>
      <c r="I23" s="95" t="n">
        <v>613276.52</v>
      </c>
      <c r="K23" s="112" t="n">
        <v>6959</v>
      </c>
      <c r="L23" s="112" t="n">
        <v>405921</v>
      </c>
      <c r="N23" s="112" t="n">
        <v>165</v>
      </c>
      <c r="O23" s="112" t="n">
        <v>5121</v>
      </c>
      <c r="P23" s="112" t="n">
        <v>8514</v>
      </c>
      <c r="Q23" s="112" t="n">
        <v>434859</v>
      </c>
    </row>
    <row r="24" customFormat="false" ht="14.25" hidden="false" customHeight="true" outlineLevel="0" collapsed="false">
      <c r="A24" s="102" t="n">
        <v>22</v>
      </c>
      <c r="B24" s="94" t="s">
        <v>125</v>
      </c>
      <c r="C24" s="94" t="s">
        <v>58</v>
      </c>
      <c r="D24" s="94" t="s">
        <v>59</v>
      </c>
      <c r="E24" s="94" t="s">
        <v>60</v>
      </c>
      <c r="F24" s="95" t="n">
        <v>489809</v>
      </c>
      <c r="G24" s="95" t="n">
        <v>414072.64</v>
      </c>
      <c r="H24" s="95" t="n">
        <v>499999.97</v>
      </c>
      <c r="I24" s="95" t="n">
        <v>457053.13</v>
      </c>
      <c r="K24" s="112" t="n">
        <v>21177</v>
      </c>
      <c r="L24" s="112" t="n">
        <v>414073</v>
      </c>
      <c r="N24" s="112" t="n">
        <v>195</v>
      </c>
      <c r="O24" s="112" t="n">
        <v>4101</v>
      </c>
      <c r="P24" s="112" t="n">
        <v>22899</v>
      </c>
      <c r="Q24" s="112" t="n">
        <v>387859</v>
      </c>
    </row>
    <row r="25" customFormat="false" ht="14.25" hidden="false" customHeight="true" outlineLevel="0" collapsed="false">
      <c r="A25" s="102" t="n">
        <v>23</v>
      </c>
      <c r="B25" s="94" t="s">
        <v>126</v>
      </c>
      <c r="C25" s="94" t="s">
        <v>61</v>
      </c>
      <c r="D25" s="94" t="s">
        <v>62</v>
      </c>
      <c r="E25" s="94" t="s">
        <v>63</v>
      </c>
      <c r="F25" s="95" t="n">
        <v>128758.9</v>
      </c>
      <c r="G25" s="95" t="n">
        <v>122339</v>
      </c>
      <c r="H25" s="95" t="n">
        <v>139999.92</v>
      </c>
      <c r="I25" s="95" t="n">
        <v>131678.59</v>
      </c>
      <c r="K25" s="112" t="n">
        <v>12986</v>
      </c>
      <c r="L25" s="112" t="n">
        <v>122339</v>
      </c>
      <c r="N25" s="112" t="n">
        <v>0</v>
      </c>
      <c r="O25" s="112" t="n">
        <v>0</v>
      </c>
      <c r="P25" s="112" t="n">
        <v>16302</v>
      </c>
      <c r="Q25" s="112" t="n">
        <v>121427</v>
      </c>
    </row>
    <row r="26" customFormat="false" ht="14.25" hidden="false" customHeight="true" outlineLevel="0" collapsed="false">
      <c r="A26" s="102" t="n">
        <v>24</v>
      </c>
      <c r="B26" s="94" t="s">
        <v>127</v>
      </c>
      <c r="C26" s="94" t="s">
        <v>64</v>
      </c>
      <c r="D26" s="94" t="s">
        <v>65</v>
      </c>
      <c r="E26" s="94" t="s">
        <v>66</v>
      </c>
      <c r="F26" s="95" t="n">
        <v>160712.5</v>
      </c>
      <c r="G26" s="95" t="n">
        <v>52899.82</v>
      </c>
      <c r="H26" s="95" t="n">
        <v>50000</v>
      </c>
      <c r="I26" s="95" t="n">
        <v>0</v>
      </c>
      <c r="K26" s="112" t="n">
        <v>1817</v>
      </c>
      <c r="L26" s="112" t="n">
        <v>52900</v>
      </c>
      <c r="N26" s="112" t="n">
        <v>0</v>
      </c>
      <c r="O26" s="112" t="n">
        <v>0</v>
      </c>
      <c r="P26" s="112" t="n">
        <v>0</v>
      </c>
      <c r="Q26" s="112" t="n">
        <v>0</v>
      </c>
    </row>
    <row r="27" customFormat="false" ht="13.5" hidden="false" customHeight="true" outlineLevel="0" collapsed="false">
      <c r="A27" s="102" t="n">
        <v>25</v>
      </c>
      <c r="B27" s="94" t="s">
        <v>128</v>
      </c>
      <c r="C27" s="94" t="s">
        <v>67</v>
      </c>
      <c r="D27" s="94" t="s">
        <v>68</v>
      </c>
      <c r="E27" s="94" t="s">
        <v>69</v>
      </c>
      <c r="F27" s="95" t="n">
        <v>471280.16</v>
      </c>
      <c r="G27" s="95" t="n">
        <v>319558.55</v>
      </c>
      <c r="H27" s="95" t="n">
        <v>450000</v>
      </c>
      <c r="I27" s="95" t="n">
        <v>524147.47</v>
      </c>
      <c r="K27" s="112" t="n">
        <v>18268</v>
      </c>
      <c r="L27" s="112" t="n">
        <v>319559</v>
      </c>
      <c r="N27" s="112" t="n">
        <v>1252</v>
      </c>
      <c r="O27" s="112" t="n">
        <v>18474</v>
      </c>
      <c r="P27" s="112" t="n">
        <v>26022</v>
      </c>
      <c r="Q27" s="112" t="n">
        <v>461754</v>
      </c>
    </row>
    <row r="28" customFormat="false" ht="14.25" hidden="false" customHeight="true" outlineLevel="0" collapsed="false">
      <c r="A28" s="102" t="n">
        <v>26</v>
      </c>
      <c r="B28" s="94" t="s">
        <v>129</v>
      </c>
      <c r="C28" s="94" t="s">
        <v>70</v>
      </c>
      <c r="D28" s="94" t="s">
        <v>71</v>
      </c>
      <c r="E28" s="94" t="s">
        <v>72</v>
      </c>
      <c r="F28" s="95" t="n">
        <v>162967.91</v>
      </c>
      <c r="G28" s="95" t="n">
        <v>86855.65</v>
      </c>
      <c r="H28" s="95" t="n">
        <v>200000</v>
      </c>
      <c r="I28" s="95" t="n">
        <v>100694.01</v>
      </c>
      <c r="K28" s="112" t="n">
        <v>3507</v>
      </c>
      <c r="L28" s="112" t="n">
        <v>86856</v>
      </c>
      <c r="N28" s="112" t="n">
        <v>952</v>
      </c>
      <c r="O28" s="112" t="n">
        <v>35025</v>
      </c>
      <c r="P28" s="112" t="n">
        <v>2952</v>
      </c>
      <c r="Q28" s="112" t="n">
        <v>76374</v>
      </c>
    </row>
    <row r="29" customFormat="false" ht="13.5" hidden="false" customHeight="true" outlineLevel="0" collapsed="false">
      <c r="A29" s="102" t="n">
        <v>27</v>
      </c>
      <c r="B29" s="94" t="s">
        <v>130</v>
      </c>
      <c r="C29" s="94" t="s">
        <v>73</v>
      </c>
      <c r="D29" s="94" t="s">
        <v>74</v>
      </c>
      <c r="E29" s="94" t="s">
        <v>75</v>
      </c>
      <c r="F29" s="95" t="n">
        <v>370614.64</v>
      </c>
      <c r="G29" s="95" t="n">
        <v>256772.1</v>
      </c>
      <c r="H29" s="95" t="n">
        <v>250000</v>
      </c>
      <c r="I29" s="95" t="n">
        <v>250000</v>
      </c>
      <c r="K29" s="112" t="n">
        <v>6687</v>
      </c>
      <c r="L29" s="112" t="n">
        <v>256772</v>
      </c>
      <c r="N29" s="112" t="n">
        <v>0</v>
      </c>
      <c r="O29" s="112" t="n">
        <v>0</v>
      </c>
      <c r="P29" s="112" t="n">
        <v>0</v>
      </c>
      <c r="Q29" s="112" t="n">
        <v>0</v>
      </c>
    </row>
    <row r="30" customFormat="false" ht="13.5" hidden="false" customHeight="true" outlineLevel="0" collapsed="false">
      <c r="A30" s="102" t="n">
        <v>28</v>
      </c>
      <c r="B30" s="94" t="s">
        <v>131</v>
      </c>
      <c r="C30" s="94" t="s">
        <v>76</v>
      </c>
      <c r="D30" s="94" t="s">
        <v>77</v>
      </c>
      <c r="E30" s="94" t="s">
        <v>78</v>
      </c>
      <c r="F30" s="95" t="n">
        <v>348874.04</v>
      </c>
      <c r="G30" s="95" t="n">
        <v>405953.63</v>
      </c>
      <c r="H30" s="95" t="n">
        <v>450000</v>
      </c>
      <c r="I30" s="95" t="n">
        <v>378207.09</v>
      </c>
      <c r="K30" s="112" t="n">
        <v>13479</v>
      </c>
      <c r="L30" s="112" t="n">
        <v>407235</v>
      </c>
      <c r="N30" s="112" t="n">
        <v>186</v>
      </c>
      <c r="O30" s="112" t="n">
        <v>7790</v>
      </c>
      <c r="P30" s="112" t="n">
        <v>12256</v>
      </c>
      <c r="Q30" s="112" t="n">
        <v>380002</v>
      </c>
    </row>
    <row r="31" customFormat="false" ht="14.25" hidden="false" customHeight="true" outlineLevel="0" collapsed="false">
      <c r="A31" s="102" t="n">
        <v>29</v>
      </c>
      <c r="B31" s="94" t="s">
        <v>132</v>
      </c>
      <c r="C31" s="94" t="s">
        <v>79</v>
      </c>
      <c r="D31" s="94" t="s">
        <v>80</v>
      </c>
      <c r="E31" s="94" t="s">
        <v>81</v>
      </c>
      <c r="F31" s="95" t="n">
        <v>107690.85</v>
      </c>
      <c r="G31" s="95" t="n">
        <v>64554.59</v>
      </c>
      <c r="H31" s="95" t="n">
        <v>70000</v>
      </c>
      <c r="I31" s="95" t="n">
        <v>73116.44</v>
      </c>
      <c r="K31" s="112" t="n">
        <v>2672</v>
      </c>
      <c r="L31" s="112" t="n">
        <v>64555</v>
      </c>
      <c r="N31" s="112" t="n">
        <v>455</v>
      </c>
      <c r="O31" s="112" t="n">
        <v>20643</v>
      </c>
      <c r="P31" s="112" t="n">
        <v>1915</v>
      </c>
      <c r="Q31" s="112" t="n">
        <v>54463</v>
      </c>
    </row>
    <row r="32" customFormat="false" ht="14.25" hidden="false" customHeight="true" outlineLevel="0" collapsed="false">
      <c r="A32" s="102" t="n">
        <v>30</v>
      </c>
      <c r="B32" s="94" t="s">
        <v>133</v>
      </c>
      <c r="C32" s="94" t="s">
        <v>82</v>
      </c>
      <c r="D32" s="94" t="s">
        <v>83</v>
      </c>
      <c r="E32" s="94" t="s">
        <v>81</v>
      </c>
      <c r="F32" s="95" t="n">
        <v>41028.36</v>
      </c>
      <c r="G32" s="95" t="n">
        <v>60908.2</v>
      </c>
      <c r="H32" s="95" t="n">
        <v>59793</v>
      </c>
      <c r="I32" s="95" t="n">
        <v>42809.5</v>
      </c>
      <c r="K32" s="112" t="n">
        <v>2980</v>
      </c>
      <c r="L32" s="112" t="n">
        <v>60908</v>
      </c>
      <c r="N32" s="112" t="n">
        <v>328</v>
      </c>
      <c r="O32" s="112" t="n">
        <v>7402</v>
      </c>
      <c r="P32" s="112" t="n">
        <v>2059</v>
      </c>
      <c r="Q32" s="112" t="n">
        <v>41437</v>
      </c>
    </row>
    <row r="33" customFormat="false" ht="13.5" hidden="false" customHeight="true" outlineLevel="0" collapsed="false">
      <c r="A33" s="102" t="n">
        <v>31</v>
      </c>
      <c r="B33" s="94" t="s">
        <v>84</v>
      </c>
      <c r="C33" s="94" t="s">
        <v>84</v>
      </c>
      <c r="D33" s="94" t="s">
        <v>85</v>
      </c>
      <c r="E33" s="94" t="s">
        <v>86</v>
      </c>
      <c r="F33" s="95" t="n">
        <v>31722.98</v>
      </c>
      <c r="G33" s="95" t="n">
        <v>81786.57</v>
      </c>
      <c r="H33" s="95" t="n">
        <v>85000</v>
      </c>
      <c r="I33" s="95" t="n">
        <v>17500</v>
      </c>
      <c r="K33" s="112" t="n">
        <v>3060</v>
      </c>
      <c r="L33" s="112" t="n">
        <v>81787</v>
      </c>
      <c r="N33" s="112" t="n">
        <v>6</v>
      </c>
      <c r="O33" s="112" t="n">
        <v>109</v>
      </c>
      <c r="P33" s="112" t="n">
        <v>851</v>
      </c>
      <c r="Q33" s="112" t="n">
        <v>12679</v>
      </c>
    </row>
    <row r="34" customFormat="false" ht="13.5" hidden="false" customHeight="true" outlineLevel="0" collapsed="false">
      <c r="A34" s="102"/>
      <c r="B34" s="94"/>
      <c r="C34" s="94"/>
      <c r="D34" s="94" t="s">
        <v>134</v>
      </c>
      <c r="E34" s="94" t="s">
        <v>135</v>
      </c>
      <c r="F34" s="95" t="n">
        <v>0</v>
      </c>
      <c r="G34" s="95" t="n">
        <v>0</v>
      </c>
      <c r="H34" s="95" t="n">
        <v>0</v>
      </c>
      <c r="I34" s="95" t="n">
        <v>0</v>
      </c>
      <c r="K34" s="112"/>
      <c r="L34" s="112"/>
      <c r="N34" s="112"/>
      <c r="O34" s="112"/>
      <c r="P34" s="112"/>
      <c r="Q34" s="112"/>
    </row>
    <row r="35" customFormat="false" ht="13.5" hidden="false" customHeight="true" outlineLevel="0" collapsed="false">
      <c r="A35" s="102" t="n">
        <v>32</v>
      </c>
      <c r="B35" s="94" t="s">
        <v>136</v>
      </c>
      <c r="C35" s="94" t="s">
        <v>87</v>
      </c>
      <c r="D35" s="94" t="s">
        <v>88</v>
      </c>
      <c r="E35" s="94" t="s">
        <v>89</v>
      </c>
      <c r="F35" s="95" t="n">
        <v>35826.78</v>
      </c>
      <c r="G35" s="95" t="n">
        <v>39713.57</v>
      </c>
      <c r="H35" s="95" t="n">
        <v>40000</v>
      </c>
      <c r="I35" s="95" t="n">
        <v>38792.66</v>
      </c>
      <c r="K35" s="112" t="n">
        <v>1359</v>
      </c>
      <c r="L35" s="112" t="n">
        <v>39714</v>
      </c>
      <c r="N35" s="112" t="n">
        <v>71</v>
      </c>
      <c r="O35" s="112" t="n">
        <v>1807</v>
      </c>
      <c r="P35" s="112" t="n">
        <v>1935</v>
      </c>
      <c r="Q35" s="112" t="n">
        <v>46917</v>
      </c>
    </row>
    <row r="36" customFormat="false" ht="13.5" hidden="false" customHeight="true" outlineLevel="0" collapsed="false">
      <c r="A36" s="102" t="n">
        <v>33</v>
      </c>
      <c r="B36" s="94" t="s">
        <v>137</v>
      </c>
      <c r="C36" s="94" t="s">
        <v>90</v>
      </c>
      <c r="D36" s="94" t="s">
        <v>91</v>
      </c>
      <c r="E36" s="94" t="s">
        <v>92</v>
      </c>
      <c r="F36" s="95" t="n">
        <v>59175.03</v>
      </c>
      <c r="G36" s="95" t="n">
        <v>53863.18</v>
      </c>
      <c r="H36" s="95" t="n">
        <v>80000</v>
      </c>
      <c r="I36" s="95" t="n">
        <v>25000</v>
      </c>
      <c r="K36" s="112" t="n">
        <v>1737</v>
      </c>
      <c r="L36" s="112" t="n">
        <v>53863</v>
      </c>
      <c r="N36" s="112" t="n">
        <v>0</v>
      </c>
      <c r="O36" s="112" t="n">
        <v>0</v>
      </c>
      <c r="P36" s="112" t="n">
        <v>1235</v>
      </c>
      <c r="Q36" s="112" t="n">
        <v>32976</v>
      </c>
    </row>
    <row r="37" customFormat="false" ht="14.25" hidden="false" customHeight="true" outlineLevel="0" collapsed="false">
      <c r="A37" s="102"/>
      <c r="B37" s="94" t="s">
        <v>138</v>
      </c>
      <c r="C37" s="94" t="s">
        <v>138</v>
      </c>
      <c r="D37" s="94" t="s">
        <v>139</v>
      </c>
      <c r="E37" s="94" t="s">
        <v>78</v>
      </c>
      <c r="F37" s="95" t="n">
        <v>41531.96</v>
      </c>
      <c r="G37" s="95" t="n">
        <v>0</v>
      </c>
      <c r="H37" s="95" t="n">
        <v>0</v>
      </c>
      <c r="I37" s="95" t="n">
        <v>0</v>
      </c>
      <c r="K37" s="112"/>
      <c r="L37" s="112"/>
      <c r="N37" s="112"/>
      <c r="O37" s="112"/>
      <c r="P37" s="112"/>
      <c r="Q37" s="112"/>
    </row>
    <row r="38" customFormat="false" ht="14.25" hidden="false" customHeight="true" outlineLevel="0" collapsed="false">
      <c r="A38" s="102" t="n">
        <v>34</v>
      </c>
      <c r="B38" s="94" t="s">
        <v>140</v>
      </c>
      <c r="C38" s="94" t="s">
        <v>140</v>
      </c>
      <c r="D38" s="94" t="s">
        <v>93</v>
      </c>
      <c r="E38" s="94" t="s">
        <v>141</v>
      </c>
      <c r="F38" s="95" t="n">
        <v>22310.96</v>
      </c>
      <c r="G38" s="95" t="n">
        <v>0</v>
      </c>
      <c r="H38" s="95" t="n">
        <v>0</v>
      </c>
      <c r="I38" s="95" t="n">
        <v>0</v>
      </c>
      <c r="K38" s="112"/>
      <c r="L38" s="112"/>
      <c r="N38" s="112"/>
      <c r="O38" s="112"/>
      <c r="P38" s="112"/>
      <c r="Q38" s="112"/>
    </row>
    <row r="39" customFormat="false" ht="13.5" hidden="false" customHeight="true" outlineLevel="0" collapsed="false">
      <c r="A39" s="102" t="n">
        <v>35</v>
      </c>
      <c r="B39" s="94" t="s">
        <v>94</v>
      </c>
      <c r="C39" s="94" t="s">
        <v>94</v>
      </c>
      <c r="D39" s="94" t="s">
        <v>95</v>
      </c>
      <c r="E39" s="94" t="s">
        <v>51</v>
      </c>
      <c r="F39" s="95" t="n">
        <v>161574.82</v>
      </c>
      <c r="G39" s="95" t="n">
        <v>248.59</v>
      </c>
      <c r="H39" s="95" t="n">
        <v>600000</v>
      </c>
      <c r="I39" s="95" t="n">
        <v>0</v>
      </c>
      <c r="K39" s="112" t="n">
        <v>24</v>
      </c>
      <c r="L39" s="112" t="n">
        <v>249</v>
      </c>
      <c r="N39" s="112" t="n">
        <v>0</v>
      </c>
      <c r="O39" s="112" t="n">
        <v>0</v>
      </c>
      <c r="P39" s="112" t="n">
        <v>0</v>
      </c>
      <c r="Q39" s="112" t="n">
        <v>0</v>
      </c>
    </row>
    <row r="40" customFormat="false" ht="13.5" hidden="false" customHeight="true" outlineLevel="0" collapsed="false">
      <c r="A40" s="102" t="n">
        <v>36</v>
      </c>
      <c r="B40" s="94"/>
      <c r="C40" s="94" t="s">
        <v>97</v>
      </c>
      <c r="D40" s="94" t="s">
        <v>97</v>
      </c>
      <c r="E40" s="94"/>
      <c r="F40" s="95" t="n">
        <v>0</v>
      </c>
      <c r="G40" s="95" t="n">
        <v>0</v>
      </c>
      <c r="H40" s="95" t="n">
        <v>400000</v>
      </c>
      <c r="I40" s="95" t="n">
        <v>100000</v>
      </c>
      <c r="K40" s="112"/>
      <c r="L40" s="112"/>
      <c r="N40" s="112"/>
      <c r="O40" s="112"/>
      <c r="P40" s="112"/>
      <c r="Q40" s="112"/>
    </row>
    <row r="41" customFormat="false" ht="13.5" hidden="false" customHeight="true" outlineLevel="0" collapsed="false">
      <c r="A41" s="102" t="n">
        <v>37</v>
      </c>
      <c r="B41" s="94"/>
      <c r="C41" s="94"/>
      <c r="D41" s="94" t="s">
        <v>142</v>
      </c>
      <c r="E41" s="94"/>
      <c r="F41" s="95"/>
      <c r="G41" s="95"/>
      <c r="H41" s="95"/>
      <c r="I41" s="95"/>
      <c r="K41" s="112"/>
      <c r="L41" s="112"/>
      <c r="N41" s="112"/>
      <c r="O41" s="112"/>
      <c r="P41" s="112"/>
      <c r="Q41" s="112"/>
    </row>
    <row r="42" customFormat="false" ht="13.5" hidden="false" customHeight="true" outlineLevel="0" collapsed="false">
      <c r="A42" s="102" t="n">
        <v>38</v>
      </c>
      <c r="B42" s="94"/>
      <c r="C42" s="94" t="s">
        <v>97</v>
      </c>
      <c r="D42" s="94" t="s">
        <v>143</v>
      </c>
      <c r="E42" s="94"/>
      <c r="F42" s="95" t="n">
        <v>0</v>
      </c>
      <c r="G42" s="95" t="n">
        <v>0</v>
      </c>
      <c r="H42" s="95"/>
      <c r="I42" s="95"/>
      <c r="K42" s="112"/>
      <c r="L42" s="112"/>
      <c r="N42" s="112"/>
      <c r="O42" s="112"/>
      <c r="P42" s="112"/>
      <c r="Q42" s="112"/>
    </row>
    <row r="43" customFormat="false" ht="15" hidden="false" customHeight="true" outlineLevel="0" collapsed="false">
      <c r="A43" s="102"/>
      <c r="B43" s="105"/>
      <c r="C43" s="105" t="s">
        <v>98</v>
      </c>
      <c r="D43" s="105" t="s">
        <v>98</v>
      </c>
      <c r="E43" s="105"/>
      <c r="F43" s="105" t="n">
        <f aca="false">SUM(F21:F42)</f>
        <v>7648509.62</v>
      </c>
      <c r="G43" s="105" t="n">
        <f aca="false">SUM(G21:G42)</f>
        <v>5973375.8</v>
      </c>
      <c r="H43" s="105" t="n">
        <f aca="false">SUM(H21:H42)</f>
        <v>9781372.5132875</v>
      </c>
      <c r="I43" s="105" t="n">
        <f aca="false">SUM(I21:I42)</f>
        <v>6772380.94</v>
      </c>
      <c r="K43" s="105" t="n">
        <f aca="false">SUM(K21:K42)</f>
        <v>172233</v>
      </c>
      <c r="L43" s="105" t="n">
        <f aca="false">SUM(L21:L42)</f>
        <v>5974660</v>
      </c>
      <c r="N43" s="105" t="n">
        <f aca="false">SUM(N21:N42)</f>
        <v>3985</v>
      </c>
      <c r="O43" s="105" t="n">
        <f aca="false">SUM(O21:O42)</f>
        <v>119186</v>
      </c>
      <c r="P43" s="105" t="n">
        <f aca="false">SUM(P21:P42)</f>
        <v>156303</v>
      </c>
      <c r="Q43" s="105" t="n">
        <f aca="false">SUM(Q21:Q42)</f>
        <v>4712313</v>
      </c>
    </row>
    <row r="44" customFormat="false" ht="15" hidden="false" customHeight="true" outlineLevel="0" collapsed="false">
      <c r="A44" s="102"/>
      <c r="B44" s="106"/>
      <c r="C44" s="106" t="s">
        <v>144</v>
      </c>
      <c r="D44" s="106" t="s">
        <v>144</v>
      </c>
      <c r="E44" s="106"/>
      <c r="F44" s="106" t="n">
        <f aca="false">F43+F20</f>
        <v>25012791.934</v>
      </c>
      <c r="G44" s="106" t="n">
        <f aca="false">G43+G20</f>
        <v>24119651.232</v>
      </c>
      <c r="H44" s="106" t="n">
        <f aca="false">H43+H20</f>
        <v>41241479.2126095</v>
      </c>
      <c r="I44" s="106" t="n">
        <f aca="false">I43+I20</f>
        <v>31924454.0205594</v>
      </c>
      <c r="K44" s="106" t="n">
        <f aca="false">K43+K20</f>
        <v>772568</v>
      </c>
      <c r="L44" s="106" t="n">
        <f aca="false">L43+L20</f>
        <v>24121060</v>
      </c>
      <c r="N44" s="106" t="n">
        <f aca="false">N43+N20</f>
        <v>12782</v>
      </c>
      <c r="O44" s="106" t="n">
        <f aca="false">O43+O20</f>
        <v>709236</v>
      </c>
      <c r="P44" s="106" t="n">
        <f aca="false">P43+P20</f>
        <v>665433</v>
      </c>
      <c r="Q44" s="106" t="n">
        <f aca="false">Q43+Q20</f>
        <v>22745253</v>
      </c>
    </row>
    <row r="45" customFormat="false" ht="15" hidden="false" customHeight="true" outlineLevel="0" collapsed="false">
      <c r="B45" s="107"/>
      <c r="C45" s="107" t="s">
        <v>145</v>
      </c>
      <c r="D45" s="107" t="s">
        <v>145</v>
      </c>
      <c r="E45" s="107"/>
      <c r="F45" s="108" t="n">
        <f aca="false">F43/F44</f>
        <v>0.305783922090015</v>
      </c>
      <c r="G45" s="108" t="n">
        <f aca="false">G43/G44</f>
        <v>0.247655977383081</v>
      </c>
      <c r="H45" s="108" t="n">
        <f aca="false">H43/H44</f>
        <v>0.237173173708495</v>
      </c>
      <c r="I45" s="108" t="n">
        <f aca="false">I43/I44</f>
        <v>0.212137721623636</v>
      </c>
      <c r="K45" s="108" t="n">
        <f aca="false">IFERROR(K43/K44,"")</f>
        <v>0.222935715691046</v>
      </c>
      <c r="L45" s="108" t="n">
        <f aca="false">IFERROR(L43/L44,"")</f>
        <v>0.247694753049825</v>
      </c>
      <c r="N45" s="108" t="n">
        <f aca="false">IFERROR(N43/N44,"")</f>
        <v>0.311766546706306</v>
      </c>
      <c r="O45" s="108" t="n">
        <f aca="false">IFERROR(O43/O44,"")</f>
        <v>0.168048435217614</v>
      </c>
      <c r="P45" s="108" t="n">
        <f aca="false">IFERROR(P43/P44,"")</f>
        <v>0.234889162395012</v>
      </c>
      <c r="Q45" s="108" t="n">
        <f aca="false">IFERROR(Q43/Q44,"")</f>
        <v>0.207177866959756</v>
      </c>
    </row>
    <row r="47" customFormat="false" ht="15" hidden="false" customHeight="true" outlineLevel="0" collapsed="false">
      <c r="D47" s="91"/>
      <c r="E47" s="4"/>
      <c r="F47" s="92" t="n">
        <v>2024</v>
      </c>
      <c r="G47" s="92" t="n">
        <v>2025</v>
      </c>
      <c r="H47" s="92" t="s">
        <v>102</v>
      </c>
      <c r="I47" s="92" t="s">
        <v>103</v>
      </c>
      <c r="K47" s="92" t="s">
        <v>103</v>
      </c>
    </row>
    <row r="48" customFormat="false" ht="15" hidden="false" customHeight="true" outlineLevel="0" collapsed="false">
      <c r="D48" s="104" t="s">
        <v>146</v>
      </c>
      <c r="E48" s="4"/>
      <c r="F48" s="109" t="n">
        <f aca="false">F17</f>
        <v>16644964.924</v>
      </c>
      <c r="G48" s="109" t="n">
        <f aca="false">G17</f>
        <v>16462691.402</v>
      </c>
      <c r="H48" s="109" t="n">
        <f aca="false">H17</f>
        <v>20641000</v>
      </c>
      <c r="I48" s="109" t="n">
        <f aca="false">I17</f>
        <v>17499549.047</v>
      </c>
      <c r="K48" s="109" t="n">
        <f aca="false">K17</f>
        <v>579450</v>
      </c>
    </row>
    <row r="49" customFormat="false" ht="15" hidden="false" customHeight="true" outlineLevel="0" collapsed="false">
      <c r="D49" s="104" t="s">
        <v>147</v>
      </c>
      <c r="E49" s="4"/>
      <c r="F49" s="109" t="n">
        <f aca="false">F18+F19</f>
        <v>719317.39</v>
      </c>
      <c r="G49" s="109" t="n">
        <f aca="false">G18+G19</f>
        <v>1683584.03</v>
      </c>
      <c r="H49" s="109" t="n">
        <f aca="false">H18+H19</f>
        <v>10819106.699322</v>
      </c>
      <c r="I49" s="109" t="n">
        <f aca="false">I18+I19</f>
        <v>7652524.03355935</v>
      </c>
      <c r="K49" s="109" t="n">
        <f aca="false">K18+K19</f>
        <v>20885</v>
      </c>
    </row>
    <row r="50" customFormat="false" ht="15" hidden="false" customHeight="true" outlineLevel="0" collapsed="false">
      <c r="D50" s="110" t="s">
        <v>148</v>
      </c>
      <c r="E50" s="4"/>
      <c r="F50" s="111" t="n">
        <f aca="false">SUM(F48:F49)</f>
        <v>17364282.314</v>
      </c>
      <c r="G50" s="111" t="n">
        <f aca="false">SUM(G48:G49)</f>
        <v>18146275.432</v>
      </c>
      <c r="H50" s="111" t="n">
        <f aca="false">SUM(H48:H49)</f>
        <v>31460106.699322</v>
      </c>
      <c r="I50" s="111" t="n">
        <f aca="false">SUM(I48:I49)</f>
        <v>25152073.0805594</v>
      </c>
      <c r="K50" s="111" t="n">
        <f aca="false">SUM(K48:K49)</f>
        <v>600335</v>
      </c>
    </row>
    <row r="52" customFormat="false" ht="15" hidden="false" customHeight="true" outlineLevel="0" collapsed="false">
      <c r="D52" s="104" t="s">
        <v>149</v>
      </c>
      <c r="E52" s="4"/>
      <c r="F52" s="109" t="n">
        <f aca="false">F21</f>
        <v>3501494.53</v>
      </c>
      <c r="G52" s="109" t="n">
        <f aca="false">G21</f>
        <v>2705391.22</v>
      </c>
      <c r="H52" s="109" t="n">
        <f aca="false">H21</f>
        <v>4776579.3532875</v>
      </c>
      <c r="I52" s="109" t="n">
        <f aca="false">I21</f>
        <v>3098024.51</v>
      </c>
      <c r="K52" s="109" t="n">
        <f aca="false">K21</f>
        <v>27158</v>
      </c>
    </row>
    <row r="53" customFormat="false" ht="15" hidden="false" customHeight="true" outlineLevel="0" collapsed="false">
      <c r="D53" s="104" t="s">
        <v>150</v>
      </c>
      <c r="E53" s="4"/>
      <c r="F53" s="109" t="n">
        <f aca="false">SUM(F22:F42)</f>
        <v>4147015.09</v>
      </c>
      <c r="G53" s="109" t="n">
        <f aca="false">SUM(G22:G42)</f>
        <v>3267984.58</v>
      </c>
      <c r="H53" s="109" t="n">
        <f aca="false">SUM(H22:H42)</f>
        <v>5004793.16</v>
      </c>
      <c r="I53" s="109" t="n">
        <f aca="false">SUM(I22:I42)</f>
        <v>3674356.43</v>
      </c>
      <c r="K53" s="109" t="n">
        <f aca="false">SUM(K22:K42)</f>
        <v>145075</v>
      </c>
    </row>
    <row r="54" customFormat="false" ht="15" hidden="false" customHeight="true" outlineLevel="0" collapsed="false">
      <c r="D54" s="106" t="s">
        <v>151</v>
      </c>
      <c r="E54" s="4"/>
      <c r="F54" s="106" t="n">
        <f aca="false">SUM(F50:F53)</f>
        <v>25012791.934</v>
      </c>
      <c r="G54" s="106" t="n">
        <f aca="false">SUM(G50:G53)</f>
        <v>24119651.232</v>
      </c>
      <c r="H54" s="106" t="n">
        <f aca="false">SUM(H50:H53)</f>
        <v>41241479.2126095</v>
      </c>
      <c r="I54" s="106" t="n">
        <f aca="false">SUM(I50:I53)</f>
        <v>31924454.0205594</v>
      </c>
      <c r="K54" s="106" t="n">
        <f aca="false">SUM(K50:K53)</f>
        <v>772568</v>
      </c>
    </row>
    <row r="55" customFormat="false" ht="14.25" hidden="false" customHeight="true" outlineLevel="0" collapsed="false">
      <c r="D55" s="0" t="s">
        <v>152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6171875" defaultRowHeight="14.25" zeroHeight="false" outlineLevelRow="0" outlineLevelCol="0"/>
  <cols>
    <col collapsed="false" customWidth="true" hidden="false" outlineLevel="0" max="1" min="1" style="0" width="18.12"/>
    <col collapsed="false" customWidth="true" hidden="false" outlineLevel="0" max="2" min="2" style="0" width="26.38"/>
    <col collapsed="false" customWidth="true" hidden="false" outlineLevel="0" max="13" min="3" style="0" width="9.38"/>
    <col collapsed="false" customWidth="true" hidden="false" outlineLevel="0" max="14" min="14" style="0" width="7.88"/>
  </cols>
  <sheetData>
    <row r="1" customFormat="false" ht="18.75" hidden="false" customHeight="true" outlineLevel="0" collapsed="false">
      <c r="A1" s="113" t="s">
        <v>154</v>
      </c>
      <c r="B1" s="114" t="s">
        <v>155</v>
      </c>
      <c r="C1" s="114" t="s">
        <v>156</v>
      </c>
      <c r="D1" s="114" t="s">
        <v>157</v>
      </c>
      <c r="E1" s="114" t="s">
        <v>158</v>
      </c>
      <c r="F1" s="114" t="s">
        <v>159</v>
      </c>
      <c r="G1" s="114" t="s">
        <v>160</v>
      </c>
      <c r="H1" s="114" t="s">
        <v>161</v>
      </c>
      <c r="I1" s="114" t="s">
        <v>162</v>
      </c>
      <c r="J1" s="114" t="s">
        <v>163</v>
      </c>
      <c r="K1" s="114" t="s">
        <v>164</v>
      </c>
      <c r="L1" s="114" t="s">
        <v>165</v>
      </c>
      <c r="M1" s="114" t="s">
        <v>166</v>
      </c>
      <c r="N1" s="114" t="s">
        <v>167</v>
      </c>
    </row>
    <row r="2" customFormat="false" ht="15.75" hidden="false" customHeight="true" outlineLevel="0" collapsed="false">
      <c r="A2" s="115" t="s">
        <v>168</v>
      </c>
      <c r="B2" s="116" t="s">
        <v>169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</row>
    <row r="3" customFormat="false" ht="15.75" hidden="false" customHeight="true" outlineLevel="0" collapsed="false">
      <c r="A3" s="115" t="s">
        <v>170</v>
      </c>
      <c r="B3" s="118" t="s">
        <v>171</v>
      </c>
      <c r="C3" s="119"/>
      <c r="D3" s="119"/>
      <c r="E3" s="117"/>
      <c r="F3" s="117"/>
      <c r="G3" s="117"/>
      <c r="H3" s="117"/>
      <c r="I3" s="117"/>
      <c r="J3" s="117"/>
      <c r="K3" s="117"/>
      <c r="L3" s="117"/>
      <c r="M3" s="117"/>
      <c r="N3" s="119"/>
    </row>
    <row r="4" customFormat="false" ht="15.75" hidden="false" customHeight="true" outlineLevel="0" collapsed="false">
      <c r="A4" s="115"/>
      <c r="B4" s="118" t="s">
        <v>172</v>
      </c>
      <c r="C4" s="119"/>
      <c r="D4" s="119"/>
      <c r="E4" s="117"/>
      <c r="F4" s="117"/>
      <c r="G4" s="117"/>
      <c r="H4" s="117"/>
      <c r="I4" s="117"/>
      <c r="J4" s="117"/>
      <c r="K4" s="117"/>
      <c r="L4" s="117"/>
      <c r="M4" s="117"/>
      <c r="N4" s="119"/>
    </row>
    <row r="5" customFormat="false" ht="15.75" hidden="false" customHeight="true" outlineLevel="0" collapsed="false">
      <c r="A5" s="115"/>
      <c r="B5" s="120" t="s">
        <v>173</v>
      </c>
      <c r="C5" s="119"/>
      <c r="D5" s="119"/>
      <c r="E5" s="119"/>
      <c r="F5" s="119"/>
      <c r="G5" s="119"/>
      <c r="H5" s="119"/>
      <c r="I5" s="119"/>
      <c r="J5" s="117"/>
      <c r="K5" s="117"/>
      <c r="L5" s="117"/>
      <c r="M5" s="117"/>
      <c r="N5" s="121"/>
    </row>
    <row r="6" customFormat="false" ht="15.75" hidden="false" customHeight="true" outlineLevel="0" collapsed="false">
      <c r="A6" s="115"/>
      <c r="B6" s="116" t="s">
        <v>174</v>
      </c>
      <c r="C6" s="117"/>
      <c r="D6" s="117"/>
      <c r="E6" s="117"/>
      <c r="F6" s="117"/>
      <c r="G6" s="117"/>
      <c r="H6" s="117"/>
      <c r="I6" s="117"/>
      <c r="J6" s="121"/>
      <c r="K6" s="121"/>
      <c r="L6" s="121"/>
      <c r="M6" s="121"/>
      <c r="N6" s="119"/>
    </row>
    <row r="7" customFormat="false" ht="15.75" hidden="false" customHeight="true" outlineLevel="0" collapsed="false">
      <c r="A7" s="115"/>
      <c r="B7" s="118" t="s">
        <v>175</v>
      </c>
      <c r="C7" s="117"/>
      <c r="D7" s="117"/>
      <c r="E7" s="117"/>
      <c r="F7" s="117"/>
      <c r="G7" s="117"/>
      <c r="H7" s="117"/>
      <c r="I7" s="121"/>
      <c r="J7" s="121"/>
      <c r="K7" s="121"/>
      <c r="L7" s="121"/>
      <c r="M7" s="121"/>
      <c r="N7" s="122" t="n">
        <v>46388</v>
      </c>
    </row>
    <row r="8" customFormat="false" ht="15.75" hidden="false" customHeight="true" outlineLevel="0" collapsed="false">
      <c r="A8" s="115"/>
      <c r="B8" s="118" t="s">
        <v>176</v>
      </c>
      <c r="C8" s="117"/>
      <c r="D8" s="117"/>
      <c r="E8" s="117"/>
      <c r="F8" s="117"/>
      <c r="G8" s="117"/>
      <c r="H8" s="121"/>
      <c r="I8" s="121"/>
      <c r="J8" s="121"/>
      <c r="K8" s="121"/>
      <c r="L8" s="119"/>
      <c r="M8" s="119"/>
      <c r="N8" s="119"/>
    </row>
    <row r="9" customFormat="false" ht="15.75" hidden="false" customHeight="true" outlineLevel="0" collapsed="false">
      <c r="A9" s="115"/>
      <c r="B9" s="118" t="s">
        <v>177</v>
      </c>
      <c r="C9" s="117"/>
      <c r="D9" s="117"/>
      <c r="E9" s="117"/>
      <c r="F9" s="117"/>
      <c r="G9" s="117"/>
      <c r="H9" s="117"/>
      <c r="I9" s="117"/>
      <c r="J9" s="117"/>
      <c r="K9" s="121"/>
      <c r="L9" s="121"/>
      <c r="M9" s="121"/>
      <c r="N9" s="119"/>
    </row>
    <row r="10" customFormat="false" ht="15.75" hidden="false" customHeight="true" outlineLevel="0" collapsed="false">
      <c r="A10" s="115"/>
      <c r="B10" s="118" t="s">
        <v>178</v>
      </c>
      <c r="C10" s="119"/>
      <c r="D10" s="121"/>
      <c r="E10" s="121"/>
      <c r="F10" s="121"/>
      <c r="G10" s="117"/>
      <c r="H10" s="117"/>
      <c r="I10" s="117"/>
      <c r="J10" s="117"/>
      <c r="K10" s="117"/>
      <c r="L10" s="117"/>
      <c r="M10" s="117"/>
      <c r="N10" s="119"/>
    </row>
    <row r="11" customFormat="false" ht="15.75" hidden="false" customHeight="true" outlineLevel="0" collapsed="false">
      <c r="A11" s="115"/>
      <c r="B11" s="116" t="s">
        <v>179</v>
      </c>
      <c r="C11" s="119"/>
      <c r="D11" s="121"/>
      <c r="E11" s="121"/>
      <c r="F11" s="121"/>
      <c r="G11" s="117"/>
      <c r="H11" s="117"/>
      <c r="I11" s="117"/>
      <c r="J11" s="117"/>
      <c r="K11" s="117"/>
      <c r="L11" s="117"/>
      <c r="M11" s="117"/>
      <c r="N11" s="119"/>
    </row>
    <row r="12" customFormat="false" ht="15.75" hidden="false" customHeight="true" outlineLevel="0" collapsed="false">
      <c r="A12" s="123" t="s">
        <v>180</v>
      </c>
      <c r="B12" s="121" t="n">
        <v>3051</v>
      </c>
      <c r="C12" s="117"/>
      <c r="D12" s="117"/>
      <c r="E12" s="117"/>
      <c r="F12" s="117"/>
      <c r="G12" s="117"/>
      <c r="H12" s="117"/>
      <c r="I12" s="117"/>
      <c r="J12" s="121"/>
      <c r="K12" s="121"/>
      <c r="L12" s="121"/>
      <c r="M12" s="121"/>
      <c r="N12" s="122" t="n">
        <v>46419</v>
      </c>
    </row>
    <row r="13" customFormat="false" ht="15.75" hidden="false" customHeight="true" outlineLevel="0" collapsed="false">
      <c r="A13" s="123"/>
      <c r="B13" s="124" t="s">
        <v>181</v>
      </c>
      <c r="C13" s="117"/>
      <c r="D13" s="117"/>
      <c r="E13" s="117"/>
      <c r="F13" s="117"/>
      <c r="G13" s="117"/>
      <c r="H13" s="121"/>
      <c r="I13" s="121"/>
      <c r="J13" s="121"/>
      <c r="K13" s="121"/>
      <c r="L13" s="121"/>
      <c r="M13" s="121"/>
      <c r="N13" s="122" t="n">
        <v>46447</v>
      </c>
    </row>
    <row r="14" customFormat="false" ht="15.75" hidden="false" customHeight="true" outlineLevel="0" collapsed="false">
      <c r="A14" s="123"/>
      <c r="B14" s="124" t="s">
        <v>182</v>
      </c>
      <c r="C14" s="119"/>
      <c r="D14" s="119"/>
      <c r="E14" s="117"/>
      <c r="F14" s="117"/>
      <c r="G14" s="117"/>
      <c r="H14" s="117"/>
      <c r="I14" s="117"/>
      <c r="J14" s="117"/>
      <c r="K14" s="121"/>
      <c r="L14" s="121"/>
      <c r="M14" s="121"/>
      <c r="N14" s="121"/>
    </row>
    <row r="15" customFormat="false" ht="15.75" hidden="false" customHeight="true" outlineLevel="0" collapsed="false">
      <c r="A15" s="123"/>
      <c r="B15" s="124" t="s">
        <v>183</v>
      </c>
      <c r="C15" s="125"/>
      <c r="D15" s="125"/>
      <c r="E15" s="117"/>
      <c r="F15" s="117"/>
      <c r="G15" s="117"/>
      <c r="H15" s="117"/>
      <c r="I15" s="117"/>
      <c r="J15" s="117"/>
      <c r="K15" s="121"/>
      <c r="L15" s="121"/>
      <c r="M15" s="121"/>
      <c r="N15" s="122" t="n">
        <v>46508</v>
      </c>
    </row>
    <row r="16" customFormat="false" ht="15.75" hidden="false" customHeight="true" outlineLevel="0" collapsed="false">
      <c r="A16" s="123"/>
      <c r="B16" s="121" t="s">
        <v>184</v>
      </c>
      <c r="C16" s="117"/>
      <c r="D16" s="117"/>
      <c r="E16" s="117"/>
      <c r="F16" s="117"/>
      <c r="G16" s="117"/>
      <c r="H16" s="117"/>
      <c r="I16" s="117"/>
      <c r="J16" s="121"/>
      <c r="K16" s="121"/>
      <c r="L16" s="121"/>
      <c r="M16" s="121"/>
      <c r="N16" s="121"/>
    </row>
    <row r="17" customFormat="false" ht="15.75" hidden="false" customHeight="true" outlineLevel="0" collapsed="false">
      <c r="A17" s="123"/>
      <c r="B17" s="126" t="s">
        <v>185</v>
      </c>
      <c r="C17" s="119"/>
      <c r="D17" s="119"/>
      <c r="E17" s="119"/>
      <c r="F17" s="119"/>
      <c r="G17" s="121"/>
      <c r="H17" s="121"/>
      <c r="I17" s="121"/>
      <c r="J17" s="121"/>
      <c r="K17" s="121"/>
      <c r="L17" s="121"/>
      <c r="M17" s="121"/>
      <c r="N17" s="122" t="n">
        <v>46447</v>
      </c>
    </row>
    <row r="18" customFormat="false" ht="15.75" hidden="false" customHeight="true" outlineLevel="0" collapsed="false">
      <c r="A18" s="123" t="s">
        <v>186</v>
      </c>
      <c r="B18" s="127" t="s">
        <v>187</v>
      </c>
      <c r="C18" s="119"/>
      <c r="D18" s="119"/>
      <c r="E18" s="117"/>
      <c r="F18" s="117"/>
      <c r="G18" s="117"/>
      <c r="H18" s="117"/>
      <c r="I18" s="117"/>
      <c r="J18" s="117"/>
      <c r="K18" s="121"/>
      <c r="L18" s="121"/>
      <c r="M18" s="121"/>
      <c r="N18" s="121" t="s">
        <v>188</v>
      </c>
    </row>
    <row r="19" customFormat="false" ht="15.75" hidden="false" customHeight="true" outlineLevel="0" collapsed="false">
      <c r="A19" s="123"/>
      <c r="B19" s="127" t="s">
        <v>189</v>
      </c>
      <c r="C19" s="119"/>
      <c r="D19" s="119"/>
      <c r="E19" s="119"/>
      <c r="F19" s="119"/>
      <c r="G19" s="119"/>
      <c r="H19" s="119"/>
      <c r="I19" s="119"/>
      <c r="J19" s="117"/>
      <c r="K19" s="117"/>
      <c r="L19" s="117"/>
      <c r="M19" s="117"/>
      <c r="N19" s="122" t="n">
        <v>46508</v>
      </c>
    </row>
    <row r="20" customFormat="false" ht="15.75" hidden="false" customHeight="true" outlineLevel="0" collapsed="false">
      <c r="A20" s="123"/>
      <c r="B20" s="128" t="s">
        <v>190</v>
      </c>
      <c r="C20" s="119"/>
      <c r="D20" s="119"/>
      <c r="E20" s="121"/>
      <c r="F20" s="121"/>
      <c r="G20" s="121"/>
      <c r="H20" s="121"/>
      <c r="I20" s="121"/>
      <c r="J20" s="121"/>
      <c r="K20" s="121"/>
      <c r="L20" s="121"/>
      <c r="M20" s="121"/>
      <c r="N20" s="122" t="n">
        <v>46419</v>
      </c>
    </row>
    <row r="21" customFormat="false" ht="15.75" hidden="false" customHeight="true" outlineLevel="0" collapsed="false">
      <c r="A21" s="123"/>
      <c r="B21" s="129" t="s">
        <v>191</v>
      </c>
      <c r="C21" s="119"/>
      <c r="D21" s="119"/>
      <c r="E21" s="119"/>
      <c r="F21" s="119"/>
      <c r="G21" s="119"/>
      <c r="H21" s="119"/>
      <c r="I21" s="119"/>
      <c r="J21" s="117"/>
      <c r="K21" s="121"/>
      <c r="L21" s="121"/>
      <c r="M21" s="121"/>
      <c r="N21" s="122" t="n">
        <v>46447</v>
      </c>
    </row>
    <row r="22" customFormat="false" ht="15.75" hidden="false" customHeight="true" outlineLevel="0" collapsed="false">
      <c r="A22" s="123"/>
      <c r="B22" s="129" t="s">
        <v>192</v>
      </c>
      <c r="C22" s="119"/>
      <c r="D22" s="119"/>
      <c r="E22" s="119"/>
      <c r="F22" s="119"/>
      <c r="G22" s="119"/>
      <c r="H22" s="119"/>
      <c r="I22" s="119"/>
      <c r="J22" s="121"/>
      <c r="K22" s="121"/>
      <c r="L22" s="121"/>
      <c r="M22" s="121"/>
      <c r="N22" s="122" t="n">
        <v>46447</v>
      </c>
    </row>
    <row r="23" customFormat="false" ht="15.75" hidden="false" customHeight="true" outlineLevel="0" collapsed="false">
      <c r="A23" s="123"/>
      <c r="B23" s="127" t="s">
        <v>193</v>
      </c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9"/>
    </row>
    <row r="24" customFormat="false" ht="15.75" hidden="false" customHeight="true" outlineLevel="0" collapsed="false">
      <c r="A24" s="123" t="s">
        <v>194</v>
      </c>
      <c r="B24" s="130" t="s">
        <v>195</v>
      </c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21"/>
      <c r="N24" s="122" t="n">
        <v>46631</v>
      </c>
    </row>
    <row r="25" customFormat="false" ht="15.75" hidden="false" customHeight="true" outlineLevel="0" collapsed="false">
      <c r="A25" s="123"/>
      <c r="B25" s="130" t="s">
        <v>196</v>
      </c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119"/>
      <c r="N25" s="122" t="n">
        <v>47088</v>
      </c>
    </row>
    <row r="26" customFormat="false" ht="15.75" hidden="false" customHeight="true" outlineLevel="0" collapsed="false">
      <c r="A26" s="123"/>
      <c r="B26" s="130" t="s">
        <v>197</v>
      </c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121"/>
      <c r="N26" s="122" t="n">
        <v>46569</v>
      </c>
    </row>
    <row r="27" customFormat="false" ht="15.75" hidden="false" customHeight="true" outlineLevel="0" collapsed="false">
      <c r="A27" s="123"/>
      <c r="B27" s="130" t="s">
        <v>198</v>
      </c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1"/>
      <c r="N27" s="122" t="n">
        <v>46631</v>
      </c>
    </row>
    <row r="28" customFormat="false" ht="15.75" hidden="false" customHeight="true" outlineLevel="0" collapsed="false">
      <c r="A28" s="123"/>
      <c r="B28" s="130" t="s">
        <v>199</v>
      </c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121"/>
      <c r="N28" s="122" t="n">
        <v>46569</v>
      </c>
    </row>
    <row r="29" customFormat="false" ht="15.75" hidden="false" customHeight="true" outlineLevel="0" collapsed="false">
      <c r="A29" s="131" t="s">
        <v>200</v>
      </c>
      <c r="B29" s="132" t="s">
        <v>201</v>
      </c>
      <c r="C29" s="119"/>
      <c r="D29" s="119"/>
      <c r="E29" s="119"/>
      <c r="F29" s="119"/>
      <c r="G29" s="119"/>
      <c r="H29" s="119"/>
      <c r="I29" s="119"/>
      <c r="J29" s="119"/>
      <c r="K29" s="119"/>
      <c r="L29" s="119"/>
      <c r="M29" s="119"/>
      <c r="N29" s="119"/>
    </row>
    <row r="30" customFormat="false" ht="15.75" hidden="false" customHeight="true" outlineLevel="0" collapsed="false">
      <c r="A30" s="123" t="s">
        <v>202</v>
      </c>
      <c r="B30" s="133" t="n">
        <v>78</v>
      </c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</row>
    <row r="31" customFormat="false" ht="15.75" hidden="false" customHeight="true" outlineLevel="0" collapsed="false">
      <c r="A31" s="123"/>
      <c r="B31" s="133" t="s">
        <v>203</v>
      </c>
      <c r="C31" s="119"/>
      <c r="D31" s="119"/>
      <c r="E31" s="119"/>
      <c r="F31" s="119"/>
      <c r="G31" s="119"/>
      <c r="H31" s="119"/>
      <c r="I31" s="119"/>
      <c r="J31" s="119"/>
      <c r="K31" s="119"/>
      <c r="L31" s="119"/>
      <c r="M31" s="119"/>
      <c r="N31" s="119"/>
    </row>
    <row r="32" customFormat="false" ht="15.75" hidden="false" customHeight="true" outlineLevel="0" collapsed="false">
      <c r="A32" s="123"/>
      <c r="B32" s="134" t="s">
        <v>204</v>
      </c>
      <c r="C32" s="119"/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</row>
    <row r="33" customFormat="false" ht="15.75" hidden="false" customHeight="true" outlineLevel="0" collapsed="false">
      <c r="A33" s="123"/>
      <c r="B33" s="133" t="s">
        <v>205</v>
      </c>
      <c r="C33" s="119"/>
      <c r="D33" s="117"/>
      <c r="E33" s="117"/>
      <c r="F33" s="117"/>
      <c r="G33" s="117"/>
      <c r="H33" s="135"/>
      <c r="I33" s="119"/>
      <c r="J33" s="119"/>
      <c r="K33" s="119"/>
      <c r="L33" s="119"/>
      <c r="M33" s="119"/>
      <c r="N33" s="119"/>
    </row>
  </sheetData>
  <mergeCells count="4">
    <mergeCell ref="A12:A17"/>
    <mergeCell ref="A18:A23"/>
    <mergeCell ref="A24:A28"/>
    <mergeCell ref="A30:A3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A1:AE78"/>
  <sheetViews>
    <sheetView showFormulas="false" showGridLines="true" showRowColHeaders="true" showZeros="true" rightToLeft="true" tabSelected="false" showOutlineSymbols="true" defaultGridColor="true" view="normal" topLeftCell="A1" colorId="64" zoomScale="145" zoomScaleNormal="145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B11" activeCellId="0" sqref="B11"/>
    </sheetView>
  </sheetViews>
  <sheetFormatPr defaultColWidth="8.625" defaultRowHeight="14.25" zeroHeight="false" outlineLevelRow="0" outlineLevelCol="0"/>
  <cols>
    <col collapsed="false" customWidth="true" hidden="false" outlineLevel="0" max="1" min="1" style="0" width="12.5"/>
    <col collapsed="false" customWidth="true" hidden="false" outlineLevel="0" max="2" min="2" style="136" width="19.75"/>
    <col collapsed="false" customWidth="true" hidden="false" outlineLevel="0" max="3" min="3" style="136" width="14.75"/>
    <col collapsed="false" customWidth="true" hidden="false" outlineLevel="0" max="6" min="4" style="136" width="9.87"/>
    <col collapsed="false" customWidth="true" hidden="false" outlineLevel="0" max="7" min="7" style="0" width="10.88"/>
    <col collapsed="false" customWidth="true" hidden="false" outlineLevel="0" max="8" min="8" style="0" width="9.25"/>
    <col collapsed="false" customWidth="true" hidden="false" outlineLevel="0" max="9" min="9" style="0" width="10.75"/>
    <col collapsed="false" customWidth="true" hidden="false" outlineLevel="0" max="12" min="12" style="0" width="8.75"/>
    <col collapsed="false" customWidth="true" hidden="false" outlineLevel="0" max="13" min="13" style="0" width="11"/>
    <col collapsed="false" customWidth="true" hidden="false" outlineLevel="0" max="14" min="14" style="0" width="13.38"/>
    <col collapsed="false" customWidth="true" hidden="false" outlineLevel="0" max="15" min="15" style="137" width="15.12"/>
    <col collapsed="false" customWidth="true" hidden="false" outlineLevel="0" max="16" min="16" style="4" width="9"/>
    <col collapsed="false" customWidth="true" hidden="false" outlineLevel="0" max="17" min="17" style="0" width="10"/>
  </cols>
  <sheetData>
    <row r="1" customFormat="false" ht="15" hidden="false" customHeight="true" outlineLevel="0" collapsed="false">
      <c r="D1" s="138" t="s">
        <v>206</v>
      </c>
      <c r="E1" s="138"/>
      <c r="F1" s="138"/>
      <c r="G1" s="138"/>
      <c r="H1" s="138"/>
      <c r="I1" s="138"/>
      <c r="K1" s="139" t="s">
        <v>102</v>
      </c>
      <c r="L1" s="139"/>
      <c r="M1" s="139"/>
    </row>
    <row r="2" s="142" customFormat="true" ht="15" hidden="false" customHeight="true" outlineLevel="0" collapsed="false">
      <c r="A2" s="140" t="s">
        <v>207</v>
      </c>
      <c r="B2" s="141" t="s">
        <v>208</v>
      </c>
      <c r="C2" s="136" t="s">
        <v>209</v>
      </c>
      <c r="D2" s="136" t="s">
        <v>13</v>
      </c>
      <c r="E2" s="136" t="s">
        <v>14</v>
      </c>
      <c r="F2" s="136" t="s">
        <v>15</v>
      </c>
      <c r="G2" s="142" t="s">
        <v>210</v>
      </c>
      <c r="H2" s="142" t="s">
        <v>211</v>
      </c>
      <c r="I2" s="142" t="s">
        <v>212</v>
      </c>
      <c r="K2" s="142" t="s">
        <v>213</v>
      </c>
      <c r="L2" s="142" t="s">
        <v>211</v>
      </c>
      <c r="M2" s="142" t="s">
        <v>212</v>
      </c>
      <c r="N2" s="142" t="s">
        <v>214</v>
      </c>
      <c r="O2" s="140" t="s">
        <v>215</v>
      </c>
      <c r="P2" s="143" t="s">
        <v>216</v>
      </c>
    </row>
    <row r="3" customFormat="false" ht="14.25" hidden="false" customHeight="true" outlineLevel="0" collapsed="false">
      <c r="A3" s="0" t="s">
        <v>217</v>
      </c>
      <c r="B3" s="136" t="s">
        <v>218</v>
      </c>
      <c r="C3" s="136" t="n">
        <v>2025</v>
      </c>
      <c r="D3" s="4" t="n">
        <f aca="false">50*6</f>
        <v>300</v>
      </c>
      <c r="E3" s="4" t="n">
        <f aca="false">100*6</f>
        <v>600</v>
      </c>
      <c r="F3" s="4" t="n">
        <f aca="false">50*6</f>
        <v>300</v>
      </c>
      <c r="G3" s="4" t="n">
        <f aca="false">SUM(D3:F3)</f>
        <v>1200</v>
      </c>
      <c r="H3" s="4" t="n">
        <v>90</v>
      </c>
      <c r="I3" s="4" t="n">
        <f aca="false">G3*H3</f>
        <v>108000</v>
      </c>
      <c r="J3" s="4" t="s">
        <v>217</v>
      </c>
      <c r="K3" s="4" t="n">
        <f aca="false">60*12*6/2</f>
        <v>2160</v>
      </c>
      <c r="L3" s="4" t="n">
        <f aca="false">H3</f>
        <v>90</v>
      </c>
      <c r="M3" s="4" t="n">
        <f aca="false">K3*L3</f>
        <v>194400</v>
      </c>
      <c r="N3" s="4" t="s">
        <v>38</v>
      </c>
      <c r="O3" s="144" t="s">
        <v>219</v>
      </c>
      <c r="P3" s="4" t="n">
        <v>3000</v>
      </c>
      <c r="Q3" s="4"/>
    </row>
    <row r="4" customFormat="false" ht="15" hidden="false" customHeight="true" outlineLevel="0" collapsed="false">
      <c r="A4" s="0" t="s">
        <v>217</v>
      </c>
      <c r="B4" s="136" t="s">
        <v>220</v>
      </c>
      <c r="C4" s="136" t="n">
        <v>2025</v>
      </c>
      <c r="D4" s="4" t="n">
        <f aca="false">12*50</f>
        <v>600</v>
      </c>
      <c r="E4" s="4" t="n">
        <f aca="false">12*50+6*50</f>
        <v>900</v>
      </c>
      <c r="F4" s="4" t="n">
        <v>200</v>
      </c>
      <c r="G4" s="4" t="n">
        <f aca="false">SUM(D4:F4)</f>
        <v>1700</v>
      </c>
      <c r="H4" s="4" t="n">
        <v>100</v>
      </c>
      <c r="I4" s="4" t="n">
        <f aca="false">G4*H4</f>
        <v>170000</v>
      </c>
      <c r="J4" s="4" t="s">
        <v>217</v>
      </c>
      <c r="K4" s="4" t="n">
        <f aca="false">80*12*6/2</f>
        <v>2880</v>
      </c>
      <c r="L4" s="4" t="n">
        <f aca="false">H4</f>
        <v>100</v>
      </c>
      <c r="M4" s="4" t="n">
        <f aca="false">K4*L4</f>
        <v>288000</v>
      </c>
      <c r="N4" s="4" t="s">
        <v>38</v>
      </c>
      <c r="O4" s="144" t="s">
        <v>221</v>
      </c>
      <c r="P4" s="4" t="n">
        <v>3000</v>
      </c>
    </row>
    <row r="5" customFormat="false" ht="14.25" hidden="false" customHeight="true" outlineLevel="0" collapsed="false">
      <c r="A5" s="0" t="s">
        <v>217</v>
      </c>
      <c r="B5" s="145" t="s">
        <v>222</v>
      </c>
      <c r="C5" s="136" t="n">
        <v>2025</v>
      </c>
      <c r="E5" s="4" t="n">
        <v>600</v>
      </c>
      <c r="G5" s="4" t="n">
        <f aca="false">SUM(D5:F5)</f>
        <v>600</v>
      </c>
      <c r="H5" s="4" t="n">
        <v>50</v>
      </c>
      <c r="I5" s="4" t="n">
        <f aca="false">G5*H5</f>
        <v>30000</v>
      </c>
      <c r="J5" s="4" t="s">
        <v>217</v>
      </c>
      <c r="K5" s="146" t="n">
        <v>2000</v>
      </c>
      <c r="L5" s="4" t="n">
        <f aca="false">H5</f>
        <v>50</v>
      </c>
      <c r="M5" s="4" t="n">
        <f aca="false">K5*L5</f>
        <v>100000</v>
      </c>
      <c r="N5" s="4" t="s">
        <v>33</v>
      </c>
      <c r="O5" s="144" t="s">
        <v>223</v>
      </c>
      <c r="Q5" s="147" t="s">
        <v>224</v>
      </c>
      <c r="R5" s="148" t="s">
        <v>4</v>
      </c>
      <c r="S5" s="148" t="s">
        <v>5</v>
      </c>
      <c r="T5" s="148" t="s">
        <v>6</v>
      </c>
      <c r="U5" s="148" t="s">
        <v>7</v>
      </c>
      <c r="V5" s="148" t="s">
        <v>8</v>
      </c>
      <c r="W5" s="148" t="s">
        <v>9</v>
      </c>
      <c r="X5" s="148" t="s">
        <v>10</v>
      </c>
      <c r="Y5" s="148" t="s">
        <v>11</v>
      </c>
      <c r="Z5" s="148" t="s">
        <v>12</v>
      </c>
      <c r="AA5" s="148" t="s">
        <v>13</v>
      </c>
      <c r="AB5" s="148" t="s">
        <v>14</v>
      </c>
      <c r="AC5" s="148" t="s">
        <v>15</v>
      </c>
      <c r="AD5" s="149"/>
    </row>
    <row r="6" customFormat="false" ht="14.25" hidden="false" customHeight="true" outlineLevel="0" collapsed="false">
      <c r="A6" s="0" t="s">
        <v>217</v>
      </c>
      <c r="B6" s="136" t="s">
        <v>224</v>
      </c>
      <c r="C6" s="150" t="n">
        <v>46023</v>
      </c>
      <c r="G6" s="4" t="n">
        <f aca="false">SUM(D6:F6)</f>
        <v>0</v>
      </c>
      <c r="H6" s="4" t="n">
        <v>70</v>
      </c>
      <c r="I6" s="4" t="n">
        <f aca="false">G6*H6</f>
        <v>0</v>
      </c>
      <c r="J6" s="4" t="s">
        <v>217</v>
      </c>
      <c r="K6" s="146" t="n">
        <v>1000</v>
      </c>
      <c r="L6" s="4" t="n">
        <f aca="false">H6</f>
        <v>70</v>
      </c>
      <c r="M6" s="4" t="n">
        <f aca="false">K6*L6</f>
        <v>70000</v>
      </c>
      <c r="N6" s="4" t="s">
        <v>38</v>
      </c>
      <c r="O6" s="144" t="s">
        <v>225</v>
      </c>
      <c r="P6" s="4" t="n">
        <v>300</v>
      </c>
      <c r="Q6" s="151" t="s">
        <v>226</v>
      </c>
      <c r="R6" s="0" t="n">
        <v>70</v>
      </c>
      <c r="S6" s="0" t="n">
        <v>20</v>
      </c>
      <c r="T6" s="0" t="n">
        <v>30</v>
      </c>
      <c r="U6" s="0" t="n">
        <v>20</v>
      </c>
      <c r="V6" s="0" t="n">
        <v>20</v>
      </c>
      <c r="W6" s="0" t="n">
        <v>30</v>
      </c>
      <c r="X6" s="0" t="n">
        <v>25</v>
      </c>
      <c r="Y6" s="0" t="n">
        <v>25</v>
      </c>
      <c r="Z6" s="0" t="n">
        <v>10</v>
      </c>
      <c r="AA6" s="0" t="n">
        <v>10</v>
      </c>
      <c r="AB6" s="0" t="n">
        <v>30</v>
      </c>
      <c r="AC6" s="0" t="n">
        <v>10</v>
      </c>
      <c r="AD6" s="152" t="n">
        <f aca="false">SUM(R6:AC6)</f>
        <v>300</v>
      </c>
    </row>
    <row r="7" customFormat="false" ht="14.25" hidden="false" customHeight="true" outlineLevel="0" collapsed="false">
      <c r="A7" s="0" t="s">
        <v>217</v>
      </c>
      <c r="B7" s="136" t="s">
        <v>227</v>
      </c>
      <c r="C7" s="150" t="n">
        <v>46023</v>
      </c>
      <c r="G7" s="4" t="n">
        <f aca="false">SUM(D7:F7)</f>
        <v>0</v>
      </c>
      <c r="H7" s="4" t="n">
        <v>350</v>
      </c>
      <c r="I7" s="4" t="n">
        <f aca="false">G7*H7</f>
        <v>0</v>
      </c>
      <c r="J7" s="4" t="s">
        <v>217</v>
      </c>
      <c r="K7" s="4" t="n">
        <v>220</v>
      </c>
      <c r="L7" s="4" t="n">
        <f aca="false">H7</f>
        <v>350</v>
      </c>
      <c r="M7" s="4" t="n">
        <f aca="false">K7*L7</f>
        <v>77000</v>
      </c>
      <c r="N7" s="4" t="s">
        <v>38</v>
      </c>
      <c r="O7" s="144" t="s">
        <v>225</v>
      </c>
      <c r="P7" s="4" t="n">
        <v>220</v>
      </c>
      <c r="Q7" s="151" t="s">
        <v>228</v>
      </c>
      <c r="R7" s="0" t="n">
        <v>2</v>
      </c>
      <c r="S7" s="0" t="n">
        <v>2</v>
      </c>
      <c r="T7" s="0" t="n">
        <v>2</v>
      </c>
      <c r="U7" s="0" t="n">
        <v>2</v>
      </c>
      <c r="V7" s="0" t="n">
        <v>2</v>
      </c>
      <c r="W7" s="0" t="n">
        <v>2</v>
      </c>
      <c r="X7" s="0" t="n">
        <v>2</v>
      </c>
      <c r="Y7" s="0" t="n">
        <v>2</v>
      </c>
      <c r="Z7" s="0" t="n">
        <v>2</v>
      </c>
      <c r="AA7" s="0" t="n">
        <v>2</v>
      </c>
      <c r="AB7" s="0" t="n">
        <v>2</v>
      </c>
      <c r="AC7" s="0" t="n">
        <v>2</v>
      </c>
      <c r="AD7" s="152"/>
      <c r="AE7" s="153" t="s">
        <v>229</v>
      </c>
    </row>
    <row r="8" customFormat="false" ht="15" hidden="false" customHeight="true" outlineLevel="0" collapsed="false">
      <c r="B8" s="136" t="s">
        <v>230</v>
      </c>
      <c r="C8" s="136" t="s">
        <v>8</v>
      </c>
      <c r="D8" s="4"/>
      <c r="E8" s="4"/>
      <c r="F8" s="4"/>
      <c r="G8" s="4"/>
      <c r="H8" s="4"/>
      <c r="I8" s="4" t="n">
        <f aca="false">G8*H8</f>
        <v>0</v>
      </c>
      <c r="J8" s="4" t="s">
        <v>217</v>
      </c>
      <c r="K8" s="4" t="n">
        <f aca="false">$AD$13</f>
        <v>280</v>
      </c>
      <c r="L8" s="4" t="n">
        <v>70</v>
      </c>
      <c r="M8" s="4" t="n">
        <f aca="false">K8*L8</f>
        <v>19600</v>
      </c>
      <c r="N8" s="4" t="s">
        <v>38</v>
      </c>
      <c r="Q8" s="154"/>
      <c r="R8" s="155" t="n">
        <f aca="false">R6*2</f>
        <v>140</v>
      </c>
      <c r="S8" s="155" t="n">
        <f aca="false">S6*2</f>
        <v>40</v>
      </c>
      <c r="T8" s="155" t="n">
        <f aca="false">T6*2</f>
        <v>60</v>
      </c>
      <c r="U8" s="155" t="n">
        <f aca="false">U6*2</f>
        <v>40</v>
      </c>
      <c r="V8" s="155" t="n">
        <f aca="false">V6*2</f>
        <v>40</v>
      </c>
      <c r="W8" s="155" t="n">
        <f aca="false">W6*2</f>
        <v>60</v>
      </c>
      <c r="X8" s="155" t="n">
        <f aca="false">X6*2</f>
        <v>50</v>
      </c>
      <c r="Y8" s="155" t="n">
        <f aca="false">Y6*2</f>
        <v>50</v>
      </c>
      <c r="Z8" s="155" t="n">
        <f aca="false">Z6*2</f>
        <v>20</v>
      </c>
      <c r="AA8" s="155" t="n">
        <f aca="false">AA6*2</f>
        <v>20</v>
      </c>
      <c r="AB8" s="155" t="n">
        <f aca="false">AB6*2</f>
        <v>60</v>
      </c>
      <c r="AC8" s="155" t="n">
        <f aca="false">AC6*2</f>
        <v>20</v>
      </c>
      <c r="AD8" s="156" t="n">
        <f aca="false">SUM(R8:AC8)</f>
        <v>600</v>
      </c>
      <c r="AE8" s="0" t="n">
        <v>333</v>
      </c>
    </row>
    <row r="9" customFormat="false" ht="15" hidden="false" customHeight="true" outlineLevel="0" collapsed="false">
      <c r="B9" s="136" t="s">
        <v>231</v>
      </c>
      <c r="C9" s="136" t="s">
        <v>8</v>
      </c>
      <c r="D9" s="4"/>
      <c r="E9" s="4"/>
      <c r="F9" s="4"/>
      <c r="G9" s="4"/>
      <c r="H9" s="4"/>
      <c r="I9" s="4"/>
      <c r="J9" s="4" t="s">
        <v>217</v>
      </c>
      <c r="K9" s="4" t="n">
        <f aca="false">$AD$13</f>
        <v>280</v>
      </c>
      <c r="L9" s="4" t="n">
        <v>80</v>
      </c>
      <c r="M9" s="4" t="n">
        <f aca="false">K9*L9</f>
        <v>22400</v>
      </c>
      <c r="N9" s="4" t="s">
        <v>38</v>
      </c>
    </row>
    <row r="10" customFormat="false" ht="14.25" hidden="false" customHeight="true" outlineLevel="0" collapsed="false">
      <c r="A10" s="0" t="s">
        <v>232</v>
      </c>
      <c r="B10" s="136" t="s">
        <v>233</v>
      </c>
      <c r="C10" s="136" t="s">
        <v>8</v>
      </c>
      <c r="D10" s="4"/>
      <c r="E10" s="4"/>
      <c r="F10" s="4"/>
      <c r="G10" s="4"/>
      <c r="H10" s="4"/>
      <c r="I10" s="4"/>
      <c r="J10" s="4" t="s">
        <v>217</v>
      </c>
      <c r="K10" s="4" t="n">
        <v>200</v>
      </c>
      <c r="L10" s="4" t="n">
        <v>260</v>
      </c>
      <c r="M10" s="4" t="n">
        <f aca="false">K10*L10</f>
        <v>52000</v>
      </c>
      <c r="N10" s="4" t="s">
        <v>38</v>
      </c>
      <c r="Q10" s="147" t="s">
        <v>234</v>
      </c>
      <c r="R10" s="148" t="s">
        <v>4</v>
      </c>
      <c r="S10" s="148" t="s">
        <v>5</v>
      </c>
      <c r="T10" s="148" t="s">
        <v>6</v>
      </c>
      <c r="U10" s="148" t="s">
        <v>7</v>
      </c>
      <c r="V10" s="148" t="s">
        <v>8</v>
      </c>
      <c r="W10" s="148" t="s">
        <v>9</v>
      </c>
      <c r="X10" s="148" t="s">
        <v>10</v>
      </c>
      <c r="Y10" s="148" t="s">
        <v>11</v>
      </c>
      <c r="Z10" s="148" t="s">
        <v>12</v>
      </c>
      <c r="AA10" s="148" t="s">
        <v>13</v>
      </c>
      <c r="AB10" s="148" t="s">
        <v>14</v>
      </c>
      <c r="AC10" s="148" t="s">
        <v>15</v>
      </c>
      <c r="AD10" s="149"/>
      <c r="AE10" s="153" t="s">
        <v>235</v>
      </c>
    </row>
    <row r="11" customFormat="false" ht="14.25" hidden="false" customHeight="true" outlineLevel="0" collapsed="false">
      <c r="A11" s="0" t="s">
        <v>217</v>
      </c>
      <c r="B11" s="136" t="s">
        <v>236</v>
      </c>
      <c r="C11" s="4" t="s">
        <v>5</v>
      </c>
      <c r="D11" s="4"/>
      <c r="E11" s="4"/>
      <c r="F11" s="4"/>
      <c r="G11" s="4"/>
      <c r="H11" s="4"/>
      <c r="I11" s="4"/>
      <c r="J11" s="4" t="s">
        <v>217</v>
      </c>
      <c r="K11" s="4" t="n">
        <v>1000</v>
      </c>
      <c r="L11" s="4" t="n">
        <v>24</v>
      </c>
      <c r="M11" s="4" t="n">
        <f aca="false">K11*L11</f>
        <v>24000</v>
      </c>
      <c r="N11" s="4" t="s">
        <v>35</v>
      </c>
      <c r="O11" s="144" t="s">
        <v>237</v>
      </c>
      <c r="P11" s="4" t="n">
        <v>1000</v>
      </c>
      <c r="Q11" s="151" t="s">
        <v>226</v>
      </c>
      <c r="W11" s="0" t="n">
        <v>30</v>
      </c>
      <c r="X11" s="0" t="n">
        <v>25</v>
      </c>
      <c r="Y11" s="0" t="n">
        <v>25</v>
      </c>
      <c r="Z11" s="0" t="n">
        <v>10</v>
      </c>
      <c r="AA11" s="0" t="n">
        <v>10</v>
      </c>
      <c r="AB11" s="0" t="n">
        <v>30</v>
      </c>
      <c r="AC11" s="0" t="n">
        <v>10</v>
      </c>
      <c r="AD11" s="152" t="n">
        <f aca="false">SUM(R11:AC11)</f>
        <v>140</v>
      </c>
    </row>
    <row r="12" customFormat="false" ht="14.25" hidden="false" customHeight="true" outlineLevel="0" collapsed="false">
      <c r="A12" s="0" t="s">
        <v>217</v>
      </c>
      <c r="B12" s="136" t="s">
        <v>238</v>
      </c>
      <c r="C12" s="4" t="s">
        <v>10</v>
      </c>
      <c r="D12" s="4"/>
      <c r="E12" s="4"/>
      <c r="F12" s="4"/>
      <c r="G12" s="4"/>
      <c r="H12" s="4"/>
      <c r="I12" s="4"/>
      <c r="J12" s="4"/>
      <c r="K12" s="146"/>
      <c r="L12" s="4" t="n">
        <v>130</v>
      </c>
      <c r="M12" s="4" t="n">
        <f aca="false">K12*L12</f>
        <v>0</v>
      </c>
      <c r="N12" s="4" t="s">
        <v>33</v>
      </c>
      <c r="O12" s="144"/>
      <c r="Q12" s="151" t="s">
        <v>228</v>
      </c>
      <c r="W12" s="0" t="n">
        <v>5</v>
      </c>
      <c r="X12" s="0" t="n">
        <v>5</v>
      </c>
      <c r="Y12" s="0" t="n">
        <v>5</v>
      </c>
      <c r="Z12" s="0" t="n">
        <v>5</v>
      </c>
      <c r="AA12" s="0" t="n">
        <v>5</v>
      </c>
      <c r="AB12" s="0" t="n">
        <v>5</v>
      </c>
      <c r="AC12" s="0" t="n">
        <v>5</v>
      </c>
      <c r="AD12" s="152"/>
    </row>
    <row r="13" customFormat="false" ht="15" hidden="false" customHeight="true" outlineLevel="0" collapsed="false">
      <c r="A13" s="0" t="s">
        <v>217</v>
      </c>
      <c r="B13" s="136" t="s">
        <v>239</v>
      </c>
      <c r="C13" s="4"/>
      <c r="D13" s="4"/>
      <c r="E13" s="4"/>
      <c r="F13" s="4"/>
      <c r="G13" s="4"/>
      <c r="H13" s="4"/>
      <c r="I13" s="4"/>
      <c r="J13" s="4" t="s">
        <v>217</v>
      </c>
      <c r="K13" s="4" t="n">
        <v>2000</v>
      </c>
      <c r="L13" s="4" t="n">
        <v>12</v>
      </c>
      <c r="M13" s="4" t="n">
        <f aca="false">K13*L13</f>
        <v>24000</v>
      </c>
      <c r="N13" s="4" t="s">
        <v>38</v>
      </c>
      <c r="O13" s="144" t="s">
        <v>240</v>
      </c>
      <c r="P13" s="4" t="n">
        <v>2016</v>
      </c>
      <c r="Q13" s="154"/>
      <c r="R13" s="155" t="n">
        <f aca="false">R11*2</f>
        <v>0</v>
      </c>
      <c r="S13" s="155" t="n">
        <f aca="false">S11*2</f>
        <v>0</v>
      </c>
      <c r="T13" s="155" t="n">
        <f aca="false">T11*2</f>
        <v>0</v>
      </c>
      <c r="U13" s="155" t="n">
        <f aca="false">U11*2</f>
        <v>0</v>
      </c>
      <c r="V13" s="155" t="n">
        <f aca="false">V11*2</f>
        <v>0</v>
      </c>
      <c r="W13" s="155" t="n">
        <f aca="false">W11*2</f>
        <v>60</v>
      </c>
      <c r="X13" s="155" t="n">
        <f aca="false">X11*2</f>
        <v>50</v>
      </c>
      <c r="Y13" s="155" t="n">
        <f aca="false">Y11*2</f>
        <v>50</v>
      </c>
      <c r="Z13" s="155" t="n">
        <f aca="false">Z11*2</f>
        <v>20</v>
      </c>
      <c r="AA13" s="155" t="n">
        <f aca="false">AA11*2</f>
        <v>20</v>
      </c>
      <c r="AB13" s="155" t="n">
        <f aca="false">AB11*2</f>
        <v>60</v>
      </c>
      <c r="AC13" s="155" t="n">
        <f aca="false">AC11*2</f>
        <v>20</v>
      </c>
      <c r="AD13" s="156" t="n">
        <f aca="false">SUM(R13:AC13)</f>
        <v>280</v>
      </c>
    </row>
    <row r="14" customFormat="false" ht="14.25" hidden="false" customHeight="true" outlineLevel="0" collapsed="false">
      <c r="A14" s="0" t="s">
        <v>217</v>
      </c>
      <c r="B14" s="136" t="n">
        <v>59</v>
      </c>
      <c r="C14" s="136" t="s">
        <v>8</v>
      </c>
      <c r="G14" s="4"/>
      <c r="H14" s="4"/>
      <c r="I14" s="4"/>
      <c r="J14" s="4" t="s">
        <v>217</v>
      </c>
      <c r="K14" s="146" t="n">
        <v>500</v>
      </c>
      <c r="L14" s="4" t="n">
        <v>150</v>
      </c>
      <c r="M14" s="4" t="n">
        <f aca="false">K14*L14</f>
        <v>75000</v>
      </c>
      <c r="N14" s="4"/>
    </row>
    <row r="15" customFormat="false" ht="14.25" hidden="false" customHeight="true" outlineLevel="0" collapsed="false">
      <c r="A15" s="0" t="s">
        <v>217</v>
      </c>
      <c r="B15" s="145" t="s">
        <v>241</v>
      </c>
      <c r="C15" s="136" t="s">
        <v>7</v>
      </c>
      <c r="G15" s="4" t="n">
        <f aca="false">SUM(D15:F15)</f>
        <v>0</v>
      </c>
      <c r="H15" s="4" t="n">
        <f aca="false">74*0.9*0.91</f>
        <v>60.606</v>
      </c>
      <c r="I15" s="4" t="n">
        <f aca="false">G15*H15</f>
        <v>0</v>
      </c>
      <c r="J15" s="4" t="s">
        <v>217</v>
      </c>
      <c r="K15" s="4" t="n">
        <v>1000</v>
      </c>
      <c r="L15" s="4" t="n">
        <f aca="false">H15</f>
        <v>60.606</v>
      </c>
      <c r="M15" s="4" t="n">
        <f aca="false">K15*L15</f>
        <v>60606</v>
      </c>
      <c r="N15" s="4" t="s">
        <v>33</v>
      </c>
      <c r="O15" s="144" t="s">
        <v>242</v>
      </c>
      <c r="P15" s="4" t="n">
        <f aca="false">1488+50</f>
        <v>1538</v>
      </c>
    </row>
    <row r="16" customFormat="false" ht="14.25" hidden="false" customHeight="true" outlineLevel="0" collapsed="false">
      <c r="A16" s="0" t="s">
        <v>217</v>
      </c>
      <c r="B16" s="145" t="s">
        <v>241</v>
      </c>
      <c r="C16" s="136" t="s">
        <v>7</v>
      </c>
      <c r="G16" s="4" t="n">
        <f aca="false">SUM(D16:F16)</f>
        <v>0</v>
      </c>
      <c r="H16" s="4" t="n">
        <v>70</v>
      </c>
      <c r="I16" s="4" t="n">
        <f aca="false">G16*H16</f>
        <v>0</v>
      </c>
      <c r="J16" s="4" t="s">
        <v>217</v>
      </c>
      <c r="K16" s="4" t="n">
        <v>300</v>
      </c>
      <c r="L16" s="4" t="n">
        <f aca="false">H16</f>
        <v>70</v>
      </c>
      <c r="M16" s="4" t="n">
        <f aca="false">K16*L16</f>
        <v>21000</v>
      </c>
      <c r="N16" s="4" t="s">
        <v>38</v>
      </c>
    </row>
    <row r="17" customFormat="false" ht="14.25" hidden="false" customHeight="true" outlineLevel="0" collapsed="false">
      <c r="A17" s="0" t="s">
        <v>217</v>
      </c>
      <c r="B17" s="136" t="s">
        <v>243</v>
      </c>
      <c r="G17" s="4"/>
      <c r="H17" s="4"/>
      <c r="I17" s="4"/>
      <c r="J17" s="4" t="s">
        <v>217</v>
      </c>
      <c r="K17" s="4" t="n">
        <v>300</v>
      </c>
      <c r="L17" s="4" t="n">
        <v>140</v>
      </c>
      <c r="M17" s="4" t="n">
        <f aca="false">K17*L17</f>
        <v>42000</v>
      </c>
      <c r="N17" s="4" t="s">
        <v>38</v>
      </c>
    </row>
    <row r="18" customFormat="false" ht="14.25" hidden="false" customHeight="true" outlineLevel="0" collapsed="false">
      <c r="B18" s="157" t="n">
        <v>305</v>
      </c>
      <c r="C18" s="136" t="s">
        <v>8</v>
      </c>
      <c r="G18" s="4"/>
      <c r="H18" s="4"/>
      <c r="I18" s="4"/>
      <c r="J18" s="4" t="s">
        <v>217</v>
      </c>
      <c r="K18" s="4" t="n">
        <v>500</v>
      </c>
      <c r="L18" s="4" t="n">
        <v>75</v>
      </c>
      <c r="M18" s="4" t="n">
        <f aca="false">K18*L18</f>
        <v>37500</v>
      </c>
      <c r="N18" s="4" t="s">
        <v>33</v>
      </c>
      <c r="O18" s="137" t="s">
        <v>244</v>
      </c>
    </row>
    <row r="19" customFormat="false" ht="14.25" hidden="false" customHeight="true" outlineLevel="0" collapsed="false">
      <c r="A19" s="0" t="s">
        <v>245</v>
      </c>
      <c r="B19" s="157" t="n">
        <v>305</v>
      </c>
      <c r="C19" s="136" t="s">
        <v>8</v>
      </c>
      <c r="G19" s="4"/>
      <c r="H19" s="4"/>
      <c r="I19" s="4"/>
      <c r="J19" s="4" t="s">
        <v>217</v>
      </c>
      <c r="K19" s="4" t="n">
        <v>300</v>
      </c>
      <c r="L19" s="4" t="n">
        <v>75</v>
      </c>
      <c r="M19" s="4" t="n">
        <f aca="false">K19*L19</f>
        <v>22500</v>
      </c>
      <c r="N19" s="4" t="s">
        <v>38</v>
      </c>
    </row>
    <row r="20" customFormat="false" ht="14.25" hidden="false" customHeight="true" outlineLevel="0" collapsed="false">
      <c r="A20" s="0" t="s">
        <v>245</v>
      </c>
      <c r="B20" s="157" t="n">
        <v>305</v>
      </c>
      <c r="C20" s="136" t="s">
        <v>8</v>
      </c>
      <c r="G20" s="4"/>
      <c r="H20" s="4"/>
      <c r="I20" s="4"/>
      <c r="J20" s="4" t="s">
        <v>217</v>
      </c>
      <c r="K20" s="4" t="n">
        <v>200</v>
      </c>
      <c r="L20" s="4" t="n">
        <v>75</v>
      </c>
      <c r="M20" s="4" t="n">
        <f aca="false">K20*L20</f>
        <v>15000</v>
      </c>
      <c r="N20" s="4" t="s">
        <v>35</v>
      </c>
    </row>
    <row r="21" customFormat="false" ht="14.25" hidden="false" customHeight="true" outlineLevel="0" collapsed="false">
      <c r="A21" s="0" t="s">
        <v>217</v>
      </c>
      <c r="B21" s="158" t="s">
        <v>246</v>
      </c>
      <c r="C21" s="136" t="n">
        <v>2025</v>
      </c>
      <c r="D21" s="159"/>
      <c r="E21" s="4" t="n">
        <v>20</v>
      </c>
      <c r="F21" s="159"/>
      <c r="G21" s="4" t="n">
        <f aca="false">SUM(D21:F21)</f>
        <v>20</v>
      </c>
      <c r="H21" s="4" t="n">
        <v>550</v>
      </c>
      <c r="I21" s="4" t="n">
        <f aca="false">G21*H21</f>
        <v>11000</v>
      </c>
      <c r="J21" s="4" t="s">
        <v>217</v>
      </c>
      <c r="K21" s="146" t="n">
        <v>100</v>
      </c>
      <c r="L21" s="4" t="n">
        <f aca="false">H21</f>
        <v>550</v>
      </c>
      <c r="M21" s="4" t="n">
        <f aca="false">K21*L21</f>
        <v>55000</v>
      </c>
      <c r="N21" s="4" t="s">
        <v>38</v>
      </c>
      <c r="O21" s="144" t="s">
        <v>247</v>
      </c>
    </row>
    <row r="22" customFormat="false" ht="14.25" hidden="false" customHeight="true" outlineLevel="0" collapsed="false">
      <c r="A22" s="0" t="s">
        <v>217</v>
      </c>
      <c r="B22" s="158" t="s">
        <v>248</v>
      </c>
      <c r="C22" s="136" t="n">
        <v>2025</v>
      </c>
      <c r="D22" s="159"/>
      <c r="E22" s="4" t="n">
        <v>20</v>
      </c>
      <c r="F22" s="159"/>
      <c r="G22" s="4" t="n">
        <f aca="false">SUM(D22:F22)</f>
        <v>20</v>
      </c>
      <c r="H22" s="4" t="n">
        <v>550</v>
      </c>
      <c r="I22" s="4" t="n">
        <f aca="false">G22*H22</f>
        <v>11000</v>
      </c>
      <c r="J22" s="4" t="s">
        <v>217</v>
      </c>
      <c r="K22" s="146" t="n">
        <v>100</v>
      </c>
      <c r="L22" s="4" t="n">
        <f aca="false">H22</f>
        <v>550</v>
      </c>
      <c r="M22" s="4" t="n">
        <f aca="false">K22*L22</f>
        <v>55000</v>
      </c>
      <c r="N22" s="4" t="s">
        <v>38</v>
      </c>
      <c r="O22" s="144" t="s">
        <v>247</v>
      </c>
    </row>
    <row r="23" customFormat="false" ht="14.25" hidden="false" customHeight="true" outlineLevel="0" collapsed="false">
      <c r="B23" s="136" t="s">
        <v>195</v>
      </c>
      <c r="C23" s="136" t="s">
        <v>10</v>
      </c>
      <c r="G23" s="4"/>
      <c r="H23" s="4"/>
      <c r="I23" s="4"/>
      <c r="J23" s="4" t="s">
        <v>217</v>
      </c>
      <c r="K23" s="146" t="n">
        <v>200</v>
      </c>
      <c r="L23" s="4" t="n">
        <v>265</v>
      </c>
      <c r="M23" s="4" t="n">
        <f aca="false">K23*L23</f>
        <v>53000</v>
      </c>
      <c r="N23" s="4" t="s">
        <v>38</v>
      </c>
    </row>
    <row r="24" customFormat="false" ht="14.25" hidden="false" customHeight="true" outlineLevel="0" collapsed="false">
      <c r="B24" s="136" t="s">
        <v>196</v>
      </c>
      <c r="C24" s="136" t="s">
        <v>10</v>
      </c>
      <c r="G24" s="4"/>
      <c r="H24" s="4"/>
      <c r="I24" s="4"/>
      <c r="J24" s="4" t="s">
        <v>217</v>
      </c>
      <c r="K24" s="146" t="n">
        <v>50</v>
      </c>
      <c r="L24" s="4" t="n">
        <v>350</v>
      </c>
      <c r="M24" s="4" t="n">
        <f aca="false">K24*L24</f>
        <v>17500</v>
      </c>
      <c r="N24" s="4" t="s">
        <v>38</v>
      </c>
    </row>
    <row r="25" customFormat="false" ht="14.25" hidden="false" customHeight="true" outlineLevel="0" collapsed="false">
      <c r="A25" s="0" t="s">
        <v>217</v>
      </c>
      <c r="B25" s="136" t="s">
        <v>178</v>
      </c>
      <c r="C25" s="136" t="s">
        <v>8</v>
      </c>
      <c r="G25" s="4"/>
      <c r="H25" s="4"/>
      <c r="I25" s="4"/>
      <c r="J25" s="4" t="s">
        <v>217</v>
      </c>
      <c r="K25" s="146" t="n">
        <f aca="false">10*6</f>
        <v>60</v>
      </c>
      <c r="L25" s="4" t="n">
        <v>440</v>
      </c>
      <c r="M25" s="4" t="n">
        <f aca="false">K25*L25</f>
        <v>26400</v>
      </c>
      <c r="N25" s="4" t="s">
        <v>38</v>
      </c>
    </row>
    <row r="26" customFormat="false" ht="14.25" hidden="false" customHeight="true" outlineLevel="0" collapsed="false">
      <c r="B26" s="136" t="s">
        <v>249</v>
      </c>
      <c r="C26" s="136" t="s">
        <v>8</v>
      </c>
      <c r="G26" s="4"/>
      <c r="H26" s="4"/>
      <c r="I26" s="4"/>
      <c r="J26" s="4"/>
      <c r="K26" s="146" t="n">
        <v>350</v>
      </c>
      <c r="L26" s="4" t="n">
        <v>160</v>
      </c>
      <c r="M26" s="4" t="n">
        <f aca="false">K26*L26</f>
        <v>56000</v>
      </c>
      <c r="N26" s="4" t="s">
        <v>38</v>
      </c>
    </row>
    <row r="27" customFormat="false" ht="14.25" hidden="false" customHeight="true" outlineLevel="0" collapsed="false">
      <c r="A27" s="0" t="s">
        <v>217</v>
      </c>
      <c r="B27" s="136" t="s">
        <v>179</v>
      </c>
      <c r="C27" s="136" t="s">
        <v>8</v>
      </c>
      <c r="G27" s="4"/>
      <c r="H27" s="4"/>
      <c r="I27" s="4"/>
      <c r="J27" s="4" t="s">
        <v>250</v>
      </c>
      <c r="K27" s="4"/>
      <c r="L27" s="4"/>
      <c r="M27" s="4" t="n">
        <f aca="false">K27*L27</f>
        <v>0</v>
      </c>
      <c r="N27" s="4"/>
      <c r="O27" s="137" t="s">
        <v>251</v>
      </c>
      <c r="P27" s="4" t="s">
        <v>252</v>
      </c>
    </row>
    <row r="28" customFormat="false" ht="14.25" hidden="false" customHeight="true" outlineLevel="0" collapsed="false">
      <c r="B28" s="136" t="s">
        <v>253</v>
      </c>
      <c r="C28" s="136" t="s">
        <v>10</v>
      </c>
      <c r="G28" s="4"/>
      <c r="H28" s="4"/>
      <c r="I28" s="4"/>
      <c r="J28" s="4"/>
      <c r="K28" s="4"/>
      <c r="L28" s="4"/>
      <c r="M28" s="4" t="n">
        <f aca="false">K28*L28</f>
        <v>0</v>
      </c>
      <c r="N28" s="4"/>
    </row>
    <row r="29" customFormat="false" ht="14.25" hidden="false" customHeight="true" outlineLevel="0" collapsed="false">
      <c r="B29" s="160" t="s">
        <v>254</v>
      </c>
      <c r="C29" s="136" t="s">
        <v>9</v>
      </c>
      <c r="G29" s="4"/>
      <c r="H29" s="4"/>
      <c r="I29" s="4"/>
      <c r="J29" s="4"/>
      <c r="K29" s="4"/>
      <c r="L29" s="4"/>
      <c r="M29" s="4" t="n">
        <f aca="false">K29*L29</f>
        <v>0</v>
      </c>
      <c r="N29" s="4"/>
    </row>
    <row r="30" customFormat="false" ht="14.25" hidden="false" customHeight="true" outlineLevel="0" collapsed="false">
      <c r="B30" s="136" t="s">
        <v>255</v>
      </c>
      <c r="C30" s="136" t="s">
        <v>12</v>
      </c>
      <c r="G30" s="4"/>
      <c r="H30" s="4"/>
      <c r="I30" s="4"/>
      <c r="J30" s="4"/>
      <c r="K30" s="4"/>
      <c r="L30" s="4"/>
      <c r="M30" s="4" t="n">
        <f aca="false">K30*L30</f>
        <v>0</v>
      </c>
      <c r="N30" s="4"/>
    </row>
    <row r="31" customFormat="false" ht="14.25" hidden="false" customHeight="true" outlineLevel="0" collapsed="false">
      <c r="B31" s="136" t="s">
        <v>184</v>
      </c>
      <c r="C31" s="136" t="s">
        <v>9</v>
      </c>
      <c r="G31" s="4"/>
      <c r="H31" s="4"/>
      <c r="I31" s="4"/>
      <c r="J31" s="4"/>
      <c r="K31" s="4"/>
      <c r="L31" s="4"/>
      <c r="M31" s="4" t="n">
        <f aca="false">K31*L31</f>
        <v>0</v>
      </c>
      <c r="N31" s="4"/>
    </row>
    <row r="32" customFormat="false" ht="14.25" hidden="false" customHeight="true" outlineLevel="0" collapsed="false">
      <c r="B32" s="136" t="s">
        <v>256</v>
      </c>
      <c r="C32" s="136" t="s">
        <v>11</v>
      </c>
      <c r="G32" s="4"/>
      <c r="H32" s="4"/>
      <c r="I32" s="4"/>
      <c r="J32" s="4" t="s">
        <v>250</v>
      </c>
      <c r="K32" s="4"/>
      <c r="L32" s="4"/>
      <c r="M32" s="4" t="n">
        <f aca="false">K32*L32</f>
        <v>0</v>
      </c>
      <c r="N32" s="4"/>
    </row>
    <row r="33" customFormat="false" ht="14.25" hidden="false" customHeight="true" outlineLevel="0" collapsed="false">
      <c r="B33" s="136" t="s">
        <v>257</v>
      </c>
      <c r="C33" s="136" t="s">
        <v>6</v>
      </c>
      <c r="G33" s="4"/>
      <c r="H33" s="4"/>
      <c r="I33" s="4"/>
      <c r="J33" s="4"/>
      <c r="K33" s="4"/>
      <c r="L33" s="4"/>
      <c r="M33" s="4" t="n">
        <f aca="false">K33*L33</f>
        <v>0</v>
      </c>
      <c r="N33" s="4"/>
    </row>
    <row r="34" customFormat="false" ht="14.25" hidden="false" customHeight="true" outlineLevel="0" collapsed="false">
      <c r="A34" s="0" t="s">
        <v>258</v>
      </c>
      <c r="B34" s="136" t="s">
        <v>259</v>
      </c>
      <c r="G34" s="4"/>
      <c r="H34" s="4"/>
      <c r="I34" s="4"/>
      <c r="J34" s="4" t="s">
        <v>217</v>
      </c>
      <c r="K34" s="4" t="n">
        <v>300</v>
      </c>
      <c r="L34" s="4" t="n">
        <v>65</v>
      </c>
      <c r="M34" s="4" t="n">
        <f aca="false">K34*L34</f>
        <v>19500</v>
      </c>
      <c r="N34" s="4" t="s">
        <v>33</v>
      </c>
      <c r="O34" s="137" t="s">
        <v>260</v>
      </c>
    </row>
    <row r="35" customFormat="false" ht="14.25" hidden="false" customHeight="true" outlineLevel="0" collapsed="false">
      <c r="A35" s="0" t="s">
        <v>258</v>
      </c>
      <c r="B35" s="136" t="s">
        <v>261</v>
      </c>
      <c r="G35" s="4"/>
      <c r="H35" s="4"/>
      <c r="I35" s="4"/>
      <c r="J35" s="4" t="s">
        <v>217</v>
      </c>
      <c r="K35" s="4" t="n">
        <v>100</v>
      </c>
      <c r="L35" s="4" t="n">
        <v>75</v>
      </c>
      <c r="M35" s="4" t="n">
        <f aca="false">K35*L35</f>
        <v>7500</v>
      </c>
      <c r="N35" s="4" t="s">
        <v>35</v>
      </c>
      <c r="O35" s="137" t="s">
        <v>262</v>
      </c>
    </row>
    <row r="36" customFormat="false" ht="14.25" hidden="false" customHeight="true" outlineLevel="0" collapsed="false">
      <c r="G36" s="4"/>
      <c r="H36" s="4"/>
      <c r="I36" s="4"/>
      <c r="J36" s="4"/>
      <c r="K36" s="4"/>
      <c r="L36" s="4"/>
      <c r="M36" s="4" t="n">
        <f aca="false">K36*L36</f>
        <v>0</v>
      </c>
      <c r="N36" s="4"/>
    </row>
    <row r="37" customFormat="false" ht="14.25" hidden="false" customHeight="true" outlineLevel="0" collapsed="false">
      <c r="G37" s="4"/>
      <c r="H37" s="4"/>
      <c r="I37" s="4"/>
      <c r="J37" s="4"/>
      <c r="K37" s="4"/>
      <c r="L37" s="4"/>
      <c r="M37" s="4"/>
      <c r="N37" s="4"/>
    </row>
    <row r="38" customFormat="false" ht="14.25" hidden="false" customHeight="true" outlineLevel="0" collapsed="false">
      <c r="G38" s="4"/>
      <c r="H38" s="4"/>
      <c r="I38" s="4"/>
      <c r="J38" s="4"/>
      <c r="K38" s="4"/>
      <c r="L38" s="4"/>
      <c r="M38" s="4"/>
      <c r="N38" s="4"/>
    </row>
    <row r="39" customFormat="false" ht="14.25" hidden="false" customHeight="true" outlineLevel="0" collapsed="false">
      <c r="G39" s="4"/>
      <c r="H39" s="4"/>
      <c r="I39" s="4"/>
      <c r="J39" s="4"/>
      <c r="K39" s="4"/>
      <c r="L39" s="4"/>
      <c r="M39" s="4"/>
      <c r="N39" s="4"/>
    </row>
    <row r="40" customFormat="false" ht="14.25" hidden="false" customHeight="true" outlineLevel="0" collapsed="false">
      <c r="G40" s="4"/>
      <c r="H40" s="4"/>
      <c r="I40" s="4"/>
      <c r="J40" s="4"/>
      <c r="K40" s="4"/>
      <c r="L40" s="4"/>
      <c r="M40" s="4"/>
      <c r="N40" s="4"/>
    </row>
    <row r="41" customFormat="false" ht="15" hidden="false" customHeight="true" outlineLevel="0" collapsed="false">
      <c r="G41" s="4"/>
      <c r="H41" s="4"/>
      <c r="I41" s="143" t="n">
        <f aca="false">SUM(I3:I40)</f>
        <v>330000</v>
      </c>
      <c r="J41" s="4"/>
      <c r="K41" s="4"/>
      <c r="L41" s="4"/>
      <c r="M41" s="143" t="n">
        <f aca="false">SUM(M3:M40)</f>
        <v>1434906</v>
      </c>
      <c r="N41" s="4"/>
    </row>
    <row r="42" customFormat="false" ht="14.25" hidden="false" customHeight="true" outlineLevel="0" collapsed="false">
      <c r="G42" s="4"/>
      <c r="H42" s="4"/>
      <c r="I42" s="4"/>
      <c r="J42" s="4"/>
      <c r="K42" s="4"/>
      <c r="L42" s="4"/>
      <c r="M42" s="4"/>
      <c r="N42" s="4"/>
    </row>
    <row r="43" customFormat="false" ht="14.25" hidden="false" customHeight="true" outlineLevel="0" collapsed="false">
      <c r="G43" s="4"/>
      <c r="H43" s="4"/>
      <c r="I43" s="4"/>
      <c r="J43" s="4"/>
      <c r="K43" s="4"/>
      <c r="L43" s="4"/>
      <c r="M43" s="4"/>
      <c r="N43" s="4"/>
    </row>
    <row r="44" customFormat="false" ht="15" hidden="false" customHeight="true" outlineLevel="0" collapsed="false">
      <c r="B44" s="141" t="s">
        <v>250</v>
      </c>
      <c r="G44" s="4"/>
      <c r="H44" s="4"/>
      <c r="I44" s="4"/>
      <c r="J44" s="4"/>
      <c r="K44" s="4"/>
      <c r="L44" s="4"/>
      <c r="M44" s="4"/>
      <c r="N44" s="4"/>
    </row>
    <row r="45" customFormat="false" ht="14.25" hidden="false" customHeight="true" outlineLevel="0" collapsed="false">
      <c r="B45" s="136" t="n">
        <v>56</v>
      </c>
      <c r="C45" s="136" t="s">
        <v>5</v>
      </c>
      <c r="G45" s="4"/>
      <c r="H45" s="4"/>
      <c r="I45" s="4"/>
      <c r="J45" s="4"/>
      <c r="K45" s="4"/>
      <c r="L45" s="4"/>
      <c r="M45" s="4"/>
      <c r="N45" s="4"/>
    </row>
    <row r="46" customFormat="false" ht="14.25" hidden="false" customHeight="true" outlineLevel="0" collapsed="false">
      <c r="B46" s="136" t="n">
        <v>202</v>
      </c>
      <c r="C46" s="136" t="s">
        <v>5</v>
      </c>
      <c r="G46" s="4"/>
      <c r="H46" s="4"/>
      <c r="I46" s="4"/>
      <c r="J46" s="4"/>
      <c r="K46" s="4"/>
      <c r="L46" s="4"/>
      <c r="M46" s="4"/>
      <c r="N46" s="4"/>
    </row>
    <row r="47" customFormat="false" ht="14.25" hidden="false" customHeight="true" outlineLevel="0" collapsed="false">
      <c r="B47" s="136" t="n">
        <v>376</v>
      </c>
      <c r="C47" s="136" t="s">
        <v>6</v>
      </c>
      <c r="G47" s="4"/>
      <c r="H47" s="4"/>
      <c r="I47" s="4"/>
      <c r="J47" s="4"/>
      <c r="K47" s="4"/>
      <c r="L47" s="4"/>
      <c r="M47" s="4"/>
      <c r="N47" s="4"/>
    </row>
    <row r="48" customFormat="false" ht="14.25" hidden="false" customHeight="true" outlineLevel="0" collapsed="false">
      <c r="B48" s="136" t="s">
        <v>263</v>
      </c>
      <c r="C48" s="136" t="s">
        <v>15</v>
      </c>
      <c r="G48" s="4"/>
      <c r="H48" s="4"/>
      <c r="I48" s="4"/>
      <c r="J48" s="4"/>
      <c r="K48" s="4"/>
      <c r="L48" s="4"/>
      <c r="M48" s="4"/>
      <c r="N48" s="4"/>
    </row>
    <row r="49" customFormat="false" ht="14.25" hidden="false" customHeight="true" outlineLevel="0" collapsed="false">
      <c r="B49" s="136" t="s">
        <v>264</v>
      </c>
      <c r="C49" s="136" t="s">
        <v>7</v>
      </c>
      <c r="G49" s="4"/>
      <c r="H49" s="4"/>
      <c r="I49" s="4"/>
      <c r="J49" s="4"/>
      <c r="K49" s="4"/>
      <c r="L49" s="4"/>
      <c r="M49" s="4"/>
      <c r="N49" s="4"/>
    </row>
    <row r="50" customFormat="false" ht="14.25" hidden="false" customHeight="true" outlineLevel="0" collapsed="false">
      <c r="B50" s="136" t="s">
        <v>265</v>
      </c>
      <c r="C50" s="136" t="s">
        <v>6</v>
      </c>
      <c r="G50" s="4"/>
      <c r="H50" s="4"/>
      <c r="I50" s="4"/>
      <c r="J50" s="4"/>
      <c r="K50" s="4"/>
      <c r="L50" s="4"/>
      <c r="M50" s="4"/>
      <c r="N50" s="4"/>
    </row>
    <row r="51" customFormat="false" ht="14.25" hidden="false" customHeight="true" outlineLevel="0" collapsed="false">
      <c r="G51" s="4"/>
      <c r="H51" s="4"/>
      <c r="I51" s="4"/>
      <c r="J51" s="4"/>
      <c r="K51" s="4"/>
      <c r="L51" s="4"/>
      <c r="M51" s="4"/>
      <c r="N51" s="4"/>
    </row>
    <row r="52" customFormat="false" ht="14.25" hidden="false" customHeight="true" outlineLevel="0" collapsed="false">
      <c r="G52" s="4"/>
      <c r="H52" s="4"/>
      <c r="I52" s="4"/>
      <c r="J52" s="4"/>
      <c r="K52" s="4"/>
      <c r="L52" s="4"/>
      <c r="M52" s="4"/>
      <c r="N52" s="4"/>
    </row>
    <row r="53" customFormat="false" ht="15" hidden="false" customHeight="true" outlineLevel="0" collapsed="false">
      <c r="G53" s="4"/>
      <c r="H53" s="143"/>
      <c r="I53" s="143"/>
      <c r="J53" s="4"/>
      <c r="K53" s="4"/>
      <c r="L53" s="4"/>
      <c r="M53" s="143"/>
      <c r="N53" s="4"/>
    </row>
    <row r="54" customFormat="false" ht="15" hidden="false" customHeight="true" outlineLevel="0" collapsed="false">
      <c r="B54" s="159"/>
      <c r="G54" s="4"/>
      <c r="H54" s="143"/>
      <c r="I54" s="4"/>
      <c r="J54" s="4"/>
      <c r="K54" s="4"/>
      <c r="L54" s="4"/>
      <c r="M54" s="143"/>
      <c r="N54" s="4"/>
    </row>
    <row r="55" customFormat="false" ht="15" hidden="false" customHeight="true" outlineLevel="0" collapsed="false">
      <c r="B55" s="161"/>
      <c r="G55" s="4"/>
      <c r="H55" s="4"/>
      <c r="I55" s="4"/>
      <c r="J55" s="4"/>
      <c r="K55" s="4"/>
      <c r="L55" s="4"/>
      <c r="M55" s="143"/>
      <c r="N55" s="4"/>
    </row>
    <row r="56" customFormat="false" ht="15" hidden="false" customHeight="true" outlineLevel="0" collapsed="false">
      <c r="G56" s="4"/>
      <c r="H56" s="162" t="n">
        <v>2025</v>
      </c>
      <c r="I56" s="162" t="n">
        <v>2026</v>
      </c>
      <c r="J56" s="4"/>
      <c r="K56" s="4"/>
      <c r="L56" s="4"/>
      <c r="M56" s="143"/>
      <c r="N56" s="4"/>
    </row>
    <row r="57" customFormat="false" ht="14.25" hidden="false" customHeight="true" outlineLevel="0" collapsed="false">
      <c r="G57" s="4"/>
      <c r="H57" s="4"/>
      <c r="I57" s="4"/>
      <c r="J57" s="4"/>
      <c r="K57" s="4"/>
      <c r="L57" s="4"/>
      <c r="M57" s="4"/>
      <c r="N57" s="4"/>
    </row>
    <row r="58" customFormat="false" ht="14.25" hidden="false" customHeight="true" outlineLevel="0" collapsed="false">
      <c r="B58" s="136" t="s">
        <v>33</v>
      </c>
      <c r="D58" s="163" t="n">
        <f aca="false">$H$5*D5</f>
        <v>0</v>
      </c>
      <c r="E58" s="163" t="n">
        <f aca="false">$H$5*E5</f>
        <v>30000</v>
      </c>
      <c r="F58" s="163" t="n">
        <f aca="false">$H$5*F5</f>
        <v>0</v>
      </c>
      <c r="G58" s="4"/>
      <c r="H58" s="4" t="n">
        <f aca="false">SUM(D58:F58)</f>
        <v>30000</v>
      </c>
      <c r="I58" s="4" t="n">
        <f aca="false">SUMIF($N$3:$N$38,B58,$M$3:$M$38)</f>
        <v>217606</v>
      </c>
      <c r="J58" s="4"/>
      <c r="K58" s="4"/>
      <c r="L58" s="4"/>
      <c r="M58" s="4"/>
      <c r="N58" s="4"/>
    </row>
    <row r="59" customFormat="false" ht="14.25" hidden="false" customHeight="true" outlineLevel="0" collapsed="false">
      <c r="B59" s="136" t="s">
        <v>38</v>
      </c>
      <c r="D59" s="163" t="n">
        <f aca="false">$H$3*D3+$H$4*D4+$H$21*D21+$H$22*D22</f>
        <v>87000</v>
      </c>
      <c r="E59" s="163" t="n">
        <f aca="false">$H$3*E3+$H$4*E4+$H$21*E21+$H$22*E22</f>
        <v>166000</v>
      </c>
      <c r="F59" s="163" t="n">
        <f aca="false">$H$3*F3+$H$4*F4+$H$21*F21+$H$22*F22</f>
        <v>47000</v>
      </c>
      <c r="G59" s="4"/>
      <c r="H59" s="4" t="n">
        <f aca="false">SUM(D59:F59)</f>
        <v>300000</v>
      </c>
      <c r="I59" s="4" t="n">
        <f aca="false">SUMIF($N$3:$N$38,B59,$M$3:$M$38)</f>
        <v>1095800</v>
      </c>
      <c r="J59" s="4"/>
      <c r="K59" s="4"/>
      <c r="L59" s="4"/>
      <c r="M59" s="4"/>
      <c r="N59" s="4"/>
    </row>
    <row r="60" customFormat="false" ht="14.25" hidden="false" customHeight="true" outlineLevel="0" collapsed="false">
      <c r="B60" s="136" t="s">
        <v>35</v>
      </c>
      <c r="G60" s="4"/>
      <c r="H60" s="4"/>
      <c r="I60" s="4" t="n">
        <f aca="false">SUMIF($N$3:$N$38,B60,$M$3:$M$38)</f>
        <v>46500</v>
      </c>
      <c r="J60" s="4"/>
      <c r="K60" s="4"/>
      <c r="L60" s="4"/>
      <c r="M60" s="4"/>
      <c r="N60" s="4"/>
    </row>
    <row r="61" customFormat="false" ht="14.25" hidden="false" customHeight="true" outlineLevel="0" collapsed="false">
      <c r="G61" s="4"/>
      <c r="H61" s="4"/>
      <c r="I61" s="4"/>
      <c r="J61" s="4"/>
      <c r="K61" s="4"/>
      <c r="L61" s="4"/>
      <c r="M61" s="4"/>
      <c r="N61" s="4"/>
    </row>
    <row r="62" customFormat="false" ht="15" hidden="false" customHeight="true" outlineLevel="0" collapsed="false">
      <c r="G62" s="4"/>
      <c r="H62" s="143" t="n">
        <f aca="false">SUM(H58:H60)</f>
        <v>330000</v>
      </c>
      <c r="I62" s="143" t="n">
        <f aca="false">SUM(I58:I60)</f>
        <v>1359906</v>
      </c>
      <c r="J62" s="4"/>
      <c r="K62" s="4"/>
      <c r="L62" s="4"/>
      <c r="M62" s="4"/>
      <c r="N62" s="4"/>
    </row>
    <row r="63" customFormat="false" ht="14.25" hidden="false" customHeight="true" outlineLevel="0" collapsed="false">
      <c r="G63" s="4"/>
      <c r="H63" s="75" t="n">
        <f aca="false">H62-I41</f>
        <v>0</v>
      </c>
      <c r="I63" s="75" t="n">
        <f aca="false">I62-M41</f>
        <v>-75000</v>
      </c>
      <c r="J63" s="4"/>
      <c r="K63" s="4"/>
      <c r="L63" s="4"/>
      <c r="M63" s="4"/>
      <c r="N63" s="4"/>
    </row>
    <row r="64" customFormat="false" ht="14.25" hidden="false" customHeight="true" outlineLevel="0" collapsed="false">
      <c r="G64" s="4"/>
      <c r="H64" s="4"/>
      <c r="I64" s="4"/>
      <c r="J64" s="4"/>
      <c r="K64" s="4"/>
      <c r="L64" s="4"/>
      <c r="M64" s="4"/>
      <c r="N64" s="4"/>
    </row>
    <row r="65" customFormat="false" ht="14.25" hidden="false" customHeight="true" outlineLevel="0" collapsed="false">
      <c r="G65" s="4"/>
      <c r="H65" s="4"/>
      <c r="I65" s="4"/>
      <c r="J65" s="4"/>
      <c r="K65" s="4"/>
      <c r="L65" s="4"/>
      <c r="M65" s="4"/>
      <c r="N65" s="4"/>
    </row>
    <row r="66" customFormat="false" ht="14.25" hidden="false" customHeight="true" outlineLevel="0" collapsed="false">
      <c r="G66" s="4"/>
      <c r="H66" s="4"/>
      <c r="I66" s="4"/>
      <c r="J66" s="4"/>
      <c r="K66" s="4"/>
      <c r="L66" s="4"/>
      <c r="M66" s="4"/>
      <c r="N66" s="4"/>
    </row>
    <row r="67" customFormat="false" ht="14.25" hidden="false" customHeight="true" outlineLevel="0" collapsed="false">
      <c r="G67" s="4"/>
      <c r="H67" s="4"/>
      <c r="I67" s="4"/>
      <c r="J67" s="4"/>
      <c r="K67" s="4"/>
      <c r="L67" s="4"/>
      <c r="M67" s="4"/>
      <c r="N67" s="4"/>
    </row>
    <row r="68" customFormat="false" ht="14.25" hidden="false" customHeight="true" outlineLevel="0" collapsed="false">
      <c r="G68" s="4"/>
      <c r="H68" s="4"/>
      <c r="I68" s="4"/>
      <c r="J68" s="4"/>
      <c r="K68" s="4"/>
      <c r="L68" s="4"/>
      <c r="M68" s="4"/>
      <c r="N68" s="4"/>
    </row>
    <row r="69" customFormat="false" ht="14.25" hidden="false" customHeight="true" outlineLevel="0" collapsed="false">
      <c r="G69" s="4"/>
      <c r="H69" s="4"/>
      <c r="I69" s="4"/>
      <c r="J69" s="4"/>
      <c r="K69" s="4"/>
      <c r="L69" s="4"/>
      <c r="M69" s="4"/>
      <c r="N69" s="4"/>
    </row>
    <row r="70" customFormat="false" ht="14.25" hidden="false" customHeight="true" outlineLevel="0" collapsed="false">
      <c r="G70" s="4"/>
      <c r="H70" s="4"/>
      <c r="I70" s="4"/>
      <c r="J70" s="4"/>
      <c r="K70" s="4"/>
      <c r="L70" s="4"/>
      <c r="M70" s="4"/>
      <c r="N70" s="4"/>
    </row>
    <row r="71" customFormat="false" ht="14.25" hidden="false" customHeight="true" outlineLevel="0" collapsed="false">
      <c r="G71" s="4"/>
      <c r="H71" s="4"/>
      <c r="I71" s="4"/>
      <c r="J71" s="4"/>
      <c r="K71" s="4"/>
      <c r="L71" s="4"/>
      <c r="M71" s="4"/>
      <c r="N71" s="4"/>
    </row>
    <row r="72" customFormat="false" ht="14.25" hidden="false" customHeight="true" outlineLevel="0" collapsed="false">
      <c r="G72" s="4"/>
      <c r="H72" s="4"/>
      <c r="I72" s="4"/>
      <c r="J72" s="4"/>
      <c r="K72" s="4"/>
      <c r="L72" s="4"/>
      <c r="M72" s="4"/>
      <c r="N72" s="4"/>
    </row>
    <row r="73" customFormat="false" ht="14.25" hidden="false" customHeight="true" outlineLevel="0" collapsed="false">
      <c r="G73" s="4"/>
      <c r="H73" s="4"/>
      <c r="I73" s="4"/>
      <c r="J73" s="4"/>
      <c r="K73" s="4"/>
      <c r="L73" s="4"/>
      <c r="M73" s="4"/>
      <c r="N73" s="4"/>
    </row>
    <row r="74" customFormat="false" ht="14.25" hidden="false" customHeight="true" outlineLevel="0" collapsed="false">
      <c r="G74" s="4"/>
      <c r="H74" s="4"/>
      <c r="I74" s="4"/>
      <c r="J74" s="4"/>
      <c r="K74" s="4"/>
      <c r="L74" s="4"/>
      <c r="M74" s="4"/>
      <c r="N74" s="4"/>
    </row>
    <row r="75" customFormat="false" ht="14.25" hidden="false" customHeight="true" outlineLevel="0" collapsed="false">
      <c r="G75" s="4"/>
      <c r="H75" s="4"/>
      <c r="I75" s="4"/>
      <c r="J75" s="4"/>
      <c r="K75" s="4"/>
      <c r="L75" s="4"/>
      <c r="M75" s="4"/>
      <c r="N75" s="4"/>
    </row>
    <row r="76" customFormat="false" ht="14.25" hidden="false" customHeight="true" outlineLevel="0" collapsed="false">
      <c r="G76" s="4"/>
      <c r="H76" s="4"/>
      <c r="I76" s="4"/>
      <c r="J76" s="4"/>
      <c r="K76" s="4"/>
      <c r="L76" s="4"/>
      <c r="M76" s="4"/>
      <c r="N76" s="4"/>
    </row>
    <row r="77" customFormat="false" ht="14.25" hidden="false" customHeight="true" outlineLevel="0" collapsed="false">
      <c r="G77" s="4"/>
      <c r="H77" s="4"/>
      <c r="I77" s="4"/>
      <c r="J77" s="4"/>
      <c r="K77" s="4"/>
      <c r="L77" s="4"/>
      <c r="M77" s="4"/>
      <c r="N77" s="4"/>
    </row>
    <row r="78" customFormat="false" ht="14.25" hidden="false" customHeight="true" outlineLevel="0" collapsed="false">
      <c r="G78" s="4"/>
      <c r="H78" s="4"/>
      <c r="I78" s="4"/>
      <c r="J78" s="4"/>
      <c r="K78" s="4"/>
      <c r="L78" s="4"/>
      <c r="M78" s="4"/>
      <c r="N78" s="4"/>
    </row>
  </sheetData>
  <autoFilter ref="B2:AE36"/>
  <mergeCells count="2">
    <mergeCell ref="D1:I1"/>
    <mergeCell ref="K1:M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5"/>
  <sheetViews>
    <sheetView showFormulas="false" showGridLines="true" showRowColHeaders="true" showZeros="true" rightToLeft="true" tabSelected="false" showOutlineSymbols="true" defaultGridColor="true" view="normal" topLeftCell="C1" colorId="64" zoomScale="95" zoomScaleNormal="95" zoomScalePageLayoutView="100" workbookViewId="0">
      <pane xSplit="2" ySplit="1" topLeftCell="E2" activePane="bottomRight" state="frozen"/>
      <selection pane="topLeft" activeCell="C1" activeCellId="0" sqref="C1"/>
      <selection pane="topRight" activeCell="E1" activeCellId="0" sqref="E1"/>
      <selection pane="bottomLeft" activeCell="C2" activeCellId="0" sqref="C2"/>
      <selection pane="bottomRight" activeCell="C6" activeCellId="0" sqref="C6"/>
    </sheetView>
  </sheetViews>
  <sheetFormatPr defaultColWidth="11.7578125" defaultRowHeight="18" zeroHeight="false" outlineLevelRow="0" outlineLevelCol="0"/>
  <cols>
    <col collapsed="false" customWidth="true" hidden="true" outlineLevel="0" max="1" min="1" style="164" width="3.25"/>
    <col collapsed="false" customWidth="true" hidden="true" outlineLevel="0" max="2" min="2" style="165" width="13.12"/>
    <col collapsed="false" customWidth="true" hidden="false" outlineLevel="0" max="3" min="3" style="166" width="19.5"/>
    <col collapsed="false" customWidth="true" hidden="false" outlineLevel="0" max="4" min="4" style="166" width="35.12"/>
    <col collapsed="false" customWidth="true" hidden="false" outlineLevel="0" max="5" min="5" style="166" width="15.62"/>
    <col collapsed="false" customWidth="true" hidden="true" outlineLevel="0" max="6" min="6" style="166" width="10.88"/>
    <col collapsed="false" customWidth="true" hidden="false" outlineLevel="0" max="7" min="7" style="166" width="8.88"/>
    <col collapsed="false" customWidth="true" hidden="false" outlineLevel="0" max="19" min="8" style="167" width="6.88"/>
    <col collapsed="false" customWidth="false" hidden="false" outlineLevel="0" max="16384" min="20" style="167" width="11.75"/>
  </cols>
  <sheetData>
    <row r="1" s="170" customFormat="true" ht="16.5" hidden="false" customHeight="true" outlineLevel="0" collapsed="false">
      <c r="A1" s="168"/>
      <c r="B1" s="169" t="s">
        <v>266</v>
      </c>
      <c r="C1" s="169" t="s">
        <v>155</v>
      </c>
      <c r="D1" s="169" t="s">
        <v>267</v>
      </c>
      <c r="E1" s="169" t="s">
        <v>268</v>
      </c>
      <c r="F1" s="169" t="s">
        <v>269</v>
      </c>
      <c r="G1" s="169"/>
      <c r="H1" s="169" t="s">
        <v>156</v>
      </c>
      <c r="I1" s="169" t="s">
        <v>157</v>
      </c>
      <c r="J1" s="169" t="s">
        <v>158</v>
      </c>
      <c r="K1" s="169" t="s">
        <v>159</v>
      </c>
      <c r="L1" s="169" t="s">
        <v>160</v>
      </c>
      <c r="M1" s="169" t="s">
        <v>161</v>
      </c>
      <c r="N1" s="169" t="s">
        <v>162</v>
      </c>
      <c r="O1" s="169" t="s">
        <v>163</v>
      </c>
      <c r="P1" s="169" t="s">
        <v>164</v>
      </c>
      <c r="Q1" s="169" t="s">
        <v>165</v>
      </c>
      <c r="R1" s="169" t="s">
        <v>166</v>
      </c>
      <c r="S1" s="169" t="s">
        <v>167</v>
      </c>
    </row>
    <row r="2" customFormat="false" ht="25.5" hidden="false" customHeight="true" outlineLevel="0" collapsed="false">
      <c r="C2" s="171" t="n">
        <v>56</v>
      </c>
      <c r="D2" s="172" t="s">
        <v>270</v>
      </c>
      <c r="E2" s="172" t="s">
        <v>271</v>
      </c>
      <c r="F2" s="172" t="s">
        <v>272</v>
      </c>
      <c r="G2" s="173" t="s">
        <v>273</v>
      </c>
      <c r="H2" s="174"/>
      <c r="I2" s="174" t="s">
        <v>274</v>
      </c>
      <c r="J2" s="173"/>
      <c r="K2" s="173"/>
      <c r="L2" s="173"/>
      <c r="M2" s="173"/>
      <c r="N2" s="173"/>
      <c r="O2" s="173"/>
      <c r="P2" s="173"/>
      <c r="Q2" s="173"/>
      <c r="R2" s="173"/>
      <c r="S2" s="173"/>
    </row>
    <row r="3" customFormat="false" ht="25.5" hidden="false" customHeight="true" outlineLevel="0" collapsed="false">
      <c r="A3" s="175"/>
      <c r="B3" s="176"/>
      <c r="C3" s="171" t="n">
        <v>202</v>
      </c>
      <c r="D3" s="172" t="s">
        <v>270</v>
      </c>
      <c r="E3" s="172" t="s">
        <v>271</v>
      </c>
      <c r="F3" s="172" t="s">
        <v>275</v>
      </c>
      <c r="G3" s="173" t="s">
        <v>273</v>
      </c>
      <c r="H3" s="174"/>
      <c r="I3" s="174" t="s">
        <v>274</v>
      </c>
      <c r="J3" s="173"/>
      <c r="K3" s="173"/>
      <c r="L3" s="173"/>
      <c r="M3" s="173"/>
      <c r="N3" s="173"/>
      <c r="O3" s="173"/>
      <c r="P3" s="173"/>
      <c r="Q3" s="173"/>
      <c r="R3" s="173"/>
      <c r="S3" s="173"/>
    </row>
    <row r="4" customFormat="false" ht="18" hidden="false" customHeight="true" outlineLevel="0" collapsed="false">
      <c r="A4" s="175" t="n">
        <v>12</v>
      </c>
      <c r="B4" s="176"/>
      <c r="C4" s="171" t="n">
        <v>376</v>
      </c>
      <c r="D4" s="172" t="s">
        <v>276</v>
      </c>
      <c r="E4" s="172" t="s">
        <v>250</v>
      </c>
      <c r="F4" s="172"/>
      <c r="G4" s="172"/>
      <c r="H4" s="174"/>
      <c r="I4" s="174"/>
      <c r="J4" s="174"/>
      <c r="K4" s="173"/>
      <c r="L4" s="173"/>
      <c r="M4" s="173"/>
      <c r="N4" s="173"/>
      <c r="O4" s="173"/>
      <c r="P4" s="173"/>
      <c r="Q4" s="173"/>
      <c r="R4" s="173"/>
      <c r="S4" s="173"/>
    </row>
    <row r="5" customFormat="false" ht="15" hidden="false" customHeight="true" outlineLevel="0" collapsed="false">
      <c r="A5" s="175" t="n">
        <v>13</v>
      </c>
      <c r="B5" s="176"/>
      <c r="C5" s="171" t="n">
        <v>305</v>
      </c>
      <c r="D5" s="172" t="s">
        <v>277</v>
      </c>
      <c r="E5" s="172" t="s">
        <v>271</v>
      </c>
      <c r="F5" s="172"/>
      <c r="G5" s="172"/>
      <c r="H5" s="174"/>
      <c r="I5" s="174"/>
      <c r="J5" s="174"/>
      <c r="K5" s="174"/>
      <c r="L5" s="174"/>
      <c r="M5" s="173"/>
      <c r="N5" s="173"/>
      <c r="O5" s="173"/>
      <c r="P5" s="173"/>
      <c r="Q5" s="173"/>
      <c r="R5" s="173"/>
      <c r="S5" s="173"/>
    </row>
    <row r="6" customFormat="false" ht="15.75" hidden="false" customHeight="true" outlineLevel="0" collapsed="false">
      <c r="A6" s="175"/>
      <c r="B6" s="176"/>
      <c r="C6" s="171" t="s">
        <v>174</v>
      </c>
      <c r="D6" s="172" t="s">
        <v>278</v>
      </c>
      <c r="E6" s="172"/>
      <c r="F6" s="172"/>
      <c r="G6" s="172"/>
      <c r="H6" s="174"/>
      <c r="I6" s="174"/>
      <c r="J6" s="174"/>
      <c r="K6" s="174"/>
      <c r="L6" s="174"/>
      <c r="M6" s="173"/>
      <c r="N6" s="173"/>
      <c r="O6" s="173"/>
      <c r="P6" s="173"/>
      <c r="Q6" s="173"/>
      <c r="R6" s="173"/>
      <c r="S6" s="173"/>
    </row>
    <row r="7" customFormat="false" ht="16.5" hidden="false" customHeight="true" outlineLevel="0" collapsed="false">
      <c r="A7" s="175" t="n">
        <v>17</v>
      </c>
      <c r="B7" s="177"/>
      <c r="C7" s="178" t="s">
        <v>175</v>
      </c>
      <c r="D7" s="179" t="s">
        <v>279</v>
      </c>
      <c r="E7" s="179" t="s">
        <v>212</v>
      </c>
      <c r="F7" s="179"/>
      <c r="G7" s="179"/>
      <c r="H7" s="174"/>
      <c r="I7" s="174"/>
      <c r="J7" s="174"/>
      <c r="K7" s="174"/>
      <c r="L7" s="174"/>
      <c r="M7" s="173"/>
      <c r="N7" s="173"/>
      <c r="O7" s="173"/>
      <c r="P7" s="173"/>
      <c r="Q7" s="173"/>
      <c r="R7" s="173"/>
      <c r="S7" s="173"/>
    </row>
    <row r="8" customFormat="false" ht="15.75" hidden="false" customHeight="true" outlineLevel="0" collapsed="false">
      <c r="A8" s="175" t="n">
        <v>18</v>
      </c>
      <c r="B8" s="177"/>
      <c r="C8" s="178" t="s">
        <v>181</v>
      </c>
      <c r="D8" s="180" t="s">
        <v>280</v>
      </c>
      <c r="E8" s="179" t="s">
        <v>212</v>
      </c>
      <c r="F8" s="180"/>
      <c r="G8" s="180"/>
      <c r="H8" s="174"/>
      <c r="I8" s="174"/>
      <c r="J8" s="174"/>
      <c r="K8" s="174"/>
      <c r="L8" s="174"/>
      <c r="M8" s="173"/>
      <c r="N8" s="173"/>
      <c r="O8" s="173"/>
      <c r="P8" s="173"/>
      <c r="Q8" s="173"/>
      <c r="R8" s="173"/>
      <c r="S8" s="173"/>
    </row>
    <row r="9" customFormat="false" ht="16.5" hidden="false" customHeight="true" outlineLevel="0" collapsed="false">
      <c r="A9" s="175" t="n">
        <v>20</v>
      </c>
      <c r="B9" s="181"/>
      <c r="C9" s="178" t="s">
        <v>176</v>
      </c>
      <c r="D9" s="180" t="s">
        <v>280</v>
      </c>
      <c r="E9" s="179" t="s">
        <v>212</v>
      </c>
      <c r="F9" s="180"/>
      <c r="G9" s="180"/>
      <c r="H9" s="174"/>
      <c r="I9" s="174"/>
      <c r="J9" s="174"/>
      <c r="K9" s="174"/>
      <c r="L9" s="174"/>
      <c r="M9" s="173"/>
      <c r="N9" s="173"/>
      <c r="O9" s="173"/>
      <c r="P9" s="173"/>
      <c r="Q9" s="173"/>
      <c r="R9" s="173"/>
      <c r="S9" s="173"/>
    </row>
    <row r="10" customFormat="false" ht="15" hidden="false" customHeight="true" outlineLevel="0" collapsed="false">
      <c r="A10" s="182" t="n">
        <v>27</v>
      </c>
      <c r="B10" s="176"/>
      <c r="C10" s="178" t="s">
        <v>195</v>
      </c>
      <c r="D10" s="180" t="s">
        <v>281</v>
      </c>
      <c r="E10" s="179" t="s">
        <v>212</v>
      </c>
      <c r="F10" s="180"/>
      <c r="G10" s="180"/>
      <c r="H10" s="174"/>
      <c r="I10" s="174"/>
      <c r="J10" s="174"/>
      <c r="K10" s="174"/>
      <c r="L10" s="174"/>
      <c r="M10" s="174"/>
      <c r="N10" s="174"/>
      <c r="O10" s="173"/>
      <c r="P10" s="173"/>
      <c r="Q10" s="173"/>
      <c r="R10" s="173"/>
      <c r="S10" s="173"/>
    </row>
    <row r="11" customFormat="false" ht="16.5" hidden="false" customHeight="true" outlineLevel="0" collapsed="false">
      <c r="A11" s="164" t="n">
        <v>28</v>
      </c>
      <c r="B11" s="176"/>
      <c r="C11" s="178" t="s">
        <v>196</v>
      </c>
      <c r="D11" s="180" t="s">
        <v>281</v>
      </c>
      <c r="E11" s="179" t="s">
        <v>212</v>
      </c>
      <c r="F11" s="180"/>
      <c r="G11" s="180"/>
      <c r="H11" s="174"/>
      <c r="I11" s="174"/>
      <c r="J11" s="174"/>
      <c r="K11" s="174"/>
      <c r="L11" s="174"/>
      <c r="M11" s="174"/>
      <c r="N11" s="174"/>
      <c r="O11" s="173"/>
      <c r="P11" s="173"/>
      <c r="Q11" s="173"/>
      <c r="R11" s="173"/>
      <c r="S11" s="173"/>
    </row>
    <row r="12" customFormat="false" ht="18.75" hidden="false" customHeight="true" outlineLevel="0" collapsed="false">
      <c r="A12" s="164" t="n">
        <v>29</v>
      </c>
      <c r="B12" s="176"/>
      <c r="C12" s="178" t="s">
        <v>178</v>
      </c>
      <c r="D12" s="180" t="s">
        <v>282</v>
      </c>
      <c r="E12" s="179" t="s">
        <v>212</v>
      </c>
      <c r="F12" s="180"/>
      <c r="G12" s="180"/>
      <c r="H12" s="174"/>
      <c r="I12" s="174"/>
      <c r="J12" s="174"/>
      <c r="K12" s="174"/>
      <c r="L12" s="174"/>
      <c r="M12" s="173"/>
      <c r="N12" s="173"/>
      <c r="O12" s="173"/>
      <c r="P12" s="173"/>
      <c r="Q12" s="173"/>
      <c r="R12" s="173"/>
      <c r="S12" s="173"/>
    </row>
    <row r="13" customFormat="false" ht="15" hidden="false" customHeight="true" outlineLevel="0" collapsed="false">
      <c r="B13" s="176"/>
      <c r="C13" s="178" t="s">
        <v>249</v>
      </c>
      <c r="D13" s="180" t="s">
        <v>283</v>
      </c>
      <c r="E13" s="179" t="s">
        <v>212</v>
      </c>
      <c r="F13" s="180"/>
      <c r="G13" s="180"/>
      <c r="H13" s="174"/>
      <c r="I13" s="174"/>
      <c r="J13" s="174"/>
      <c r="K13" s="174"/>
      <c r="L13" s="174"/>
      <c r="M13" s="173"/>
      <c r="N13" s="173"/>
      <c r="O13" s="173"/>
      <c r="P13" s="173"/>
      <c r="Q13" s="173"/>
      <c r="R13" s="173"/>
      <c r="S13" s="173"/>
    </row>
    <row r="14" customFormat="false" ht="15" hidden="false" customHeight="true" outlineLevel="0" collapsed="false">
      <c r="B14" s="176"/>
      <c r="C14" s="171" t="s">
        <v>179</v>
      </c>
      <c r="D14" s="180" t="s">
        <v>284</v>
      </c>
      <c r="E14" s="179" t="s">
        <v>212</v>
      </c>
      <c r="F14" s="180"/>
      <c r="G14" s="180"/>
      <c r="H14" s="174"/>
      <c r="I14" s="174"/>
      <c r="J14" s="174"/>
      <c r="K14" s="174"/>
      <c r="L14" s="174"/>
      <c r="M14" s="173"/>
      <c r="N14" s="173"/>
      <c r="O14" s="173"/>
      <c r="P14" s="173"/>
      <c r="Q14" s="173"/>
      <c r="R14" s="173"/>
      <c r="S14" s="173"/>
    </row>
    <row r="15" customFormat="false" ht="15" hidden="false" customHeight="true" outlineLevel="0" collapsed="false">
      <c r="B15" s="176"/>
      <c r="C15" s="171" t="s">
        <v>253</v>
      </c>
      <c r="D15" s="180" t="s">
        <v>285</v>
      </c>
      <c r="E15" s="179" t="s">
        <v>212</v>
      </c>
      <c r="F15" s="180"/>
      <c r="G15" s="180"/>
      <c r="H15" s="174"/>
      <c r="I15" s="174"/>
      <c r="J15" s="174"/>
      <c r="K15" s="174"/>
      <c r="L15" s="174"/>
      <c r="M15" s="174"/>
      <c r="N15" s="174"/>
      <c r="O15" s="173"/>
      <c r="P15" s="173"/>
      <c r="Q15" s="173"/>
      <c r="R15" s="173"/>
      <c r="S15" s="173"/>
    </row>
    <row r="16" customFormat="false" ht="21.75" hidden="false" customHeight="true" outlineLevel="0" collapsed="false">
      <c r="B16" s="176"/>
      <c r="C16" s="183" t="s">
        <v>254</v>
      </c>
      <c r="D16" s="184" t="s">
        <v>286</v>
      </c>
      <c r="E16" s="184" t="s">
        <v>212</v>
      </c>
      <c r="F16" s="184"/>
      <c r="G16" s="184"/>
      <c r="H16" s="174"/>
      <c r="I16" s="174"/>
      <c r="J16" s="174"/>
      <c r="K16" s="174"/>
      <c r="L16" s="174"/>
      <c r="M16" s="174"/>
      <c r="N16" s="173"/>
      <c r="O16" s="173"/>
      <c r="P16" s="173"/>
      <c r="Q16" s="173"/>
      <c r="R16" s="173"/>
      <c r="S16" s="173"/>
    </row>
    <row r="17" customFormat="false" ht="15.75" hidden="false" customHeight="true" outlineLevel="0" collapsed="false">
      <c r="A17" s="175"/>
      <c r="B17" s="176"/>
      <c r="C17" s="178" t="s">
        <v>255</v>
      </c>
      <c r="D17" s="172" t="s">
        <v>287</v>
      </c>
      <c r="E17" s="172" t="s">
        <v>212</v>
      </c>
      <c r="F17" s="172"/>
      <c r="G17" s="172"/>
      <c r="H17" s="173"/>
      <c r="I17" s="173"/>
      <c r="J17" s="174"/>
      <c r="K17" s="174"/>
      <c r="L17" s="174"/>
      <c r="M17" s="174"/>
      <c r="N17" s="174"/>
      <c r="O17" s="174"/>
      <c r="P17" s="174"/>
      <c r="Q17" s="173"/>
      <c r="R17" s="173"/>
      <c r="S17" s="173"/>
    </row>
    <row r="18" customFormat="false" ht="15" hidden="false" customHeight="true" outlineLevel="0" collapsed="false">
      <c r="B18" s="176"/>
      <c r="C18" s="185" t="s">
        <v>184</v>
      </c>
      <c r="D18" s="180" t="s">
        <v>288</v>
      </c>
      <c r="E18" s="180" t="s">
        <v>289</v>
      </c>
      <c r="F18" s="180"/>
      <c r="G18" s="180"/>
      <c r="H18" s="174"/>
      <c r="I18" s="174"/>
      <c r="J18" s="174"/>
      <c r="K18" s="174"/>
      <c r="L18" s="174"/>
      <c r="M18" s="174"/>
      <c r="N18" s="173"/>
      <c r="O18" s="173"/>
      <c r="P18" s="173"/>
      <c r="Q18" s="173"/>
      <c r="R18" s="173"/>
      <c r="S18" s="173"/>
    </row>
    <row r="19" customFormat="false" ht="30" hidden="false" customHeight="true" outlineLevel="0" collapsed="false">
      <c r="B19" s="176"/>
      <c r="C19" s="171" t="s">
        <v>256</v>
      </c>
      <c r="D19" s="180" t="s">
        <v>290</v>
      </c>
      <c r="E19" s="180"/>
      <c r="F19" s="180"/>
      <c r="G19" s="180"/>
      <c r="H19" s="173"/>
      <c r="I19" s="173"/>
      <c r="J19" s="174"/>
      <c r="K19" s="174"/>
      <c r="L19" s="174"/>
      <c r="M19" s="174"/>
      <c r="N19" s="174"/>
      <c r="O19" s="174"/>
      <c r="P19" s="173"/>
      <c r="Q19" s="173"/>
      <c r="R19" s="173"/>
      <c r="S19" s="173"/>
    </row>
    <row r="20" customFormat="false" ht="30" hidden="false" customHeight="true" outlineLevel="0" collapsed="false">
      <c r="B20" s="176"/>
      <c r="C20" s="171" t="s">
        <v>257</v>
      </c>
      <c r="D20" s="180" t="s">
        <v>291</v>
      </c>
      <c r="E20" s="180"/>
      <c r="F20" s="180"/>
      <c r="G20" s="180"/>
      <c r="H20" s="174"/>
      <c r="I20" s="174"/>
      <c r="J20" s="174"/>
      <c r="K20" s="173"/>
      <c r="L20" s="173"/>
      <c r="M20" s="173"/>
      <c r="N20" s="173"/>
      <c r="O20" s="173"/>
      <c r="P20" s="173"/>
      <c r="Q20" s="173"/>
      <c r="R20" s="173"/>
      <c r="S20" s="173"/>
    </row>
    <row r="21" customFormat="false" ht="30" hidden="false" customHeight="true" outlineLevel="0" collapsed="false">
      <c r="B21" s="176"/>
      <c r="C21" s="171" t="s">
        <v>292</v>
      </c>
      <c r="D21" s="180" t="s">
        <v>293</v>
      </c>
      <c r="E21" s="180"/>
      <c r="F21" s="180"/>
      <c r="G21" s="180"/>
      <c r="H21" s="174"/>
      <c r="I21" s="174"/>
      <c r="J21" s="174"/>
      <c r="K21" s="173"/>
      <c r="L21" s="173"/>
      <c r="M21" s="173"/>
      <c r="N21" s="173"/>
      <c r="O21" s="173"/>
      <c r="P21" s="173"/>
      <c r="Q21" s="173"/>
      <c r="R21" s="173"/>
      <c r="S21" s="173"/>
    </row>
    <row r="22" customFormat="false" ht="30" hidden="false" customHeight="true" outlineLevel="0" collapsed="false">
      <c r="B22" s="176"/>
      <c r="C22" s="171" t="s">
        <v>263</v>
      </c>
      <c r="D22" s="180" t="s">
        <v>294</v>
      </c>
      <c r="E22" s="180" t="s">
        <v>250</v>
      </c>
      <c r="F22" s="180"/>
      <c r="G22" s="180"/>
      <c r="H22" s="174"/>
      <c r="I22" s="174"/>
      <c r="J22" s="174"/>
      <c r="K22" s="174"/>
      <c r="L22" s="174"/>
      <c r="M22" s="174"/>
      <c r="N22" s="174"/>
      <c r="O22" s="174"/>
      <c r="P22" s="174"/>
      <c r="Q22" s="174"/>
      <c r="R22" s="174"/>
      <c r="S22" s="174"/>
    </row>
    <row r="23" customFormat="false" ht="30" hidden="false" customHeight="true" outlineLevel="0" collapsed="false">
      <c r="B23" s="176"/>
      <c r="C23" s="171" t="s">
        <v>264</v>
      </c>
      <c r="D23" s="180" t="s">
        <v>295</v>
      </c>
      <c r="E23" s="180" t="s">
        <v>250</v>
      </c>
      <c r="F23" s="180"/>
      <c r="G23" s="180"/>
      <c r="H23" s="174"/>
      <c r="I23" s="174"/>
      <c r="J23" s="174"/>
      <c r="K23" s="174"/>
      <c r="L23" s="173"/>
      <c r="M23" s="173"/>
      <c r="N23" s="173"/>
      <c r="O23" s="173"/>
      <c r="P23" s="173"/>
      <c r="Q23" s="173"/>
      <c r="R23" s="173"/>
      <c r="S23" s="173"/>
    </row>
    <row r="24" customFormat="false" ht="30" hidden="false" customHeight="true" outlineLevel="0" collapsed="false">
      <c r="B24" s="176"/>
      <c r="C24" s="171" t="s">
        <v>265</v>
      </c>
      <c r="D24" s="180" t="s">
        <v>296</v>
      </c>
      <c r="E24" s="180" t="s">
        <v>250</v>
      </c>
      <c r="F24" s="180"/>
      <c r="G24" s="180"/>
      <c r="H24" s="174"/>
      <c r="I24" s="174"/>
      <c r="J24" s="174"/>
      <c r="K24" s="173"/>
      <c r="L24" s="173"/>
      <c r="M24" s="173"/>
      <c r="N24" s="173"/>
      <c r="O24" s="173"/>
      <c r="P24" s="173"/>
      <c r="Q24" s="173"/>
      <c r="R24" s="173"/>
      <c r="S24" s="173"/>
    </row>
    <row r="25" customFormat="false" ht="15" hidden="false" customHeight="true" outlineLevel="0" collapsed="false">
      <c r="B25" s="176"/>
      <c r="C25" s="171" t="s">
        <v>189</v>
      </c>
      <c r="D25" s="180" t="s">
        <v>297</v>
      </c>
      <c r="E25" s="166" t="s">
        <v>298</v>
      </c>
      <c r="J25" s="174"/>
      <c r="K25" s="174"/>
      <c r="L25" s="174"/>
      <c r="M25" s="174"/>
      <c r="N25" s="174"/>
      <c r="O25" s="174"/>
      <c r="P25" s="174"/>
      <c r="Q25" s="173"/>
      <c r="R25" s="173"/>
      <c r="S25" s="173"/>
    </row>
    <row r="26" customFormat="false" ht="15" hidden="false" customHeight="true" outlineLevel="0" collapsed="false">
      <c r="B26" s="176"/>
      <c r="C26" s="171" t="s">
        <v>299</v>
      </c>
      <c r="D26" s="180" t="s">
        <v>300</v>
      </c>
      <c r="E26" s="180" t="s">
        <v>212</v>
      </c>
      <c r="F26" s="180"/>
      <c r="G26" s="180"/>
      <c r="H26" s="174"/>
      <c r="I26" s="174"/>
      <c r="J26" s="174"/>
      <c r="K26" s="174"/>
      <c r="L26" s="174"/>
      <c r="M26" s="173"/>
      <c r="N26" s="173"/>
      <c r="O26" s="173"/>
      <c r="P26" s="173"/>
      <c r="Q26" s="173"/>
      <c r="R26" s="173"/>
      <c r="S26" s="173"/>
    </row>
    <row r="27" customFormat="false" ht="15" hidden="false" customHeight="true" outlineLevel="0" collapsed="false">
      <c r="B27" s="176"/>
      <c r="C27" s="186" t="s">
        <v>301</v>
      </c>
      <c r="D27" s="187" t="s">
        <v>302</v>
      </c>
      <c r="E27" s="187"/>
      <c r="F27" s="187"/>
      <c r="G27" s="187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</row>
    <row r="28" customFormat="false" ht="15" hidden="false" customHeight="true" outlineLevel="0" collapsed="false">
      <c r="A28" s="175" t="n">
        <v>4</v>
      </c>
      <c r="B28" s="176"/>
      <c r="C28" s="188" t="s">
        <v>303</v>
      </c>
      <c r="D28" s="187" t="s">
        <v>304</v>
      </c>
      <c r="E28" s="187"/>
      <c r="F28" s="187"/>
      <c r="G28" s="187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</row>
    <row r="29" customFormat="false" ht="15" hidden="false" customHeight="true" outlineLevel="0" collapsed="false">
      <c r="B29" s="176"/>
      <c r="C29" s="188" t="s">
        <v>305</v>
      </c>
      <c r="D29" s="187" t="s">
        <v>306</v>
      </c>
      <c r="E29" s="187"/>
      <c r="F29" s="187"/>
      <c r="G29" s="187"/>
      <c r="H29" s="173"/>
      <c r="I29" s="173"/>
      <c r="J29" s="173"/>
      <c r="K29" s="173"/>
      <c r="L29" s="173"/>
      <c r="M29" s="173"/>
      <c r="N29" s="173"/>
      <c r="O29" s="173"/>
      <c r="P29" s="173"/>
      <c r="Q29" s="173"/>
      <c r="R29" s="173"/>
      <c r="S29" s="173"/>
    </row>
    <row r="30" customFormat="false" ht="15" hidden="false" customHeight="true" outlineLevel="0" collapsed="false">
      <c r="B30" s="176"/>
      <c r="C30" s="188" t="s">
        <v>307</v>
      </c>
      <c r="D30" s="187" t="s">
        <v>308</v>
      </c>
      <c r="E30" s="187"/>
      <c r="F30" s="187"/>
      <c r="G30" s="187"/>
      <c r="H30" s="173"/>
      <c r="I30" s="173"/>
      <c r="J30" s="173"/>
      <c r="K30" s="173"/>
      <c r="L30" s="173"/>
      <c r="M30" s="173"/>
      <c r="N30" s="173"/>
      <c r="O30" s="173"/>
      <c r="P30" s="173"/>
      <c r="Q30" s="173"/>
      <c r="R30" s="173"/>
      <c r="S30" s="173"/>
    </row>
    <row r="31" customFormat="false" ht="15" hidden="false" customHeight="true" outlineLevel="0" collapsed="false">
      <c r="B31" s="176"/>
      <c r="C31" s="188" t="s">
        <v>309</v>
      </c>
      <c r="D31" s="187" t="s">
        <v>310</v>
      </c>
      <c r="E31" s="187"/>
      <c r="F31" s="187"/>
      <c r="G31" s="187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</row>
    <row r="32" customFormat="false" ht="18" hidden="false" customHeight="true" outlineLevel="0" collapsed="false">
      <c r="B32" s="189"/>
      <c r="C32" s="187" t="s">
        <v>311</v>
      </c>
      <c r="D32" s="187" t="s">
        <v>312</v>
      </c>
      <c r="E32" s="187"/>
      <c r="F32" s="187"/>
      <c r="G32" s="187"/>
      <c r="H32" s="173"/>
      <c r="I32" s="173"/>
      <c r="J32" s="173"/>
      <c r="K32" s="173"/>
      <c r="L32" s="173"/>
      <c r="M32" s="173"/>
      <c r="N32" s="173"/>
      <c r="O32" s="173"/>
      <c r="P32" s="173"/>
      <c r="Q32" s="173"/>
      <c r="R32" s="173"/>
      <c r="S32" s="173"/>
    </row>
    <row r="34" customFormat="false" ht="18" hidden="false" customHeight="true" outlineLevel="0" collapsed="false">
      <c r="C34" s="166" t="s">
        <v>238</v>
      </c>
    </row>
    <row r="35" customFormat="false" ht="18" hidden="false" customHeight="true" outlineLevel="0" collapsed="false">
      <c r="C35" s="166" t="s">
        <v>313</v>
      </c>
    </row>
  </sheetData>
  <autoFilter ref="A1:D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2026-09-20T06:57:56Z</dcterms:created>
  <dc:creator>Eyal Sadot</dc:creator>
  <dc:description/>
  <dc:language>en-US</dc:language>
  <cp:lastModifiedBy>Eyal Sadot</cp:lastModifiedBy>
  <dcterms:modified xsi:type="dcterms:W3CDTF">2026-09-24T15:29:03Z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