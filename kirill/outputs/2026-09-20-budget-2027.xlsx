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1156658meditex-my.sharepoint.com/personal/eyals_uriel_co_il/Documents/שולחן העבודה/תקציב 2027/קבצי עבודה/"/>
    </mc:Choice>
  </mc:AlternateContent>
  <xr:revisionPtr revIDLastSave="63" documentId="8_{D617F28E-BD4A-40CD-A8A4-BA259E56430A}" xr6:coauthVersionLast="47" xr6:coauthVersionMax="47" xr10:uidLastSave="{3B6A5CD1-FCCF-4651-8C24-C6928407D9DF}"/>
  <bookViews>
    <workbookView xWindow="-120" yWindow="-120" windowWidth="29040" windowHeight="15720" tabRatio="500" activeTab="2" xr2:uid="{00000000-000D-0000-FFFF-FFFF00000000}"/>
  </bookViews>
  <sheets>
    <sheet name="תקציב  " sheetId="1" r:id="rId1"/>
    <sheet name="שנים" sheetId="2" r:id="rId2"/>
    <sheet name="שנים 2" sheetId="6" r:id="rId3"/>
    <sheet name="השקות 2026 מעודכן " sheetId="5" r:id="rId4"/>
    <sheet name="השקות 2026" sheetId="3" r:id="rId5"/>
    <sheet name=" Gantt" sheetId="4" r:id="rId6"/>
  </sheets>
  <definedNames>
    <definedName name="_xlnm._FilterDatabase" localSheetId="5" hidden="1">' Gantt'!$A$1:$D$1</definedName>
    <definedName name="_xlnm._FilterDatabase" localSheetId="4" hidden="1">'השקות 2026'!$B$2:$AE$36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3" i="6" l="1"/>
  <c r="I53" i="6"/>
  <c r="H53" i="6"/>
  <c r="G53" i="6"/>
  <c r="F53" i="6"/>
  <c r="K52" i="6"/>
  <c r="I52" i="6"/>
  <c r="H52" i="6"/>
  <c r="G52" i="6"/>
  <c r="F52" i="6"/>
  <c r="K49" i="6"/>
  <c r="I49" i="6"/>
  <c r="H49" i="6"/>
  <c r="G49" i="6"/>
  <c r="F49" i="6"/>
  <c r="Q43" i="6"/>
  <c r="P43" i="6"/>
  <c r="O43" i="6"/>
  <c r="N43" i="6"/>
  <c r="L43" i="6"/>
  <c r="K43" i="6"/>
  <c r="I43" i="6"/>
  <c r="H43" i="6"/>
  <c r="G43" i="6"/>
  <c r="F43" i="6"/>
  <c r="I20" i="6"/>
  <c r="Q17" i="6"/>
  <c r="Q20" i="6" s="1"/>
  <c r="Q44" i="6" s="1"/>
  <c r="Q45" i="6" s="1"/>
  <c r="P17" i="6"/>
  <c r="P20" i="6" s="1"/>
  <c r="P44" i="6" s="1"/>
  <c r="O17" i="6"/>
  <c r="O20" i="6" s="1"/>
  <c r="O44" i="6" s="1"/>
  <c r="N17" i="6"/>
  <c r="N20" i="6" s="1"/>
  <c r="L17" i="6"/>
  <c r="L20" i="6" s="1"/>
  <c r="K17" i="6"/>
  <c r="K48" i="6" s="1"/>
  <c r="K50" i="6" s="1"/>
  <c r="I17" i="6"/>
  <c r="I48" i="6" s="1"/>
  <c r="I50" i="6" s="1"/>
  <c r="H17" i="6"/>
  <c r="H20" i="6" s="1"/>
  <c r="H44" i="6" s="1"/>
  <c r="H45" i="6" s="1"/>
  <c r="G17" i="6"/>
  <c r="G20" i="6" s="1"/>
  <c r="G44" i="6" s="1"/>
  <c r="G45" i="6" s="1"/>
  <c r="F17" i="6"/>
  <c r="F48" i="6" s="1"/>
  <c r="F50" i="6" s="1"/>
  <c r="F54" i="6" s="1"/>
  <c r="P42" i="2"/>
  <c r="O42" i="2"/>
  <c r="P16" i="2"/>
  <c r="P19" i="2" s="1"/>
  <c r="O16" i="2"/>
  <c r="O19" i="2" s="1"/>
  <c r="F20" i="6" l="1"/>
  <c r="F44" i="6" s="1"/>
  <c r="F45" i="6" s="1"/>
  <c r="I54" i="6"/>
  <c r="I44" i="6"/>
  <c r="I45" i="6" s="1"/>
  <c r="O45" i="6"/>
  <c r="P45" i="6"/>
  <c r="N44" i="6"/>
  <c r="N45" i="6" s="1"/>
  <c r="K54" i="6"/>
  <c r="K20" i="6"/>
  <c r="K44" i="6" s="1"/>
  <c r="K45" i="6" s="1"/>
  <c r="L44" i="6"/>
  <c r="L45" i="6" s="1"/>
  <c r="H48" i="6"/>
  <c r="H50" i="6" s="1"/>
  <c r="H54" i="6" s="1"/>
  <c r="G48" i="6"/>
  <c r="G50" i="6" s="1"/>
  <c r="G54" i="6" s="1"/>
  <c r="P43" i="2"/>
  <c r="P44" i="2" s="1"/>
  <c r="O43" i="2"/>
  <c r="O44" i="2" s="1"/>
  <c r="F58" i="3"/>
  <c r="E58" i="3"/>
  <c r="D58" i="3"/>
  <c r="M36" i="3"/>
  <c r="M35" i="3"/>
  <c r="M34" i="3"/>
  <c r="M33" i="3"/>
  <c r="M32" i="3"/>
  <c r="M31" i="3"/>
  <c r="M30" i="3"/>
  <c r="M29" i="3"/>
  <c r="M28" i="3"/>
  <c r="M27" i="3"/>
  <c r="M26" i="3"/>
  <c r="K25" i="3"/>
  <c r="M25" i="3" s="1"/>
  <c r="M24" i="3"/>
  <c r="M23" i="3"/>
  <c r="L22" i="3"/>
  <c r="M22" i="3" s="1"/>
  <c r="G22" i="3"/>
  <c r="I22" i="3" s="1"/>
  <c r="L21" i="3"/>
  <c r="M21" i="3" s="1"/>
  <c r="G21" i="3"/>
  <c r="I21" i="3" s="1"/>
  <c r="M20" i="3"/>
  <c r="M19" i="3"/>
  <c r="M18" i="3"/>
  <c r="M17" i="3"/>
  <c r="L16" i="3"/>
  <c r="M16" i="3" s="1"/>
  <c r="G16" i="3"/>
  <c r="I16" i="3" s="1"/>
  <c r="P15" i="3"/>
  <c r="H15" i="3"/>
  <c r="L15" i="3" s="1"/>
  <c r="M15" i="3" s="1"/>
  <c r="G15" i="3"/>
  <c r="M14" i="3"/>
  <c r="AC13" i="3"/>
  <c r="AB13" i="3"/>
  <c r="AA13" i="3"/>
  <c r="Z13" i="3"/>
  <c r="Y13" i="3"/>
  <c r="X13" i="3"/>
  <c r="W13" i="3"/>
  <c r="V13" i="3"/>
  <c r="U13" i="3"/>
  <c r="T13" i="3"/>
  <c r="S13" i="3"/>
  <c r="R13" i="3"/>
  <c r="M13" i="3"/>
  <c r="M12" i="3"/>
  <c r="AD11" i="3"/>
  <c r="M11" i="3"/>
  <c r="M10" i="3"/>
  <c r="AC8" i="3"/>
  <c r="AB8" i="3"/>
  <c r="AA8" i="3"/>
  <c r="Z8" i="3"/>
  <c r="Y8" i="3"/>
  <c r="X8" i="3"/>
  <c r="W8" i="3"/>
  <c r="V8" i="3"/>
  <c r="U8" i="3"/>
  <c r="T8" i="3"/>
  <c r="S8" i="3"/>
  <c r="R8" i="3"/>
  <c r="I8" i="3"/>
  <c r="L7" i="3"/>
  <c r="M7" i="3" s="1"/>
  <c r="G7" i="3"/>
  <c r="I7" i="3" s="1"/>
  <c r="AD6" i="3"/>
  <c r="L6" i="3"/>
  <c r="M6" i="3" s="1"/>
  <c r="G6" i="3"/>
  <c r="I6" i="3" s="1"/>
  <c r="L5" i="3"/>
  <c r="M5" i="3" s="1"/>
  <c r="G5" i="3"/>
  <c r="I5" i="3" s="1"/>
  <c r="L4" i="3"/>
  <c r="K4" i="3"/>
  <c r="E4" i="3"/>
  <c r="D4" i="3"/>
  <c r="L3" i="3"/>
  <c r="K3" i="3"/>
  <c r="F3" i="3"/>
  <c r="F59" i="3" s="1"/>
  <c r="E3" i="3"/>
  <c r="D3" i="3"/>
  <c r="P74" i="1"/>
  <c r="O74" i="1"/>
  <c r="N74" i="1"/>
  <c r="M74" i="1"/>
  <c r="L74" i="1"/>
  <c r="K74" i="1"/>
  <c r="J74" i="1"/>
  <c r="I74" i="1"/>
  <c r="H74" i="1"/>
  <c r="G74" i="1"/>
  <c r="F74" i="1"/>
  <c r="E74" i="1"/>
  <c r="Q74" i="1" s="1"/>
  <c r="P59" i="1"/>
  <c r="O59" i="1"/>
  <c r="N59" i="1"/>
  <c r="M59" i="1"/>
  <c r="L59" i="1"/>
  <c r="K59" i="1"/>
  <c r="J59" i="1"/>
  <c r="I59" i="1"/>
  <c r="H59" i="1"/>
  <c r="G59" i="1"/>
  <c r="F59" i="1"/>
  <c r="E59" i="1"/>
  <c r="P56" i="1"/>
  <c r="O56" i="1"/>
  <c r="N56" i="1"/>
  <c r="M56" i="1"/>
  <c r="L56" i="1"/>
  <c r="K56" i="1"/>
  <c r="J56" i="1"/>
  <c r="I56" i="1"/>
  <c r="H56" i="1"/>
  <c r="G56" i="1"/>
  <c r="F56" i="1"/>
  <c r="E56" i="1"/>
  <c r="P55" i="1"/>
  <c r="O55" i="1"/>
  <c r="N55" i="1"/>
  <c r="M55" i="1"/>
  <c r="L55" i="1"/>
  <c r="K55" i="1"/>
  <c r="J55" i="1"/>
  <c r="I55" i="1"/>
  <c r="H55" i="1"/>
  <c r="G55" i="1"/>
  <c r="F55" i="1"/>
  <c r="E55" i="1"/>
  <c r="AN40" i="1"/>
  <c r="AM40" i="1"/>
  <c r="AL40" i="1"/>
  <c r="AK40" i="1"/>
  <c r="AJ40" i="1"/>
  <c r="AI40" i="1"/>
  <c r="AG40" i="1"/>
  <c r="R40" i="1"/>
  <c r="R41" i="1" s="1"/>
  <c r="E40" i="1"/>
  <c r="AR39" i="1"/>
  <c r="AS39" i="1" s="1"/>
  <c r="AT39" i="1" s="1"/>
  <c r="AU39" i="1" s="1"/>
  <c r="AV39" i="1" s="1"/>
  <c r="AW39" i="1" s="1"/>
  <c r="AO39" i="1"/>
  <c r="AE39" i="1"/>
  <c r="AD39" i="1"/>
  <c r="AC39" i="1"/>
  <c r="AB39" i="1"/>
  <c r="AA39" i="1"/>
  <c r="Z39" i="1"/>
  <c r="Y39" i="1"/>
  <c r="AP39" i="1" s="1"/>
  <c r="X39" i="1"/>
  <c r="W39" i="1"/>
  <c r="V39" i="1"/>
  <c r="U39" i="1"/>
  <c r="S39" i="1"/>
  <c r="Q39" i="1"/>
  <c r="M76" i="1" s="1"/>
  <c r="AR38" i="1"/>
  <c r="AS38" i="1" s="1"/>
  <c r="AT38" i="1" s="1"/>
  <c r="AU38" i="1" s="1"/>
  <c r="AV38" i="1" s="1"/>
  <c r="AW38" i="1" s="1"/>
  <c r="AO38" i="1"/>
  <c r="AE38" i="1"/>
  <c r="AD38" i="1"/>
  <c r="AC38" i="1"/>
  <c r="AB38" i="1"/>
  <c r="AA38" i="1"/>
  <c r="Z38" i="1"/>
  <c r="Y38" i="1"/>
  <c r="AP38" i="1" s="1"/>
  <c r="X38" i="1"/>
  <c r="W38" i="1"/>
  <c r="V38" i="1"/>
  <c r="U38" i="1"/>
  <c r="S38" i="1"/>
  <c r="Q38" i="1"/>
  <c r="G75" i="1" s="1"/>
  <c r="AR37" i="1"/>
  <c r="AS37" i="1" s="1"/>
  <c r="AT37" i="1" s="1"/>
  <c r="AU37" i="1" s="1"/>
  <c r="AV37" i="1" s="1"/>
  <c r="AW37" i="1" s="1"/>
  <c r="AP37" i="1"/>
  <c r="AO37" i="1"/>
  <c r="T37" i="1"/>
  <c r="AR36" i="1"/>
  <c r="AS36" i="1" s="1"/>
  <c r="AT36" i="1" s="1"/>
  <c r="AU36" i="1" s="1"/>
  <c r="AV36" i="1" s="1"/>
  <c r="AW36" i="1" s="1"/>
  <c r="AO36" i="1"/>
  <c r="AE36" i="1"/>
  <c r="AD36" i="1"/>
  <c r="AC36" i="1"/>
  <c r="AB36" i="1"/>
  <c r="AA36" i="1"/>
  <c r="Z36" i="1"/>
  <c r="Y36" i="1"/>
  <c r="AP36" i="1" s="1"/>
  <c r="X36" i="1"/>
  <c r="W36" i="1"/>
  <c r="V36" i="1"/>
  <c r="U36" i="1"/>
  <c r="S36" i="1"/>
  <c r="Q36" i="1"/>
  <c r="AR35" i="1"/>
  <c r="AS35" i="1" s="1"/>
  <c r="AT35" i="1" s="1"/>
  <c r="AU35" i="1" s="1"/>
  <c r="AV35" i="1" s="1"/>
  <c r="AW35" i="1" s="1"/>
  <c r="AO35" i="1"/>
  <c r="W35" i="1"/>
  <c r="V35" i="1"/>
  <c r="U35" i="1"/>
  <c r="S35" i="1"/>
  <c r="I35" i="1"/>
  <c r="AE35" i="1" s="1"/>
  <c r="AR34" i="1"/>
  <c r="AS34" i="1" s="1"/>
  <c r="AT34" i="1" s="1"/>
  <c r="AU34" i="1" s="1"/>
  <c r="AV34" i="1" s="1"/>
  <c r="AW34" i="1" s="1"/>
  <c r="AO34" i="1"/>
  <c r="AA34" i="1"/>
  <c r="Z34" i="1"/>
  <c r="Y34" i="1"/>
  <c r="AP34" i="1" s="1"/>
  <c r="X34" i="1"/>
  <c r="W34" i="1"/>
  <c r="V34" i="1"/>
  <c r="U34" i="1"/>
  <c r="S34" i="1"/>
  <c r="M34" i="1"/>
  <c r="AE34" i="1" s="1"/>
  <c r="AR33" i="1"/>
  <c r="AS33" i="1" s="1"/>
  <c r="AT33" i="1" s="1"/>
  <c r="AU33" i="1" s="1"/>
  <c r="AV33" i="1" s="1"/>
  <c r="AW33" i="1" s="1"/>
  <c r="AO33" i="1"/>
  <c r="AC33" i="1"/>
  <c r="AB33" i="1"/>
  <c r="AA33" i="1"/>
  <c r="Z33" i="1"/>
  <c r="Y33" i="1"/>
  <c r="AP33" i="1" s="1"/>
  <c r="X33" i="1"/>
  <c r="W33" i="1"/>
  <c r="V33" i="1"/>
  <c r="U33" i="1"/>
  <c r="S33" i="1"/>
  <c r="O33" i="1"/>
  <c r="AD33" i="1" s="1"/>
  <c r="AR32" i="1"/>
  <c r="AS32" i="1" s="1"/>
  <c r="AT32" i="1" s="1"/>
  <c r="AU32" i="1" s="1"/>
  <c r="AV32" i="1" s="1"/>
  <c r="AW32" i="1" s="1"/>
  <c r="AO32" i="1"/>
  <c r="AE32" i="1"/>
  <c r="AD32" i="1"/>
  <c r="AC32" i="1"/>
  <c r="AB32" i="1"/>
  <c r="AA32" i="1"/>
  <c r="Z32" i="1"/>
  <c r="Y32" i="1"/>
  <c r="AP32" i="1" s="1"/>
  <c r="X32" i="1"/>
  <c r="W32" i="1"/>
  <c r="V32" i="1"/>
  <c r="U32" i="1"/>
  <c r="S32" i="1"/>
  <c r="Q32" i="1"/>
  <c r="H69" i="1" s="1"/>
  <c r="AR31" i="1"/>
  <c r="AS31" i="1" s="1"/>
  <c r="AT31" i="1" s="1"/>
  <c r="AU31" i="1" s="1"/>
  <c r="AV31" i="1" s="1"/>
  <c r="AW31" i="1" s="1"/>
  <c r="AO31" i="1"/>
  <c r="S31" i="1"/>
  <c r="F31" i="1"/>
  <c r="G31" i="1" s="1"/>
  <c r="G40" i="1" s="1"/>
  <c r="AR30" i="1"/>
  <c r="AS30" i="1" s="1"/>
  <c r="AT30" i="1" s="1"/>
  <c r="AU30" i="1" s="1"/>
  <c r="AV30" i="1" s="1"/>
  <c r="AW30" i="1" s="1"/>
  <c r="AO30" i="1"/>
  <c r="AE30" i="1"/>
  <c r="AD30" i="1"/>
  <c r="AC30" i="1"/>
  <c r="AB30" i="1"/>
  <c r="AA30" i="1"/>
  <c r="Z30" i="1"/>
  <c r="Y30" i="1"/>
  <c r="AP30" i="1" s="1"/>
  <c r="X30" i="1"/>
  <c r="W30" i="1"/>
  <c r="V30" i="1"/>
  <c r="U30" i="1"/>
  <c r="S30" i="1"/>
  <c r="Q30" i="1"/>
  <c r="O67" i="1" s="1"/>
  <c r="AR29" i="1"/>
  <c r="AS29" i="1" s="1"/>
  <c r="AT29" i="1" s="1"/>
  <c r="AU29" i="1" s="1"/>
  <c r="AV29" i="1" s="1"/>
  <c r="AW29" i="1" s="1"/>
  <c r="AO29" i="1"/>
  <c r="AE29" i="1"/>
  <c r="AD29" i="1"/>
  <c r="AC29" i="1"/>
  <c r="AB29" i="1"/>
  <c r="AA29" i="1"/>
  <c r="Z29" i="1"/>
  <c r="Y29" i="1"/>
  <c r="AP29" i="1" s="1"/>
  <c r="X29" i="1"/>
  <c r="W29" i="1"/>
  <c r="V29" i="1"/>
  <c r="U29" i="1"/>
  <c r="S29" i="1"/>
  <c r="Q29" i="1"/>
  <c r="K66" i="1" s="1"/>
  <c r="AR28" i="1"/>
  <c r="AS28" i="1" s="1"/>
  <c r="AT28" i="1" s="1"/>
  <c r="AU28" i="1" s="1"/>
  <c r="AV28" i="1" s="1"/>
  <c r="AW28" i="1" s="1"/>
  <c r="AO28" i="1"/>
  <c r="AE28" i="1"/>
  <c r="AD28" i="1"/>
  <c r="AC28" i="1"/>
  <c r="AB28" i="1"/>
  <c r="AA28" i="1"/>
  <c r="Z28" i="1"/>
  <c r="Y28" i="1"/>
  <c r="AP28" i="1" s="1"/>
  <c r="X28" i="1"/>
  <c r="W28" i="1"/>
  <c r="V28" i="1"/>
  <c r="U28" i="1"/>
  <c r="S28" i="1"/>
  <c r="Q28" i="1"/>
  <c r="E65" i="1" s="1"/>
  <c r="AR27" i="1"/>
  <c r="AS27" i="1" s="1"/>
  <c r="AT27" i="1" s="1"/>
  <c r="AU27" i="1" s="1"/>
  <c r="AV27" i="1" s="1"/>
  <c r="AW27" i="1" s="1"/>
  <c r="AO27" i="1"/>
  <c r="AE27" i="1"/>
  <c r="AD27" i="1"/>
  <c r="AC27" i="1"/>
  <c r="AB27" i="1"/>
  <c r="AA27" i="1"/>
  <c r="Z27" i="1"/>
  <c r="Y27" i="1"/>
  <c r="AP27" i="1" s="1"/>
  <c r="X27" i="1"/>
  <c r="W27" i="1"/>
  <c r="V27" i="1"/>
  <c r="U27" i="1"/>
  <c r="S27" i="1"/>
  <c r="Q27" i="1"/>
  <c r="M64" i="1" s="1"/>
  <c r="AR26" i="1"/>
  <c r="AS26" i="1" s="1"/>
  <c r="AT26" i="1" s="1"/>
  <c r="AU26" i="1" s="1"/>
  <c r="AV26" i="1" s="1"/>
  <c r="AW26" i="1" s="1"/>
  <c r="AO26" i="1"/>
  <c r="AE26" i="1"/>
  <c r="AD26" i="1"/>
  <c r="AC26" i="1"/>
  <c r="AB26" i="1"/>
  <c r="AA26" i="1"/>
  <c r="Z26" i="1"/>
  <c r="Y26" i="1"/>
  <c r="AP26" i="1" s="1"/>
  <c r="X26" i="1"/>
  <c r="W26" i="1"/>
  <c r="V26" i="1"/>
  <c r="U26" i="1"/>
  <c r="S26" i="1"/>
  <c r="Q26" i="1"/>
  <c r="G63" i="1" s="1"/>
  <c r="AR25" i="1"/>
  <c r="AS25" i="1" s="1"/>
  <c r="AT25" i="1" s="1"/>
  <c r="AU25" i="1" s="1"/>
  <c r="AV25" i="1" s="1"/>
  <c r="AW25" i="1" s="1"/>
  <c r="AO25" i="1"/>
  <c r="AE25" i="1"/>
  <c r="AD25" i="1"/>
  <c r="AC25" i="1"/>
  <c r="AB25" i="1"/>
  <c r="AA25" i="1"/>
  <c r="Z25" i="1"/>
  <c r="Y25" i="1"/>
  <c r="AP25" i="1" s="1"/>
  <c r="X25" i="1"/>
  <c r="W25" i="1"/>
  <c r="V25" i="1"/>
  <c r="U25" i="1"/>
  <c r="S25" i="1"/>
  <c r="Q25" i="1"/>
  <c r="O62" i="1" s="1"/>
  <c r="AR24" i="1"/>
  <c r="AS24" i="1" s="1"/>
  <c r="AT24" i="1" s="1"/>
  <c r="AU24" i="1" s="1"/>
  <c r="AV24" i="1" s="1"/>
  <c r="AW24" i="1" s="1"/>
  <c r="AO24" i="1"/>
  <c r="S24" i="1"/>
  <c r="F24" i="1"/>
  <c r="Y24" i="1" s="1"/>
  <c r="AP24" i="1" s="1"/>
  <c r="AR23" i="1"/>
  <c r="AS23" i="1" s="1"/>
  <c r="AT23" i="1" s="1"/>
  <c r="AU23" i="1" s="1"/>
  <c r="AV23" i="1" s="1"/>
  <c r="AW23" i="1" s="1"/>
  <c r="AO23" i="1"/>
  <c r="S23" i="1"/>
  <c r="P23" i="1"/>
  <c r="N23" i="1"/>
  <c r="K23" i="1"/>
  <c r="I23" i="1"/>
  <c r="F23" i="1"/>
  <c r="AR22" i="1"/>
  <c r="AS22" i="1" s="1"/>
  <c r="AO22" i="1"/>
  <c r="AE22" i="1"/>
  <c r="AD22" i="1"/>
  <c r="AC22" i="1"/>
  <c r="AB22" i="1"/>
  <c r="AA22" i="1"/>
  <c r="Z22" i="1"/>
  <c r="Y22" i="1"/>
  <c r="AP22" i="1" s="1"/>
  <c r="X22" i="1"/>
  <c r="W22" i="1"/>
  <c r="V22" i="1"/>
  <c r="U22" i="1"/>
  <c r="S22" i="1"/>
  <c r="AN21" i="1"/>
  <c r="AM21" i="1"/>
  <c r="AL21" i="1"/>
  <c r="AK21" i="1"/>
  <c r="AJ21" i="1"/>
  <c r="AG21" i="1"/>
  <c r="P21" i="1"/>
  <c r="O21" i="1"/>
  <c r="N21" i="1"/>
  <c r="M21" i="1"/>
  <c r="L21" i="1"/>
  <c r="K21" i="1"/>
  <c r="J21" i="1"/>
  <c r="I21" i="1"/>
  <c r="H21" i="1"/>
  <c r="G21" i="1"/>
  <c r="F21" i="1"/>
  <c r="E21" i="1"/>
  <c r="AI20" i="1"/>
  <c r="AO20" i="1" s="1"/>
  <c r="AE20" i="1"/>
  <c r="AD20" i="1"/>
  <c r="AC20" i="1"/>
  <c r="AB20" i="1"/>
  <c r="AA20" i="1"/>
  <c r="Z20" i="1"/>
  <c r="Y20" i="1"/>
  <c r="X20" i="1"/>
  <c r="W20" i="1"/>
  <c r="V20" i="1"/>
  <c r="U20" i="1"/>
  <c r="S20" i="1"/>
  <c r="Q20" i="1"/>
  <c r="AI19" i="1"/>
  <c r="AR19" i="1" s="1"/>
  <c r="AS19" i="1" s="1"/>
  <c r="AT19" i="1" s="1"/>
  <c r="AU19" i="1" s="1"/>
  <c r="AV19" i="1" s="1"/>
  <c r="AW19" i="1" s="1"/>
  <c r="AE19" i="1"/>
  <c r="AD19" i="1"/>
  <c r="AC19" i="1"/>
  <c r="AB19" i="1"/>
  <c r="AA19" i="1"/>
  <c r="Z19" i="1"/>
  <c r="Y19" i="1"/>
  <c r="X19" i="1"/>
  <c r="W19" i="1"/>
  <c r="V19" i="1"/>
  <c r="U19" i="1"/>
  <c r="S19" i="1"/>
  <c r="AR18" i="1"/>
  <c r="AS18" i="1" s="1"/>
  <c r="AT18" i="1" s="1"/>
  <c r="AU18" i="1" s="1"/>
  <c r="AV18" i="1" s="1"/>
  <c r="AW18" i="1" s="1"/>
  <c r="AO18" i="1"/>
  <c r="AE18" i="1"/>
  <c r="AD18" i="1"/>
  <c r="AC18" i="1"/>
  <c r="AB18" i="1"/>
  <c r="AA18" i="1"/>
  <c r="Z18" i="1"/>
  <c r="Y18" i="1"/>
  <c r="AP18" i="1" s="1"/>
  <c r="X18" i="1"/>
  <c r="W18" i="1"/>
  <c r="V18" i="1"/>
  <c r="U18" i="1"/>
  <c r="S18" i="1"/>
  <c r="AI17" i="1"/>
  <c r="AE17" i="1"/>
  <c r="AD17" i="1"/>
  <c r="AC17" i="1"/>
  <c r="AB17" i="1"/>
  <c r="AA17" i="1"/>
  <c r="Z17" i="1"/>
  <c r="Y17" i="1"/>
  <c r="X17" i="1"/>
  <c r="W17" i="1"/>
  <c r="V17" i="1"/>
  <c r="U17" i="1"/>
  <c r="S17" i="1"/>
  <c r="Q17" i="1"/>
  <c r="O54" i="1" s="1"/>
  <c r="AI16" i="1"/>
  <c r="AO16" i="1" s="1"/>
  <c r="AE16" i="1"/>
  <c r="AD16" i="1"/>
  <c r="AC16" i="1"/>
  <c r="AB16" i="1"/>
  <c r="AA16" i="1"/>
  <c r="Z16" i="1"/>
  <c r="Y16" i="1"/>
  <c r="X16" i="1"/>
  <c r="W16" i="1"/>
  <c r="V16" i="1"/>
  <c r="U16" i="1"/>
  <c r="S16" i="1"/>
  <c r="Q16" i="1"/>
  <c r="AI15" i="1"/>
  <c r="AR15" i="1" s="1"/>
  <c r="AS15" i="1" s="1"/>
  <c r="AT15" i="1" s="1"/>
  <c r="AU15" i="1" s="1"/>
  <c r="AV15" i="1" s="1"/>
  <c r="AW15" i="1" s="1"/>
  <c r="AE15" i="1"/>
  <c r="AD15" i="1"/>
  <c r="AC15" i="1"/>
  <c r="AB15" i="1"/>
  <c r="AA15" i="1"/>
  <c r="Z15" i="1"/>
  <c r="Y15" i="1"/>
  <c r="X15" i="1"/>
  <c r="W15" i="1"/>
  <c r="V15" i="1"/>
  <c r="U15" i="1"/>
  <c r="S15" i="1"/>
  <c r="Q15" i="1"/>
  <c r="P53" i="1" s="1"/>
  <c r="AI14" i="1"/>
  <c r="AE14" i="1"/>
  <c r="AD14" i="1"/>
  <c r="AC14" i="1"/>
  <c r="AB14" i="1"/>
  <c r="AA14" i="1"/>
  <c r="Z14" i="1"/>
  <c r="Y14" i="1"/>
  <c r="X14" i="1"/>
  <c r="W14" i="1"/>
  <c r="V14" i="1"/>
  <c r="U14" i="1"/>
  <c r="S14" i="1"/>
  <c r="Q14" i="1"/>
  <c r="AI13" i="1"/>
  <c r="AE13" i="1"/>
  <c r="AD13" i="1"/>
  <c r="AC13" i="1"/>
  <c r="AB13" i="1"/>
  <c r="AA13" i="1"/>
  <c r="Z13" i="1"/>
  <c r="Y13" i="1"/>
  <c r="X13" i="1"/>
  <c r="W13" i="1"/>
  <c r="V13" i="1"/>
  <c r="U13" i="1"/>
  <c r="S13" i="1"/>
  <c r="Q13" i="1"/>
  <c r="E52" i="1" s="1"/>
  <c r="AI12" i="1"/>
  <c r="AR12" i="1" s="1"/>
  <c r="AS12" i="1" s="1"/>
  <c r="AT12" i="1" s="1"/>
  <c r="AU12" i="1" s="1"/>
  <c r="AV12" i="1" s="1"/>
  <c r="AW12" i="1" s="1"/>
  <c r="AE12" i="1"/>
  <c r="AD12" i="1"/>
  <c r="AC12" i="1"/>
  <c r="AB12" i="1"/>
  <c r="AA12" i="1"/>
  <c r="Z12" i="1"/>
  <c r="Y12" i="1"/>
  <c r="X12" i="1"/>
  <c r="W12" i="1"/>
  <c r="V12" i="1"/>
  <c r="U12" i="1"/>
  <c r="S12" i="1"/>
  <c r="Q12" i="1"/>
  <c r="F51" i="1" s="1"/>
  <c r="AI11" i="1"/>
  <c r="AE11" i="1"/>
  <c r="AD11" i="1"/>
  <c r="AC11" i="1"/>
  <c r="AB11" i="1"/>
  <c r="AA11" i="1"/>
  <c r="Z11" i="1"/>
  <c r="Y11" i="1"/>
  <c r="X11" i="1"/>
  <c r="W11" i="1"/>
  <c r="V11" i="1"/>
  <c r="U11" i="1"/>
  <c r="S11" i="1"/>
  <c r="Q11" i="1"/>
  <c r="G50" i="1" s="1"/>
  <c r="AI10" i="1"/>
  <c r="AO10" i="1" s="1"/>
  <c r="AE10" i="1"/>
  <c r="AD10" i="1"/>
  <c r="AC10" i="1"/>
  <c r="AB10" i="1"/>
  <c r="AA10" i="1"/>
  <c r="Z10" i="1"/>
  <c r="Y10" i="1"/>
  <c r="X10" i="1"/>
  <c r="W10" i="1"/>
  <c r="V10" i="1"/>
  <c r="U10" i="1"/>
  <c r="S10" i="1"/>
  <c r="Q10" i="1"/>
  <c r="H49" i="1" s="1"/>
  <c r="AI9" i="1"/>
  <c r="AR9" i="1" s="1"/>
  <c r="AS9" i="1" s="1"/>
  <c r="AT9" i="1" s="1"/>
  <c r="AU9" i="1" s="1"/>
  <c r="AV9" i="1" s="1"/>
  <c r="AW9" i="1" s="1"/>
  <c r="AE9" i="1"/>
  <c r="AD9" i="1"/>
  <c r="AC9" i="1"/>
  <c r="AB9" i="1"/>
  <c r="AA9" i="1"/>
  <c r="Z9" i="1"/>
  <c r="Y9" i="1"/>
  <c r="X9" i="1"/>
  <c r="W9" i="1"/>
  <c r="V9" i="1"/>
  <c r="U9" i="1"/>
  <c r="S9" i="1"/>
  <c r="Q9" i="1"/>
  <c r="I48" i="1" s="1"/>
  <c r="AI8" i="1"/>
  <c r="AE8" i="1"/>
  <c r="AD8" i="1"/>
  <c r="AC8" i="1"/>
  <c r="AB8" i="1"/>
  <c r="AA8" i="1"/>
  <c r="Z8" i="1"/>
  <c r="Y8" i="1"/>
  <c r="X8" i="1"/>
  <c r="W8" i="1"/>
  <c r="V8" i="1"/>
  <c r="U8" i="1"/>
  <c r="S8" i="1"/>
  <c r="Q8" i="1"/>
  <c r="L47" i="1" s="1"/>
  <c r="AI7" i="1"/>
  <c r="AO7" i="1" s="1"/>
  <c r="AE7" i="1"/>
  <c r="AD7" i="1"/>
  <c r="AC7" i="1"/>
  <c r="AB7" i="1"/>
  <c r="AA7" i="1"/>
  <c r="Z7" i="1"/>
  <c r="Y7" i="1"/>
  <c r="X7" i="1"/>
  <c r="W7" i="1"/>
  <c r="V7" i="1"/>
  <c r="U7" i="1"/>
  <c r="S7" i="1"/>
  <c r="Q7" i="1"/>
  <c r="K46" i="1" s="1"/>
  <c r="AI6" i="1"/>
  <c r="AR6" i="1" s="1"/>
  <c r="AS6" i="1" s="1"/>
  <c r="AT6" i="1" s="1"/>
  <c r="AU6" i="1" s="1"/>
  <c r="AV6" i="1" s="1"/>
  <c r="AW6" i="1" s="1"/>
  <c r="AE6" i="1"/>
  <c r="AD6" i="1"/>
  <c r="AC6" i="1"/>
  <c r="AB6" i="1"/>
  <c r="AA6" i="1"/>
  <c r="Z6" i="1"/>
  <c r="Y6" i="1"/>
  <c r="X6" i="1"/>
  <c r="W6" i="1"/>
  <c r="V6" i="1"/>
  <c r="U6" i="1"/>
  <c r="S6" i="1"/>
  <c r="Q6" i="1"/>
  <c r="L45" i="1" s="1"/>
  <c r="AI5" i="1"/>
  <c r="AE5" i="1"/>
  <c r="AD5" i="1"/>
  <c r="AC5" i="1"/>
  <c r="AB5" i="1"/>
  <c r="AA5" i="1"/>
  <c r="Z5" i="1"/>
  <c r="Y5" i="1"/>
  <c r="X5" i="1"/>
  <c r="W5" i="1"/>
  <c r="V5" i="1"/>
  <c r="U5" i="1"/>
  <c r="S5" i="1"/>
  <c r="Q5" i="1"/>
  <c r="M44" i="1" s="1"/>
  <c r="F2" i="1"/>
  <c r="G2" i="1" s="1"/>
  <c r="H2" i="1" s="1"/>
  <c r="I2" i="1" s="1"/>
  <c r="J2" i="1" s="1"/>
  <c r="K2" i="1" s="1"/>
  <c r="L2" i="1" s="1"/>
  <c r="M2" i="1" s="1"/>
  <c r="N2" i="1" s="1"/>
  <c r="O2" i="1" s="1"/>
  <c r="P2" i="1" s="1"/>
  <c r="F1" i="1"/>
  <c r="G1" i="1" s="1"/>
  <c r="H1" i="1" s="1"/>
  <c r="I1" i="1" s="1"/>
  <c r="J1" i="1" s="1"/>
  <c r="K1" i="1" s="1"/>
  <c r="L1" i="1" s="1"/>
  <c r="M1" i="1" s="1"/>
  <c r="N1" i="1" s="1"/>
  <c r="O1" i="1" s="1"/>
  <c r="P1" i="1" s="1"/>
  <c r="K52" i="2"/>
  <c r="I52" i="2"/>
  <c r="H52" i="2"/>
  <c r="G52" i="2"/>
  <c r="F52" i="2"/>
  <c r="K51" i="2"/>
  <c r="I51" i="2"/>
  <c r="H51" i="2"/>
  <c r="G51" i="2"/>
  <c r="F51" i="2"/>
  <c r="K48" i="2"/>
  <c r="I48" i="2"/>
  <c r="H48" i="2"/>
  <c r="G48" i="2"/>
  <c r="F48" i="2"/>
  <c r="Q42" i="2"/>
  <c r="N42" i="2"/>
  <c r="L42" i="2"/>
  <c r="K42" i="2"/>
  <c r="I42" i="2"/>
  <c r="H42" i="2"/>
  <c r="G42" i="2"/>
  <c r="F42" i="2"/>
  <c r="Q16" i="2"/>
  <c r="Q19" i="2" s="1"/>
  <c r="N16" i="2"/>
  <c r="N19" i="2" s="1"/>
  <c r="L16" i="2"/>
  <c r="L19" i="2" s="1"/>
  <c r="K16" i="2"/>
  <c r="K19" i="2" s="1"/>
  <c r="I16" i="2"/>
  <c r="H16" i="2"/>
  <c r="G16" i="2"/>
  <c r="G47" i="2" s="1"/>
  <c r="F16" i="2"/>
  <c r="F47" i="2" s="1"/>
  <c r="I60" i="3" l="1"/>
  <c r="AR20" i="1"/>
  <c r="AS20" i="1" s="1"/>
  <c r="AT20" i="1" s="1"/>
  <c r="AU20" i="1" s="1"/>
  <c r="AV20" i="1" s="1"/>
  <c r="AW20" i="1" s="1"/>
  <c r="AP7" i="1"/>
  <c r="AB35" i="1"/>
  <c r="AP15" i="1"/>
  <c r="G49" i="2"/>
  <c r="G53" i="2" s="1"/>
  <c r="AE33" i="1"/>
  <c r="F53" i="1"/>
  <c r="L31" i="1"/>
  <c r="L40" i="1" s="1"/>
  <c r="L41" i="1" s="1"/>
  <c r="H58" i="3"/>
  <c r="F49" i="2"/>
  <c r="F53" i="2" s="1"/>
  <c r="AP10" i="1"/>
  <c r="AD35" i="1"/>
  <c r="AK41" i="1"/>
  <c r="AP13" i="1"/>
  <c r="M65" i="1"/>
  <c r="F66" i="1"/>
  <c r="U24" i="1"/>
  <c r="O75" i="1"/>
  <c r="I15" i="3"/>
  <c r="W24" i="1"/>
  <c r="AE23" i="1"/>
  <c r="Z24" i="1"/>
  <c r="AP20" i="1"/>
  <c r="AB24" i="1"/>
  <c r="G46" i="1"/>
  <c r="M3" i="3"/>
  <c r="V24" i="1"/>
  <c r="M52" i="1"/>
  <c r="K53" i="1"/>
  <c r="AR10" i="1"/>
  <c r="AS10" i="1" s="1"/>
  <c r="AT10" i="1" s="1"/>
  <c r="AU10" i="1" s="1"/>
  <c r="AV10" i="1" s="1"/>
  <c r="AW10" i="1" s="1"/>
  <c r="N63" i="1"/>
  <c r="M4" i="3"/>
  <c r="AP19" i="1"/>
  <c r="M31" i="1"/>
  <c r="M40" i="1" s="1"/>
  <c r="H44" i="1"/>
  <c r="J49" i="1"/>
  <c r="AO9" i="1"/>
  <c r="AR16" i="1"/>
  <c r="AS16" i="1" s="1"/>
  <c r="AT16" i="1" s="1"/>
  <c r="AU16" i="1" s="1"/>
  <c r="AV16" i="1" s="1"/>
  <c r="AW16" i="1" s="1"/>
  <c r="O31" i="1"/>
  <c r="O40" i="1" s="1"/>
  <c r="I44" i="1"/>
  <c r="O49" i="1"/>
  <c r="AP9" i="1"/>
  <c r="P31" i="1"/>
  <c r="P40" i="1" s="1"/>
  <c r="O44" i="1"/>
  <c r="P49" i="1"/>
  <c r="L53" i="1"/>
  <c r="E67" i="1"/>
  <c r="E59" i="3"/>
  <c r="Q23" i="1"/>
  <c r="E60" i="1" s="1"/>
  <c r="G45" i="1"/>
  <c r="I50" i="1"/>
  <c r="E54" i="1"/>
  <c r="J67" i="1"/>
  <c r="S40" i="1"/>
  <c r="U31" i="1"/>
  <c r="AG41" i="1"/>
  <c r="H45" i="1"/>
  <c r="N50" i="1"/>
  <c r="J54" i="1"/>
  <c r="K67" i="1"/>
  <c r="AP6" i="1"/>
  <c r="AP16" i="1"/>
  <c r="Z23" i="1"/>
  <c r="T30" i="1"/>
  <c r="Q35" i="1"/>
  <c r="I72" i="1" s="1"/>
  <c r="AR40" i="1"/>
  <c r="N45" i="1"/>
  <c r="O50" i="1"/>
  <c r="K54" i="1"/>
  <c r="O69" i="1"/>
  <c r="AP12" i="1"/>
  <c r="Q43" i="2"/>
  <c r="Q44" i="2" s="1"/>
  <c r="V21" i="1"/>
  <c r="G19" i="2"/>
  <c r="G43" i="2" s="1"/>
  <c r="G44" i="2" s="1"/>
  <c r="AJ41" i="1"/>
  <c r="F46" i="1"/>
  <c r="H51" i="1"/>
  <c r="I63" i="1"/>
  <c r="G4" i="3"/>
  <c r="I4" i="3" s="1"/>
  <c r="Z21" i="1"/>
  <c r="AO15" i="1"/>
  <c r="H31" i="1"/>
  <c r="H40" i="1" s="1"/>
  <c r="H41" i="1" s="1"/>
  <c r="AL41" i="1"/>
  <c r="M46" i="1"/>
  <c r="N51" i="1"/>
  <c r="O63" i="1"/>
  <c r="AE21" i="1"/>
  <c r="I31" i="1"/>
  <c r="E48" i="1"/>
  <c r="G52" i="1"/>
  <c r="G65" i="1"/>
  <c r="I75" i="1"/>
  <c r="P48" i="1"/>
  <c r="AO40" i="1"/>
  <c r="M51" i="1"/>
  <c r="X21" i="1"/>
  <c r="J31" i="1"/>
  <c r="J40" i="1" s="1"/>
  <c r="Z35" i="1"/>
  <c r="AN41" i="1"/>
  <c r="K48" i="1"/>
  <c r="L52" i="1"/>
  <c r="L65" i="1"/>
  <c r="N75" i="1"/>
  <c r="AD8" i="3"/>
  <c r="G3" i="3"/>
  <c r="I3" i="3" s="1"/>
  <c r="AD13" i="3"/>
  <c r="K9" i="3" s="1"/>
  <c r="M9" i="3" s="1"/>
  <c r="N43" i="2"/>
  <c r="N44" i="2" s="1"/>
  <c r="I73" i="1"/>
  <c r="H73" i="1"/>
  <c r="E73" i="1"/>
  <c r="G73" i="1"/>
  <c r="F73" i="1"/>
  <c r="O73" i="1"/>
  <c r="N73" i="1"/>
  <c r="M73" i="1"/>
  <c r="T36" i="1"/>
  <c r="L73" i="1"/>
  <c r="K73" i="1"/>
  <c r="J73" i="1"/>
  <c r="Q21" i="1"/>
  <c r="J58" i="1" s="1"/>
  <c r="F47" i="1"/>
  <c r="AP5" i="1"/>
  <c r="AP8" i="1"/>
  <c r="Y21" i="1"/>
  <c r="X23" i="1"/>
  <c r="W23" i="1"/>
  <c r="V23" i="1"/>
  <c r="U23" i="1"/>
  <c r="F40" i="1"/>
  <c r="AD23" i="1"/>
  <c r="AC23" i="1"/>
  <c r="AB23" i="1"/>
  <c r="AA23" i="1"/>
  <c r="Y23" i="1"/>
  <c r="AP23" i="1" s="1"/>
  <c r="Q55" i="1"/>
  <c r="Q56" i="1"/>
  <c r="AA21" i="1"/>
  <c r="AP11" i="1"/>
  <c r="P73" i="1"/>
  <c r="AT22" i="1"/>
  <c r="AS40" i="1"/>
  <c r="AP17" i="1"/>
  <c r="F76" i="1"/>
  <c r="E76" i="1"/>
  <c r="N76" i="1"/>
  <c r="P76" i="1"/>
  <c r="O76" i="1"/>
  <c r="T39" i="1"/>
  <c r="L76" i="1"/>
  <c r="K76" i="1"/>
  <c r="J76" i="1"/>
  <c r="H76" i="1"/>
  <c r="I76" i="1"/>
  <c r="G76" i="1"/>
  <c r="L43" i="2"/>
  <c r="L44" i="2" s="1"/>
  <c r="AR14" i="1"/>
  <c r="AS14" i="1" s="1"/>
  <c r="AT14" i="1" s="1"/>
  <c r="AU14" i="1" s="1"/>
  <c r="AV14" i="1" s="1"/>
  <c r="AW14" i="1" s="1"/>
  <c r="AP14" i="1"/>
  <c r="AO14" i="1"/>
  <c r="H62" i="1"/>
  <c r="G62" i="1"/>
  <c r="F62" i="1"/>
  <c r="E62" i="1"/>
  <c r="N62" i="1"/>
  <c r="M62" i="1"/>
  <c r="L62" i="1"/>
  <c r="K62" i="1"/>
  <c r="I62" i="1"/>
  <c r="P62" i="1"/>
  <c r="J62" i="1"/>
  <c r="Q59" i="1"/>
  <c r="H64" i="1"/>
  <c r="G41" i="1"/>
  <c r="AB21" i="1"/>
  <c r="AC21" i="1"/>
  <c r="AD21" i="1"/>
  <c r="AO19" i="1"/>
  <c r="P66" i="1"/>
  <c r="O66" i="1"/>
  <c r="L66" i="1"/>
  <c r="N66" i="1"/>
  <c r="M66" i="1"/>
  <c r="J66" i="1"/>
  <c r="I66" i="1"/>
  <c r="H66" i="1"/>
  <c r="T29" i="1"/>
  <c r="G66" i="1"/>
  <c r="E66" i="1"/>
  <c r="H47" i="2"/>
  <c r="H49" i="2" s="1"/>
  <c r="H53" i="2" s="1"/>
  <c r="H19" i="2"/>
  <c r="H43" i="2" s="1"/>
  <c r="H44" i="2" s="1"/>
  <c r="S21" i="1"/>
  <c r="AR5" i="1"/>
  <c r="AS5" i="1" s="1"/>
  <c r="AT5" i="1" s="1"/>
  <c r="AU5" i="1" s="1"/>
  <c r="AV5" i="1" s="1"/>
  <c r="AW5" i="1" s="1"/>
  <c r="AI21" i="1"/>
  <c r="AO5" i="1"/>
  <c r="J47" i="1"/>
  <c r="I47" i="1"/>
  <c r="H47" i="1"/>
  <c r="G47" i="1"/>
  <c r="P47" i="1"/>
  <c r="O47" i="1"/>
  <c r="N47" i="1"/>
  <c r="M47" i="1"/>
  <c r="K47" i="1"/>
  <c r="I47" i="2"/>
  <c r="I49" i="2" s="1"/>
  <c r="I53" i="2" s="1"/>
  <c r="I19" i="2"/>
  <c r="I43" i="2" s="1"/>
  <c r="I44" i="2" s="1"/>
  <c r="K43" i="2"/>
  <c r="K44" i="2" s="1"/>
  <c r="U21" i="1"/>
  <c r="AR8" i="1"/>
  <c r="AS8" i="1" s="1"/>
  <c r="AT8" i="1" s="1"/>
  <c r="AU8" i="1" s="1"/>
  <c r="AV8" i="1" s="1"/>
  <c r="AW8" i="1" s="1"/>
  <c r="AO8" i="1"/>
  <c r="F64" i="1"/>
  <c r="E64" i="1"/>
  <c r="P64" i="1"/>
  <c r="O64" i="1"/>
  <c r="L64" i="1"/>
  <c r="K64" i="1"/>
  <c r="J64" i="1"/>
  <c r="I64" i="1"/>
  <c r="G64" i="1"/>
  <c r="N64" i="1"/>
  <c r="M69" i="1"/>
  <c r="L69" i="1"/>
  <c r="K69" i="1"/>
  <c r="I69" i="1"/>
  <c r="J69" i="1"/>
  <c r="T32" i="1"/>
  <c r="G69" i="1"/>
  <c r="F69" i="1"/>
  <c r="E69" i="1"/>
  <c r="P69" i="1"/>
  <c r="N69" i="1"/>
  <c r="I58" i="3"/>
  <c r="AR11" i="1"/>
  <c r="AS11" i="1" s="1"/>
  <c r="AT11" i="1" s="1"/>
  <c r="AU11" i="1" s="1"/>
  <c r="AV11" i="1" s="1"/>
  <c r="AW11" i="1" s="1"/>
  <c r="AO11" i="1"/>
  <c r="W21" i="1"/>
  <c r="AR17" i="1"/>
  <c r="AS17" i="1" s="1"/>
  <c r="AT17" i="1" s="1"/>
  <c r="AU17" i="1" s="1"/>
  <c r="AV17" i="1" s="1"/>
  <c r="AW17" i="1" s="1"/>
  <c r="AO17" i="1"/>
  <c r="AM41" i="1"/>
  <c r="E47" i="1"/>
  <c r="F19" i="2"/>
  <c r="F43" i="2" s="1"/>
  <c r="F44" i="2" s="1"/>
  <c r="K47" i="2"/>
  <c r="K49" i="2" s="1"/>
  <c r="K53" i="2" s="1"/>
  <c r="AO6" i="1"/>
  <c r="AR7" i="1"/>
  <c r="AS7" i="1" s="1"/>
  <c r="AT7" i="1" s="1"/>
  <c r="AU7" i="1" s="1"/>
  <c r="AV7" i="1" s="1"/>
  <c r="AW7" i="1" s="1"/>
  <c r="AO12" i="1"/>
  <c r="AR13" i="1"/>
  <c r="AS13" i="1" s="1"/>
  <c r="AT13" i="1" s="1"/>
  <c r="AU13" i="1" s="1"/>
  <c r="AV13" i="1" s="1"/>
  <c r="AW13" i="1" s="1"/>
  <c r="AA24" i="1"/>
  <c r="V31" i="1"/>
  <c r="AA35" i="1"/>
  <c r="N44" i="1"/>
  <c r="M45" i="1"/>
  <c r="L46" i="1"/>
  <c r="J48" i="1"/>
  <c r="I49" i="1"/>
  <c r="H50" i="1"/>
  <c r="G51" i="1"/>
  <c r="F52" i="1"/>
  <c r="E53" i="1"/>
  <c r="Q53" i="1" s="1"/>
  <c r="P54" i="1"/>
  <c r="H63" i="1"/>
  <c r="F65" i="1"/>
  <c r="P67" i="1"/>
  <c r="H75" i="1"/>
  <c r="AC24" i="1"/>
  <c r="K31" i="1"/>
  <c r="AB34" i="1"/>
  <c r="AC35" i="1"/>
  <c r="P44" i="1"/>
  <c r="O45" i="1"/>
  <c r="N46" i="1"/>
  <c r="L48" i="1"/>
  <c r="K49" i="1"/>
  <c r="J50" i="1"/>
  <c r="I51" i="1"/>
  <c r="H52" i="1"/>
  <c r="G53" i="1"/>
  <c r="F54" i="1"/>
  <c r="J63" i="1"/>
  <c r="H65" i="1"/>
  <c r="F67" i="1"/>
  <c r="J75" i="1"/>
  <c r="D59" i="3"/>
  <c r="AD24" i="1"/>
  <c r="AC34" i="1"/>
  <c r="E44" i="1"/>
  <c r="P45" i="1"/>
  <c r="O46" i="1"/>
  <c r="M48" i="1"/>
  <c r="L49" i="1"/>
  <c r="K50" i="1"/>
  <c r="J51" i="1"/>
  <c r="I52" i="1"/>
  <c r="H53" i="1"/>
  <c r="G54" i="1"/>
  <c r="K63" i="1"/>
  <c r="I65" i="1"/>
  <c r="G67" i="1"/>
  <c r="K75" i="1"/>
  <c r="Q24" i="1"/>
  <c r="F61" i="1" s="1"/>
  <c r="AE24" i="1"/>
  <c r="Q34" i="1"/>
  <c r="AD34" i="1"/>
  <c r="F44" i="1"/>
  <c r="E45" i="1"/>
  <c r="P46" i="1"/>
  <c r="N48" i="1"/>
  <c r="M49" i="1"/>
  <c r="L50" i="1"/>
  <c r="K51" i="1"/>
  <c r="J52" i="1"/>
  <c r="I53" i="1"/>
  <c r="H54" i="1"/>
  <c r="L63" i="1"/>
  <c r="J65" i="1"/>
  <c r="H67" i="1"/>
  <c r="L75" i="1"/>
  <c r="N31" i="1"/>
  <c r="Q33" i="1"/>
  <c r="O70" i="1" s="1"/>
  <c r="G44" i="1"/>
  <c r="F45" i="1"/>
  <c r="E46" i="1"/>
  <c r="O48" i="1"/>
  <c r="N49" i="1"/>
  <c r="M50" i="1"/>
  <c r="L51" i="1"/>
  <c r="K52" i="1"/>
  <c r="J53" i="1"/>
  <c r="I54" i="1"/>
  <c r="M63" i="1"/>
  <c r="K65" i="1"/>
  <c r="I67" i="1"/>
  <c r="M75" i="1"/>
  <c r="J44" i="1"/>
  <c r="I45" i="1"/>
  <c r="H46" i="1"/>
  <c r="F48" i="1"/>
  <c r="E49" i="1"/>
  <c r="P50" i="1"/>
  <c r="O51" i="1"/>
  <c r="N52" i="1"/>
  <c r="M53" i="1"/>
  <c r="L54" i="1"/>
  <c r="P63" i="1"/>
  <c r="N65" i="1"/>
  <c r="L67" i="1"/>
  <c r="P75" i="1"/>
  <c r="X24" i="1"/>
  <c r="X35" i="1"/>
  <c r="K44" i="1"/>
  <c r="J45" i="1"/>
  <c r="I46" i="1"/>
  <c r="G48" i="1"/>
  <c r="F49" i="1"/>
  <c r="E50" i="1"/>
  <c r="P51" i="1"/>
  <c r="O52" i="1"/>
  <c r="N53" i="1"/>
  <c r="M54" i="1"/>
  <c r="E63" i="1"/>
  <c r="O65" i="1"/>
  <c r="M67" i="1"/>
  <c r="E75" i="1"/>
  <c r="AO13" i="1"/>
  <c r="Y35" i="1"/>
  <c r="AP35" i="1" s="1"/>
  <c r="T38" i="1"/>
  <c r="E41" i="1"/>
  <c r="L44" i="1"/>
  <c r="K45" i="1"/>
  <c r="J46" i="1"/>
  <c r="H48" i="1"/>
  <c r="G49" i="1"/>
  <c r="F50" i="1"/>
  <c r="E51" i="1"/>
  <c r="P52" i="1"/>
  <c r="O53" i="1"/>
  <c r="N54" i="1"/>
  <c r="F63" i="1"/>
  <c r="P65" i="1"/>
  <c r="N67" i="1"/>
  <c r="F75" i="1"/>
  <c r="G72" i="1" l="1"/>
  <c r="F60" i="1"/>
  <c r="P60" i="1"/>
  <c r="AA31" i="1"/>
  <c r="AA40" i="1" s="1"/>
  <c r="AA41" i="1" s="1"/>
  <c r="Q52" i="1"/>
  <c r="U40" i="1"/>
  <c r="U41" i="1" s="1"/>
  <c r="O72" i="1"/>
  <c r="H59" i="3"/>
  <c r="H62" i="3" s="1"/>
  <c r="AE31" i="1"/>
  <c r="AE40" i="1" s="1"/>
  <c r="AE41" i="1" s="1"/>
  <c r="K60" i="1"/>
  <c r="W31" i="1"/>
  <c r="W40" i="1" s="1"/>
  <c r="W41" i="1" s="1"/>
  <c r="M60" i="1"/>
  <c r="O60" i="1"/>
  <c r="Q31" i="1"/>
  <c r="N68" i="1" s="1"/>
  <c r="H60" i="1"/>
  <c r="J60" i="1"/>
  <c r="G60" i="1"/>
  <c r="I40" i="1"/>
  <c r="I41" i="1" s="1"/>
  <c r="X31" i="1"/>
  <c r="X40" i="1" s="1"/>
  <c r="X41" i="1" s="1"/>
  <c r="AD31" i="1"/>
  <c r="AD40" i="1" s="1"/>
  <c r="AD41" i="1" s="1"/>
  <c r="J72" i="1"/>
  <c r="F72" i="1"/>
  <c r="L72" i="1"/>
  <c r="E72" i="1"/>
  <c r="Q48" i="1"/>
  <c r="K72" i="1"/>
  <c r="K40" i="1"/>
  <c r="K41" i="1" s="1"/>
  <c r="Q45" i="1"/>
  <c r="Q65" i="1"/>
  <c r="AC31" i="1"/>
  <c r="AC40" i="1" s="1"/>
  <c r="AC41" i="1" s="1"/>
  <c r="S41" i="1"/>
  <c r="Y31" i="1"/>
  <c r="AP31" i="1" s="1"/>
  <c r="AP40" i="1" s="1"/>
  <c r="Q54" i="1"/>
  <c r="Z31" i="1"/>
  <c r="Z40" i="1" s="1"/>
  <c r="Z41" i="1" s="1"/>
  <c r="Q67" i="1"/>
  <c r="P72" i="1"/>
  <c r="H72" i="1"/>
  <c r="I41" i="3"/>
  <c r="M72" i="1"/>
  <c r="T35" i="1"/>
  <c r="N60" i="1"/>
  <c r="I60" i="1"/>
  <c r="N72" i="1"/>
  <c r="L60" i="1"/>
  <c r="V40" i="1"/>
  <c r="V41" i="1" s="1"/>
  <c r="K8" i="3"/>
  <c r="M8" i="3" s="1"/>
  <c r="P41" i="1"/>
  <c r="AR21" i="1"/>
  <c r="AS21" i="1" s="1"/>
  <c r="AT21" i="1" s="1"/>
  <c r="AU21" i="1" s="1"/>
  <c r="AV21" i="1" s="1"/>
  <c r="AW21" i="1" s="1"/>
  <c r="AI41" i="1"/>
  <c r="AR41" i="1" s="1"/>
  <c r="F58" i="1"/>
  <c r="O58" i="1"/>
  <c r="Q64" i="1"/>
  <c r="M58" i="1"/>
  <c r="F41" i="1"/>
  <c r="J41" i="1"/>
  <c r="N58" i="1"/>
  <c r="H58" i="1"/>
  <c r="G58" i="1"/>
  <c r="AO21" i="1"/>
  <c r="AO41" i="1" s="1"/>
  <c r="AU22" i="1"/>
  <c r="AT40" i="1"/>
  <c r="Q50" i="1"/>
  <c r="K71" i="1"/>
  <c r="J71" i="1"/>
  <c r="G71" i="1"/>
  <c r="I71" i="1"/>
  <c r="H71" i="1"/>
  <c r="E71" i="1"/>
  <c r="P71" i="1"/>
  <c r="O71" i="1"/>
  <c r="N71" i="1"/>
  <c r="M71" i="1"/>
  <c r="L71" i="1"/>
  <c r="T34" i="1"/>
  <c r="F71" i="1"/>
  <c r="Q47" i="1"/>
  <c r="L58" i="1"/>
  <c r="Q46" i="1"/>
  <c r="M41" i="1"/>
  <c r="I61" i="1"/>
  <c r="H61" i="1"/>
  <c r="G61" i="1"/>
  <c r="O61" i="1"/>
  <c r="N61" i="1"/>
  <c r="M61" i="1"/>
  <c r="L61" i="1"/>
  <c r="J61" i="1"/>
  <c r="E61" i="1"/>
  <c r="K61" i="1"/>
  <c r="P61" i="1"/>
  <c r="Q76" i="1"/>
  <c r="AB31" i="1"/>
  <c r="AB40" i="1" s="1"/>
  <c r="AB41" i="1" s="1"/>
  <c r="Q51" i="1"/>
  <c r="O41" i="1"/>
  <c r="L70" i="1"/>
  <c r="K70" i="1"/>
  <c r="H70" i="1"/>
  <c r="J70" i="1"/>
  <c r="I70" i="1"/>
  <c r="F70" i="1"/>
  <c r="E70" i="1"/>
  <c r="P70" i="1"/>
  <c r="M70" i="1"/>
  <c r="N70" i="1"/>
  <c r="G70" i="1"/>
  <c r="T33" i="1"/>
  <c r="P58" i="1"/>
  <c r="Q69" i="1"/>
  <c r="Q66" i="1"/>
  <c r="Q75" i="1"/>
  <c r="Q63" i="1"/>
  <c r="K58" i="1"/>
  <c r="E58" i="1"/>
  <c r="Q62" i="1"/>
  <c r="I58" i="1"/>
  <c r="AP21" i="1"/>
  <c r="Q73" i="1"/>
  <c r="Q49" i="1"/>
  <c r="N40" i="1"/>
  <c r="Q44" i="1"/>
  <c r="AS41" i="1" l="1"/>
  <c r="AT41" i="1"/>
  <c r="Q72" i="1"/>
  <c r="Q60" i="1"/>
  <c r="I68" i="1"/>
  <c r="E68" i="1"/>
  <c r="H63" i="3"/>
  <c r="M68" i="1"/>
  <c r="Q40" i="1"/>
  <c r="P77" i="1" s="1"/>
  <c r="J68" i="1"/>
  <c r="K68" i="1"/>
  <c r="H68" i="1"/>
  <c r="P68" i="1"/>
  <c r="F68" i="1"/>
  <c r="T31" i="1"/>
  <c r="O68" i="1"/>
  <c r="Y40" i="1"/>
  <c r="Y41" i="1" s="1"/>
  <c r="L68" i="1"/>
  <c r="G68" i="1"/>
  <c r="AP41" i="1"/>
  <c r="M41" i="3"/>
  <c r="I59" i="3"/>
  <c r="I62" i="3" s="1"/>
  <c r="I63" i="3" s="1"/>
  <c r="N41" i="1"/>
  <c r="AV22" i="1"/>
  <c r="AU40" i="1"/>
  <c r="AU41" i="1" s="1"/>
  <c r="Q71" i="1"/>
  <c r="Q61" i="1"/>
  <c r="Q58" i="1"/>
  <c r="Q70" i="1"/>
  <c r="N77" i="1" l="1"/>
  <c r="E77" i="1"/>
  <c r="G77" i="1"/>
  <c r="K77" i="1"/>
  <c r="T40" i="1"/>
  <c r="L77" i="1"/>
  <c r="Q41" i="1"/>
  <c r="J78" i="1" s="1"/>
  <c r="M77" i="1"/>
  <c r="J77" i="1"/>
  <c r="Q68" i="1"/>
  <c r="I77" i="1"/>
  <c r="F77" i="1"/>
  <c r="H77" i="1"/>
  <c r="O77" i="1"/>
  <c r="AV40" i="1"/>
  <c r="AV41" i="1" s="1"/>
  <c r="AW22" i="1"/>
  <c r="AW40" i="1" s="1"/>
  <c r="AW41" i="1" s="1"/>
  <c r="F78" i="1" l="1"/>
  <c r="E78" i="1"/>
  <c r="H78" i="1"/>
  <c r="N78" i="1"/>
  <c r="M78" i="1"/>
  <c r="G78" i="1"/>
  <c r="L78" i="1"/>
  <c r="K78" i="1"/>
  <c r="O78" i="1"/>
  <c r="Q77" i="1"/>
  <c r="P78" i="1"/>
  <c r="I78" i="1"/>
  <c r="Q7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K3" authorId="0" shapeId="0" xr:uid="{00000000-0006-0000-0200-000003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>40 בחודש במכוני פיזיו</t>
        </r>
      </text>
    </comment>
    <comment ref="K4" authorId="0" shapeId="0" xr:uid="{00000000-0006-0000-0200-000004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>20 בחודש במכוני פיזיו</t>
        </r>
      </text>
    </comment>
    <comment ref="B8" authorId="0" shapeId="0" xr:uid="{00000000-0006-0000-0200-000001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>קרסול</t>
        </r>
      </text>
    </comment>
    <comment ref="B9" authorId="0" shapeId="0" xr:uid="{00000000-0006-0000-0200-000002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>מרפק</t>
        </r>
      </text>
    </comment>
    <comment ref="N11" authorId="0" shapeId="0" xr:uid="{00000000-0006-0000-0200-000005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>3641</t>
        </r>
      </text>
    </comment>
    <comment ref="N13" authorId="0" shapeId="0" xr:uid="{00000000-0006-0000-0200-000006000000}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>40% פיזיותרפיה</t>
        </r>
      </text>
    </comment>
    <comment ref="N15" authorId="0" shapeId="0" xr:uid="{00000000-0006-0000-0200-000007000000}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>40 ו 4022</t>
        </r>
      </text>
    </comment>
  </commentList>
</comments>
</file>

<file path=xl/sharedStrings.xml><?xml version="1.0" encoding="utf-8"?>
<sst xmlns="http://schemas.openxmlformats.org/spreadsheetml/2006/main" count="953" uniqueCount="314">
  <si>
    <t xml:space="preserve">Actual </t>
  </si>
  <si>
    <t xml:space="preserve">מטרה </t>
  </si>
  <si>
    <t>#</t>
  </si>
  <si>
    <t>ארץ</t>
  </si>
  <si>
    <t>ינואר</t>
  </si>
  <si>
    <t>פברואר</t>
  </si>
  <si>
    <t>מרץ</t>
  </si>
  <si>
    <t>אפריל</t>
  </si>
  <si>
    <t>מאי</t>
  </si>
  <si>
    <t>יוני</t>
  </si>
  <si>
    <t>יולי</t>
  </si>
  <si>
    <t>אוגוסט</t>
  </si>
  <si>
    <t>ספטמבר</t>
  </si>
  <si>
    <t>אוקטובר</t>
  </si>
  <si>
    <t>נובמבר</t>
  </si>
  <si>
    <t>דצמבר</t>
  </si>
  <si>
    <t>שנתי</t>
  </si>
  <si>
    <t xml:space="preserve">מצטבר ינואר  </t>
  </si>
  <si>
    <t>מצטבר פברואר</t>
  </si>
  <si>
    <t>מצטבר מרץ</t>
  </si>
  <si>
    <t>מצטבר אפריל</t>
  </si>
  <si>
    <t>מצטבר מאי</t>
  </si>
  <si>
    <t>מצטבר יוני</t>
  </si>
  <si>
    <t>מצטבר יולי</t>
  </si>
  <si>
    <t>מצטבר אוגוסט</t>
  </si>
  <si>
    <t>מצטבר ספטמבר</t>
  </si>
  <si>
    <t>מצטבר אוקטובר</t>
  </si>
  <si>
    <t>מצטבר נובמבר</t>
  </si>
  <si>
    <t>מצטבר דצמבר</t>
  </si>
  <si>
    <t>H1</t>
  </si>
  <si>
    <t>H2</t>
  </si>
  <si>
    <t>סופר פארם לייף</t>
  </si>
  <si>
    <t>ISRAEL</t>
  </si>
  <si>
    <t>סופרפארם</t>
  </si>
  <si>
    <t>BE</t>
  </si>
  <si>
    <t>בתי מרקחת</t>
  </si>
  <si>
    <t>כללית</t>
  </si>
  <si>
    <t>מאוחדת</t>
  </si>
  <si>
    <t>מכוני אורטופדיה</t>
  </si>
  <si>
    <t>לקוחות מפעל</t>
  </si>
  <si>
    <t>חנויות פרטיות</t>
  </si>
  <si>
    <t>מכוני פדיקור</t>
  </si>
  <si>
    <t>חנויות ספורט</t>
  </si>
  <si>
    <t>בתי חולים ושרות</t>
  </si>
  <si>
    <t>מכוני פיזיותרפיה</t>
  </si>
  <si>
    <t>לקוחות אינטרנט</t>
  </si>
  <si>
    <t>סופר פארם מרקט פלייס</t>
  </si>
  <si>
    <t>חנויות נעליים</t>
  </si>
  <si>
    <t>סה"כ ישראל</t>
  </si>
  <si>
    <t>Total - 301 - Amazon</t>
  </si>
  <si>
    <t>AMAZON</t>
  </si>
  <si>
    <t>USA</t>
  </si>
  <si>
    <t>Total - 202 - Super-Pharm POLAND</t>
  </si>
  <si>
    <t>SUPER PHARM POLAND</t>
  </si>
  <si>
    <t>POLAND</t>
  </si>
  <si>
    <t>Total - 203 - Ortho- Partner ag SWITZERLAND</t>
  </si>
  <si>
    <t>ORTHO- PARTNER AG.</t>
  </si>
  <si>
    <t>SWITZERLAND</t>
  </si>
  <si>
    <t>Total - 204 - Sanaflex Anatomic GREECE</t>
  </si>
  <si>
    <t>SANAFLEX ANATOMIC</t>
  </si>
  <si>
    <t>GREECE</t>
  </si>
  <si>
    <t>Total - 205 - Health Care Prod. Gmbh GERMANY</t>
  </si>
  <si>
    <t>HEALTH CARE PROD. GMBH</t>
  </si>
  <si>
    <t>GERMANY</t>
  </si>
  <si>
    <t>Total - 206 - Orthomed  Ltd BULGARIA</t>
  </si>
  <si>
    <t>ORTHOMED  LTD</t>
  </si>
  <si>
    <t>BULGARIA</t>
  </si>
  <si>
    <t>Total - 207 - Salus HUNGARY</t>
  </si>
  <si>
    <t>SALUS</t>
  </si>
  <si>
    <t>HUNGARY</t>
  </si>
  <si>
    <t>Total - 216 - Max Konnaris CYPRUS</t>
  </si>
  <si>
    <t>MAX KONNARIS LTD</t>
  </si>
  <si>
    <t>CYPRUS</t>
  </si>
  <si>
    <t>Total - 208 - Medipal Company NABLUS</t>
  </si>
  <si>
    <t>MEDIPAL COMPANY</t>
  </si>
  <si>
    <t>NABLUS</t>
  </si>
  <si>
    <t>Total - 209 - Ortoprofil Prod ROMANIA</t>
  </si>
  <si>
    <t>ORTOPROFIL PROD. ROMANIA</t>
  </si>
  <si>
    <t>ROMANIA</t>
  </si>
  <si>
    <t>Total - 210 - Oy. Ea. Ab. FINLAND</t>
  </si>
  <si>
    <t>OY. EA. AB.</t>
  </si>
  <si>
    <t>FINLAND</t>
  </si>
  <si>
    <t>Total - 201- Seven Gear FINLAND oy</t>
  </si>
  <si>
    <t>SEVEN GEAR</t>
  </si>
  <si>
    <t>211 - Pharmag Lachmair Ges. Mbh AUSTRIA</t>
  </si>
  <si>
    <t>PHARMAG LACHMAIR GES. MBH</t>
  </si>
  <si>
    <t>AUSTRIA</t>
  </si>
  <si>
    <t>Total - 213 - E.f.m.o. SPAIN</t>
  </si>
  <si>
    <t>E.F.M.O.</t>
  </si>
  <si>
    <t>SPAIN</t>
  </si>
  <si>
    <t>Total - 214 - Alfred Gera&amp; Sons Ltd. MALTA</t>
  </si>
  <si>
    <t>ALFRED GERA</t>
  </si>
  <si>
    <t>MALTA</t>
  </si>
  <si>
    <t>YOUNG IN HEALTHCARE CO.,</t>
  </si>
  <si>
    <t>200 - ROW : 217 - N3W FOODS USA</t>
  </si>
  <si>
    <t>HANS</t>
  </si>
  <si>
    <t>New Distributors</t>
  </si>
  <si>
    <t>NEW DISTRIBUTORS</t>
  </si>
  <si>
    <t>סה"כ חו"ל</t>
  </si>
  <si>
    <t xml:space="preserve">סה"כ </t>
  </si>
  <si>
    <t>בתי מרקחת כמיפל</t>
  </si>
  <si>
    <t>דוח מכירות מצטבר דצמבר 2026</t>
  </si>
  <si>
    <t>תקציב 2026</t>
  </si>
  <si>
    <t>מטרה 2026</t>
  </si>
  <si>
    <t xml:space="preserve">units </t>
  </si>
  <si>
    <t xml:space="preserve">amount </t>
  </si>
  <si>
    <t xml:space="preserve">new units </t>
  </si>
  <si>
    <t xml:space="preserve">new amount </t>
  </si>
  <si>
    <t>units</t>
  </si>
  <si>
    <t>111 - Superpharm Life</t>
  </si>
  <si>
    <t>112 - Kupat Holim Clalit</t>
  </si>
  <si>
    <t>113 - Kupat Holim Meuhedet</t>
  </si>
  <si>
    <t>102 - Orthopedic institutes</t>
  </si>
  <si>
    <t>101 - Factory customers</t>
  </si>
  <si>
    <t>109 - Private Shops</t>
  </si>
  <si>
    <t>105 - Pedicure Salons</t>
  </si>
  <si>
    <t>104 - Sports Shop</t>
  </si>
  <si>
    <t>106 - Hospitals</t>
  </si>
  <si>
    <t>103 - Physiotherapy institutes</t>
  </si>
  <si>
    <t>סה"כ ישראל ללא אונליין</t>
  </si>
  <si>
    <t>114 - IL online</t>
  </si>
  <si>
    <t>115-SuperPharm Online</t>
  </si>
  <si>
    <t>301 - Amazon</t>
  </si>
  <si>
    <t>202 - Super-Pharm POLAND</t>
  </si>
  <si>
    <t>203 - Ortho- Partner ag SWITZERLAND</t>
  </si>
  <si>
    <t>204 - Sanaflex Anatomic GREECE</t>
  </si>
  <si>
    <t>205 - Health Care Prod. Gmbh GERMANY</t>
  </si>
  <si>
    <t>206 - Orthomed  Ltd BULGARIA</t>
  </si>
  <si>
    <t>207 - Salus HUNGARY</t>
  </si>
  <si>
    <t>216 - Max Konnaris CYPRUS</t>
  </si>
  <si>
    <t>208 - Medipal Company NABLUS</t>
  </si>
  <si>
    <t>209 - Ortoprofil Prod ROMANIA</t>
  </si>
  <si>
    <t>210 - Oy. Ea. Ab. FINLAND</t>
  </si>
  <si>
    <t>201- Seven Gear FINLAND oy</t>
  </si>
  <si>
    <t>REMEDICARE B.V.</t>
  </si>
  <si>
    <t>HOLLAND</t>
  </si>
  <si>
    <t>213 - E.f.m.o. SPAIN</t>
  </si>
  <si>
    <t>214 - Alfred Gera&amp; Sons Ltd. MALTA</t>
  </si>
  <si>
    <t>212 - Quadrifoglio Medical ROMANIA</t>
  </si>
  <si>
    <t>QUADRIFOGLIO MEDICAL</t>
  </si>
  <si>
    <t>215 - Young In Healthcare Co. SOUTH KOREA</t>
  </si>
  <si>
    <t>KOREA</t>
  </si>
  <si>
    <t>BAKU</t>
  </si>
  <si>
    <t>MEXICO</t>
  </si>
  <si>
    <t xml:space="preserve">סה"כ מכירות </t>
  </si>
  <si>
    <t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</si>
  <si>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</si>
  <si>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</si>
  <si>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</si>
  <si>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</si>
  <si>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</si>
  <si>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>סה"כ</t>
  </si>
  <si>
    <t xml:space="preserve"> </t>
  </si>
  <si>
    <t>תחזית 2025</t>
  </si>
  <si>
    <t xml:space="preserve">השקות </t>
  </si>
  <si>
    <t>חודש הגעה למפעל</t>
  </si>
  <si>
    <t>סהכ יחידות 2025</t>
  </si>
  <si>
    <t>מחיר ליח'</t>
  </si>
  <si>
    <t>מכירות</t>
  </si>
  <si>
    <t>יחידות</t>
  </si>
  <si>
    <t>לקוח</t>
  </si>
  <si>
    <t>הזמנה קיימת</t>
  </si>
  <si>
    <t>כמות</t>
  </si>
  <si>
    <t>CTS</t>
  </si>
  <si>
    <t>V</t>
  </si>
  <si>
    <t>PO0408</t>
  </si>
  <si>
    <t>SH422 ברך</t>
  </si>
  <si>
    <t>PO0333</t>
  </si>
  <si>
    <t>גרבי טיסה 397A ארץ</t>
  </si>
  <si>
    <t>לחלק על כל לקוחות ארץ</t>
  </si>
  <si>
    <t>SH333</t>
  </si>
  <si>
    <t>PO0323</t>
  </si>
  <si>
    <t>נקודות</t>
  </si>
  <si>
    <t>SH776</t>
  </si>
  <si>
    <t>יח'</t>
  </si>
  <si>
    <t>להוריד 776</t>
  </si>
  <si>
    <t>SH322</t>
  </si>
  <si>
    <t>SH922</t>
  </si>
  <si>
    <t>shield ברך+צירים</t>
  </si>
  <si>
    <t>SH322, SH922</t>
  </si>
  <si>
    <t>להוריד 322 ו 922</t>
  </si>
  <si>
    <t>364 xl+</t>
  </si>
  <si>
    <t>PO0492</t>
  </si>
  <si>
    <t>SC34+</t>
  </si>
  <si>
    <t>809PW</t>
  </si>
  <si>
    <t>PO0511</t>
  </si>
  <si>
    <t>T40B</t>
  </si>
  <si>
    <t>PO0264</t>
  </si>
  <si>
    <t>T066</t>
  </si>
  <si>
    <t>דלתא ל 305</t>
  </si>
  <si>
    <t>MSG001F 0</t>
  </si>
  <si>
    <t>PO0519</t>
  </si>
  <si>
    <t>MSG002S 0</t>
  </si>
  <si>
    <t>T-scoop רגל</t>
  </si>
  <si>
    <t>T-scoop יד</t>
  </si>
  <si>
    <t>חגורת Jewett</t>
  </si>
  <si>
    <t>מגף (ווקר)</t>
  </si>
  <si>
    <t>cervical collar</t>
  </si>
  <si>
    <t>CR</t>
  </si>
  <si>
    <t xml:space="preserve">מתחלף 60 ו 61 </t>
  </si>
  <si>
    <t>1.5$*1.2*3.7+1.5</t>
  </si>
  <si>
    <t>Miami brace</t>
  </si>
  <si>
    <t>10 מוצרים חדשים HSY</t>
  </si>
  <si>
    <t>מקבע ברך</t>
  </si>
  <si>
    <t>כריות אורטופדיות</t>
  </si>
  <si>
    <t>אריזות פלסטרים</t>
  </si>
  <si>
    <t>נאופרן רפירמנס</t>
  </si>
  <si>
    <t>T46B</t>
  </si>
  <si>
    <t>במקום T45</t>
  </si>
  <si>
    <t>T36B</t>
  </si>
  <si>
    <t>במקום T35</t>
  </si>
  <si>
    <t>ספק חליפי סדרת ST</t>
  </si>
  <si>
    <t>ספק חלופי מוצרי סריגה ביייסיק</t>
  </si>
  <si>
    <t>3623 הורסינג</t>
  </si>
  <si>
    <t>categories</t>
  </si>
  <si>
    <t>products</t>
  </si>
  <si>
    <t>מהות ומשימות</t>
  </si>
  <si>
    <t>מהות</t>
  </si>
  <si>
    <t>עלות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</si>
  <si>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</si>
  <si>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</si>
  <si>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</si>
  <si>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</si>
  <si>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</si>
  <si>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</si>
  <si>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</si>
  <si>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</si>
  <si>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</si>
  <si>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</si>
  <si>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</si>
  <si>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</si>
  <si>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סיום אריזה, אישור ושילוח מרפרמנס. כולל חודשיים ליד טיים</t>
  </si>
  <si>
    <t>CR+ שדרוג המוצר</t>
  </si>
  <si>
    <t>2.05 $</t>
  </si>
  <si>
    <t>PO0489</t>
  </si>
  <si>
    <t>במפעל</t>
  </si>
  <si>
    <t>1.4 $</t>
  </si>
  <si>
    <t>מציאת החומר הנכון והדיפת עליית מחיר BDAC</t>
  </si>
  <si>
    <t>סיום תבניות בדיקת דוגמאות ותחילת יצור. BDAC</t>
  </si>
  <si>
    <t>59 חדש</t>
  </si>
  <si>
    <t>סיום פיתוח, דוגמאות סופיות, הכנות ליצור</t>
  </si>
  <si>
    <t>שילד ברך עם צירים</t>
  </si>
  <si>
    <t>בועז ועידו</t>
  </si>
  <si>
    <t>שילד מרפק</t>
  </si>
  <si>
    <t>סיום פרויקט עם רפירמנס</t>
  </si>
  <si>
    <t>שילד קרסול</t>
  </si>
  <si>
    <t>חיפוש ספק חדש</t>
  </si>
  <si>
    <t>e-life</t>
  </si>
  <si>
    <t>HSY</t>
  </si>
  <si>
    <t>Softgourd or E-life</t>
  </si>
  <si>
    <t>קיבוע כתף</t>
  </si>
  <si>
    <t>ספק- HSY</t>
  </si>
  <si>
    <t>Clyl</t>
  </si>
  <si>
    <t>מציאת ספק</t>
  </si>
  <si>
    <t>CR+ הרחבת מגוון</t>
  </si>
  <si>
    <t>פיתוח אריזות ל6 קונפיגורציות, הגדרת כמויות והזמנה</t>
  </si>
  <si>
    <t>פיתוח מחדש מוצר קרסול, פיתוח כל המידות לשלושת המוצרים, פיתוח אריזות</t>
  </si>
  <si>
    <t>T40B, T25 עם רפירמנס</t>
  </si>
  <si>
    <t>המשך עבודה עד אישור דוגמאות, העברת אריזות מאריק</t>
  </si>
  <si>
    <t>פיתוח כל סדרת המוצרים עם ספק חדש . ST422, ST27 מיידי</t>
  </si>
  <si>
    <t>סיום בחירת ספק ודוגמאות כל המידות, PP. 35,45,85</t>
  </si>
  <si>
    <t>אישור דוגמאות, פיתוח אריזות, סגירת מחירים והזמנה</t>
  </si>
  <si>
    <t>11STO - ספק חלופי</t>
  </si>
  <si>
    <t>אולי HSY.</t>
  </si>
  <si>
    <t>ספק חליפי</t>
  </si>
  <si>
    <t>Ingrown kit חדש</t>
  </si>
  <si>
    <t>מחירים, אריזה, דוגמאות סופיות, הזמנה</t>
  </si>
  <si>
    <t>טייפים חדשים 3H</t>
  </si>
  <si>
    <t>עיצוב, דוגמאות, אריזות</t>
  </si>
  <si>
    <t>מחליף ל398 דרופ פוט</t>
  </si>
  <si>
    <t>המשך פיתוח...</t>
  </si>
  <si>
    <t>כריות חום קור</t>
  </si>
  <si>
    <t>קבלת דוגמאות וכו׳</t>
  </si>
  <si>
    <t>סדרת מוצרי פיזיו</t>
  </si>
  <si>
    <t>מציאת ספק, דוגמאות</t>
  </si>
  <si>
    <t>מוצר כף יד שווייץ</t>
  </si>
  <si>
    <t>אולי Wego</t>
  </si>
  <si>
    <t>ספק חדש 11U</t>
  </si>
  <si>
    <t>מציאת ספק, דוגמאות, תיקונים</t>
  </si>
  <si>
    <t>PRE</t>
  </si>
  <si>
    <t xml:space="preserve">חנה </t>
  </si>
  <si>
    <t>SH423</t>
  </si>
  <si>
    <t>JAN</t>
  </si>
  <si>
    <t>?</t>
  </si>
  <si>
    <t>Project category</t>
  </si>
  <si>
    <t>מגיעים לארץ בקרוב</t>
  </si>
  <si>
    <t>יש להתכונן להשקה</t>
  </si>
  <si>
    <t>מקבע אגודל סופטגארד</t>
  </si>
  <si>
    <t>מחליף ל84</t>
  </si>
  <si>
    <t>מחליף 85</t>
  </si>
  <si>
    <t>Ingrown kit ללייף</t>
  </si>
  <si>
    <t>חגורות בטן Conwell + מיתוג אוריאל</t>
  </si>
  <si>
    <t>פרויקטים בתיעדוף</t>
  </si>
  <si>
    <t>מקבע קרסול HSY</t>
  </si>
  <si>
    <t>חגורת גב פדים מתחלפים</t>
  </si>
  <si>
    <t>מיישר כתפיים - Sneaknit</t>
  </si>
  <si>
    <t>פרויקטים ברקע</t>
  </si>
  <si>
    <t>אריזות פלסטרים לייף</t>
  </si>
  <si>
    <t>???</t>
  </si>
  <si>
    <t>21B</t>
  </si>
  <si>
    <t>מקבע אגודל פארמה</t>
  </si>
  <si>
    <t>85K HSY</t>
  </si>
  <si>
    <t>35, 45 מדלתא</t>
  </si>
  <si>
    <t>פייפליין תיעדוף</t>
  </si>
  <si>
    <t>מגף (ווקר) שני גדלים</t>
  </si>
  <si>
    <t>knee immobilizer</t>
  </si>
  <si>
    <t>מקבע אמה</t>
  </si>
  <si>
    <t>פייפליין פרויקטים ברקע</t>
  </si>
  <si>
    <t>חגורת גב עם גובה מתכוונן</t>
  </si>
  <si>
    <t>בחניה</t>
  </si>
  <si>
    <t>מקבע אגודל כחול לשוייץ</t>
  </si>
  <si>
    <t>חוסם עורקים</t>
  </si>
  <si>
    <t>קאטר ציפורניים יוקרתי</t>
  </si>
  <si>
    <t xml:space="preserve">מכבי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</si>
</sst>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_ ;_ * \-#,##0_ ;_ * \-??_ ;_ @_ "/>
    <numFmt numFmtId="165" formatCode="_ * #,##0_ ;_ * \-#,##0_ ;_ * &quot;-&quot;??_ ;_ @_ "/>
  </numFmts>
  <fonts count="29">
    <font>
      <sz val="11"/>
      <color theme="1"/>
      <name val="Arial"/>
      <family val="2"/>
      <charset val="177"/>
    </font>
    <font>
      <sz val="10"/>
      <name val="Arial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b/>
      <sz val="10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/>
      <sz val="8"/>
      <color rgb="FF000000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8"/>
      <name val="Arial"/>
      <family val="2"/>
      <charset val="1"/>
    </font>
    <font>
      <sz val="10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/>
      <sz val="14"/>
      <color theme="1"/>
      <name val="Arial"/>
      <family val="2"/>
      <charset val="1"/>
    </font>
    <font>
      <b/>
      <sz val="16"/>
      <color theme="1"/>
      <name val="Arial"/>
      <family val="2"/>
      <charset val="1"/>
    </font>
    <font>
      <b/>
      <sz val="14"/>
      <color rgb="FF000000"/>
      <name val="Aptos Narrow"/>
      <family val="2"/>
    </font>
    <font>
      <b/>
      <sz val="10"/>
      <color rgb="FF000000"/>
      <name val="Aptos Narrow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2"/>
      <name val="Aptos Narrow"/>
      <family val="2"/>
    </font>
  </fonts>
  <fills count="31">
    <fill>
      <patternFill patternType="none"/>
    </fill>
    <fill>
      <patternFill patternType="gray125"/>
    </fill>
    <fill>
      <patternFill patternType="solid">
        <fgColor theme="2" tint="-9.9978637043366805E-2"/>
        <bgColor rgb="FFCCCCCC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D9D9D9"/>
      </patternFill>
    </fill>
    <fill>
      <patternFill patternType="solid">
        <fgColor theme="7" tint="0.59987182226020086"/>
        <bgColor rgb="FFFFF2CC"/>
      </patternFill>
    </fill>
    <fill>
      <patternFill patternType="solid">
        <fgColor theme="9" tint="0.59987182226020086"/>
        <bgColor rgb="FFD9D9D9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6" tint="0.79989013336588644"/>
        <bgColor rgb="FFF2F2F2"/>
      </patternFill>
    </fill>
    <fill>
      <patternFill patternType="solid">
        <fgColor theme="5" tint="0.59987182226020086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5"/>
        <bgColor rgb="FFFF8080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F9ED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5FF9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theme="7" tint="0.79998168889431442"/>
        <bgColor indexed="64"/>
      </patternFill>
    </fill>
  </fills>
  <borders count="48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dashed">
        <color rgb="FFCCCCCC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43" fontId="1" fillId="0" borderId="0" applyBorder="0" applyAlignment="0" applyProtection="0"/>
    <xf numFmtId="0" fontId="2" fillId="0" borderId="0"/>
  </cellStyleXfs>
  <cellXfs count="19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/>
    <xf numFmtId="164" fontId="3" fillId="0" borderId="0" xfId="0" applyNumberFormat="1" applyFont="1"/>
    <xf numFmtId="164" fontId="0" fillId="0" borderId="0" xfId="0" applyNumberFormat="1"/>
    <xf numFmtId="0" fontId="4" fillId="0" borderId="1" xfId="0" applyFont="1" applyBorder="1"/>
    <xf numFmtId="0" fontId="4" fillId="0" borderId="0" xfId="0" applyFont="1"/>
    <xf numFmtId="164" fontId="3" fillId="2" borderId="0" xfId="0" applyNumberFormat="1" applyFont="1" applyFill="1"/>
    <xf numFmtId="0" fontId="5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/>
    </xf>
    <xf numFmtId="164" fontId="5" fillId="5" borderId="5" xfId="0" applyNumberFormat="1" applyFont="1" applyFill="1" applyBorder="1" applyAlignment="1">
      <alignment horizontal="center"/>
    </xf>
    <xf numFmtId="0" fontId="0" fillId="5" borderId="0" xfId="0" applyFill="1"/>
    <xf numFmtId="164" fontId="5" fillId="5" borderId="6" xfId="0" applyNumberFormat="1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4" fontId="5" fillId="3" borderId="8" xfId="0" applyNumberFormat="1" applyFont="1" applyFill="1" applyBorder="1" applyAlignment="1">
      <alignment horizontal="center"/>
    </xf>
    <xf numFmtId="164" fontId="5" fillId="3" borderId="9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3" fillId="0" borderId="2" xfId="0" applyNumberFormat="1" applyFont="1" applyBorder="1"/>
    <xf numFmtId="164" fontId="3" fillId="0" borderId="10" xfId="0" applyNumberFormat="1" applyFon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0" borderId="2" xfId="0" applyNumberFormat="1" applyBorder="1"/>
    <xf numFmtId="164" fontId="0" fillId="0" borderId="7" xfId="0" applyNumberFormat="1" applyBorder="1"/>
    <xf numFmtId="164" fontId="6" fillId="0" borderId="8" xfId="0" applyNumberFormat="1" applyFont="1" applyBorder="1"/>
    <xf numFmtId="164" fontId="6" fillId="0" borderId="12" xfId="0" applyNumberFormat="1" applyFont="1" applyBorder="1"/>
    <xf numFmtId="164" fontId="0" fillId="0" borderId="13" xfId="0" applyNumberFormat="1" applyBorder="1"/>
    <xf numFmtId="0" fontId="7" fillId="6" borderId="2" xfId="0" applyFont="1" applyFill="1" applyBorder="1" applyAlignment="1">
      <alignment horizontal="center"/>
    </xf>
    <xf numFmtId="0" fontId="7" fillId="6" borderId="2" xfId="0" applyFont="1" applyFill="1" applyBorder="1" applyAlignment="1">
      <alignment horizontal="right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right"/>
    </xf>
    <xf numFmtId="0" fontId="5" fillId="6" borderId="14" xfId="0" applyFont="1" applyFill="1" applyBorder="1" applyAlignment="1">
      <alignment horizontal="center"/>
    </xf>
    <xf numFmtId="164" fontId="0" fillId="0" borderId="15" xfId="0" applyNumberFormat="1" applyBorder="1"/>
    <xf numFmtId="164" fontId="0" fillId="0" borderId="16" xfId="0" applyNumberFormat="1" applyBorder="1"/>
    <xf numFmtId="164" fontId="0" fillId="0" borderId="17" xfId="0" applyNumberFormat="1" applyBorder="1"/>
    <xf numFmtId="164" fontId="6" fillId="0" borderId="18" xfId="0" applyNumberFormat="1" applyFont="1" applyBorder="1"/>
    <xf numFmtId="164" fontId="6" fillId="0" borderId="19" xfId="0" applyNumberFormat="1" applyFont="1" applyBorder="1"/>
    <xf numFmtId="1" fontId="5" fillId="7" borderId="2" xfId="0" applyNumberFormat="1" applyFont="1" applyFill="1" applyBorder="1"/>
    <xf numFmtId="164" fontId="5" fillId="7" borderId="2" xfId="0" applyNumberFormat="1" applyFont="1" applyFill="1" applyBorder="1" applyAlignment="1">
      <alignment horizontal="center"/>
    </xf>
    <xf numFmtId="164" fontId="5" fillId="7" borderId="10" xfId="0" applyNumberFormat="1" applyFont="1" applyFill="1" applyBorder="1" applyAlignment="1">
      <alignment horizontal="center"/>
    </xf>
    <xf numFmtId="164" fontId="5" fillId="7" borderId="11" xfId="0" applyNumberFormat="1" applyFont="1" applyFill="1" applyBorder="1" applyAlignment="1">
      <alignment horizontal="center"/>
    </xf>
    <xf numFmtId="164" fontId="5" fillId="7" borderId="20" xfId="0" applyNumberFormat="1" applyFont="1" applyFill="1" applyBorder="1" applyAlignment="1">
      <alignment horizontal="center"/>
    </xf>
    <xf numFmtId="164" fontId="5" fillId="7" borderId="21" xfId="0" applyNumberFormat="1" applyFont="1" applyFill="1" applyBorder="1" applyAlignment="1">
      <alignment horizontal="center"/>
    </xf>
    <xf numFmtId="164" fontId="5" fillId="7" borderId="22" xfId="0" applyNumberFormat="1" applyFont="1" applyFill="1" applyBorder="1" applyAlignment="1">
      <alignment horizontal="center"/>
    </xf>
    <xf numFmtId="164" fontId="5" fillId="7" borderId="23" xfId="0" applyNumberFormat="1" applyFont="1" applyFill="1" applyBorder="1" applyAlignment="1">
      <alignment horizontal="center"/>
    </xf>
    <xf numFmtId="164" fontId="5" fillId="7" borderId="24" xfId="0" applyNumberFormat="1" applyFont="1" applyFill="1" applyBorder="1" applyAlignment="1">
      <alignment horizontal="center"/>
    </xf>
    <xf numFmtId="164" fontId="5" fillId="7" borderId="25" xfId="0" applyNumberFormat="1" applyFont="1" applyFill="1" applyBorder="1" applyAlignment="1">
      <alignment horizontal="center"/>
    </xf>
    <xf numFmtId="164" fontId="7" fillId="0" borderId="2" xfId="0" applyNumberFormat="1" applyFont="1" applyBorder="1" applyAlignment="1">
      <alignment horizontal="left"/>
    </xf>
    <xf numFmtId="164" fontId="3" fillId="0" borderId="2" xfId="0" applyNumberFormat="1" applyFont="1" applyBorder="1" applyAlignment="1">
      <alignment horizontal="left"/>
    </xf>
    <xf numFmtId="0" fontId="7" fillId="0" borderId="2" xfId="0" applyFont="1" applyBorder="1" applyAlignment="1">
      <alignment horizontal="left"/>
    </xf>
    <xf numFmtId="164" fontId="5" fillId="6" borderId="2" xfId="0" applyNumberFormat="1" applyFont="1" applyFill="1" applyBorder="1" applyAlignment="1">
      <alignment horizontal="left"/>
    </xf>
    <xf numFmtId="164" fontId="0" fillId="0" borderId="26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164" fontId="6" fillId="0" borderId="29" xfId="0" applyNumberFormat="1" applyFont="1" applyBorder="1"/>
    <xf numFmtId="164" fontId="6" fillId="0" borderId="30" xfId="0" applyNumberFormat="1" applyFont="1" applyBorder="1"/>
    <xf numFmtId="0" fontId="3" fillId="0" borderId="2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164" fontId="5" fillId="7" borderId="13" xfId="0" applyNumberFormat="1" applyFont="1" applyFill="1" applyBorder="1" applyAlignment="1">
      <alignment horizontal="center"/>
    </xf>
    <xf numFmtId="1" fontId="5" fillId="8" borderId="31" xfId="0" applyNumberFormat="1" applyFont="1" applyFill="1" applyBorder="1"/>
    <xf numFmtId="164" fontId="5" fillId="8" borderId="31" xfId="0" applyNumberFormat="1" applyFont="1" applyFill="1" applyBorder="1" applyAlignment="1">
      <alignment horizontal="center"/>
    </xf>
    <xf numFmtId="164" fontId="5" fillId="8" borderId="32" xfId="0" applyNumberFormat="1" applyFont="1" applyFill="1" applyBorder="1" applyAlignment="1">
      <alignment horizontal="center"/>
    </xf>
    <xf numFmtId="164" fontId="5" fillId="8" borderId="33" xfId="0" applyNumberFormat="1" applyFont="1" applyFill="1" applyBorder="1" applyAlignment="1">
      <alignment horizontal="center"/>
    </xf>
    <xf numFmtId="164" fontId="5" fillId="8" borderId="34" xfId="0" applyNumberFormat="1" applyFont="1" applyFill="1" applyBorder="1" applyAlignment="1">
      <alignment horizontal="center"/>
    </xf>
    <xf numFmtId="164" fontId="5" fillId="8" borderId="23" xfId="0" applyNumberFormat="1" applyFont="1" applyFill="1" applyBorder="1" applyAlignment="1">
      <alignment horizontal="center"/>
    </xf>
    <xf numFmtId="164" fontId="5" fillId="8" borderId="24" xfId="0" applyNumberFormat="1" applyFont="1" applyFill="1" applyBorder="1" applyAlignment="1">
      <alignment horizontal="center"/>
    </xf>
    <xf numFmtId="164" fontId="5" fillId="8" borderId="35" xfId="0" applyNumberFormat="1" applyFont="1" applyFill="1" applyBorder="1" applyAlignment="1">
      <alignment horizontal="center"/>
    </xf>
    <xf numFmtId="164" fontId="8" fillId="0" borderId="0" xfId="0" applyNumberFormat="1" applyFont="1"/>
    <xf numFmtId="1" fontId="5" fillId="4" borderId="9" xfId="0" applyNumberFormat="1" applyFont="1" applyFill="1" applyBorder="1" applyAlignment="1">
      <alignment horizontal="center"/>
    </xf>
    <xf numFmtId="9" fontId="3" fillId="0" borderId="2" xfId="0" applyNumberFormat="1" applyFont="1" applyBorder="1"/>
    <xf numFmtId="9" fontId="3" fillId="0" borderId="10" xfId="0" applyNumberFormat="1" applyFont="1" applyBorder="1"/>
    <xf numFmtId="0" fontId="5" fillId="6" borderId="12" xfId="0" applyFont="1" applyFill="1" applyBorder="1" applyAlignment="1">
      <alignment horizontal="center"/>
    </xf>
    <xf numFmtId="9" fontId="5" fillId="7" borderId="2" xfId="0" applyNumberFormat="1" applyFont="1" applyFill="1" applyBorder="1" applyAlignment="1">
      <alignment horizontal="center"/>
    </xf>
    <xf numFmtId="164" fontId="9" fillId="0" borderId="36" xfId="0" applyNumberFormat="1" applyFont="1" applyBorder="1" applyAlignment="1">
      <alignment horizontal="left" vertical="center"/>
    </xf>
    <xf numFmtId="0" fontId="9" fillId="0" borderId="36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9" fontId="5" fillId="8" borderId="31" xfId="0" applyNumberFormat="1" applyFont="1" applyFill="1" applyBorder="1" applyAlignment="1">
      <alignment horizontal="center"/>
    </xf>
    <xf numFmtId="9" fontId="5" fillId="8" borderId="32" xfId="0" applyNumberFormat="1" applyFont="1" applyFill="1" applyBorder="1" applyAlignment="1">
      <alignment horizontal="center"/>
    </xf>
    <xf numFmtId="0" fontId="4" fillId="6" borderId="0" xfId="0" applyFont="1" applyFill="1"/>
    <xf numFmtId="0" fontId="10" fillId="0" borderId="2" xfId="0" applyFont="1" applyBorder="1" applyAlignment="1">
      <alignment horizontal="right"/>
    </xf>
    <xf numFmtId="0" fontId="6" fillId="9" borderId="2" xfId="0" applyFont="1" applyFill="1" applyBorder="1" applyAlignment="1">
      <alignment horizontal="center" readingOrder="2"/>
    </xf>
    <xf numFmtId="0" fontId="5" fillId="9" borderId="2" xfId="0" applyFont="1" applyFill="1" applyBorder="1" applyAlignment="1">
      <alignment horizontal="center"/>
    </xf>
    <xf numFmtId="0" fontId="11" fillId="0" borderId="26" xfId="0" applyFont="1" applyBorder="1" applyAlignment="1">
      <alignment horizontal="right"/>
    </xf>
    <xf numFmtId="164" fontId="3" fillId="0" borderId="2" xfId="0" applyNumberFormat="1" applyFont="1" applyBorder="1" applyAlignment="1">
      <alignment horizontal="center"/>
    </xf>
    <xf numFmtId="164" fontId="12" fillId="0" borderId="2" xfId="0" applyNumberFormat="1" applyFont="1" applyBorder="1" applyAlignment="1">
      <alignment horizontal="center"/>
    </xf>
    <xf numFmtId="0" fontId="11" fillId="0" borderId="2" xfId="0" applyFont="1" applyBorder="1" applyAlignment="1">
      <alignment horizontal="right"/>
    </xf>
    <xf numFmtId="0" fontId="13" fillId="0" borderId="2" xfId="0" applyFont="1" applyBorder="1" applyAlignment="1">
      <alignment horizontal="right"/>
    </xf>
    <xf numFmtId="1" fontId="11" fillId="0" borderId="2" xfId="0" applyNumberFormat="1" applyFont="1" applyBorder="1" applyAlignment="1">
      <alignment horizontal="right" readingOrder="1"/>
    </xf>
    <xf numFmtId="164" fontId="14" fillId="10" borderId="2" xfId="0" applyNumberFormat="1" applyFont="1" applyFill="1" applyBorder="1" applyAlignment="1">
      <alignment horizontal="center"/>
    </xf>
    <xf numFmtId="164" fontId="6" fillId="11" borderId="2" xfId="0" applyNumberFormat="1" applyFont="1" applyFill="1" applyBorder="1" applyAlignment="1">
      <alignment horizontal="center"/>
    </xf>
    <xf numFmtId="164" fontId="6" fillId="7" borderId="2" xfId="0" applyNumberFormat="1" applyFont="1" applyFill="1" applyBorder="1" applyAlignment="1">
      <alignment horizontal="center"/>
    </xf>
    <xf numFmtId="164" fontId="14" fillId="12" borderId="2" xfId="0" applyNumberFormat="1" applyFont="1" applyFill="1" applyBorder="1"/>
    <xf numFmtId="9" fontId="6" fillId="12" borderId="2" xfId="0" applyNumberFormat="1" applyFont="1" applyFill="1" applyBorder="1" applyAlignment="1">
      <alignment horizontal="center"/>
    </xf>
    <xf numFmtId="164" fontId="15" fillId="0" borderId="2" xfId="0" applyNumberFormat="1" applyFont="1" applyBorder="1"/>
    <xf numFmtId="164" fontId="14" fillId="7" borderId="2" xfId="0" applyNumberFormat="1" applyFont="1" applyFill="1" applyBorder="1" applyAlignment="1">
      <alignment horizontal="center"/>
    </xf>
    <xf numFmtId="164" fontId="15" fillId="7" borderId="2" xfId="0" applyNumberFormat="1" applyFont="1" applyFill="1" applyBorder="1"/>
    <xf numFmtId="0" fontId="1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6" fillId="8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/>
    <xf numFmtId="0" fontId="0" fillId="0" borderId="0" xfId="0" applyAlignment="1">
      <alignment horizontal="center"/>
    </xf>
    <xf numFmtId="0" fontId="11" fillId="3" borderId="0" xfId="0" applyFont="1" applyFill="1" applyAlignment="1">
      <alignment horizontal="center"/>
    </xf>
    <xf numFmtId="164" fontId="0" fillId="5" borderId="0" xfId="0" applyNumberFormat="1" applyFill="1"/>
    <xf numFmtId="0" fontId="0" fillId="0" borderId="38" xfId="0" applyBorder="1"/>
    <xf numFmtId="0" fontId="0" fillId="0" borderId="39" xfId="0" applyBorder="1"/>
    <xf numFmtId="0" fontId="0" fillId="0" borderId="40" xfId="0" applyBorder="1"/>
    <xf numFmtId="17" fontId="11" fillId="0" borderId="0" xfId="0" applyNumberFormat="1" applyFont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11" fillId="15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16" fillId="6" borderId="0" xfId="0" applyFont="1" applyFill="1" applyAlignment="1">
      <alignment wrapText="1"/>
    </xf>
    <xf numFmtId="0" fontId="11" fillId="5" borderId="0" xfId="0" applyFont="1" applyFill="1" applyAlignment="1">
      <alignment horizontal="center"/>
    </xf>
    <xf numFmtId="0" fontId="17" fillId="6" borderId="0" xfId="0" applyFont="1" applyFill="1" applyAlignment="1">
      <alignment vertical="center" wrapText="1"/>
    </xf>
    <xf numFmtId="0" fontId="5" fillId="12" borderId="0" xfId="0" applyFont="1" applyFill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17" borderId="0" xfId="0" applyFont="1" applyFill="1" applyAlignment="1">
      <alignment horizontal="right" vertical="top" readingOrder="2"/>
    </xf>
    <xf numFmtId="0" fontId="20" fillId="0" borderId="0" xfId="0" applyFont="1" applyAlignment="1">
      <alignment horizontal="right" vertical="top" readingOrder="2"/>
    </xf>
    <xf numFmtId="0" fontId="2" fillId="0" borderId="0" xfId="0" applyFont="1" applyAlignment="1">
      <alignment horizontal="right" vertical="top" wrapText="1" readingOrder="2"/>
    </xf>
    <xf numFmtId="0" fontId="2" fillId="0" borderId="0" xfId="0" applyFont="1" applyAlignment="1">
      <alignment horizontal="right" vertical="top" readingOrder="2"/>
    </xf>
    <xf numFmtId="0" fontId="21" fillId="18" borderId="46" xfId="0" applyFont="1" applyFill="1" applyBorder="1" applyAlignment="1">
      <alignment horizontal="right" vertical="top" wrapText="1" readingOrder="2"/>
    </xf>
    <xf numFmtId="0" fontId="7" fillId="18" borderId="2" xfId="0" applyFont="1" applyFill="1" applyBorder="1" applyAlignment="1">
      <alignment horizontal="right" vertical="top" wrapText="1" readingOrder="2"/>
    </xf>
    <xf numFmtId="0" fontId="21" fillId="18" borderId="0" xfId="0" applyFont="1" applyFill="1" applyAlignment="1">
      <alignment horizontal="right" vertical="top" wrapText="1" readingOrder="2"/>
    </xf>
    <xf numFmtId="0" fontId="2" fillId="0" borderId="15" xfId="0" applyFont="1" applyBorder="1" applyAlignment="1">
      <alignment horizontal="right" vertical="top" readingOrder="2"/>
    </xf>
    <xf numFmtId="0" fontId="3" fillId="0" borderId="2" xfId="0" applyFont="1" applyBorder="1" applyAlignment="1">
      <alignment horizontal="right" vertical="top" wrapText="1" readingOrder="2"/>
    </xf>
    <xf numFmtId="0" fontId="2" fillId="0" borderId="2" xfId="0" applyFont="1" applyBorder="1" applyAlignment="1">
      <alignment horizontal="right" vertical="top" readingOrder="2"/>
    </xf>
    <xf numFmtId="0" fontId="2" fillId="7" borderId="2" xfId="0" applyFont="1" applyFill="1" applyBorder="1" applyAlignment="1">
      <alignment horizontal="right" vertical="top" readingOrder="2"/>
    </xf>
    <xf numFmtId="0" fontId="2" fillId="17" borderId="46" xfId="0" applyFont="1" applyFill="1" applyBorder="1" applyAlignment="1">
      <alignment horizontal="right" vertical="top" readingOrder="2"/>
    </xf>
    <xf numFmtId="0" fontId="15" fillId="0" borderId="2" xfId="0" applyFont="1" applyBorder="1" applyAlignment="1">
      <alignment horizontal="right" vertical="center" textRotation="90" readingOrder="2"/>
    </xf>
    <xf numFmtId="0" fontId="15" fillId="0" borderId="2" xfId="0" applyFont="1" applyBorder="1" applyAlignment="1">
      <alignment horizontal="right" vertical="top" textRotation="90" wrapText="1" readingOrder="2"/>
    </xf>
    <xf numFmtId="0" fontId="15" fillId="0" borderId="8" xfId="0" applyFont="1" applyBorder="1" applyAlignment="1">
      <alignment horizontal="right" vertical="top" readingOrder="2"/>
    </xf>
    <xf numFmtId="0" fontId="15" fillId="0" borderId="7" xfId="0" applyFont="1" applyBorder="1" applyAlignment="1">
      <alignment horizontal="right" vertical="top" wrapText="1" readingOrder="2"/>
    </xf>
    <xf numFmtId="0" fontId="2" fillId="0" borderId="2" xfId="0" applyFont="1" applyBorder="1" applyAlignment="1">
      <alignment horizontal="right" vertical="top" wrapText="1" readingOrder="2"/>
    </xf>
    <xf numFmtId="0" fontId="15" fillId="0" borderId="15" xfId="0" applyFont="1" applyBorder="1" applyAlignment="1">
      <alignment horizontal="right" vertical="center" textRotation="90" readingOrder="2"/>
    </xf>
    <xf numFmtId="0" fontId="2" fillId="17" borderId="47" xfId="0" applyFont="1" applyFill="1" applyBorder="1" applyAlignment="1">
      <alignment horizontal="right" vertical="top" readingOrder="2"/>
    </xf>
    <xf numFmtId="0" fontId="22" fillId="19" borderId="18" xfId="0" applyFont="1" applyFill="1" applyBorder="1" applyAlignment="1">
      <alignment horizontal="right" vertical="top" readingOrder="2"/>
    </xf>
    <xf numFmtId="0" fontId="2" fillId="19" borderId="2" xfId="0" applyFont="1" applyFill="1" applyBorder="1" applyAlignment="1">
      <alignment horizontal="right" vertical="top" wrapText="1" readingOrder="2"/>
    </xf>
    <xf numFmtId="0" fontId="2" fillId="0" borderId="8" xfId="0" applyFont="1" applyBorder="1" applyAlignment="1">
      <alignment horizontal="right" vertical="top" readingOrder="2"/>
    </xf>
    <xf numFmtId="0" fontId="2" fillId="5" borderId="15" xfId="0" applyFont="1" applyFill="1" applyBorder="1" applyAlignment="1">
      <alignment horizontal="right" vertical="top" readingOrder="2"/>
    </xf>
    <xf numFmtId="0" fontId="2" fillId="5" borderId="2" xfId="0" applyFont="1" applyFill="1" applyBorder="1" applyAlignment="1">
      <alignment horizontal="right" vertical="top" wrapText="1" readingOrder="2"/>
    </xf>
    <xf numFmtId="0" fontId="2" fillId="5" borderId="8" xfId="0" applyFont="1" applyFill="1" applyBorder="1" applyAlignment="1">
      <alignment horizontal="right" vertical="top" readingOrder="2"/>
    </xf>
    <xf numFmtId="0" fontId="20" fillId="0" borderId="2" xfId="0" applyFont="1" applyBorder="1" applyAlignment="1">
      <alignment horizontal="right" vertical="top" readingOrder="2"/>
    </xf>
    <xf numFmtId="165" fontId="1" fillId="0" borderId="2" xfId="1" applyNumberFormat="1" applyBorder="1" applyAlignment="1">
      <alignment horizontal="center"/>
    </xf>
    <xf numFmtId="0" fontId="11" fillId="20" borderId="2" xfId="0" applyFont="1" applyFill="1" applyBorder="1" applyAlignment="1">
      <alignment horizontal="right"/>
    </xf>
    <xf numFmtId="164" fontId="3" fillId="20" borderId="2" xfId="0" applyNumberFormat="1" applyFont="1" applyFill="1" applyBorder="1" applyAlignment="1">
      <alignment horizontal="center"/>
    </xf>
    <xf numFmtId="164" fontId="12" fillId="20" borderId="2" xfId="0" applyNumberFormat="1" applyFont="1" applyFill="1" applyBorder="1" applyAlignment="1">
      <alignment horizontal="center"/>
    </xf>
    <xf numFmtId="0" fontId="0" fillId="20" borderId="0" xfId="0" applyFill="1"/>
    <xf numFmtId="165" fontId="1" fillId="20" borderId="2" xfId="1" applyNumberFormat="1" applyFill="1" applyBorder="1" applyAlignment="1">
      <alignment horizontal="center"/>
    </xf>
    <xf numFmtId="0" fontId="23" fillId="21" borderId="0" xfId="0" applyFont="1" applyFill="1" applyAlignment="1">
      <alignment horizontal="right" vertical="top" wrapText="1" readingOrder="2"/>
    </xf>
    <xf numFmtId="0" fontId="24" fillId="21" borderId="2" xfId="0" applyFont="1" applyFill="1" applyBorder="1" applyAlignment="1">
      <alignment horizontal="right" vertical="top" wrapText="1" readingOrder="2"/>
    </xf>
    <xf numFmtId="0" fontId="25" fillId="0" borderId="1" xfId="0" applyFont="1" applyBorder="1" applyAlignment="1">
      <alignment horizontal="center" vertical="center" wrapText="1" readingOrder="2"/>
    </xf>
    <xf numFmtId="0" fontId="25" fillId="22" borderId="2" xfId="0" applyFont="1" applyFill="1" applyBorder="1" applyAlignment="1">
      <alignment horizontal="right" vertical="top" readingOrder="2"/>
    </xf>
    <xf numFmtId="0" fontId="25" fillId="23" borderId="2" xfId="0" applyFont="1" applyFill="1" applyBorder="1" applyAlignment="1">
      <alignment horizontal="right" vertical="top" readingOrder="2"/>
    </xf>
    <xf numFmtId="0" fontId="26" fillId="22" borderId="2" xfId="0" applyFont="1" applyFill="1" applyBorder="1" applyAlignment="1">
      <alignment horizontal="right" vertical="top" readingOrder="2"/>
    </xf>
    <xf numFmtId="0" fontId="25" fillId="0" borderId="2" xfId="0" applyFont="1" applyBorder="1" applyAlignment="1">
      <alignment horizontal="right" vertical="top" readingOrder="2"/>
    </xf>
    <xf numFmtId="0" fontId="25" fillId="24" borderId="2" xfId="0" applyFont="1" applyFill="1" applyBorder="1" applyAlignment="1">
      <alignment horizontal="right" vertical="top" readingOrder="2"/>
    </xf>
    <xf numFmtId="0" fontId="25" fillId="25" borderId="2" xfId="0" applyFont="1" applyFill="1" applyBorder="1" applyAlignment="1">
      <alignment horizontal="right" vertical="top" readingOrder="2"/>
    </xf>
    <xf numFmtId="17" fontId="25" fillId="26" borderId="2" xfId="0" applyNumberFormat="1" applyFont="1" applyFill="1" applyBorder="1" applyAlignment="1">
      <alignment horizontal="right" vertical="top" readingOrder="2"/>
    </xf>
    <xf numFmtId="0" fontId="26" fillId="25" borderId="2" xfId="0" applyFont="1" applyFill="1" applyBorder="1" applyAlignment="1">
      <alignment horizontal="right" vertical="top" readingOrder="2"/>
    </xf>
    <xf numFmtId="0" fontId="25" fillId="27" borderId="2" xfId="0" applyFont="1" applyFill="1" applyBorder="1" applyAlignment="1">
      <alignment horizontal="right" vertical="top" readingOrder="2"/>
    </xf>
    <xf numFmtId="0" fontId="27" fillId="25" borderId="2" xfId="0" applyFont="1" applyFill="1" applyBorder="1" applyAlignment="1">
      <alignment horizontal="right" vertical="center" readingOrder="2"/>
    </xf>
    <xf numFmtId="0" fontId="25" fillId="26" borderId="2" xfId="0" applyFont="1" applyFill="1" applyBorder="1" applyAlignment="1">
      <alignment horizontal="right" vertical="top" readingOrder="2"/>
    </xf>
    <xf numFmtId="0" fontId="27" fillId="26" borderId="2" xfId="0" applyFont="1" applyFill="1" applyBorder="1" applyAlignment="1">
      <alignment horizontal="right" vertical="center" readingOrder="2"/>
    </xf>
    <xf numFmtId="0" fontId="26" fillId="26" borderId="2" xfId="0" applyFont="1" applyFill="1" applyBorder="1" applyAlignment="1">
      <alignment horizontal="right" vertical="top" readingOrder="2"/>
    </xf>
    <xf numFmtId="0" fontId="26" fillId="28" borderId="2" xfId="0" applyFont="1" applyFill="1" applyBorder="1" applyAlignment="1">
      <alignment horizontal="right" vertical="top" readingOrder="2"/>
    </xf>
    <xf numFmtId="0" fontId="25" fillId="0" borderId="0" xfId="0" applyFont="1" applyAlignment="1">
      <alignment horizontal="right" vertical="top" readingOrder="2"/>
    </xf>
    <xf numFmtId="0" fontId="26" fillId="0" borderId="2" xfId="0" applyFont="1" applyBorder="1" applyAlignment="1">
      <alignment horizontal="right" vertical="top" readingOrder="2"/>
    </xf>
    <xf numFmtId="0" fontId="25" fillId="29" borderId="2" xfId="0" applyFont="1" applyFill="1" applyBorder="1" applyAlignment="1">
      <alignment horizontal="right" vertical="top" readingOrder="2"/>
    </xf>
    <xf numFmtId="0" fontId="26" fillId="29" borderId="2" xfId="0" applyFont="1" applyFill="1" applyBorder="1" applyAlignment="1">
      <alignment horizontal="right" vertical="top" readingOrder="2"/>
    </xf>
    <xf numFmtId="0" fontId="28" fillId="29" borderId="2" xfId="0" applyFont="1" applyFill="1" applyBorder="1" applyAlignment="1">
      <alignment horizontal="right" vertical="top" readingOrder="2"/>
    </xf>
    <xf numFmtId="0" fontId="25" fillId="0" borderId="14" xfId="0" applyFont="1" applyBorder="1" applyAlignment="1">
      <alignment horizontal="center" vertical="center" readingOrder="2"/>
    </xf>
    <xf numFmtId="1" fontId="5" fillId="7" borderId="12" xfId="0" applyNumberFormat="1" applyFont="1" applyFill="1" applyBorder="1" applyAlignment="1">
      <alignment horizontal="center"/>
    </xf>
    <xf numFmtId="1" fontId="5" fillId="8" borderId="37" xfId="0" applyNumberFormat="1" applyFont="1" applyFill="1" applyBorder="1" applyAlignment="1">
      <alignment horizontal="center"/>
    </xf>
    <xf numFmtId="0" fontId="6" fillId="13" borderId="0" xfId="0" applyFont="1" applyFill="1" applyAlignment="1">
      <alignment horizontal="center"/>
    </xf>
    <xf numFmtId="0" fontId="6" fillId="14" borderId="0" xfId="0" applyFont="1" applyFill="1" applyAlignment="1">
      <alignment horizontal="center"/>
    </xf>
    <xf numFmtId="0" fontId="11" fillId="0" borderId="2" xfId="0" applyFont="1" applyFill="1" applyBorder="1" applyAlignment="1">
      <alignment horizontal="right"/>
    </xf>
    <xf numFmtId="164" fontId="3" fillId="0" borderId="2" xfId="0" applyNumberFormat="1" applyFont="1" applyFill="1" applyBorder="1" applyAlignment="1">
      <alignment horizontal="center"/>
    </xf>
    <xf numFmtId="164" fontId="12" fillId="0" borderId="2" xfId="0" applyNumberFormat="1" applyFont="1" applyFill="1" applyBorder="1" applyAlignment="1">
      <alignment horizontal="center"/>
    </xf>
    <xf numFmtId="0" fontId="0" fillId="0" borderId="0" xfId="0" applyFill="1"/>
    <xf numFmtId="165" fontId="1" fillId="30" borderId="2" xfId="1" applyNumberFormat="1" applyFill="1" applyBorder="1" applyAlignment="1">
      <alignment horizontal="center"/>
    </xf>
  </cellXfs>
  <cellStyles count="3">
    <cellStyle name="Comma" xfId="1" builtinId="3"/>
    <cellStyle name="Normal" xfId="0" builtinId="0"/>
    <cellStyle name="Normal 3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BE5D6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E699"/>
      <rgbColor rgb="FFB4C7E7"/>
      <rgbColor rgb="FFD9D9D9"/>
      <rgbColor rgb="FFD0CECE"/>
      <rgbColor rgb="FFF8CBAD"/>
      <rgbColor rgb="FF3366FF"/>
      <rgbColor rgb="FF33CCCC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78"/>
  <sheetViews>
    <sheetView rightToLeft="1" zoomScale="70" zoomScaleNormal="7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31" sqref="AA31"/>
    </sheetView>
  </sheetViews>
  <sheetFormatPr defaultColWidth="8.625" defaultRowHeight="14.25"/>
  <cols>
    <col min="1" max="1" width="3.625" customWidth="1"/>
    <col min="2" max="2" width="37.25" customWidth="1"/>
    <col min="3" max="3" width="27" customWidth="1"/>
    <col min="4" max="4" width="8.5" style="1" customWidth="1"/>
    <col min="5" max="13" width="9.75" style="2" customWidth="1"/>
    <col min="14" max="14" width="9.75" style="3" customWidth="1"/>
    <col min="15" max="16" width="9.75" style="2" customWidth="1"/>
    <col min="17" max="17" width="11.75" style="3" customWidth="1"/>
    <col min="18" max="18" width="9.75" style="4" hidden="1" customWidth="1"/>
    <col min="19" max="19" width="9.75" style="4" customWidth="1"/>
    <col min="20" max="20" width="10.5" hidden="1" customWidth="1"/>
    <col min="21" max="21" width="12.125" style="4" customWidth="1"/>
    <col min="22" max="22" width="9.875" style="4" customWidth="1"/>
    <col min="23" max="23" width="11.125" style="4" customWidth="1"/>
    <col min="24" max="26" width="10.875" style="4" customWidth="1"/>
    <col min="27" max="27" width="11.75" style="4" customWidth="1"/>
    <col min="28" max="28" width="13.125" style="4" customWidth="1"/>
    <col min="29" max="29" width="12.875" style="4" customWidth="1"/>
    <col min="30" max="30" width="12.125" style="4" customWidth="1"/>
    <col min="31" max="31" width="11.75" style="4" customWidth="1"/>
    <col min="33" max="33" width="11.75" style="4" customWidth="1"/>
    <col min="35" max="37" width="9.875" customWidth="1"/>
    <col min="38" max="42" width="10.875" customWidth="1"/>
    <col min="44" max="44" width="10.875" customWidth="1"/>
    <col min="45" max="45" width="11" customWidth="1"/>
    <col min="46" max="46" width="12.5" customWidth="1"/>
    <col min="47" max="47" width="11.75" customWidth="1"/>
    <col min="48" max="48" width="10.75" customWidth="1"/>
    <col min="49" max="49" width="12.125" customWidth="1"/>
  </cols>
  <sheetData>
    <row r="1" spans="1:49" ht="14.25" hidden="1" customHeight="1">
      <c r="E1" s="2">
        <v>2</v>
      </c>
      <c r="F1" s="2">
        <f t="shared" ref="F1:P1" si="0">+E1+1</f>
        <v>3</v>
      </c>
      <c r="G1" s="2">
        <f t="shared" si="0"/>
        <v>4</v>
      </c>
      <c r="H1" s="2">
        <f t="shared" si="0"/>
        <v>5</v>
      </c>
      <c r="I1" s="2">
        <f t="shared" si="0"/>
        <v>6</v>
      </c>
      <c r="J1" s="2">
        <f t="shared" si="0"/>
        <v>7</v>
      </c>
      <c r="K1" s="2">
        <f t="shared" si="0"/>
        <v>8</v>
      </c>
      <c r="L1" s="2">
        <f t="shared" si="0"/>
        <v>9</v>
      </c>
      <c r="M1" s="2">
        <f t="shared" si="0"/>
        <v>10</v>
      </c>
      <c r="N1" s="2">
        <f t="shared" si="0"/>
        <v>11</v>
      </c>
      <c r="O1" s="2">
        <f t="shared" si="0"/>
        <v>12</v>
      </c>
      <c r="P1" s="2">
        <f t="shared" si="0"/>
        <v>13</v>
      </c>
    </row>
    <row r="2" spans="1:49" ht="15.75" hidden="1" customHeight="1">
      <c r="B2" s="5"/>
      <c r="C2" s="6"/>
      <c r="D2" s="6"/>
      <c r="E2" s="3">
        <v>3</v>
      </c>
      <c r="F2" s="3">
        <f t="shared" ref="F2:P2" si="1">E2+3</f>
        <v>6</v>
      </c>
      <c r="G2" s="3">
        <f t="shared" si="1"/>
        <v>9</v>
      </c>
      <c r="H2" s="3">
        <f t="shared" si="1"/>
        <v>12</v>
      </c>
      <c r="I2" s="3">
        <f t="shared" si="1"/>
        <v>15</v>
      </c>
      <c r="J2" s="3">
        <f t="shared" si="1"/>
        <v>18</v>
      </c>
      <c r="K2" s="3">
        <f t="shared" si="1"/>
        <v>21</v>
      </c>
      <c r="L2" s="3">
        <f t="shared" si="1"/>
        <v>24</v>
      </c>
      <c r="M2" s="3">
        <f t="shared" si="1"/>
        <v>27</v>
      </c>
      <c r="N2" s="3">
        <f t="shared" si="1"/>
        <v>30</v>
      </c>
      <c r="O2" s="3">
        <f t="shared" si="1"/>
        <v>33</v>
      </c>
      <c r="P2" s="3">
        <f t="shared" si="1"/>
        <v>36</v>
      </c>
    </row>
    <row r="3" spans="1:49" ht="16.5" customHeight="1">
      <c r="B3" s="5"/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AG3" s="4" t="s">
        <v>0</v>
      </c>
      <c r="AI3" s="8" t="s">
        <v>1</v>
      </c>
    </row>
    <row r="4" spans="1:49" ht="14.25" customHeight="1">
      <c r="A4" s="9" t="s">
        <v>2</v>
      </c>
      <c r="B4" s="9"/>
      <c r="C4" s="9"/>
      <c r="D4" s="9" t="s">
        <v>3</v>
      </c>
      <c r="E4" s="9" t="s">
        <v>4</v>
      </c>
      <c r="F4" s="9" t="s">
        <v>5</v>
      </c>
      <c r="G4" s="9" t="s">
        <v>6</v>
      </c>
      <c r="H4" s="10" t="s">
        <v>7</v>
      </c>
      <c r="I4" s="10" t="s">
        <v>8</v>
      </c>
      <c r="J4" s="9" t="s">
        <v>9</v>
      </c>
      <c r="K4" s="9" t="s">
        <v>10</v>
      </c>
      <c r="L4" s="9" t="s">
        <v>11</v>
      </c>
      <c r="M4" s="9" t="s">
        <v>12</v>
      </c>
      <c r="N4" s="10" t="s">
        <v>13</v>
      </c>
      <c r="O4" s="9" t="s">
        <v>14</v>
      </c>
      <c r="P4" s="11" t="s">
        <v>15</v>
      </c>
      <c r="Q4" s="12" t="s">
        <v>16</v>
      </c>
      <c r="S4" s="13" t="s">
        <v>17</v>
      </c>
      <c r="T4" s="14"/>
      <c r="U4" s="13" t="s">
        <v>18</v>
      </c>
      <c r="V4" s="13" t="s">
        <v>19</v>
      </c>
      <c r="W4" s="13" t="s">
        <v>20</v>
      </c>
      <c r="X4" s="13" t="s">
        <v>21</v>
      </c>
      <c r="Y4" s="13" t="s">
        <v>22</v>
      </c>
      <c r="Z4" s="13" t="s">
        <v>23</v>
      </c>
      <c r="AA4" s="13" t="s">
        <v>24</v>
      </c>
      <c r="AB4" s="13" t="s">
        <v>25</v>
      </c>
      <c r="AC4" s="13" t="s">
        <v>26</v>
      </c>
      <c r="AD4" s="13" t="s">
        <v>27</v>
      </c>
      <c r="AE4" s="13" t="s">
        <v>28</v>
      </c>
      <c r="AG4" s="15" t="s">
        <v>29</v>
      </c>
      <c r="AI4" s="8" t="s">
        <v>10</v>
      </c>
      <c r="AJ4" s="8" t="s">
        <v>11</v>
      </c>
      <c r="AK4" s="8" t="s">
        <v>12</v>
      </c>
      <c r="AL4" s="16" t="s">
        <v>13</v>
      </c>
      <c r="AM4" s="8" t="s">
        <v>14</v>
      </c>
      <c r="AN4" s="17" t="s">
        <v>15</v>
      </c>
      <c r="AO4" s="18" t="s">
        <v>30</v>
      </c>
      <c r="AP4" s="19" t="s">
        <v>16</v>
      </c>
      <c r="AR4" s="20" t="s">
        <v>23</v>
      </c>
      <c r="AS4" s="21" t="s">
        <v>24</v>
      </c>
      <c r="AT4" s="21" t="s">
        <v>25</v>
      </c>
      <c r="AU4" s="21" t="s">
        <v>26</v>
      </c>
      <c r="AV4" s="21" t="s">
        <v>27</v>
      </c>
      <c r="AW4" s="22" t="s">
        <v>28</v>
      </c>
    </row>
    <row r="5" spans="1:49" ht="15" customHeight="1">
      <c r="A5" s="23">
        <v>5</v>
      </c>
      <c r="B5" s="23" t="s">
        <v>31</v>
      </c>
      <c r="C5" s="24" t="s">
        <v>31</v>
      </c>
      <c r="D5" s="25" t="s">
        <v>32</v>
      </c>
      <c r="E5" s="26">
        <v>176666.66666666701</v>
      </c>
      <c r="F5" s="26">
        <v>168253.96825396799</v>
      </c>
      <c r="G5" s="26">
        <v>193492.06349206399</v>
      </c>
      <c r="H5" s="26">
        <v>173015.87301587299</v>
      </c>
      <c r="I5" s="26">
        <v>188253.96825396799</v>
      </c>
      <c r="J5" s="26">
        <v>235079.365079365</v>
      </c>
      <c r="K5" s="26">
        <v>235079.365079365</v>
      </c>
      <c r="L5" s="26">
        <v>235079.365079365</v>
      </c>
      <c r="M5" s="26">
        <v>209841.26984127</v>
      </c>
      <c r="N5" s="26">
        <v>226666.66666666701</v>
      </c>
      <c r="O5" s="26">
        <v>235079.365079365</v>
      </c>
      <c r="P5" s="26">
        <v>243492.06349206399</v>
      </c>
      <c r="Q5" s="27">
        <f t="shared" ref="Q5:Q17" si="2">SUM(E5:P5)</f>
        <v>2520000.0000000009</v>
      </c>
      <c r="S5" s="28">
        <f t="shared" ref="S5:S20" si="3">SUM(E5:E5)</f>
        <v>176666.66666666701</v>
      </c>
      <c r="U5" s="28">
        <f>SUM($E5:F5)</f>
        <v>344920.63492063503</v>
      </c>
      <c r="V5" s="28">
        <f>SUM($E5:G5)</f>
        <v>538412.69841269904</v>
      </c>
      <c r="W5" s="28">
        <f>SUM($E5:H5)</f>
        <v>711428.57142857206</v>
      </c>
      <c r="X5" s="28">
        <f>SUM($E5:I5)</f>
        <v>899682.53968254011</v>
      </c>
      <c r="Y5" s="28">
        <f>SUM($E5:J5)</f>
        <v>1134761.9047619051</v>
      </c>
      <c r="Z5" s="28">
        <f>SUM($E5:K5)</f>
        <v>1369841.2698412701</v>
      </c>
      <c r="AA5" s="28">
        <f>SUM($E5:L5)</f>
        <v>1604920.634920635</v>
      </c>
      <c r="AB5" s="28">
        <f>SUM($E5:M5)</f>
        <v>1814761.9047619051</v>
      </c>
      <c r="AC5" s="28">
        <f>SUM($E5:N5)</f>
        <v>2041428.5714285721</v>
      </c>
      <c r="AD5" s="28">
        <f>SUM($E5:O5)</f>
        <v>2276507.936507937</v>
      </c>
      <c r="AE5" s="28">
        <f>SUM($E5:P5)</f>
        <v>2520000.0000000009</v>
      </c>
      <c r="AG5" s="29">
        <v>740443.3</v>
      </c>
      <c r="AI5" s="30">
        <f t="shared" ref="AI5:AI17" si="4">AJ5</f>
        <v>200000</v>
      </c>
      <c r="AJ5" s="30">
        <v>200000</v>
      </c>
      <c r="AK5" s="30">
        <v>200000</v>
      </c>
      <c r="AL5" s="30">
        <v>200000</v>
      </c>
      <c r="AM5" s="30">
        <v>200000</v>
      </c>
      <c r="AN5" s="31">
        <v>200000</v>
      </c>
      <c r="AO5" s="29">
        <f t="shared" ref="AO5:AO20" si="5">SUM(AI5:AN5)</f>
        <v>1200000</v>
      </c>
      <c r="AP5" s="32">
        <f t="shared" ref="AP5:AP20" si="6">SUM(AI5:AN5)+Y5</f>
        <v>2334761.9047619049</v>
      </c>
      <c r="AR5" s="33">
        <f t="shared" ref="AR5:AR41" si="7">AI5+AG5</f>
        <v>940443.3</v>
      </c>
      <c r="AS5" s="30">
        <f t="shared" ref="AS5:AS39" si="8">AR5+AJ5</f>
        <v>1140443.3</v>
      </c>
      <c r="AT5" s="30">
        <f t="shared" ref="AT5:AT39" si="9">AS5+AK5</f>
        <v>1340443.3</v>
      </c>
      <c r="AU5" s="30">
        <f t="shared" ref="AU5:AU39" si="10">AT5+AL5</f>
        <v>1540443.3</v>
      </c>
      <c r="AV5" s="30">
        <f t="shared" ref="AV5:AV39" si="11">AU5+AM5</f>
        <v>1740443.3</v>
      </c>
      <c r="AW5" s="34">
        <f t="shared" ref="AW5:AW39" si="12">AV5+AN5</f>
        <v>1940443.3</v>
      </c>
    </row>
    <row r="6" spans="1:49" ht="15" customHeight="1">
      <c r="A6" s="23">
        <v>1</v>
      </c>
      <c r="B6" s="23" t="s">
        <v>33</v>
      </c>
      <c r="C6" s="24" t="s">
        <v>33</v>
      </c>
      <c r="D6" s="25" t="s">
        <v>32</v>
      </c>
      <c r="E6" s="26">
        <v>536666.66666666698</v>
      </c>
      <c r="F6" s="26">
        <v>532634.92063492106</v>
      </c>
      <c r="G6" s="26">
        <v>610730.15873015905</v>
      </c>
      <c r="H6" s="26">
        <v>475539.68253968301</v>
      </c>
      <c r="I6" s="26">
        <v>558634.92063492106</v>
      </c>
      <c r="J6" s="26">
        <v>605698.41269841301</v>
      </c>
      <c r="K6" s="26">
        <v>605698.41269841301</v>
      </c>
      <c r="L6" s="26">
        <v>605698.41269841301</v>
      </c>
      <c r="M6" s="26">
        <v>527603.17460317502</v>
      </c>
      <c r="N6" s="26">
        <v>546666.66666666698</v>
      </c>
      <c r="O6" s="26">
        <v>574698.41269841301</v>
      </c>
      <c r="P6" s="26">
        <v>598730.15873015905</v>
      </c>
      <c r="Q6" s="27">
        <f t="shared" si="2"/>
        <v>6779000.0000000056</v>
      </c>
      <c r="S6" s="28">
        <f t="shared" si="3"/>
        <v>536666.66666666698</v>
      </c>
      <c r="U6" s="28">
        <f>SUM($E6:F6)</f>
        <v>1069301.5873015882</v>
      </c>
      <c r="V6" s="28">
        <f>SUM($E6:G6)</f>
        <v>1680031.7460317472</v>
      </c>
      <c r="W6" s="28">
        <f>SUM($E6:H6)</f>
        <v>2155571.42857143</v>
      </c>
      <c r="X6" s="28">
        <f>SUM($E6:I6)</f>
        <v>2714206.3492063512</v>
      </c>
      <c r="Y6" s="28">
        <f>SUM($E6:J6)</f>
        <v>3319904.761904764</v>
      </c>
      <c r="Z6" s="28">
        <f>SUM($E6:K6)</f>
        <v>3925603.1746031772</v>
      </c>
      <c r="AA6" s="28">
        <f>SUM($E6:L6)</f>
        <v>4531301.5873015905</v>
      </c>
      <c r="AB6" s="28">
        <f>SUM($E6:M6)</f>
        <v>5058904.7619047659</v>
      </c>
      <c r="AC6" s="28">
        <f>SUM($E6:N6)</f>
        <v>5605571.4285714328</v>
      </c>
      <c r="AD6" s="28">
        <f>SUM($E6:O6)</f>
        <v>6180269.8412698461</v>
      </c>
      <c r="AE6" s="28">
        <f>SUM($E6:P6)</f>
        <v>6779000.0000000056</v>
      </c>
      <c r="AG6" s="29">
        <v>2774937.8930000002</v>
      </c>
      <c r="AI6" s="30">
        <f t="shared" si="4"/>
        <v>550000</v>
      </c>
      <c r="AJ6" s="30">
        <v>550000</v>
      </c>
      <c r="AK6" s="30">
        <v>550000</v>
      </c>
      <c r="AL6" s="30">
        <v>550000</v>
      </c>
      <c r="AM6" s="30">
        <v>550000</v>
      </c>
      <c r="AN6" s="31">
        <v>550000</v>
      </c>
      <c r="AO6" s="29">
        <f t="shared" si="5"/>
        <v>3300000</v>
      </c>
      <c r="AP6" s="32">
        <f t="shared" si="6"/>
        <v>6619904.761904764</v>
      </c>
      <c r="AR6" s="33">
        <f t="shared" si="7"/>
        <v>3324937.8930000002</v>
      </c>
      <c r="AS6" s="30">
        <f t="shared" si="8"/>
        <v>3874937.8930000002</v>
      </c>
      <c r="AT6" s="30">
        <f t="shared" si="9"/>
        <v>4424937.8930000002</v>
      </c>
      <c r="AU6" s="30">
        <f t="shared" si="10"/>
        <v>4974937.8930000002</v>
      </c>
      <c r="AV6" s="30">
        <f t="shared" si="11"/>
        <v>5524937.8930000002</v>
      </c>
      <c r="AW6" s="34">
        <f t="shared" si="12"/>
        <v>6074937.8930000002</v>
      </c>
    </row>
    <row r="7" spans="1:49" ht="15" customHeight="1">
      <c r="A7" s="23">
        <v>7</v>
      </c>
      <c r="B7" s="23" t="s">
        <v>34</v>
      </c>
      <c r="C7" s="24" t="s">
        <v>34</v>
      </c>
      <c r="D7" s="25" t="s">
        <v>32</v>
      </c>
      <c r="E7" s="26">
        <v>73000</v>
      </c>
      <c r="F7" s="26">
        <v>73428.571428571406</v>
      </c>
      <c r="G7" s="26">
        <v>82142.857142857101</v>
      </c>
      <c r="H7" s="26">
        <v>60714.285714285703</v>
      </c>
      <c r="I7" s="26">
        <v>71428.571428571406</v>
      </c>
      <c r="J7" s="26">
        <v>78571.428571428594</v>
      </c>
      <c r="K7" s="26">
        <v>78571.428571428594</v>
      </c>
      <c r="L7" s="26">
        <v>78571.428571428594</v>
      </c>
      <c r="M7" s="26">
        <v>67857.142857142797</v>
      </c>
      <c r="N7" s="26">
        <v>75000</v>
      </c>
      <c r="O7" s="26">
        <v>78571.428571428594</v>
      </c>
      <c r="P7" s="26">
        <v>82142.857142857101</v>
      </c>
      <c r="Q7" s="27">
        <f t="shared" si="2"/>
        <v>900000</v>
      </c>
      <c r="S7" s="28">
        <f t="shared" si="3"/>
        <v>73000</v>
      </c>
      <c r="U7" s="28">
        <f>SUM($E7:F7)</f>
        <v>146428.57142857142</v>
      </c>
      <c r="V7" s="28">
        <f>SUM($E7:G7)</f>
        <v>228571.42857142852</v>
      </c>
      <c r="W7" s="28">
        <f>SUM($E7:H7)</f>
        <v>289285.7142857142</v>
      </c>
      <c r="X7" s="28">
        <f>SUM($E7:I7)</f>
        <v>360714.28571428562</v>
      </c>
      <c r="Y7" s="28">
        <f>SUM($E7:J7)</f>
        <v>439285.7142857142</v>
      </c>
      <c r="Z7" s="28">
        <f>SUM($E7:K7)</f>
        <v>517857.14285714278</v>
      </c>
      <c r="AA7" s="28">
        <f>SUM($E7:L7)</f>
        <v>596428.57142857136</v>
      </c>
      <c r="AB7" s="28">
        <f>SUM($E7:M7)</f>
        <v>664285.7142857142</v>
      </c>
      <c r="AC7" s="28">
        <f>SUM($E7:N7)</f>
        <v>739285.7142857142</v>
      </c>
      <c r="AD7" s="28">
        <f>SUM($E7:O7)</f>
        <v>817857.14285714284</v>
      </c>
      <c r="AE7" s="28">
        <f>SUM($E7:P7)</f>
        <v>900000</v>
      </c>
      <c r="AG7" s="29">
        <v>437274.565</v>
      </c>
      <c r="AI7" s="30">
        <f t="shared" si="4"/>
        <v>100000</v>
      </c>
      <c r="AJ7" s="30">
        <v>100000</v>
      </c>
      <c r="AK7" s="30">
        <v>100000</v>
      </c>
      <c r="AL7" s="30">
        <v>100000</v>
      </c>
      <c r="AM7" s="30">
        <v>100000</v>
      </c>
      <c r="AN7" s="31">
        <v>100000</v>
      </c>
      <c r="AO7" s="29">
        <f t="shared" si="5"/>
        <v>600000</v>
      </c>
      <c r="AP7" s="32">
        <f t="shared" si="6"/>
        <v>1039285.7142857142</v>
      </c>
      <c r="AR7" s="33">
        <f t="shared" si="7"/>
        <v>537274.56499999994</v>
      </c>
      <c r="AS7" s="30">
        <f t="shared" si="8"/>
        <v>637274.56499999994</v>
      </c>
      <c r="AT7" s="30">
        <f t="shared" si="9"/>
        <v>737274.56499999994</v>
      </c>
      <c r="AU7" s="30">
        <f t="shared" si="10"/>
        <v>837274.56499999994</v>
      </c>
      <c r="AV7" s="30">
        <f t="shared" si="11"/>
        <v>937274.56499999994</v>
      </c>
      <c r="AW7" s="34">
        <f t="shared" si="12"/>
        <v>1037274.5649999999</v>
      </c>
    </row>
    <row r="8" spans="1:49" ht="15" customHeight="1">
      <c r="A8" s="23">
        <v>4</v>
      </c>
      <c r="B8" s="23" t="s">
        <v>35</v>
      </c>
      <c r="C8" s="24" t="s">
        <v>35</v>
      </c>
      <c r="D8" s="25" t="s">
        <v>32</v>
      </c>
      <c r="E8" s="26">
        <v>152333.33333333299</v>
      </c>
      <c r="F8" s="26">
        <v>156793.650793651</v>
      </c>
      <c r="G8" s="26">
        <v>173412.698412698</v>
      </c>
      <c r="H8" s="26">
        <v>134174.60317460299</v>
      </c>
      <c r="I8" s="26">
        <v>160793.650793651</v>
      </c>
      <c r="J8" s="26">
        <v>170873.015873016</v>
      </c>
      <c r="K8" s="26">
        <v>170873.015873016</v>
      </c>
      <c r="L8" s="26">
        <v>170873.015873016</v>
      </c>
      <c r="M8" s="26">
        <v>150253.96825396799</v>
      </c>
      <c r="N8" s="26">
        <v>162333.33333333299</v>
      </c>
      <c r="O8" s="26">
        <v>170873.015873016</v>
      </c>
      <c r="P8" s="26">
        <v>173412.698412698</v>
      </c>
      <c r="Q8" s="27">
        <f t="shared" si="2"/>
        <v>1946999.9999999993</v>
      </c>
      <c r="S8" s="28">
        <f t="shared" si="3"/>
        <v>152333.33333333299</v>
      </c>
      <c r="U8" s="28">
        <f>SUM($E8:F8)</f>
        <v>309126.98412698403</v>
      </c>
      <c r="V8" s="28">
        <f>SUM($E8:G8)</f>
        <v>482539.68253968202</v>
      </c>
      <c r="W8" s="28">
        <f>SUM($E8:H8)</f>
        <v>616714.28571428498</v>
      </c>
      <c r="X8" s="28">
        <f>SUM($E8:I8)</f>
        <v>777507.93650793598</v>
      </c>
      <c r="Y8" s="28">
        <f>SUM($E8:J8)</f>
        <v>948380.95238095196</v>
      </c>
      <c r="Z8" s="28">
        <f>SUM($E8:K8)</f>
        <v>1119253.9682539681</v>
      </c>
      <c r="AA8" s="28">
        <f>SUM($E8:L8)</f>
        <v>1290126.9841269841</v>
      </c>
      <c r="AB8" s="28">
        <f>SUM($E8:M8)</f>
        <v>1440380.9523809522</v>
      </c>
      <c r="AC8" s="28">
        <f>SUM($E8:N8)</f>
        <v>1602714.2857142852</v>
      </c>
      <c r="AD8" s="28">
        <f>SUM($E8:O8)</f>
        <v>1773587.3015873013</v>
      </c>
      <c r="AE8" s="28">
        <f>SUM($E8:P8)</f>
        <v>1946999.9999999993</v>
      </c>
      <c r="AG8" s="29">
        <v>918523.978</v>
      </c>
      <c r="AI8" s="30">
        <f t="shared" si="4"/>
        <v>200000</v>
      </c>
      <c r="AJ8" s="30">
        <v>200000</v>
      </c>
      <c r="AK8" s="30">
        <v>200000</v>
      </c>
      <c r="AL8" s="30">
        <v>200000</v>
      </c>
      <c r="AM8" s="30">
        <v>200000</v>
      </c>
      <c r="AN8" s="31">
        <v>200000</v>
      </c>
      <c r="AO8" s="29">
        <f t="shared" si="5"/>
        <v>1200000</v>
      </c>
      <c r="AP8" s="32">
        <f t="shared" si="6"/>
        <v>2148380.952380952</v>
      </c>
      <c r="AR8" s="33">
        <f t="shared" si="7"/>
        <v>1118523.9780000001</v>
      </c>
      <c r="AS8" s="30">
        <f t="shared" si="8"/>
        <v>1318523.9780000001</v>
      </c>
      <c r="AT8" s="30">
        <f t="shared" si="9"/>
        <v>1518523.9780000001</v>
      </c>
      <c r="AU8" s="30">
        <f t="shared" si="10"/>
        <v>1718523.9780000001</v>
      </c>
      <c r="AV8" s="30">
        <f t="shared" si="11"/>
        <v>1918523.9780000001</v>
      </c>
      <c r="AW8" s="34">
        <f t="shared" si="12"/>
        <v>2118523.9780000001</v>
      </c>
    </row>
    <row r="9" spans="1:49" ht="15" customHeight="1">
      <c r="A9" s="23">
        <v>3</v>
      </c>
      <c r="B9" s="23" t="s">
        <v>36</v>
      </c>
      <c r="C9" s="24" t="s">
        <v>36</v>
      </c>
      <c r="D9" s="25" t="s">
        <v>32</v>
      </c>
      <c r="E9" s="26">
        <v>365000</v>
      </c>
      <c r="F9" s="26">
        <v>365000</v>
      </c>
      <c r="G9" s="26">
        <v>365000</v>
      </c>
      <c r="H9" s="26">
        <v>365000</v>
      </c>
      <c r="I9" s="26">
        <v>365000</v>
      </c>
      <c r="J9" s="26">
        <v>365000</v>
      </c>
      <c r="K9" s="26">
        <v>365000</v>
      </c>
      <c r="L9" s="26">
        <v>365000</v>
      </c>
      <c r="M9" s="26">
        <v>365000</v>
      </c>
      <c r="N9" s="26">
        <v>365000</v>
      </c>
      <c r="O9" s="26">
        <v>365000</v>
      </c>
      <c r="P9" s="26">
        <v>366000</v>
      </c>
      <c r="Q9" s="27">
        <f t="shared" si="2"/>
        <v>4381000</v>
      </c>
      <c r="S9" s="28">
        <f t="shared" si="3"/>
        <v>365000</v>
      </c>
      <c r="U9" s="28">
        <f>SUM($E9:F9)</f>
        <v>730000</v>
      </c>
      <c r="V9" s="28">
        <f>SUM($E9:G9)</f>
        <v>1095000</v>
      </c>
      <c r="W9" s="28">
        <f>SUM($E9:H9)</f>
        <v>1460000</v>
      </c>
      <c r="X9" s="28">
        <f>SUM($E9:I9)</f>
        <v>1825000</v>
      </c>
      <c r="Y9" s="28">
        <f>SUM($E9:J9)</f>
        <v>2190000</v>
      </c>
      <c r="Z9" s="28">
        <f>SUM($E9:K9)</f>
        <v>2555000</v>
      </c>
      <c r="AA9" s="28">
        <f>SUM($E9:L9)</f>
        <v>2920000</v>
      </c>
      <c r="AB9" s="28">
        <f>SUM($E9:M9)</f>
        <v>3285000</v>
      </c>
      <c r="AC9" s="28">
        <f>SUM($E9:N9)</f>
        <v>3650000</v>
      </c>
      <c r="AD9" s="28">
        <f>SUM($E9:O9)</f>
        <v>4015000</v>
      </c>
      <c r="AE9" s="28">
        <f>SUM($E9:P9)</f>
        <v>4381000</v>
      </c>
      <c r="AG9" s="29">
        <v>1742410.85</v>
      </c>
      <c r="AI9" s="30">
        <f t="shared" si="4"/>
        <v>330000</v>
      </c>
      <c r="AJ9" s="30">
        <v>330000</v>
      </c>
      <c r="AK9" s="30">
        <v>330000</v>
      </c>
      <c r="AL9" s="30">
        <v>330000</v>
      </c>
      <c r="AM9" s="30">
        <v>330000</v>
      </c>
      <c r="AN9" s="31">
        <v>330000</v>
      </c>
      <c r="AO9" s="29">
        <f t="shared" si="5"/>
        <v>1980000</v>
      </c>
      <c r="AP9" s="32">
        <f t="shared" si="6"/>
        <v>4170000</v>
      </c>
      <c r="AR9" s="33">
        <f t="shared" si="7"/>
        <v>2072410.85</v>
      </c>
      <c r="AS9" s="30">
        <f t="shared" si="8"/>
        <v>2402410.85</v>
      </c>
      <c r="AT9" s="30">
        <f t="shared" si="9"/>
        <v>2732410.85</v>
      </c>
      <c r="AU9" s="30">
        <f t="shared" si="10"/>
        <v>3062410.85</v>
      </c>
      <c r="AV9" s="30">
        <f t="shared" si="11"/>
        <v>3392410.85</v>
      </c>
      <c r="AW9" s="34">
        <f t="shared" si="12"/>
        <v>3722410.85</v>
      </c>
    </row>
    <row r="10" spans="1:49" ht="15" customHeight="1">
      <c r="A10" s="23">
        <v>8</v>
      </c>
      <c r="B10" s="23" t="s">
        <v>37</v>
      </c>
      <c r="C10" s="24" t="s">
        <v>37</v>
      </c>
      <c r="D10" s="25" t="s">
        <v>32</v>
      </c>
      <c r="E10" s="26">
        <v>83333.333333333299</v>
      </c>
      <c r="F10" s="26">
        <v>109365.079365079</v>
      </c>
      <c r="G10" s="26">
        <v>111269.841269841</v>
      </c>
      <c r="H10" s="26">
        <v>97460.317460317499</v>
      </c>
      <c r="I10" s="26">
        <v>99365.079365079393</v>
      </c>
      <c r="J10" s="26">
        <v>107301.587301587</v>
      </c>
      <c r="K10" s="26">
        <v>107301.587301587</v>
      </c>
      <c r="L10" s="26">
        <v>107301.587301587</v>
      </c>
      <c r="M10" s="26">
        <v>95396.825396825399</v>
      </c>
      <c r="N10" s="26">
        <v>103333.33333333299</v>
      </c>
      <c r="O10" s="26">
        <v>107301.587301587</v>
      </c>
      <c r="P10" s="26">
        <v>91269.841269841301</v>
      </c>
      <c r="Q10" s="27">
        <f t="shared" si="2"/>
        <v>1219999.9999999981</v>
      </c>
      <c r="S10" s="28">
        <f t="shared" si="3"/>
        <v>83333.333333333299</v>
      </c>
      <c r="U10" s="28">
        <f>SUM($E10:F10)</f>
        <v>192698.41269841231</v>
      </c>
      <c r="V10" s="28">
        <f>SUM($E10:G10)</f>
        <v>303968.25396825332</v>
      </c>
      <c r="W10" s="28">
        <f>SUM($E10:H10)</f>
        <v>401428.57142857084</v>
      </c>
      <c r="X10" s="28">
        <f>SUM($E10:I10)</f>
        <v>500793.65079365025</v>
      </c>
      <c r="Y10" s="28">
        <f>SUM($E10:J10)</f>
        <v>608095.23809523729</v>
      </c>
      <c r="Z10" s="28">
        <f>SUM($E10:K10)</f>
        <v>715396.82539682428</v>
      </c>
      <c r="AA10" s="28">
        <f>SUM($E10:L10)</f>
        <v>822698.41269841127</v>
      </c>
      <c r="AB10" s="28">
        <f>SUM($E10:M10)</f>
        <v>918095.23809523671</v>
      </c>
      <c r="AC10" s="28">
        <f>SUM($E10:N10)</f>
        <v>1021428.5714285697</v>
      </c>
      <c r="AD10" s="28">
        <f>SUM($E10:O10)</f>
        <v>1128730.1587301567</v>
      </c>
      <c r="AE10" s="28">
        <f>SUM($E10:P10)</f>
        <v>1219999.9999999981</v>
      </c>
      <c r="AG10" s="29">
        <v>343097.61099999998</v>
      </c>
      <c r="AI10" s="30">
        <f t="shared" si="4"/>
        <v>100000</v>
      </c>
      <c r="AJ10" s="30">
        <v>100000</v>
      </c>
      <c r="AK10" s="30">
        <v>100000</v>
      </c>
      <c r="AL10" s="30">
        <v>100000</v>
      </c>
      <c r="AM10" s="30">
        <v>100000</v>
      </c>
      <c r="AN10" s="31">
        <v>100000</v>
      </c>
      <c r="AO10" s="29">
        <f t="shared" si="5"/>
        <v>600000</v>
      </c>
      <c r="AP10" s="32">
        <f t="shared" si="6"/>
        <v>1208095.2380952374</v>
      </c>
      <c r="AR10" s="33">
        <f t="shared" si="7"/>
        <v>443097.61099999998</v>
      </c>
      <c r="AS10" s="30">
        <f t="shared" si="8"/>
        <v>543097.61100000003</v>
      </c>
      <c r="AT10" s="30">
        <f t="shared" si="9"/>
        <v>643097.61100000003</v>
      </c>
      <c r="AU10" s="30">
        <f t="shared" si="10"/>
        <v>743097.61100000003</v>
      </c>
      <c r="AV10" s="30">
        <f t="shared" si="11"/>
        <v>843097.61100000003</v>
      </c>
      <c r="AW10" s="34">
        <f t="shared" si="12"/>
        <v>943097.61100000003</v>
      </c>
    </row>
    <row r="11" spans="1:49" ht="15" customHeight="1">
      <c r="A11" s="23">
        <v>6</v>
      </c>
      <c r="B11" s="23" t="s">
        <v>38</v>
      </c>
      <c r="C11" s="24" t="s">
        <v>38</v>
      </c>
      <c r="D11" s="25" t="s">
        <v>32</v>
      </c>
      <c r="E11" s="26">
        <v>127583.33333333299</v>
      </c>
      <c r="F11" s="26">
        <v>155079.365079365</v>
      </c>
      <c r="G11" s="26">
        <v>160591.26984127</v>
      </c>
      <c r="H11" s="26">
        <v>139567.46031746001</v>
      </c>
      <c r="I11" s="26">
        <v>170079.365079365</v>
      </c>
      <c r="J11" s="26">
        <v>177087.301587302</v>
      </c>
      <c r="K11" s="26">
        <v>177087.301587302</v>
      </c>
      <c r="L11" s="26">
        <v>177087.301587302</v>
      </c>
      <c r="M11" s="26">
        <v>166575.39682539701</v>
      </c>
      <c r="N11" s="26">
        <v>173583.33333333299</v>
      </c>
      <c r="O11" s="26">
        <v>177087.301587302</v>
      </c>
      <c r="P11" s="26">
        <v>177591.26984127</v>
      </c>
      <c r="Q11" s="27">
        <f t="shared" si="2"/>
        <v>1979000.0000000009</v>
      </c>
      <c r="S11" s="28">
        <f t="shared" si="3"/>
        <v>127583.33333333299</v>
      </c>
      <c r="U11" s="28">
        <f>SUM($E11:F11)</f>
        <v>282662.698412698</v>
      </c>
      <c r="V11" s="28">
        <f>SUM($E11:G11)</f>
        <v>443253.96825396799</v>
      </c>
      <c r="W11" s="28">
        <f>SUM($E11:H11)</f>
        <v>582821.42857142794</v>
      </c>
      <c r="X11" s="28">
        <f>SUM($E11:I11)</f>
        <v>752900.79365079291</v>
      </c>
      <c r="Y11" s="28">
        <f>SUM($E11:J11)</f>
        <v>929988.09523809492</v>
      </c>
      <c r="Z11" s="28">
        <f>SUM($E11:K11)</f>
        <v>1107075.3968253969</v>
      </c>
      <c r="AA11" s="28">
        <f>SUM($E11:L11)</f>
        <v>1284162.6984126989</v>
      </c>
      <c r="AB11" s="28">
        <f>SUM($E11:M11)</f>
        <v>1450738.0952380958</v>
      </c>
      <c r="AC11" s="28">
        <f>SUM($E11:N11)</f>
        <v>1624321.4285714289</v>
      </c>
      <c r="AD11" s="28">
        <f>SUM($E11:O11)</f>
        <v>1801408.7301587309</v>
      </c>
      <c r="AE11" s="28">
        <f>SUM($E11:P11)</f>
        <v>1979000.0000000009</v>
      </c>
      <c r="AG11" s="29">
        <v>475277.57</v>
      </c>
      <c r="AI11" s="30">
        <f t="shared" si="4"/>
        <v>100000</v>
      </c>
      <c r="AJ11" s="30">
        <v>100000</v>
      </c>
      <c r="AK11" s="30">
        <v>100000</v>
      </c>
      <c r="AL11" s="30">
        <v>100000</v>
      </c>
      <c r="AM11" s="30">
        <v>100000</v>
      </c>
      <c r="AN11" s="31">
        <v>100000</v>
      </c>
      <c r="AO11" s="29">
        <f t="shared" si="5"/>
        <v>600000</v>
      </c>
      <c r="AP11" s="32">
        <f t="shared" si="6"/>
        <v>1529988.0952380949</v>
      </c>
      <c r="AR11" s="33">
        <f t="shared" si="7"/>
        <v>575277.57000000007</v>
      </c>
      <c r="AS11" s="30">
        <f t="shared" si="8"/>
        <v>675277.57000000007</v>
      </c>
      <c r="AT11" s="30">
        <f t="shared" si="9"/>
        <v>775277.57000000007</v>
      </c>
      <c r="AU11" s="30">
        <f t="shared" si="10"/>
        <v>875277.57000000007</v>
      </c>
      <c r="AV11" s="30">
        <f t="shared" si="11"/>
        <v>975277.57000000007</v>
      </c>
      <c r="AW11" s="34">
        <f t="shared" si="12"/>
        <v>1075277.57</v>
      </c>
    </row>
    <row r="12" spans="1:49" ht="15" customHeight="1">
      <c r="A12" s="35">
        <v>10</v>
      </c>
      <c r="B12" s="35" t="s">
        <v>39</v>
      </c>
      <c r="C12" s="36" t="s">
        <v>39</v>
      </c>
      <c r="D12" s="25" t="s">
        <v>32</v>
      </c>
      <c r="E12" s="26">
        <v>15833.333333333299</v>
      </c>
      <c r="F12" s="26">
        <v>15079.3650793651</v>
      </c>
      <c r="G12" s="26">
        <v>17341.269841269801</v>
      </c>
      <c r="H12" s="26">
        <v>12817.4603174603</v>
      </c>
      <c r="I12" s="26">
        <v>15079.3650793651</v>
      </c>
      <c r="J12" s="26">
        <v>16587.301587301601</v>
      </c>
      <c r="K12" s="26">
        <v>16587.301587301601</v>
      </c>
      <c r="L12" s="26">
        <v>16587.301587301601</v>
      </c>
      <c r="M12" s="26">
        <v>14325.3968253968</v>
      </c>
      <c r="N12" s="26">
        <v>15833.333333333299</v>
      </c>
      <c r="O12" s="26">
        <v>16587.301587301601</v>
      </c>
      <c r="P12" s="26">
        <v>17341.269841269801</v>
      </c>
      <c r="Q12" s="27">
        <f t="shared" si="2"/>
        <v>189999.99999999985</v>
      </c>
      <c r="S12" s="28">
        <f t="shared" si="3"/>
        <v>15833.333333333299</v>
      </c>
      <c r="U12" s="28">
        <f>SUM($E12:F12)</f>
        <v>30912.698412698399</v>
      </c>
      <c r="V12" s="28">
        <f>SUM($E12:G12)</f>
        <v>48253.968253968196</v>
      </c>
      <c r="W12" s="28">
        <f>SUM($E12:H12)</f>
        <v>61071.428571428492</v>
      </c>
      <c r="X12" s="28">
        <f>SUM($E12:I12)</f>
        <v>76150.793650793596</v>
      </c>
      <c r="Y12" s="28">
        <f>SUM($E12:J12)</f>
        <v>92738.095238095193</v>
      </c>
      <c r="Z12" s="28">
        <f>SUM($E12:K12)</f>
        <v>109325.39682539679</v>
      </c>
      <c r="AA12" s="28">
        <f>SUM($E12:L12)</f>
        <v>125912.69841269839</v>
      </c>
      <c r="AB12" s="28">
        <f>SUM($E12:M12)</f>
        <v>140238.09523809518</v>
      </c>
      <c r="AC12" s="28">
        <f>SUM($E12:N12)</f>
        <v>156071.42857142846</v>
      </c>
      <c r="AD12" s="28">
        <f>SUM($E12:O12)</f>
        <v>172658.73015873006</v>
      </c>
      <c r="AE12" s="28">
        <f>SUM($E12:P12)</f>
        <v>189999.99999999985</v>
      </c>
      <c r="AG12" s="29">
        <v>61235.08</v>
      </c>
      <c r="AI12" s="30">
        <f t="shared" si="4"/>
        <v>15000</v>
      </c>
      <c r="AJ12" s="30">
        <v>15000</v>
      </c>
      <c r="AK12" s="30">
        <v>15000</v>
      </c>
      <c r="AL12" s="30">
        <v>15000</v>
      </c>
      <c r="AM12" s="30">
        <v>15000</v>
      </c>
      <c r="AN12" s="31">
        <v>15000</v>
      </c>
      <c r="AO12" s="29">
        <f t="shared" si="5"/>
        <v>90000</v>
      </c>
      <c r="AP12" s="32">
        <f t="shared" si="6"/>
        <v>182738.09523809521</v>
      </c>
      <c r="AR12" s="33">
        <f t="shared" si="7"/>
        <v>76235.08</v>
      </c>
      <c r="AS12" s="30">
        <f t="shared" si="8"/>
        <v>91235.08</v>
      </c>
      <c r="AT12" s="30">
        <f t="shared" si="9"/>
        <v>106235.08</v>
      </c>
      <c r="AU12" s="30">
        <f t="shared" si="10"/>
        <v>121235.08</v>
      </c>
      <c r="AV12" s="30">
        <f t="shared" si="11"/>
        <v>136235.08000000002</v>
      </c>
      <c r="AW12" s="34">
        <f t="shared" si="12"/>
        <v>151235.08000000002</v>
      </c>
    </row>
    <row r="13" spans="1:49" ht="15" customHeight="1">
      <c r="A13" s="23">
        <v>11</v>
      </c>
      <c r="B13" s="23" t="s">
        <v>40</v>
      </c>
      <c r="C13" s="24" t="s">
        <v>40</v>
      </c>
      <c r="D13" s="25" t="s">
        <v>32</v>
      </c>
      <c r="E13" s="26">
        <v>6333.3333333333303</v>
      </c>
      <c r="F13" s="26">
        <v>7936.50793650794</v>
      </c>
      <c r="G13" s="26">
        <v>9126.9841269841309</v>
      </c>
      <c r="H13" s="26">
        <v>6746.0317460317501</v>
      </c>
      <c r="I13" s="26">
        <v>7936.50793650794</v>
      </c>
      <c r="J13" s="26">
        <v>8730.1587301587297</v>
      </c>
      <c r="K13" s="26">
        <v>8730.1587301587297</v>
      </c>
      <c r="L13" s="26">
        <v>8730.1587301587297</v>
      </c>
      <c r="M13" s="26">
        <v>8539.6825396825407</v>
      </c>
      <c r="N13" s="26">
        <v>9333.3333333333303</v>
      </c>
      <c r="O13" s="26">
        <v>8730.1587301587297</v>
      </c>
      <c r="P13" s="26">
        <v>9126.9841269841309</v>
      </c>
      <c r="Q13" s="27">
        <f t="shared" si="2"/>
        <v>100000</v>
      </c>
      <c r="S13" s="28">
        <f t="shared" si="3"/>
        <v>6333.3333333333303</v>
      </c>
      <c r="U13" s="28">
        <f>SUM($E13:F13)</f>
        <v>14269.84126984127</v>
      </c>
      <c r="V13" s="28">
        <f>SUM($E13:G13)</f>
        <v>23396.825396825399</v>
      </c>
      <c r="W13" s="28">
        <f>SUM($E13:H13)</f>
        <v>30142.857142857149</v>
      </c>
      <c r="X13" s="28">
        <f>SUM($E13:I13)</f>
        <v>38079.365079365089</v>
      </c>
      <c r="Y13" s="28">
        <f>SUM($E13:J13)</f>
        <v>46809.523809523816</v>
      </c>
      <c r="Z13" s="28">
        <f>SUM($E13:K13)</f>
        <v>55539.682539682544</v>
      </c>
      <c r="AA13" s="28">
        <f>SUM($E13:L13)</f>
        <v>64269.841269841272</v>
      </c>
      <c r="AB13" s="28">
        <f>SUM($E13:M13)</f>
        <v>72809.523809523816</v>
      </c>
      <c r="AC13" s="28">
        <f>SUM($E13:N13)</f>
        <v>82142.857142857145</v>
      </c>
      <c r="AD13" s="28">
        <f>SUM($E13:O13)</f>
        <v>90873.015873015873</v>
      </c>
      <c r="AE13" s="28">
        <f>SUM($E13:P13)</f>
        <v>100000</v>
      </c>
      <c r="AG13" s="29">
        <v>34015.410000000003</v>
      </c>
      <c r="AI13" s="30">
        <f t="shared" si="4"/>
        <v>10000</v>
      </c>
      <c r="AJ13" s="30">
        <v>10000</v>
      </c>
      <c r="AK13" s="30">
        <v>10000</v>
      </c>
      <c r="AL13" s="30">
        <v>10000</v>
      </c>
      <c r="AM13" s="30">
        <v>10000</v>
      </c>
      <c r="AN13" s="31">
        <v>10000</v>
      </c>
      <c r="AO13" s="29">
        <f t="shared" si="5"/>
        <v>60000</v>
      </c>
      <c r="AP13" s="32">
        <f t="shared" si="6"/>
        <v>106809.52380952382</v>
      </c>
      <c r="AR13" s="33">
        <f t="shared" si="7"/>
        <v>44015.41</v>
      </c>
      <c r="AS13" s="30">
        <f t="shared" si="8"/>
        <v>54015.41</v>
      </c>
      <c r="AT13" s="30">
        <f t="shared" si="9"/>
        <v>64015.41</v>
      </c>
      <c r="AU13" s="30">
        <f t="shared" si="10"/>
        <v>74015.41</v>
      </c>
      <c r="AV13" s="30">
        <f t="shared" si="11"/>
        <v>84015.41</v>
      </c>
      <c r="AW13" s="34">
        <f t="shared" si="12"/>
        <v>94015.41</v>
      </c>
    </row>
    <row r="14" spans="1:49" ht="15" customHeight="1">
      <c r="A14" s="23">
        <v>14</v>
      </c>
      <c r="B14" s="23" t="s">
        <v>41</v>
      </c>
      <c r="C14" s="24" t="s">
        <v>41</v>
      </c>
      <c r="D14" s="25" t="s">
        <v>32</v>
      </c>
      <c r="E14" s="26"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7">
        <f t="shared" si="2"/>
        <v>0</v>
      </c>
      <c r="S14" s="28">
        <f t="shared" si="3"/>
        <v>0</v>
      </c>
      <c r="U14" s="28">
        <f>SUM($E14:F14)</f>
        <v>0</v>
      </c>
      <c r="V14" s="28">
        <f>SUM($E14:G14)</f>
        <v>0</v>
      </c>
      <c r="W14" s="28">
        <f>SUM($E14:H14)</f>
        <v>0</v>
      </c>
      <c r="X14" s="28">
        <f>SUM($E14:I14)</f>
        <v>0</v>
      </c>
      <c r="Y14" s="28">
        <f>SUM($E14:J14)</f>
        <v>0</v>
      </c>
      <c r="Z14" s="28">
        <f>SUM($E14:K14)</f>
        <v>0</v>
      </c>
      <c r="AA14" s="28">
        <f>SUM($E14:L14)</f>
        <v>0</v>
      </c>
      <c r="AB14" s="28">
        <f>SUM($E14:M14)</f>
        <v>0</v>
      </c>
      <c r="AC14" s="28">
        <f>SUM($E14:N14)</f>
        <v>0</v>
      </c>
      <c r="AD14" s="28">
        <f>SUM($E14:O14)</f>
        <v>0</v>
      </c>
      <c r="AE14" s="28">
        <f>SUM($E14:P14)</f>
        <v>0</v>
      </c>
      <c r="AG14" s="29">
        <v>3576.15</v>
      </c>
      <c r="AI14" s="30">
        <f t="shared" si="4"/>
        <v>5000</v>
      </c>
      <c r="AJ14" s="30">
        <v>5000</v>
      </c>
      <c r="AK14" s="30">
        <v>5000</v>
      </c>
      <c r="AL14" s="30">
        <v>5000</v>
      </c>
      <c r="AM14" s="30">
        <v>5000</v>
      </c>
      <c r="AN14" s="31">
        <v>5000</v>
      </c>
      <c r="AO14" s="29">
        <f t="shared" si="5"/>
        <v>30000</v>
      </c>
      <c r="AP14" s="32">
        <f t="shared" si="6"/>
        <v>30000</v>
      </c>
      <c r="AR14" s="33">
        <f t="shared" si="7"/>
        <v>8576.15</v>
      </c>
      <c r="AS14" s="30">
        <f t="shared" si="8"/>
        <v>13576.15</v>
      </c>
      <c r="AT14" s="30">
        <f t="shared" si="9"/>
        <v>18576.150000000001</v>
      </c>
      <c r="AU14" s="30">
        <f t="shared" si="10"/>
        <v>23576.15</v>
      </c>
      <c r="AV14" s="30">
        <f t="shared" si="11"/>
        <v>28576.15</v>
      </c>
      <c r="AW14" s="34">
        <f t="shared" si="12"/>
        <v>33576.15</v>
      </c>
    </row>
    <row r="15" spans="1:49" ht="15" customHeight="1">
      <c r="A15" s="23">
        <v>16</v>
      </c>
      <c r="B15" s="23" t="s">
        <v>42</v>
      </c>
      <c r="C15" s="24" t="s">
        <v>42</v>
      </c>
      <c r="D15" s="25" t="s">
        <v>32</v>
      </c>
      <c r="E15" s="26">
        <v>0</v>
      </c>
      <c r="F15" s="26">
        <v>0</v>
      </c>
      <c r="G15" s="26">
        <v>0</v>
      </c>
      <c r="H15" s="26">
        <v>0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7">
        <f t="shared" si="2"/>
        <v>0</v>
      </c>
      <c r="S15" s="28">
        <f t="shared" si="3"/>
        <v>0</v>
      </c>
      <c r="U15" s="28">
        <f>SUM($E15:F15)</f>
        <v>0</v>
      </c>
      <c r="V15" s="28">
        <f>SUM($E15:G15)</f>
        <v>0</v>
      </c>
      <c r="W15" s="28">
        <f>SUM($E15:H15)</f>
        <v>0</v>
      </c>
      <c r="X15" s="28">
        <f>SUM($E15:I15)</f>
        <v>0</v>
      </c>
      <c r="Y15" s="28">
        <f>SUM($E15:J15)</f>
        <v>0</v>
      </c>
      <c r="Z15" s="28">
        <f>SUM($E15:K15)</f>
        <v>0</v>
      </c>
      <c r="AA15" s="28">
        <f>SUM($E15:L15)</f>
        <v>0</v>
      </c>
      <c r="AB15" s="28">
        <f>SUM($E15:M15)</f>
        <v>0</v>
      </c>
      <c r="AC15" s="28">
        <f>SUM($E15:N15)</f>
        <v>0</v>
      </c>
      <c r="AD15" s="28">
        <f>SUM($E15:O15)</f>
        <v>0</v>
      </c>
      <c r="AE15" s="28">
        <f>SUM($E15:P15)</f>
        <v>0</v>
      </c>
      <c r="AG15" s="29"/>
      <c r="AI15" s="30">
        <f t="shared" si="4"/>
        <v>0</v>
      </c>
      <c r="AJ15" s="30"/>
      <c r="AK15" s="30"/>
      <c r="AL15" s="30"/>
      <c r="AM15" s="30"/>
      <c r="AN15" s="31"/>
      <c r="AO15" s="29">
        <f t="shared" si="5"/>
        <v>0</v>
      </c>
      <c r="AP15" s="32">
        <f t="shared" si="6"/>
        <v>0</v>
      </c>
      <c r="AR15" s="33">
        <f t="shared" si="7"/>
        <v>0</v>
      </c>
      <c r="AS15" s="30">
        <f t="shared" si="8"/>
        <v>0</v>
      </c>
      <c r="AT15" s="30">
        <f t="shared" si="9"/>
        <v>0</v>
      </c>
      <c r="AU15" s="30">
        <f t="shared" si="10"/>
        <v>0</v>
      </c>
      <c r="AV15" s="30">
        <f t="shared" si="11"/>
        <v>0</v>
      </c>
      <c r="AW15" s="34">
        <f t="shared" si="12"/>
        <v>0</v>
      </c>
    </row>
    <row r="16" spans="1:49" ht="15" customHeight="1">
      <c r="A16" s="23">
        <v>13</v>
      </c>
      <c r="B16" s="23" t="s">
        <v>43</v>
      </c>
      <c r="C16" s="24" t="s">
        <v>43</v>
      </c>
      <c r="D16" s="25" t="s">
        <v>32</v>
      </c>
      <c r="E16" s="26">
        <v>0</v>
      </c>
      <c r="F16" s="26">
        <v>0</v>
      </c>
      <c r="G16" s="26">
        <v>0</v>
      </c>
      <c r="H16" s="26">
        <v>50000</v>
      </c>
      <c r="I16" s="26">
        <v>50000</v>
      </c>
      <c r="J16" s="26">
        <v>50000</v>
      </c>
      <c r="K16" s="26">
        <v>50000</v>
      </c>
      <c r="L16" s="26">
        <v>50000</v>
      </c>
      <c r="M16" s="26">
        <v>50000</v>
      </c>
      <c r="N16" s="26">
        <v>50000</v>
      </c>
      <c r="O16" s="26">
        <v>50000</v>
      </c>
      <c r="P16" s="26">
        <v>0</v>
      </c>
      <c r="Q16" s="27">
        <f t="shared" si="2"/>
        <v>400000</v>
      </c>
      <c r="S16" s="28">
        <f t="shared" si="3"/>
        <v>0</v>
      </c>
      <c r="U16" s="28">
        <f>SUM($E16:F16)</f>
        <v>0</v>
      </c>
      <c r="V16" s="28">
        <f>SUM($E16:G16)</f>
        <v>0</v>
      </c>
      <c r="W16" s="28">
        <f>SUM($E16:H16)</f>
        <v>50000</v>
      </c>
      <c r="X16" s="28">
        <f>SUM($E16:I16)</f>
        <v>100000</v>
      </c>
      <c r="Y16" s="28">
        <f>SUM($E16:J16)</f>
        <v>150000</v>
      </c>
      <c r="Z16" s="28">
        <f>SUM($E16:K16)</f>
        <v>200000</v>
      </c>
      <c r="AA16" s="28">
        <f>SUM($E16:L16)</f>
        <v>250000</v>
      </c>
      <c r="AB16" s="28">
        <f>SUM($E16:M16)</f>
        <v>300000</v>
      </c>
      <c r="AC16" s="28">
        <f>SUM($E16:N16)</f>
        <v>350000</v>
      </c>
      <c r="AD16" s="28">
        <f>SUM($E16:O16)</f>
        <v>400000</v>
      </c>
      <c r="AE16" s="28">
        <f>SUM($E16:P16)</f>
        <v>400000</v>
      </c>
      <c r="AG16" s="29">
        <v>7748.72</v>
      </c>
      <c r="AI16" s="30">
        <f t="shared" si="4"/>
        <v>5000</v>
      </c>
      <c r="AJ16" s="30">
        <v>5000</v>
      </c>
      <c r="AK16" s="30">
        <v>5000</v>
      </c>
      <c r="AL16" s="30">
        <v>5000</v>
      </c>
      <c r="AM16" s="30">
        <v>5000</v>
      </c>
      <c r="AN16" s="31">
        <v>5000</v>
      </c>
      <c r="AO16" s="29">
        <f t="shared" si="5"/>
        <v>30000</v>
      </c>
      <c r="AP16" s="32">
        <f t="shared" si="6"/>
        <v>180000</v>
      </c>
      <c r="AR16" s="33">
        <f t="shared" si="7"/>
        <v>12748.720000000001</v>
      </c>
      <c r="AS16" s="30">
        <f t="shared" si="8"/>
        <v>17748.72</v>
      </c>
      <c r="AT16" s="30">
        <f t="shared" si="9"/>
        <v>22748.720000000001</v>
      </c>
      <c r="AU16" s="30">
        <f t="shared" si="10"/>
        <v>27748.720000000001</v>
      </c>
      <c r="AV16" s="30">
        <f t="shared" si="11"/>
        <v>32748.720000000001</v>
      </c>
      <c r="AW16" s="34">
        <f t="shared" si="12"/>
        <v>37748.720000000001</v>
      </c>
    </row>
    <row r="17" spans="1:49" ht="15" customHeight="1">
      <c r="A17" s="23">
        <v>9</v>
      </c>
      <c r="B17" s="23" t="s">
        <v>44</v>
      </c>
      <c r="C17" s="24" t="s">
        <v>44</v>
      </c>
      <c r="D17" s="25" t="s">
        <v>32</v>
      </c>
      <c r="E17" s="26">
        <v>16666.666666666701</v>
      </c>
      <c r="F17" s="26">
        <v>15873.0158730159</v>
      </c>
      <c r="G17" s="26">
        <v>18253.968253968302</v>
      </c>
      <c r="H17" s="26">
        <v>13492.0634920635</v>
      </c>
      <c r="I17" s="26">
        <v>15873.0158730159</v>
      </c>
      <c r="J17" s="26">
        <v>17460.317460317499</v>
      </c>
      <c r="K17" s="26">
        <v>17460.317460317499</v>
      </c>
      <c r="L17" s="26">
        <v>17460.317460317499</v>
      </c>
      <c r="M17" s="26">
        <v>15079.3650793651</v>
      </c>
      <c r="N17" s="26">
        <v>16666.666666666701</v>
      </c>
      <c r="O17" s="26">
        <v>17460.317460317499</v>
      </c>
      <c r="P17" s="26">
        <v>18253.968253968302</v>
      </c>
      <c r="Q17" s="27">
        <f t="shared" si="2"/>
        <v>200000.00000000038</v>
      </c>
      <c r="S17" s="28">
        <f t="shared" si="3"/>
        <v>16666.666666666701</v>
      </c>
      <c r="U17" s="28">
        <f>SUM($E17:F17)</f>
        <v>32539.682539682603</v>
      </c>
      <c r="V17" s="28">
        <f>SUM($E17:G17)</f>
        <v>50793.650793650901</v>
      </c>
      <c r="W17" s="28">
        <f>SUM($E17:H17)</f>
        <v>64285.714285714399</v>
      </c>
      <c r="X17" s="28">
        <f>SUM($E17:I17)</f>
        <v>80158.730158730294</v>
      </c>
      <c r="Y17" s="28">
        <f>SUM($E17:J17)</f>
        <v>97619.047619047793</v>
      </c>
      <c r="Z17" s="28">
        <f>SUM($E17:K17)</f>
        <v>115079.36507936529</v>
      </c>
      <c r="AA17" s="28">
        <f>SUM($E17:L17)</f>
        <v>132539.68253968278</v>
      </c>
      <c r="AB17" s="28">
        <f>SUM($E17:M17)</f>
        <v>147619.04761904787</v>
      </c>
      <c r="AC17" s="28">
        <f>SUM($E17:N17)</f>
        <v>164285.71428571455</v>
      </c>
      <c r="AD17" s="28">
        <f>SUM($E17:O17)</f>
        <v>181746.03174603207</v>
      </c>
      <c r="AE17" s="28">
        <f>SUM($E17:P17)</f>
        <v>200000.00000000038</v>
      </c>
      <c r="AG17" s="29">
        <v>89111.1</v>
      </c>
      <c r="AI17" s="30">
        <f t="shared" si="4"/>
        <v>25000</v>
      </c>
      <c r="AJ17" s="30">
        <v>25000</v>
      </c>
      <c r="AK17" s="30">
        <v>25000</v>
      </c>
      <c r="AL17" s="30">
        <v>25000</v>
      </c>
      <c r="AM17" s="30">
        <v>25000</v>
      </c>
      <c r="AN17" s="31">
        <v>25000</v>
      </c>
      <c r="AO17" s="29">
        <f t="shared" si="5"/>
        <v>150000</v>
      </c>
      <c r="AP17" s="32">
        <f t="shared" si="6"/>
        <v>247619.04761904781</v>
      </c>
      <c r="AR17" s="33">
        <f t="shared" si="7"/>
        <v>114111.1</v>
      </c>
      <c r="AS17" s="30">
        <f t="shared" si="8"/>
        <v>139111.1</v>
      </c>
      <c r="AT17" s="30">
        <f t="shared" si="9"/>
        <v>164111.1</v>
      </c>
      <c r="AU17" s="30">
        <f t="shared" si="10"/>
        <v>189111.1</v>
      </c>
      <c r="AV17" s="30">
        <f t="shared" si="11"/>
        <v>214111.1</v>
      </c>
      <c r="AW17" s="34">
        <f t="shared" si="12"/>
        <v>239111.1</v>
      </c>
    </row>
    <row r="18" spans="1:49" ht="15" customHeight="1">
      <c r="A18" s="23">
        <v>2</v>
      </c>
      <c r="B18" s="23" t="s">
        <v>45</v>
      </c>
      <c r="C18" s="24" t="s">
        <v>45</v>
      </c>
      <c r="D18" s="25" t="s">
        <v>32</v>
      </c>
      <c r="E18" s="26">
        <v>296610.16949152498</v>
      </c>
      <c r="F18" s="26">
        <v>444915.25423728803</v>
      </c>
      <c r="G18" s="26">
        <v>489406.779661017</v>
      </c>
      <c r="H18" s="26">
        <v>453601.69491525402</v>
      </c>
      <c r="I18" s="26">
        <v>592182.203389831</v>
      </c>
      <c r="J18" s="26">
        <v>888273.72881355905</v>
      </c>
      <c r="K18" s="26">
        <v>977100.84745762695</v>
      </c>
      <c r="L18" s="26">
        <v>1159556.77966102</v>
      </c>
      <c r="M18" s="26">
        <v>1012800</v>
      </c>
      <c r="N18" s="26">
        <v>1300521.1864406799</v>
      </c>
      <c r="O18" s="26">
        <v>1684810.1694915299</v>
      </c>
      <c r="P18" s="26">
        <v>1488884.74576271</v>
      </c>
      <c r="Q18" s="27">
        <v>10788663.559322</v>
      </c>
      <c r="S18" s="28">
        <f t="shared" si="3"/>
        <v>296610.16949152498</v>
      </c>
      <c r="U18" s="28">
        <f>SUM($E18:F18)</f>
        <v>741525.42372881295</v>
      </c>
      <c r="V18" s="28">
        <f>SUM($E18:G18)</f>
        <v>1230932.20338983</v>
      </c>
      <c r="W18" s="28">
        <f>SUM($E18:H18)</f>
        <v>1684533.8983050841</v>
      </c>
      <c r="X18" s="28">
        <f>SUM($E18:I18)</f>
        <v>2276716.101694915</v>
      </c>
      <c r="Y18" s="28">
        <f>SUM($E18:J18)</f>
        <v>3164989.8305084743</v>
      </c>
      <c r="Z18" s="28">
        <f>SUM($E18:K18)</f>
        <v>4142090.6779661011</v>
      </c>
      <c r="AA18" s="28">
        <f>SUM($E18:L18)</f>
        <v>5301647.4576271214</v>
      </c>
      <c r="AB18" s="28">
        <f>SUM($E18:M18)</f>
        <v>6314447.4576271214</v>
      </c>
      <c r="AC18" s="28">
        <f>SUM($E18:N18)</f>
        <v>7614968.6440678015</v>
      </c>
      <c r="AD18" s="28">
        <f>SUM($E18:O18)</f>
        <v>9299778.813559331</v>
      </c>
      <c r="AE18" s="28">
        <f>SUM($E18:P18)</f>
        <v>10788663.559322041</v>
      </c>
      <c r="AG18" s="29">
        <v>2231238.20000003</v>
      </c>
      <c r="AI18" s="30">
        <v>450000</v>
      </c>
      <c r="AJ18" s="30">
        <v>481500</v>
      </c>
      <c r="AK18" s="30">
        <v>977100.84745762695</v>
      </c>
      <c r="AL18" s="30">
        <v>1159556.77966102</v>
      </c>
      <c r="AM18" s="30">
        <v>1012800</v>
      </c>
      <c r="AN18" s="31">
        <v>1300521.1864406799</v>
      </c>
      <c r="AO18" s="29">
        <f t="shared" si="5"/>
        <v>5381478.8135593273</v>
      </c>
      <c r="AP18" s="32">
        <f t="shared" si="6"/>
        <v>8546468.6440678015</v>
      </c>
      <c r="AR18" s="33">
        <f t="shared" si="7"/>
        <v>2681238.20000003</v>
      </c>
      <c r="AS18" s="30">
        <f t="shared" si="8"/>
        <v>3162738.20000003</v>
      </c>
      <c r="AT18" s="30">
        <f t="shared" si="9"/>
        <v>4139839.0474576568</v>
      </c>
      <c r="AU18" s="30">
        <f t="shared" si="10"/>
        <v>5299395.8271186771</v>
      </c>
      <c r="AV18" s="30">
        <f t="shared" si="11"/>
        <v>6312195.8271186771</v>
      </c>
      <c r="AW18" s="34">
        <f t="shared" si="12"/>
        <v>7612717.0135593573</v>
      </c>
    </row>
    <row r="19" spans="1:49" ht="15" customHeight="1">
      <c r="A19" s="37">
        <v>12</v>
      </c>
      <c r="B19" s="37" t="s">
        <v>46</v>
      </c>
      <c r="C19" s="38" t="s">
        <v>46</v>
      </c>
      <c r="D19" s="25" t="s">
        <v>32</v>
      </c>
      <c r="E19" s="26">
        <v>2536.9283333333301</v>
      </c>
      <c r="F19" s="26">
        <v>2536.9283333333301</v>
      </c>
      <c r="G19" s="26">
        <v>2536.9283333333301</v>
      </c>
      <c r="H19" s="26">
        <v>2536.9283333333301</v>
      </c>
      <c r="I19" s="26">
        <v>2536.9283333333301</v>
      </c>
      <c r="J19" s="26">
        <v>2536.9283333333301</v>
      </c>
      <c r="K19" s="26">
        <v>2536.9283333333301</v>
      </c>
      <c r="L19" s="26">
        <v>2536.9283333333301</v>
      </c>
      <c r="M19" s="26">
        <v>2536.9283333333301</v>
      </c>
      <c r="N19" s="26">
        <v>2536.9283333333301</v>
      </c>
      <c r="O19" s="26">
        <v>2536.9283333333301</v>
      </c>
      <c r="P19" s="26">
        <v>2536.9283333333301</v>
      </c>
      <c r="Q19" s="27">
        <v>30443.14</v>
      </c>
      <c r="S19" s="28">
        <f t="shared" si="3"/>
        <v>2536.9283333333301</v>
      </c>
      <c r="U19" s="28">
        <f>SUM($E19:F19)</f>
        <v>5073.8566666666602</v>
      </c>
      <c r="V19" s="28">
        <f>SUM($E19:G19)</f>
        <v>7610.7849999999908</v>
      </c>
      <c r="W19" s="28">
        <f>SUM($E19:H19)</f>
        <v>10147.71333333332</v>
      </c>
      <c r="X19" s="28">
        <f>SUM($E19:I19)</f>
        <v>12684.64166666665</v>
      </c>
      <c r="Y19" s="28">
        <f>SUM($E19:J19)</f>
        <v>15221.56999999998</v>
      </c>
      <c r="Z19" s="28">
        <f>SUM($E19:K19)</f>
        <v>17758.498333333311</v>
      </c>
      <c r="AA19" s="28">
        <f>SUM($E19:L19)</f>
        <v>20295.426666666641</v>
      </c>
      <c r="AB19" s="28">
        <f>SUM($E19:M19)</f>
        <v>22832.35499999997</v>
      </c>
      <c r="AC19" s="28">
        <f>SUM($E19:N19)</f>
        <v>25369.2833333333</v>
      </c>
      <c r="AD19" s="28">
        <f>SUM($E19:O19)</f>
        <v>27906.21166666663</v>
      </c>
      <c r="AE19" s="28">
        <f>SUM($E19:P19)</f>
        <v>30443.139999999959</v>
      </c>
      <c r="AG19" s="29">
        <v>9807.02</v>
      </c>
      <c r="AI19" s="30">
        <f>AJ19</f>
        <v>5000</v>
      </c>
      <c r="AJ19" s="30">
        <v>5000</v>
      </c>
      <c r="AK19" s="30">
        <v>5000</v>
      </c>
      <c r="AL19" s="30">
        <v>5000</v>
      </c>
      <c r="AM19" s="30">
        <v>5000</v>
      </c>
      <c r="AN19" s="31">
        <v>5000</v>
      </c>
      <c r="AO19" s="29">
        <f t="shared" si="5"/>
        <v>30000</v>
      </c>
      <c r="AP19" s="32">
        <f t="shared" si="6"/>
        <v>45221.569999999978</v>
      </c>
      <c r="AR19" s="33">
        <f t="shared" si="7"/>
        <v>14807.02</v>
      </c>
      <c r="AS19" s="30">
        <f t="shared" si="8"/>
        <v>19807.02</v>
      </c>
      <c r="AT19" s="30">
        <f t="shared" si="9"/>
        <v>24807.02</v>
      </c>
      <c r="AU19" s="30">
        <f t="shared" si="10"/>
        <v>29807.02</v>
      </c>
      <c r="AV19" s="30">
        <f t="shared" si="11"/>
        <v>34807.020000000004</v>
      </c>
      <c r="AW19" s="34">
        <f t="shared" si="12"/>
        <v>39807.020000000004</v>
      </c>
    </row>
    <row r="20" spans="1:49" ht="15.75" customHeight="1">
      <c r="A20" s="39">
        <v>15</v>
      </c>
      <c r="B20" s="23" t="s">
        <v>47</v>
      </c>
      <c r="C20" s="24" t="s">
        <v>47</v>
      </c>
      <c r="D20" s="25" t="s">
        <v>32</v>
      </c>
      <c r="E20" s="26">
        <v>0</v>
      </c>
      <c r="F20" s="26">
        <v>0</v>
      </c>
      <c r="G20" s="26">
        <v>0</v>
      </c>
      <c r="H20" s="26">
        <v>12500</v>
      </c>
      <c r="I20" s="26">
        <v>0</v>
      </c>
      <c r="J20" s="26">
        <v>0</v>
      </c>
      <c r="K20" s="26">
        <v>0</v>
      </c>
      <c r="L20" s="26">
        <v>0</v>
      </c>
      <c r="M20" s="26">
        <v>0</v>
      </c>
      <c r="N20" s="26">
        <v>0</v>
      </c>
      <c r="O20" s="26">
        <v>12500</v>
      </c>
      <c r="P20" s="26">
        <v>0</v>
      </c>
      <c r="Q20" s="27">
        <f>SUM(E20:P20)</f>
        <v>25000</v>
      </c>
      <c r="S20" s="28">
        <f t="shared" si="3"/>
        <v>0</v>
      </c>
      <c r="U20" s="28">
        <f>SUM($E20:F20)</f>
        <v>0</v>
      </c>
      <c r="V20" s="28">
        <f>SUM($E20:G20)</f>
        <v>0</v>
      </c>
      <c r="W20" s="28">
        <f>SUM($E20:H20)</f>
        <v>12500</v>
      </c>
      <c r="X20" s="28">
        <f>SUM($E20:I20)</f>
        <v>12500</v>
      </c>
      <c r="Y20" s="28">
        <f>SUM($E20:J20)</f>
        <v>12500</v>
      </c>
      <c r="Z20" s="28">
        <f>SUM($E20:K20)</f>
        <v>12500</v>
      </c>
      <c r="AA20" s="28">
        <f>SUM($E20:L20)</f>
        <v>12500</v>
      </c>
      <c r="AB20" s="28">
        <f>SUM($E20:M20)</f>
        <v>12500</v>
      </c>
      <c r="AC20" s="28">
        <f>SUM($E20:N20)</f>
        <v>12500</v>
      </c>
      <c r="AD20" s="28">
        <f>SUM($E20:O20)</f>
        <v>25000</v>
      </c>
      <c r="AE20" s="28">
        <f>SUM($E20:P20)</f>
        <v>25000</v>
      </c>
      <c r="AG20" s="29">
        <v>1896.82</v>
      </c>
      <c r="AI20" s="40">
        <f>AJ20</f>
        <v>5000</v>
      </c>
      <c r="AJ20" s="40">
        <v>5000</v>
      </c>
      <c r="AK20" s="40">
        <v>5000</v>
      </c>
      <c r="AL20" s="40">
        <v>5000</v>
      </c>
      <c r="AM20" s="40">
        <v>5000</v>
      </c>
      <c r="AN20" s="41">
        <v>5000</v>
      </c>
      <c r="AO20" s="42">
        <f t="shared" si="5"/>
        <v>30000</v>
      </c>
      <c r="AP20" s="43">
        <f t="shared" si="6"/>
        <v>42500</v>
      </c>
      <c r="AR20" s="44">
        <f t="shared" si="7"/>
        <v>6896.82</v>
      </c>
      <c r="AS20" s="30">
        <f t="shared" si="8"/>
        <v>11896.82</v>
      </c>
      <c r="AT20" s="30">
        <f t="shared" si="9"/>
        <v>16896.82</v>
      </c>
      <c r="AU20" s="30">
        <f t="shared" si="10"/>
        <v>21896.82</v>
      </c>
      <c r="AV20" s="30">
        <f t="shared" si="11"/>
        <v>26896.82</v>
      </c>
      <c r="AW20" s="34">
        <f t="shared" si="12"/>
        <v>31896.82</v>
      </c>
    </row>
    <row r="21" spans="1:49" ht="15" customHeight="1">
      <c r="A21" s="45"/>
      <c r="B21" s="45" t="s">
        <v>48</v>
      </c>
      <c r="C21" s="45"/>
      <c r="D21" s="45"/>
      <c r="E21" s="46">
        <f t="shared" ref="E21:Q21" si="13">SUM(E5:E20)</f>
        <v>1852563.7644915248</v>
      </c>
      <c r="F21" s="46">
        <f t="shared" si="13"/>
        <v>2046896.6270150659</v>
      </c>
      <c r="G21" s="46">
        <f t="shared" si="13"/>
        <v>2233304.8191054617</v>
      </c>
      <c r="H21" s="46">
        <f t="shared" si="13"/>
        <v>1997166.4010263649</v>
      </c>
      <c r="I21" s="46">
        <f t="shared" si="13"/>
        <v>2297163.5761676091</v>
      </c>
      <c r="J21" s="46">
        <f t="shared" si="13"/>
        <v>2723199.546035782</v>
      </c>
      <c r="K21" s="46">
        <f t="shared" si="13"/>
        <v>2812026.6646798495</v>
      </c>
      <c r="L21" s="46">
        <f t="shared" si="13"/>
        <v>2994482.5968832425</v>
      </c>
      <c r="M21" s="46">
        <f t="shared" si="13"/>
        <v>2685809.1505555557</v>
      </c>
      <c r="N21" s="46">
        <f t="shared" si="13"/>
        <v>3047474.7814406794</v>
      </c>
      <c r="O21" s="46">
        <f t="shared" si="13"/>
        <v>3501235.9867137526</v>
      </c>
      <c r="P21" s="46">
        <f t="shared" si="13"/>
        <v>3268782.7852071547</v>
      </c>
      <c r="Q21" s="47">
        <f t="shared" si="13"/>
        <v>31460106.699322008</v>
      </c>
      <c r="S21" s="47">
        <f>SUM(S5:S20)</f>
        <v>1852563.7644915248</v>
      </c>
      <c r="U21" s="47">
        <f t="shared" ref="U21:AE21" si="14">SUM(U5:U20)</f>
        <v>3899460.3915065904</v>
      </c>
      <c r="V21" s="47">
        <f t="shared" si="14"/>
        <v>6132765.210612054</v>
      </c>
      <c r="W21" s="47">
        <f t="shared" si="14"/>
        <v>8129931.6116384175</v>
      </c>
      <c r="X21" s="47">
        <f t="shared" si="14"/>
        <v>10427095.187806027</v>
      </c>
      <c r="Y21" s="47">
        <f t="shared" si="14"/>
        <v>13150294.73384181</v>
      </c>
      <c r="Z21" s="47">
        <f t="shared" si="14"/>
        <v>15962321.398521662</v>
      </c>
      <c r="AA21" s="47">
        <f t="shared" si="14"/>
        <v>18956803.995404899</v>
      </c>
      <c r="AB21" s="47">
        <f t="shared" si="14"/>
        <v>21642613.145960461</v>
      </c>
      <c r="AC21" s="47">
        <f t="shared" si="14"/>
        <v>24690087.927401137</v>
      </c>
      <c r="AD21" s="47">
        <f t="shared" si="14"/>
        <v>28191323.914114892</v>
      </c>
      <c r="AE21" s="47">
        <f t="shared" si="14"/>
        <v>31460106.699322049</v>
      </c>
      <c r="AG21" s="48">
        <f>SUM(AG5:AG20)</f>
        <v>9870594.2670000289</v>
      </c>
      <c r="AI21" s="49">
        <f t="shared" ref="AI21:AP21" si="15">SUM(AI5:AI20)</f>
        <v>2100000</v>
      </c>
      <c r="AJ21" s="50">
        <f t="shared" si="15"/>
        <v>2131500</v>
      </c>
      <c r="AK21" s="50">
        <f t="shared" si="15"/>
        <v>2627100.8474576268</v>
      </c>
      <c r="AL21" s="50">
        <f t="shared" si="15"/>
        <v>2809556.7796610203</v>
      </c>
      <c r="AM21" s="50">
        <f t="shared" si="15"/>
        <v>2662800</v>
      </c>
      <c r="AN21" s="51">
        <f t="shared" si="15"/>
        <v>2950521.1864406802</v>
      </c>
      <c r="AO21" s="52">
        <f t="shared" si="15"/>
        <v>15281478.813559327</v>
      </c>
      <c r="AP21" s="53">
        <f t="shared" si="15"/>
        <v>28431773.547401134</v>
      </c>
      <c r="AR21" s="52">
        <f t="shared" si="7"/>
        <v>11970594.267000029</v>
      </c>
      <c r="AS21" s="50">
        <f t="shared" si="8"/>
        <v>14102094.267000029</v>
      </c>
      <c r="AT21" s="50">
        <f t="shared" si="9"/>
        <v>16729195.114457656</v>
      </c>
      <c r="AU21" s="50">
        <f t="shared" si="10"/>
        <v>19538751.894118674</v>
      </c>
      <c r="AV21" s="50">
        <f t="shared" si="11"/>
        <v>22201551.894118674</v>
      </c>
      <c r="AW21" s="54">
        <f t="shared" si="12"/>
        <v>25152073.080559354</v>
      </c>
    </row>
    <row r="22" spans="1:49" s="4" customFormat="1" ht="15" customHeight="1">
      <c r="A22" s="55">
        <v>50</v>
      </c>
      <c r="B22" s="56" t="s">
        <v>49</v>
      </c>
      <c r="C22" s="57" t="s">
        <v>50</v>
      </c>
      <c r="D22" s="58" t="s">
        <v>51</v>
      </c>
      <c r="E22" s="26">
        <v>272275.11011250003</v>
      </c>
      <c r="F22" s="26">
        <v>312309.92430000001</v>
      </c>
      <c r="G22" s="26">
        <v>332824.44442499999</v>
      </c>
      <c r="H22" s="26">
        <v>367136.19030000002</v>
      </c>
      <c r="I22" s="26">
        <v>398486.47080000001</v>
      </c>
      <c r="J22" s="26">
        <v>428463.75329999998</v>
      </c>
      <c r="K22" s="26">
        <v>461212.91617500002</v>
      </c>
      <c r="L22" s="26">
        <v>481801.94617499999</v>
      </c>
      <c r="M22" s="26">
        <v>477395.46854999999</v>
      </c>
      <c r="N22" s="26">
        <v>443955.5208</v>
      </c>
      <c r="O22" s="26">
        <v>398561.08173749998</v>
      </c>
      <c r="P22" s="26">
        <v>402156.52661250002</v>
      </c>
      <c r="Q22" s="27">
        <v>4776579.3532875003</v>
      </c>
      <c r="R22" s="30"/>
      <c r="S22" s="28">
        <f t="shared" ref="S22:S36" si="16">SUM(E22:E22)</f>
        <v>272275.11011250003</v>
      </c>
      <c r="U22" s="28">
        <f>SUM($E22:F22)</f>
        <v>584585.03441249998</v>
      </c>
      <c r="V22" s="28">
        <f>SUM($E22:G22)</f>
        <v>917409.47883749998</v>
      </c>
      <c r="W22" s="28">
        <f>SUM($E22:H22)</f>
        <v>1284545.6691375</v>
      </c>
      <c r="X22" s="28">
        <f>SUM($E22:I22)</f>
        <v>1683032.1399375</v>
      </c>
      <c r="Y22" s="28">
        <f>SUM($E22:J22)</f>
        <v>2111495.8932375</v>
      </c>
      <c r="Z22" s="28">
        <f>SUM($E22:K22)</f>
        <v>2572708.8094124999</v>
      </c>
      <c r="AA22" s="28">
        <f>SUM($E22:L22)</f>
        <v>3054510.7555875001</v>
      </c>
      <c r="AB22" s="28">
        <f>SUM($E22:M22)</f>
        <v>3531906.2241374999</v>
      </c>
      <c r="AC22" s="28">
        <f>SUM($E22:N22)</f>
        <v>3975861.7449375</v>
      </c>
      <c r="AD22" s="28">
        <f>SUM($E22:O22)</f>
        <v>4374422.8266749997</v>
      </c>
      <c r="AE22" s="28">
        <f>SUM($E22:P22)</f>
        <v>4776579.3532874994</v>
      </c>
      <c r="AG22" s="29">
        <v>1254357.4099999999</v>
      </c>
      <c r="AI22" s="59">
        <v>265966.8</v>
      </c>
      <c r="AJ22" s="59">
        <v>305012.40000000002</v>
      </c>
      <c r="AK22" s="59">
        <v>327115.8</v>
      </c>
      <c r="AL22" s="59">
        <v>321888.59999999998</v>
      </c>
      <c r="AM22" s="59">
        <v>326122.5</v>
      </c>
      <c r="AN22" s="60">
        <v>297561</v>
      </c>
      <c r="AO22" s="61">
        <f t="shared" ref="AO22:AO39" si="17">SUM(AI22:AN22)</f>
        <v>1843667.1</v>
      </c>
      <c r="AP22" s="62">
        <f t="shared" ref="AP22:AP39" si="18">SUM(AI22:AN22)+Y22</f>
        <v>3955162.9932375001</v>
      </c>
      <c r="AR22" s="63">
        <f t="shared" si="7"/>
        <v>1520324.21</v>
      </c>
      <c r="AS22" s="30">
        <f t="shared" si="8"/>
        <v>1825336.6099999999</v>
      </c>
      <c r="AT22" s="30">
        <f t="shared" si="9"/>
        <v>2152452.4099999997</v>
      </c>
      <c r="AU22" s="30">
        <f t="shared" si="10"/>
        <v>2474341.0099999998</v>
      </c>
      <c r="AV22" s="30">
        <f t="shared" si="11"/>
        <v>2800463.51</v>
      </c>
      <c r="AW22" s="34">
        <f t="shared" si="12"/>
        <v>3098024.51</v>
      </c>
    </row>
    <row r="23" spans="1:49" ht="15" customHeight="1">
      <c r="A23" s="23">
        <v>20</v>
      </c>
      <c r="B23" s="64" t="s">
        <v>52</v>
      </c>
      <c r="C23" s="57" t="s">
        <v>53</v>
      </c>
      <c r="D23" s="25" t="s">
        <v>54</v>
      </c>
      <c r="E23" s="26"/>
      <c r="F23" s="26">
        <f>980000*0.24</f>
        <v>235200</v>
      </c>
      <c r="G23" s="26"/>
      <c r="H23" s="26"/>
      <c r="I23" s="26">
        <f>980000*0.24</f>
        <v>235200</v>
      </c>
      <c r="J23" s="26"/>
      <c r="K23" s="26">
        <f>980000*0.21</f>
        <v>205800</v>
      </c>
      <c r="L23" s="26"/>
      <c r="M23" s="26"/>
      <c r="N23" s="26">
        <f>980000*0.16</f>
        <v>156800</v>
      </c>
      <c r="O23" s="26"/>
      <c r="P23" s="26">
        <f>980000*0.15</f>
        <v>147000</v>
      </c>
      <c r="Q23" s="27">
        <f t="shared" ref="Q23:Q36" si="19">SUM(E23:P23)</f>
        <v>980000</v>
      </c>
      <c r="R23" s="30">
        <v>980000</v>
      </c>
      <c r="S23" s="28">
        <f t="shared" si="16"/>
        <v>0</v>
      </c>
      <c r="T23" s="4"/>
      <c r="U23" s="28">
        <f>SUM($E23:F23)</f>
        <v>235200</v>
      </c>
      <c r="V23" s="28">
        <f>SUM($E23:G23)</f>
        <v>235200</v>
      </c>
      <c r="W23" s="28">
        <f>SUM($E23:H23)</f>
        <v>235200</v>
      </c>
      <c r="X23" s="28">
        <f>SUM($E23:I23)</f>
        <v>470400</v>
      </c>
      <c r="Y23" s="28">
        <f>SUM($E23:J23)</f>
        <v>470400</v>
      </c>
      <c r="Z23" s="28">
        <f>SUM($E23:K23)</f>
        <v>676200</v>
      </c>
      <c r="AA23" s="28">
        <f>SUM($E23:L23)</f>
        <v>676200</v>
      </c>
      <c r="AB23" s="28">
        <f>SUM($E23:M23)</f>
        <v>676200</v>
      </c>
      <c r="AC23" s="28">
        <f>SUM($E23:N23)</f>
        <v>833000</v>
      </c>
      <c r="AD23" s="28">
        <f>SUM($E23:O23)</f>
        <v>833000</v>
      </c>
      <c r="AE23" s="28">
        <f>SUM($E23:P23)</f>
        <v>980000</v>
      </c>
      <c r="AG23" s="29">
        <v>342081.02</v>
      </c>
      <c r="AI23" s="30">
        <v>0</v>
      </c>
      <c r="AJ23" s="30">
        <v>130000</v>
      </c>
      <c r="AK23" s="30">
        <v>0</v>
      </c>
      <c r="AL23" s="30">
        <v>300000</v>
      </c>
      <c r="AM23" s="30">
        <v>0</v>
      </c>
      <c r="AN23" s="31">
        <v>150000</v>
      </c>
      <c r="AO23" s="29">
        <f t="shared" si="17"/>
        <v>580000</v>
      </c>
      <c r="AP23" s="32">
        <f t="shared" si="18"/>
        <v>1050400</v>
      </c>
      <c r="AR23" s="33">
        <f t="shared" si="7"/>
        <v>342081.02</v>
      </c>
      <c r="AS23" s="30">
        <f t="shared" si="8"/>
        <v>472081.02</v>
      </c>
      <c r="AT23" s="30">
        <f t="shared" si="9"/>
        <v>472081.02</v>
      </c>
      <c r="AU23" s="30">
        <f t="shared" si="10"/>
        <v>772081.02</v>
      </c>
      <c r="AV23" s="30">
        <f t="shared" si="11"/>
        <v>772081.02</v>
      </c>
      <c r="AW23" s="34">
        <f t="shared" si="12"/>
        <v>922081.02</v>
      </c>
    </row>
    <row r="24" spans="1:49" ht="15" customHeight="1">
      <c r="A24" s="23">
        <v>21</v>
      </c>
      <c r="B24" s="64" t="s">
        <v>55</v>
      </c>
      <c r="C24" s="57" t="s">
        <v>56</v>
      </c>
      <c r="D24" s="25" t="s">
        <v>57</v>
      </c>
      <c r="E24" s="26">
        <v>124895.37</v>
      </c>
      <c r="F24" s="26">
        <f>3779*3.1</f>
        <v>11714.9</v>
      </c>
      <c r="G24" s="26">
        <v>15000</v>
      </c>
      <c r="H24" s="26">
        <v>100000</v>
      </c>
      <c r="I24" s="26">
        <v>15000</v>
      </c>
      <c r="J24" s="26">
        <v>35000</v>
      </c>
      <c r="K24" s="26">
        <v>13390</v>
      </c>
      <c r="L24" s="26">
        <v>120000</v>
      </c>
      <c r="M24" s="26">
        <v>15000</v>
      </c>
      <c r="N24" s="26"/>
      <c r="O24" s="26">
        <v>200000</v>
      </c>
      <c r="P24" s="26"/>
      <c r="Q24" s="27">
        <f t="shared" si="19"/>
        <v>650000.27</v>
      </c>
      <c r="R24" s="30">
        <v>650000</v>
      </c>
      <c r="S24" s="28">
        <f t="shared" si="16"/>
        <v>124895.37</v>
      </c>
      <c r="T24" s="4"/>
      <c r="U24" s="28">
        <f>SUM($E24:F24)</f>
        <v>136610.26999999999</v>
      </c>
      <c r="V24" s="28">
        <f>SUM($E24:G24)</f>
        <v>151610.26999999999</v>
      </c>
      <c r="W24" s="28">
        <f>SUM($E24:H24)</f>
        <v>251610.27</v>
      </c>
      <c r="X24" s="28">
        <f>SUM($E24:I24)</f>
        <v>266610.27</v>
      </c>
      <c r="Y24" s="28">
        <f>SUM($E24:J24)</f>
        <v>301610.27</v>
      </c>
      <c r="Z24" s="28">
        <f>SUM($E24:K24)</f>
        <v>315000.27</v>
      </c>
      <c r="AA24" s="28">
        <f>SUM($E24:L24)</f>
        <v>435000.27</v>
      </c>
      <c r="AB24" s="28">
        <f>SUM($E24:M24)</f>
        <v>450000.27</v>
      </c>
      <c r="AC24" s="28">
        <f>SUM($E24:N24)</f>
        <v>450000.27</v>
      </c>
      <c r="AD24" s="28">
        <f>SUM($E24:O24)</f>
        <v>650000.27</v>
      </c>
      <c r="AE24" s="28">
        <f>SUM($E24:P24)</f>
        <v>650000.27</v>
      </c>
      <c r="AG24" s="29">
        <v>333276.52</v>
      </c>
      <c r="AI24" s="30">
        <v>0</v>
      </c>
      <c r="AJ24" s="30">
        <v>20000</v>
      </c>
      <c r="AK24" s="30">
        <v>40000</v>
      </c>
      <c r="AL24" s="30">
        <v>0</v>
      </c>
      <c r="AM24" s="30">
        <v>220000</v>
      </c>
      <c r="AN24" s="31">
        <v>0</v>
      </c>
      <c r="AO24" s="29">
        <f t="shared" si="17"/>
        <v>280000</v>
      </c>
      <c r="AP24" s="32">
        <f t="shared" si="18"/>
        <v>581610.27</v>
      </c>
      <c r="AR24" s="33">
        <f t="shared" si="7"/>
        <v>333276.52</v>
      </c>
      <c r="AS24" s="30">
        <f t="shared" si="8"/>
        <v>353276.52</v>
      </c>
      <c r="AT24" s="30">
        <f t="shared" si="9"/>
        <v>393276.52</v>
      </c>
      <c r="AU24" s="30">
        <f t="shared" si="10"/>
        <v>393276.52</v>
      </c>
      <c r="AV24" s="30">
        <f t="shared" si="11"/>
        <v>613276.52</v>
      </c>
      <c r="AW24" s="34">
        <f t="shared" si="12"/>
        <v>613276.52</v>
      </c>
    </row>
    <row r="25" spans="1:49" ht="15" customHeight="1">
      <c r="A25" s="23">
        <v>22</v>
      </c>
      <c r="B25" s="64" t="s">
        <v>58</v>
      </c>
      <c r="C25" s="57" t="s">
        <v>59</v>
      </c>
      <c r="D25" s="25" t="s">
        <v>60</v>
      </c>
      <c r="E25" s="26">
        <v>67158.97</v>
      </c>
      <c r="F25" s="26"/>
      <c r="G25" s="26">
        <v>95000</v>
      </c>
      <c r="H25" s="26"/>
      <c r="I25" s="26">
        <v>85000</v>
      </c>
      <c r="J25" s="26"/>
      <c r="K25" s="26">
        <v>85000</v>
      </c>
      <c r="L25" s="26"/>
      <c r="M25" s="26">
        <v>85000</v>
      </c>
      <c r="N25" s="26"/>
      <c r="O25" s="26">
        <v>82841</v>
      </c>
      <c r="P25" s="26"/>
      <c r="Q25" s="27">
        <f t="shared" si="19"/>
        <v>499999.97</v>
      </c>
      <c r="R25" s="30">
        <v>500000</v>
      </c>
      <c r="S25" s="28">
        <f t="shared" si="16"/>
        <v>67158.97</v>
      </c>
      <c r="T25" s="4"/>
      <c r="U25" s="28">
        <f>SUM($E25:F25)</f>
        <v>67158.97</v>
      </c>
      <c r="V25" s="28">
        <f>SUM($E25:G25)</f>
        <v>162158.97</v>
      </c>
      <c r="W25" s="28">
        <f>SUM($E25:H25)</f>
        <v>162158.97</v>
      </c>
      <c r="X25" s="28">
        <f>SUM($E25:I25)</f>
        <v>247158.97</v>
      </c>
      <c r="Y25" s="28">
        <f>SUM($E25:J25)</f>
        <v>247158.97</v>
      </c>
      <c r="Z25" s="28">
        <f>SUM($E25:K25)</f>
        <v>332158.96999999997</v>
      </c>
      <c r="AA25" s="28">
        <f>SUM($E25:L25)</f>
        <v>332158.96999999997</v>
      </c>
      <c r="AB25" s="28">
        <f>SUM($E25:M25)</f>
        <v>417158.97</v>
      </c>
      <c r="AC25" s="28">
        <f>SUM($E25:N25)</f>
        <v>417158.97</v>
      </c>
      <c r="AD25" s="28">
        <f>SUM($E25:O25)</f>
        <v>499999.97</v>
      </c>
      <c r="AE25" s="28">
        <f>SUM($E25:P25)</f>
        <v>499999.97</v>
      </c>
      <c r="AG25" s="29">
        <v>307053.13</v>
      </c>
      <c r="AI25" s="30">
        <v>0</v>
      </c>
      <c r="AJ25" s="30">
        <v>0</v>
      </c>
      <c r="AK25" s="30">
        <v>75000</v>
      </c>
      <c r="AL25" s="30">
        <v>0</v>
      </c>
      <c r="AM25" s="30">
        <v>75000</v>
      </c>
      <c r="AN25" s="31">
        <v>0</v>
      </c>
      <c r="AO25" s="29">
        <f t="shared" si="17"/>
        <v>150000</v>
      </c>
      <c r="AP25" s="32">
        <f t="shared" si="18"/>
        <v>397158.97</v>
      </c>
      <c r="AR25" s="33">
        <f t="shared" si="7"/>
        <v>307053.13</v>
      </c>
      <c r="AS25" s="30">
        <f t="shared" si="8"/>
        <v>307053.13</v>
      </c>
      <c r="AT25" s="30">
        <f t="shared" si="9"/>
        <v>382053.13</v>
      </c>
      <c r="AU25" s="30">
        <f t="shared" si="10"/>
        <v>382053.13</v>
      </c>
      <c r="AV25" s="30">
        <f t="shared" si="11"/>
        <v>457053.13</v>
      </c>
      <c r="AW25" s="34">
        <f t="shared" si="12"/>
        <v>457053.13</v>
      </c>
    </row>
    <row r="26" spans="1:49" ht="15" customHeight="1">
      <c r="A26" s="23">
        <v>23</v>
      </c>
      <c r="B26" s="64" t="s">
        <v>61</v>
      </c>
      <c r="C26" s="57" t="s">
        <v>62</v>
      </c>
      <c r="D26" s="25" t="s">
        <v>63</v>
      </c>
      <c r="E26" s="26">
        <v>15774.92</v>
      </c>
      <c r="F26" s="26"/>
      <c r="G26" s="26">
        <v>17000</v>
      </c>
      <c r="H26" s="26">
        <v>10000</v>
      </c>
      <c r="I26" s="26">
        <v>17000</v>
      </c>
      <c r="J26" s="26">
        <v>10000</v>
      </c>
      <c r="K26" s="26">
        <v>17000</v>
      </c>
      <c r="L26" s="26">
        <v>10000</v>
      </c>
      <c r="M26" s="26">
        <v>17000</v>
      </c>
      <c r="N26" s="26">
        <v>9225</v>
      </c>
      <c r="O26" s="26">
        <v>17000</v>
      </c>
      <c r="P26" s="26"/>
      <c r="Q26" s="27">
        <f t="shared" si="19"/>
        <v>139999.91999999998</v>
      </c>
      <c r="R26" s="30">
        <v>140000</v>
      </c>
      <c r="S26" s="28">
        <f t="shared" si="16"/>
        <v>15774.92</v>
      </c>
      <c r="T26" s="4"/>
      <c r="U26" s="28">
        <f>SUM($E26:F26)</f>
        <v>15774.92</v>
      </c>
      <c r="V26" s="28">
        <f>SUM($E26:G26)</f>
        <v>32774.92</v>
      </c>
      <c r="W26" s="28">
        <f>SUM($E26:H26)</f>
        <v>42774.92</v>
      </c>
      <c r="X26" s="28">
        <f>SUM($E26:I26)</f>
        <v>59774.92</v>
      </c>
      <c r="Y26" s="28">
        <f>SUM($E26:J26)</f>
        <v>69774.92</v>
      </c>
      <c r="Z26" s="28">
        <f>SUM($E26:K26)</f>
        <v>86774.92</v>
      </c>
      <c r="AA26" s="28">
        <f>SUM($E26:L26)</f>
        <v>96774.92</v>
      </c>
      <c r="AB26" s="28">
        <f>SUM($E26:M26)</f>
        <v>113774.92</v>
      </c>
      <c r="AC26" s="28">
        <f>SUM($E26:N26)</f>
        <v>122999.92</v>
      </c>
      <c r="AD26" s="28">
        <f>SUM($E26:O26)</f>
        <v>139999.91999999998</v>
      </c>
      <c r="AE26" s="28">
        <f>SUM($E26:P26)</f>
        <v>139999.91999999998</v>
      </c>
      <c r="AG26" s="29">
        <v>76678.59</v>
      </c>
      <c r="AI26" s="30">
        <v>20000</v>
      </c>
      <c r="AJ26" s="30">
        <v>0</v>
      </c>
      <c r="AK26" s="30">
        <v>15000</v>
      </c>
      <c r="AL26" s="30">
        <v>0</v>
      </c>
      <c r="AM26" s="30">
        <v>20000</v>
      </c>
      <c r="AN26" s="31">
        <v>0</v>
      </c>
      <c r="AO26" s="29">
        <f t="shared" si="17"/>
        <v>55000</v>
      </c>
      <c r="AP26" s="32">
        <f t="shared" si="18"/>
        <v>124774.92</v>
      </c>
      <c r="AR26" s="33">
        <f t="shared" si="7"/>
        <v>96678.59</v>
      </c>
      <c r="AS26" s="30">
        <f t="shared" si="8"/>
        <v>96678.59</v>
      </c>
      <c r="AT26" s="30">
        <f t="shared" si="9"/>
        <v>111678.59</v>
      </c>
      <c r="AU26" s="30">
        <f t="shared" si="10"/>
        <v>111678.59</v>
      </c>
      <c r="AV26" s="30">
        <f t="shared" si="11"/>
        <v>131678.59</v>
      </c>
      <c r="AW26" s="34">
        <f t="shared" si="12"/>
        <v>131678.59</v>
      </c>
    </row>
    <row r="27" spans="1:49" ht="15" customHeight="1">
      <c r="A27" s="23">
        <v>24</v>
      </c>
      <c r="B27" s="64" t="s">
        <v>64</v>
      </c>
      <c r="C27" s="57" t="s">
        <v>65</v>
      </c>
      <c r="D27" s="25" t="s">
        <v>66</v>
      </c>
      <c r="E27" s="26"/>
      <c r="F27" s="26"/>
      <c r="G27" s="26">
        <v>5000</v>
      </c>
      <c r="H27" s="26">
        <v>5000</v>
      </c>
      <c r="I27" s="26">
        <v>5000</v>
      </c>
      <c r="J27" s="26">
        <v>5000</v>
      </c>
      <c r="K27" s="26">
        <v>5000</v>
      </c>
      <c r="L27" s="26">
        <v>5000</v>
      </c>
      <c r="M27" s="26">
        <v>5000</v>
      </c>
      <c r="N27" s="26">
        <v>5000</v>
      </c>
      <c r="O27" s="26">
        <v>5000</v>
      </c>
      <c r="P27" s="26">
        <v>5000</v>
      </c>
      <c r="Q27" s="27">
        <f t="shared" si="19"/>
        <v>50000</v>
      </c>
      <c r="R27" s="30">
        <v>50000</v>
      </c>
      <c r="S27" s="28">
        <f t="shared" si="16"/>
        <v>0</v>
      </c>
      <c r="T27" s="4"/>
      <c r="U27" s="28">
        <f>SUM($E27:F27)</f>
        <v>0</v>
      </c>
      <c r="V27" s="28">
        <f>SUM($E27:G27)</f>
        <v>5000</v>
      </c>
      <c r="W27" s="28">
        <f>SUM($E27:H27)</f>
        <v>10000</v>
      </c>
      <c r="X27" s="28">
        <f>SUM($E27:I27)</f>
        <v>15000</v>
      </c>
      <c r="Y27" s="28">
        <f>SUM($E27:J27)</f>
        <v>20000</v>
      </c>
      <c r="Z27" s="28">
        <f>SUM($E27:K27)</f>
        <v>25000</v>
      </c>
      <c r="AA27" s="28">
        <f>SUM($E27:L27)</f>
        <v>30000</v>
      </c>
      <c r="AB27" s="28">
        <f>SUM($E27:M27)</f>
        <v>35000</v>
      </c>
      <c r="AC27" s="28">
        <f>SUM($E27:N27)</f>
        <v>40000</v>
      </c>
      <c r="AD27" s="28">
        <f>SUM($E27:O27)</f>
        <v>45000</v>
      </c>
      <c r="AE27" s="28">
        <f>SUM($E27:P27)</f>
        <v>50000</v>
      </c>
      <c r="AG27" s="29">
        <v>0</v>
      </c>
      <c r="AI27" s="30">
        <v>0</v>
      </c>
      <c r="AJ27" s="30">
        <v>0</v>
      </c>
      <c r="AK27" s="30">
        <v>0</v>
      </c>
      <c r="AL27" s="30">
        <v>0</v>
      </c>
      <c r="AM27" s="30">
        <v>0</v>
      </c>
      <c r="AN27" s="31">
        <v>0</v>
      </c>
      <c r="AO27" s="29">
        <f t="shared" si="17"/>
        <v>0</v>
      </c>
      <c r="AP27" s="32">
        <f t="shared" si="18"/>
        <v>20000</v>
      </c>
      <c r="AR27" s="33">
        <f t="shared" si="7"/>
        <v>0</v>
      </c>
      <c r="AS27" s="30">
        <f t="shared" si="8"/>
        <v>0</v>
      </c>
      <c r="AT27" s="30">
        <f t="shared" si="9"/>
        <v>0</v>
      </c>
      <c r="AU27" s="30">
        <f t="shared" si="10"/>
        <v>0</v>
      </c>
      <c r="AV27" s="30">
        <f t="shared" si="11"/>
        <v>0</v>
      </c>
      <c r="AW27" s="34">
        <f t="shared" si="12"/>
        <v>0</v>
      </c>
    </row>
    <row r="28" spans="1:49" ht="15" customHeight="1">
      <c r="A28" s="23">
        <v>25</v>
      </c>
      <c r="B28" s="64" t="s">
        <v>67</v>
      </c>
      <c r="C28" s="57" t="s">
        <v>68</v>
      </c>
      <c r="D28" s="25" t="s">
        <v>69</v>
      </c>
      <c r="E28" s="26"/>
      <c r="F28" s="26"/>
      <c r="G28" s="26"/>
      <c r="H28" s="26">
        <v>150000</v>
      </c>
      <c r="I28" s="26"/>
      <c r="J28" s="26"/>
      <c r="K28" s="26">
        <v>150000</v>
      </c>
      <c r="L28" s="26"/>
      <c r="M28" s="26"/>
      <c r="N28" s="26"/>
      <c r="O28" s="26">
        <v>150000</v>
      </c>
      <c r="P28" s="26"/>
      <c r="Q28" s="27">
        <f t="shared" si="19"/>
        <v>450000</v>
      </c>
      <c r="R28" s="30">
        <v>450000</v>
      </c>
      <c r="S28" s="28">
        <f t="shared" si="16"/>
        <v>0</v>
      </c>
      <c r="T28" s="4"/>
      <c r="U28" s="28">
        <f>SUM($E28:F28)</f>
        <v>0</v>
      </c>
      <c r="V28" s="28">
        <f>SUM($E28:G28)</f>
        <v>0</v>
      </c>
      <c r="W28" s="28">
        <f>SUM($E28:H28)</f>
        <v>150000</v>
      </c>
      <c r="X28" s="28">
        <f>SUM($E28:I28)</f>
        <v>150000</v>
      </c>
      <c r="Y28" s="28">
        <f>SUM($E28:J28)</f>
        <v>150000</v>
      </c>
      <c r="Z28" s="28">
        <f>SUM($E28:K28)</f>
        <v>300000</v>
      </c>
      <c r="AA28" s="28">
        <f>SUM($E28:L28)</f>
        <v>300000</v>
      </c>
      <c r="AB28" s="28">
        <f>SUM($E28:M28)</f>
        <v>300000</v>
      </c>
      <c r="AC28" s="28">
        <f>SUM($E28:N28)</f>
        <v>300000</v>
      </c>
      <c r="AD28" s="28">
        <f>SUM($E28:O28)</f>
        <v>450000</v>
      </c>
      <c r="AE28" s="28">
        <f>SUM($E28:P28)</f>
        <v>450000</v>
      </c>
      <c r="AG28" s="29">
        <v>144147.47</v>
      </c>
      <c r="AI28" s="30">
        <v>240000</v>
      </c>
      <c r="AJ28" s="30">
        <v>0</v>
      </c>
      <c r="AK28" s="30">
        <v>70000</v>
      </c>
      <c r="AL28" s="30">
        <v>0</v>
      </c>
      <c r="AM28" s="30">
        <v>70000</v>
      </c>
      <c r="AN28" s="31">
        <v>0</v>
      </c>
      <c r="AO28" s="29">
        <f t="shared" si="17"/>
        <v>380000</v>
      </c>
      <c r="AP28" s="32">
        <f t="shared" si="18"/>
        <v>530000</v>
      </c>
      <c r="AR28" s="33">
        <f t="shared" si="7"/>
        <v>384147.47</v>
      </c>
      <c r="AS28" s="30">
        <f t="shared" si="8"/>
        <v>384147.47</v>
      </c>
      <c r="AT28" s="30">
        <f t="shared" si="9"/>
        <v>454147.47</v>
      </c>
      <c r="AU28" s="30">
        <f t="shared" si="10"/>
        <v>454147.47</v>
      </c>
      <c r="AV28" s="30">
        <f t="shared" si="11"/>
        <v>524147.47</v>
      </c>
      <c r="AW28" s="34">
        <f t="shared" si="12"/>
        <v>524147.47</v>
      </c>
    </row>
    <row r="29" spans="1:49" ht="15" customHeight="1">
      <c r="A29" s="23">
        <v>26</v>
      </c>
      <c r="B29" s="64" t="s">
        <v>70</v>
      </c>
      <c r="C29" s="57" t="s">
        <v>71</v>
      </c>
      <c r="D29" s="25" t="s">
        <v>72</v>
      </c>
      <c r="E29" s="26"/>
      <c r="F29" s="26">
        <v>40000</v>
      </c>
      <c r="G29" s="26"/>
      <c r="H29" s="26">
        <v>40000</v>
      </c>
      <c r="I29" s="26"/>
      <c r="J29" s="26">
        <v>40000</v>
      </c>
      <c r="K29" s="26"/>
      <c r="L29" s="26">
        <v>40000</v>
      </c>
      <c r="M29" s="26"/>
      <c r="N29" s="26"/>
      <c r="O29" s="26">
        <v>40000</v>
      </c>
      <c r="P29" s="26"/>
      <c r="Q29" s="27">
        <f t="shared" si="19"/>
        <v>200000</v>
      </c>
      <c r="R29" s="30">
        <v>200000</v>
      </c>
      <c r="S29" s="28">
        <f t="shared" si="16"/>
        <v>0</v>
      </c>
      <c r="T29" s="4">
        <f t="shared" ref="T29:T40" si="20">R29-Q29</f>
        <v>0</v>
      </c>
      <c r="U29" s="28">
        <f>SUM($E29:F29)</f>
        <v>40000</v>
      </c>
      <c r="V29" s="28">
        <f>SUM($E29:G29)</f>
        <v>40000</v>
      </c>
      <c r="W29" s="28">
        <f>SUM($E29:H29)</f>
        <v>80000</v>
      </c>
      <c r="X29" s="28">
        <f>SUM($E29:I29)</f>
        <v>80000</v>
      </c>
      <c r="Y29" s="28">
        <f>SUM($E29:J29)</f>
        <v>120000</v>
      </c>
      <c r="Z29" s="28">
        <f>SUM($E29:K29)</f>
        <v>120000</v>
      </c>
      <c r="AA29" s="28">
        <f>SUM($E29:L29)</f>
        <v>160000</v>
      </c>
      <c r="AB29" s="28">
        <f>SUM($E29:M29)</f>
        <v>160000</v>
      </c>
      <c r="AC29" s="28">
        <f>SUM($E29:N29)</f>
        <v>160000</v>
      </c>
      <c r="AD29" s="28">
        <f>SUM($E29:O29)</f>
        <v>200000</v>
      </c>
      <c r="AE29" s="28">
        <f>SUM($E29:P29)</f>
        <v>200000</v>
      </c>
      <c r="AG29" s="29">
        <v>60694.01</v>
      </c>
      <c r="AI29" s="30">
        <v>0</v>
      </c>
      <c r="AJ29" s="30">
        <v>0</v>
      </c>
      <c r="AK29" s="30">
        <v>20000</v>
      </c>
      <c r="AL29" s="30">
        <v>0</v>
      </c>
      <c r="AM29" s="30">
        <v>20000</v>
      </c>
      <c r="AN29" s="31">
        <v>0</v>
      </c>
      <c r="AO29" s="29">
        <f t="shared" si="17"/>
        <v>40000</v>
      </c>
      <c r="AP29" s="32">
        <f t="shared" si="18"/>
        <v>160000</v>
      </c>
      <c r="AR29" s="33">
        <f t="shared" si="7"/>
        <v>60694.01</v>
      </c>
      <c r="AS29" s="30">
        <f t="shared" si="8"/>
        <v>60694.01</v>
      </c>
      <c r="AT29" s="30">
        <f t="shared" si="9"/>
        <v>80694.010000000009</v>
      </c>
      <c r="AU29" s="30">
        <f t="shared" si="10"/>
        <v>80694.010000000009</v>
      </c>
      <c r="AV29" s="30">
        <f t="shared" si="11"/>
        <v>100694.01000000001</v>
      </c>
      <c r="AW29" s="34">
        <f t="shared" si="12"/>
        <v>100694.01000000001</v>
      </c>
    </row>
    <row r="30" spans="1:49" ht="15" customHeight="1">
      <c r="A30" s="23">
        <v>27</v>
      </c>
      <c r="B30" s="64" t="s">
        <v>73</v>
      </c>
      <c r="C30" s="57" t="s">
        <v>74</v>
      </c>
      <c r="D30" s="25" t="s">
        <v>75</v>
      </c>
      <c r="E30" s="26"/>
      <c r="F30" s="26"/>
      <c r="G30" s="26"/>
      <c r="H30" s="26"/>
      <c r="I30" s="26"/>
      <c r="J30" s="26"/>
      <c r="K30" s="26"/>
      <c r="L30" s="26">
        <v>250000</v>
      </c>
      <c r="M30" s="26"/>
      <c r="N30" s="26"/>
      <c r="O30" s="26"/>
      <c r="P30" s="26"/>
      <c r="Q30" s="27">
        <f t="shared" si="19"/>
        <v>250000</v>
      </c>
      <c r="R30" s="30">
        <v>250000</v>
      </c>
      <c r="S30" s="28">
        <f t="shared" si="16"/>
        <v>0</v>
      </c>
      <c r="T30" s="4">
        <f t="shared" si="20"/>
        <v>0</v>
      </c>
      <c r="U30" s="28">
        <f>SUM($E30:F30)</f>
        <v>0</v>
      </c>
      <c r="V30" s="28">
        <f>SUM($E30:G30)</f>
        <v>0</v>
      </c>
      <c r="W30" s="28">
        <f>SUM($E30:H30)</f>
        <v>0</v>
      </c>
      <c r="X30" s="28">
        <f>SUM($E30:I30)</f>
        <v>0</v>
      </c>
      <c r="Y30" s="28">
        <f>SUM($E30:J30)</f>
        <v>0</v>
      </c>
      <c r="Z30" s="28">
        <f>SUM($E30:K30)</f>
        <v>0</v>
      </c>
      <c r="AA30" s="28">
        <f>SUM($E30:L30)</f>
        <v>250000</v>
      </c>
      <c r="AB30" s="28">
        <f>SUM($E30:M30)</f>
        <v>250000</v>
      </c>
      <c r="AC30" s="28">
        <f>SUM($E30:N30)</f>
        <v>250000</v>
      </c>
      <c r="AD30" s="28">
        <f>SUM($E30:O30)</f>
        <v>250000</v>
      </c>
      <c r="AE30" s="28">
        <f>SUM($E30:P30)</f>
        <v>250000</v>
      </c>
      <c r="AG30" s="29">
        <v>0</v>
      </c>
      <c r="AI30" s="30">
        <v>0</v>
      </c>
      <c r="AJ30" s="30">
        <v>0</v>
      </c>
      <c r="AK30" s="30">
        <v>150000</v>
      </c>
      <c r="AL30" s="30">
        <v>100000</v>
      </c>
      <c r="AM30" s="30">
        <v>0</v>
      </c>
      <c r="AN30" s="31">
        <v>0</v>
      </c>
      <c r="AO30" s="29">
        <f t="shared" si="17"/>
        <v>250000</v>
      </c>
      <c r="AP30" s="32">
        <f t="shared" si="18"/>
        <v>250000</v>
      </c>
      <c r="AR30" s="33">
        <f t="shared" si="7"/>
        <v>0</v>
      </c>
      <c r="AS30" s="30">
        <f t="shared" si="8"/>
        <v>0</v>
      </c>
      <c r="AT30" s="30">
        <f t="shared" si="9"/>
        <v>150000</v>
      </c>
      <c r="AU30" s="30">
        <f t="shared" si="10"/>
        <v>250000</v>
      </c>
      <c r="AV30" s="30">
        <f t="shared" si="11"/>
        <v>250000</v>
      </c>
      <c r="AW30" s="34">
        <f t="shared" si="12"/>
        <v>250000</v>
      </c>
    </row>
    <row r="31" spans="1:49" ht="15" customHeight="1">
      <c r="A31" s="23">
        <v>28</v>
      </c>
      <c r="B31" s="64" t="s">
        <v>76</v>
      </c>
      <c r="C31" s="57" t="s">
        <v>77</v>
      </c>
      <c r="D31" s="25" t="s">
        <v>78</v>
      </c>
      <c r="E31" s="26">
        <v>27429.74</v>
      </c>
      <c r="F31" s="26">
        <f>6735*3.7</f>
        <v>24919.5</v>
      </c>
      <c r="G31" s="26">
        <f t="shared" ref="G31:P31" si="21">(450000-$E$31-$F$31)/10</f>
        <v>39765.076000000001</v>
      </c>
      <c r="H31" s="26">
        <f t="shared" si="21"/>
        <v>39765.076000000001</v>
      </c>
      <c r="I31" s="26">
        <f t="shared" si="21"/>
        <v>39765.076000000001</v>
      </c>
      <c r="J31" s="26">
        <f t="shared" si="21"/>
        <v>39765.076000000001</v>
      </c>
      <c r="K31" s="26">
        <f t="shared" si="21"/>
        <v>39765.076000000001</v>
      </c>
      <c r="L31" s="26">
        <f t="shared" si="21"/>
        <v>39765.076000000001</v>
      </c>
      <c r="M31" s="26">
        <f t="shared" si="21"/>
        <v>39765.076000000001</v>
      </c>
      <c r="N31" s="26">
        <f t="shared" si="21"/>
        <v>39765.076000000001</v>
      </c>
      <c r="O31" s="26">
        <f t="shared" si="21"/>
        <v>39765.076000000001</v>
      </c>
      <c r="P31" s="26">
        <f t="shared" si="21"/>
        <v>39765.076000000001</v>
      </c>
      <c r="Q31" s="27">
        <f t="shared" si="19"/>
        <v>450000</v>
      </c>
      <c r="R31" s="30">
        <v>450000</v>
      </c>
      <c r="S31" s="28">
        <f t="shared" si="16"/>
        <v>27429.74</v>
      </c>
      <c r="T31" s="4">
        <f t="shared" si="20"/>
        <v>0</v>
      </c>
      <c r="U31" s="28">
        <f>SUM($E31:F31)</f>
        <v>52349.240000000005</v>
      </c>
      <c r="V31" s="28">
        <f>SUM($E31:G31)</f>
        <v>92114.316000000006</v>
      </c>
      <c r="W31" s="28">
        <f>SUM($E31:H31)</f>
        <v>131879.39199999999</v>
      </c>
      <c r="X31" s="28">
        <f>SUM($E31:I31)</f>
        <v>171644.46799999999</v>
      </c>
      <c r="Y31" s="28">
        <f>SUM($E31:J31)</f>
        <v>211409.54399999999</v>
      </c>
      <c r="Z31" s="28">
        <f>SUM($E31:K31)</f>
        <v>251174.62</v>
      </c>
      <c r="AA31" s="28">
        <f>SUM($E31:L31)</f>
        <v>290939.696</v>
      </c>
      <c r="AB31" s="28">
        <f>SUM($E31:M31)</f>
        <v>330704.772</v>
      </c>
      <c r="AC31" s="28">
        <f>SUM($E31:N31)</f>
        <v>370469.848</v>
      </c>
      <c r="AD31" s="28">
        <f>SUM($E31:O31)</f>
        <v>410234.924</v>
      </c>
      <c r="AE31" s="28">
        <f>SUM($E31:P31)</f>
        <v>450000</v>
      </c>
      <c r="AG31" s="29">
        <v>203207.09</v>
      </c>
      <c r="AI31" s="30">
        <v>40000</v>
      </c>
      <c r="AJ31" s="30">
        <v>20000</v>
      </c>
      <c r="AK31" s="30">
        <v>40000</v>
      </c>
      <c r="AL31" s="30">
        <v>20000</v>
      </c>
      <c r="AM31" s="30">
        <v>40000</v>
      </c>
      <c r="AN31" s="31">
        <v>15000</v>
      </c>
      <c r="AO31" s="29">
        <f t="shared" si="17"/>
        <v>175000</v>
      </c>
      <c r="AP31" s="32">
        <f t="shared" si="18"/>
        <v>386409.54399999999</v>
      </c>
      <c r="AR31" s="33">
        <f t="shared" si="7"/>
        <v>243207.09</v>
      </c>
      <c r="AS31" s="30">
        <f t="shared" si="8"/>
        <v>263207.08999999997</v>
      </c>
      <c r="AT31" s="30">
        <f t="shared" si="9"/>
        <v>303207.08999999997</v>
      </c>
      <c r="AU31" s="30">
        <f t="shared" si="10"/>
        <v>323207.08999999997</v>
      </c>
      <c r="AV31" s="30">
        <f t="shared" si="11"/>
        <v>363207.08999999997</v>
      </c>
      <c r="AW31" s="34">
        <f t="shared" si="12"/>
        <v>378207.08999999997</v>
      </c>
    </row>
    <row r="32" spans="1:49" ht="15" customHeight="1">
      <c r="A32" s="23">
        <v>29</v>
      </c>
      <c r="B32" s="64" t="s">
        <v>79</v>
      </c>
      <c r="C32" s="57" t="s">
        <v>80</v>
      </c>
      <c r="D32" s="25" t="s">
        <v>81</v>
      </c>
      <c r="E32" s="26"/>
      <c r="F32" s="26"/>
      <c r="G32" s="26"/>
      <c r="H32" s="26">
        <v>35000</v>
      </c>
      <c r="I32" s="26"/>
      <c r="J32" s="26"/>
      <c r="K32" s="26"/>
      <c r="L32" s="26"/>
      <c r="M32" s="26"/>
      <c r="N32" s="26">
        <v>35000</v>
      </c>
      <c r="O32" s="26"/>
      <c r="P32" s="26"/>
      <c r="Q32" s="27">
        <f t="shared" si="19"/>
        <v>70000</v>
      </c>
      <c r="R32" s="30">
        <v>70000</v>
      </c>
      <c r="S32" s="28">
        <f t="shared" si="16"/>
        <v>0</v>
      </c>
      <c r="T32" s="4">
        <f t="shared" si="20"/>
        <v>0</v>
      </c>
      <c r="U32" s="28">
        <f>SUM($E32:F32)</f>
        <v>0</v>
      </c>
      <c r="V32" s="28">
        <f>SUM($E32:G32)</f>
        <v>0</v>
      </c>
      <c r="W32" s="28">
        <f>SUM($E32:H32)</f>
        <v>35000</v>
      </c>
      <c r="X32" s="28">
        <f>SUM($E32:I32)</f>
        <v>35000</v>
      </c>
      <c r="Y32" s="28">
        <f>SUM($E32:J32)</f>
        <v>35000</v>
      </c>
      <c r="Z32" s="28">
        <f>SUM($E32:K32)</f>
        <v>35000</v>
      </c>
      <c r="AA32" s="28">
        <f>SUM($E32:L32)</f>
        <v>35000</v>
      </c>
      <c r="AB32" s="28">
        <f>SUM($E32:M32)</f>
        <v>35000</v>
      </c>
      <c r="AC32" s="28">
        <f>SUM($E32:N32)</f>
        <v>70000</v>
      </c>
      <c r="AD32" s="28">
        <f>SUM($E32:O32)</f>
        <v>70000</v>
      </c>
      <c r="AE32" s="28">
        <f>SUM($E32:P32)</f>
        <v>70000</v>
      </c>
      <c r="AG32" s="29">
        <v>43116.44</v>
      </c>
      <c r="AI32" s="30">
        <v>0</v>
      </c>
      <c r="AJ32" s="30">
        <v>0</v>
      </c>
      <c r="AK32" s="30">
        <v>0</v>
      </c>
      <c r="AL32" s="30">
        <v>30000</v>
      </c>
      <c r="AM32" s="30">
        <v>0</v>
      </c>
      <c r="AN32" s="31">
        <v>0</v>
      </c>
      <c r="AO32" s="29">
        <f t="shared" si="17"/>
        <v>30000</v>
      </c>
      <c r="AP32" s="32">
        <f t="shared" si="18"/>
        <v>65000</v>
      </c>
      <c r="AR32" s="33">
        <f t="shared" si="7"/>
        <v>43116.44</v>
      </c>
      <c r="AS32" s="30">
        <f t="shared" si="8"/>
        <v>43116.44</v>
      </c>
      <c r="AT32" s="30">
        <f t="shared" si="9"/>
        <v>43116.44</v>
      </c>
      <c r="AU32" s="30">
        <f t="shared" si="10"/>
        <v>73116.44</v>
      </c>
      <c r="AV32" s="30">
        <f t="shared" si="11"/>
        <v>73116.44</v>
      </c>
      <c r="AW32" s="34">
        <f t="shared" si="12"/>
        <v>73116.44</v>
      </c>
    </row>
    <row r="33" spans="1:49" ht="15" customHeight="1">
      <c r="A33" s="23">
        <v>30</v>
      </c>
      <c r="B33" s="64" t="s">
        <v>82</v>
      </c>
      <c r="C33" s="57" t="s">
        <v>83</v>
      </c>
      <c r="D33" s="25" t="s">
        <v>81</v>
      </c>
      <c r="E33" s="26"/>
      <c r="F33" s="26"/>
      <c r="G33" s="26">
        <v>20000</v>
      </c>
      <c r="H33" s="26"/>
      <c r="I33" s="26"/>
      <c r="J33" s="26"/>
      <c r="K33" s="26">
        <v>20000</v>
      </c>
      <c r="L33" s="26"/>
      <c r="M33" s="26"/>
      <c r="N33" s="26"/>
      <c r="O33" s="26">
        <f>20000-207</f>
        <v>19793</v>
      </c>
      <c r="P33" s="26"/>
      <c r="Q33" s="27">
        <f t="shared" si="19"/>
        <v>59793</v>
      </c>
      <c r="R33" s="30">
        <v>59793.3</v>
      </c>
      <c r="S33" s="28">
        <f t="shared" si="16"/>
        <v>0</v>
      </c>
      <c r="T33" s="4">
        <f t="shared" si="20"/>
        <v>0.30000000000291038</v>
      </c>
      <c r="U33" s="28">
        <f>SUM($E33:F33)</f>
        <v>0</v>
      </c>
      <c r="V33" s="28">
        <f>SUM($E33:G33)</f>
        <v>20000</v>
      </c>
      <c r="W33" s="28">
        <f>SUM($E33:H33)</f>
        <v>20000</v>
      </c>
      <c r="X33" s="28">
        <f>SUM($E33:I33)</f>
        <v>20000</v>
      </c>
      <c r="Y33" s="28">
        <f>SUM($E33:J33)</f>
        <v>20000</v>
      </c>
      <c r="Z33" s="28">
        <f>SUM($E33:K33)</f>
        <v>40000</v>
      </c>
      <c r="AA33" s="28">
        <f>SUM($E33:L33)</f>
        <v>40000</v>
      </c>
      <c r="AB33" s="28">
        <f>SUM($E33:M33)</f>
        <v>40000</v>
      </c>
      <c r="AC33" s="28">
        <f>SUM($E33:N33)</f>
        <v>40000</v>
      </c>
      <c r="AD33" s="28">
        <f>SUM($E33:O33)</f>
        <v>59793</v>
      </c>
      <c r="AE33" s="28">
        <f>SUM($E33:P33)</f>
        <v>59793</v>
      </c>
      <c r="AG33" s="29">
        <v>17809.5</v>
      </c>
      <c r="AI33" s="30">
        <v>0</v>
      </c>
      <c r="AJ33" s="30">
        <v>0</v>
      </c>
      <c r="AK33" s="30">
        <v>25000</v>
      </c>
      <c r="AL33" s="30">
        <v>0</v>
      </c>
      <c r="AM33" s="30">
        <v>0</v>
      </c>
      <c r="AN33" s="31">
        <v>0</v>
      </c>
      <c r="AO33" s="29">
        <f t="shared" si="17"/>
        <v>25000</v>
      </c>
      <c r="AP33" s="32">
        <f t="shared" si="18"/>
        <v>45000</v>
      </c>
      <c r="AR33" s="33">
        <f t="shared" si="7"/>
        <v>17809.5</v>
      </c>
      <c r="AS33" s="30">
        <f t="shared" si="8"/>
        <v>17809.5</v>
      </c>
      <c r="AT33" s="30">
        <f t="shared" si="9"/>
        <v>42809.5</v>
      </c>
      <c r="AU33" s="30">
        <f t="shared" si="10"/>
        <v>42809.5</v>
      </c>
      <c r="AV33" s="30">
        <f t="shared" si="11"/>
        <v>42809.5</v>
      </c>
      <c r="AW33" s="34">
        <f t="shared" si="12"/>
        <v>42809.5</v>
      </c>
    </row>
    <row r="34" spans="1:49" ht="15" customHeight="1">
      <c r="A34" s="23">
        <v>31</v>
      </c>
      <c r="B34" s="64" t="s">
        <v>84</v>
      </c>
      <c r="C34" s="57" t="s">
        <v>85</v>
      </c>
      <c r="D34" s="25" t="s">
        <v>86</v>
      </c>
      <c r="E34" s="26"/>
      <c r="F34" s="26"/>
      <c r="G34" s="26">
        <v>18000</v>
      </c>
      <c r="H34" s="26"/>
      <c r="I34" s="26"/>
      <c r="J34" s="26"/>
      <c r="K34" s="26">
        <v>18000</v>
      </c>
      <c r="L34" s="26"/>
      <c r="M34" s="26">
        <f>85000-18000*2</f>
        <v>49000</v>
      </c>
      <c r="N34" s="26"/>
      <c r="O34" s="26"/>
      <c r="P34" s="26"/>
      <c r="Q34" s="27">
        <f t="shared" si="19"/>
        <v>85000</v>
      </c>
      <c r="R34" s="30">
        <v>85000</v>
      </c>
      <c r="S34" s="28">
        <f t="shared" si="16"/>
        <v>0</v>
      </c>
      <c r="T34" s="4">
        <f t="shared" si="20"/>
        <v>0</v>
      </c>
      <c r="U34" s="28">
        <f>SUM($E34:F34)</f>
        <v>0</v>
      </c>
      <c r="V34" s="28">
        <f>SUM($E34:G34)</f>
        <v>18000</v>
      </c>
      <c r="W34" s="28">
        <f>SUM($E34:H34)</f>
        <v>18000</v>
      </c>
      <c r="X34" s="28">
        <f>SUM($E34:I34)</f>
        <v>18000</v>
      </c>
      <c r="Y34" s="28">
        <f>SUM($E34:J34)</f>
        <v>18000</v>
      </c>
      <c r="Z34" s="28">
        <f>SUM($E34:K34)</f>
        <v>36000</v>
      </c>
      <c r="AA34" s="28">
        <f>SUM($E34:L34)</f>
        <v>36000</v>
      </c>
      <c r="AB34" s="28">
        <f>SUM($E34:M34)</f>
        <v>85000</v>
      </c>
      <c r="AC34" s="28">
        <f>SUM($E34:N34)</f>
        <v>85000</v>
      </c>
      <c r="AD34" s="28">
        <f>SUM($E34:O34)</f>
        <v>85000</v>
      </c>
      <c r="AE34" s="28">
        <f>SUM($E34:P34)</f>
        <v>85000</v>
      </c>
      <c r="AG34" s="29">
        <v>0</v>
      </c>
      <c r="AI34" s="30">
        <v>0</v>
      </c>
      <c r="AJ34" s="30">
        <v>0</v>
      </c>
      <c r="AK34" s="30">
        <v>17500</v>
      </c>
      <c r="AL34" s="30">
        <v>0</v>
      </c>
      <c r="AM34" s="30">
        <v>0</v>
      </c>
      <c r="AN34" s="31">
        <v>0</v>
      </c>
      <c r="AO34" s="29">
        <f t="shared" si="17"/>
        <v>17500</v>
      </c>
      <c r="AP34" s="32">
        <f t="shared" si="18"/>
        <v>35500</v>
      </c>
      <c r="AR34" s="33">
        <f t="shared" si="7"/>
        <v>0</v>
      </c>
      <c r="AS34" s="30">
        <f t="shared" si="8"/>
        <v>0</v>
      </c>
      <c r="AT34" s="30">
        <f t="shared" si="9"/>
        <v>17500</v>
      </c>
      <c r="AU34" s="30">
        <f t="shared" si="10"/>
        <v>17500</v>
      </c>
      <c r="AV34" s="30">
        <f t="shared" si="11"/>
        <v>17500</v>
      </c>
      <c r="AW34" s="34">
        <f t="shared" si="12"/>
        <v>17500</v>
      </c>
    </row>
    <row r="35" spans="1:49" ht="15" customHeight="1">
      <c r="A35" s="23">
        <v>32</v>
      </c>
      <c r="B35" s="64" t="s">
        <v>87</v>
      </c>
      <c r="C35" s="57" t="s">
        <v>88</v>
      </c>
      <c r="D35" s="25" t="s">
        <v>89</v>
      </c>
      <c r="E35" s="26">
        <v>18792.66</v>
      </c>
      <c r="F35" s="26"/>
      <c r="G35" s="26"/>
      <c r="H35" s="26"/>
      <c r="I35" s="26">
        <f>40000-E35</f>
        <v>21207.34</v>
      </c>
      <c r="J35" s="26"/>
      <c r="K35" s="26"/>
      <c r="L35" s="26"/>
      <c r="M35" s="26"/>
      <c r="N35" s="26"/>
      <c r="O35" s="26"/>
      <c r="P35" s="26"/>
      <c r="Q35" s="27">
        <f t="shared" si="19"/>
        <v>40000</v>
      </c>
      <c r="R35" s="30">
        <v>40000</v>
      </c>
      <c r="S35" s="28">
        <f t="shared" si="16"/>
        <v>18792.66</v>
      </c>
      <c r="T35" s="4">
        <f t="shared" si="20"/>
        <v>0</v>
      </c>
      <c r="U35" s="28">
        <f>SUM($E35:F35)</f>
        <v>18792.66</v>
      </c>
      <c r="V35" s="28">
        <f>SUM($E35:G35)</f>
        <v>18792.66</v>
      </c>
      <c r="W35" s="28">
        <f>SUM($E35:H35)</f>
        <v>18792.66</v>
      </c>
      <c r="X35" s="28">
        <f>SUM($E35:I35)</f>
        <v>40000</v>
      </c>
      <c r="Y35" s="28">
        <f>SUM($E35:J35)</f>
        <v>40000</v>
      </c>
      <c r="Z35" s="28">
        <f>SUM($E35:K35)</f>
        <v>40000</v>
      </c>
      <c r="AA35" s="28">
        <f>SUM($E35:L35)</f>
        <v>40000</v>
      </c>
      <c r="AB35" s="28">
        <f>SUM($E35:M35)</f>
        <v>40000</v>
      </c>
      <c r="AC35" s="28">
        <f>SUM($E35:N35)</f>
        <v>40000</v>
      </c>
      <c r="AD35" s="28">
        <f>SUM($E35:O35)</f>
        <v>40000</v>
      </c>
      <c r="AE35" s="28">
        <f>SUM($E35:P35)</f>
        <v>40000</v>
      </c>
      <c r="AG35" s="29">
        <v>18792.66</v>
      </c>
      <c r="AI35" s="30">
        <v>0</v>
      </c>
      <c r="AJ35" s="30">
        <v>20000</v>
      </c>
      <c r="AK35" s="30">
        <v>0</v>
      </c>
      <c r="AL35" s="30">
        <v>0</v>
      </c>
      <c r="AM35" s="30">
        <v>0</v>
      </c>
      <c r="AN35" s="31">
        <v>0</v>
      </c>
      <c r="AO35" s="29">
        <f t="shared" si="17"/>
        <v>20000</v>
      </c>
      <c r="AP35" s="32">
        <f t="shared" si="18"/>
        <v>60000</v>
      </c>
      <c r="AR35" s="33">
        <f t="shared" si="7"/>
        <v>18792.66</v>
      </c>
      <c r="AS35" s="30">
        <f t="shared" si="8"/>
        <v>38792.660000000003</v>
      </c>
      <c r="AT35" s="30">
        <f t="shared" si="9"/>
        <v>38792.660000000003</v>
      </c>
      <c r="AU35" s="30">
        <f t="shared" si="10"/>
        <v>38792.660000000003</v>
      </c>
      <c r="AV35" s="30">
        <f t="shared" si="11"/>
        <v>38792.660000000003</v>
      </c>
      <c r="AW35" s="34">
        <f t="shared" si="12"/>
        <v>38792.660000000003</v>
      </c>
    </row>
    <row r="36" spans="1:49" ht="15" customHeight="1">
      <c r="A36" s="23">
        <v>33</v>
      </c>
      <c r="B36" s="64" t="s">
        <v>90</v>
      </c>
      <c r="C36" s="57" t="s">
        <v>91</v>
      </c>
      <c r="D36" s="25" t="s">
        <v>92</v>
      </c>
      <c r="E36" s="26"/>
      <c r="F36" s="26"/>
      <c r="G36" s="26"/>
      <c r="H36" s="26"/>
      <c r="I36" s="26">
        <v>40000</v>
      </c>
      <c r="J36" s="26"/>
      <c r="K36" s="26"/>
      <c r="L36" s="26"/>
      <c r="M36" s="26"/>
      <c r="N36" s="26"/>
      <c r="O36" s="26">
        <v>40000</v>
      </c>
      <c r="P36" s="26"/>
      <c r="Q36" s="27">
        <f t="shared" si="19"/>
        <v>80000</v>
      </c>
      <c r="R36" s="30">
        <v>80000</v>
      </c>
      <c r="S36" s="28">
        <f t="shared" si="16"/>
        <v>0</v>
      </c>
      <c r="T36" s="4">
        <f t="shared" si="20"/>
        <v>0</v>
      </c>
      <c r="U36" s="28">
        <f>SUM($E36:F36)</f>
        <v>0</v>
      </c>
      <c r="V36" s="28">
        <f>SUM($E36:G36)</f>
        <v>0</v>
      </c>
      <c r="W36" s="28">
        <f>SUM($E36:H36)</f>
        <v>0</v>
      </c>
      <c r="X36" s="28">
        <f>SUM($E36:I36)</f>
        <v>40000</v>
      </c>
      <c r="Y36" s="28">
        <f>SUM($E36:J36)</f>
        <v>40000</v>
      </c>
      <c r="Z36" s="28">
        <f>SUM($E36:K36)</f>
        <v>40000</v>
      </c>
      <c r="AA36" s="28">
        <f>SUM($E36:L36)</f>
        <v>40000</v>
      </c>
      <c r="AB36" s="28">
        <f>SUM($E36:M36)</f>
        <v>40000</v>
      </c>
      <c r="AC36" s="28">
        <f>SUM($E36:N36)</f>
        <v>40000</v>
      </c>
      <c r="AD36" s="28">
        <f>SUM($E36:O36)</f>
        <v>80000</v>
      </c>
      <c r="AE36" s="28">
        <f>SUM($E36:P36)</f>
        <v>80000</v>
      </c>
      <c r="AG36" s="29">
        <v>0</v>
      </c>
      <c r="AI36" s="30">
        <v>0</v>
      </c>
      <c r="AJ36" s="30">
        <v>0</v>
      </c>
      <c r="AK36" s="30">
        <v>0</v>
      </c>
      <c r="AL36" s="30">
        <v>0</v>
      </c>
      <c r="AM36" s="30">
        <v>0</v>
      </c>
      <c r="AN36" s="31">
        <v>25000</v>
      </c>
      <c r="AO36" s="29">
        <f t="shared" si="17"/>
        <v>25000</v>
      </c>
      <c r="AP36" s="32">
        <f t="shared" si="18"/>
        <v>65000</v>
      </c>
      <c r="AR36" s="33">
        <f t="shared" si="7"/>
        <v>0</v>
      </c>
      <c r="AS36" s="30">
        <f t="shared" si="8"/>
        <v>0</v>
      </c>
      <c r="AT36" s="30">
        <f t="shared" si="9"/>
        <v>0</v>
      </c>
      <c r="AU36" s="30">
        <f t="shared" si="10"/>
        <v>0</v>
      </c>
      <c r="AV36" s="30">
        <f t="shared" si="11"/>
        <v>0</v>
      </c>
      <c r="AW36" s="34">
        <f t="shared" si="12"/>
        <v>25000</v>
      </c>
    </row>
    <row r="37" spans="1:49" ht="15" customHeight="1">
      <c r="A37" s="23">
        <v>34</v>
      </c>
      <c r="B37" s="64"/>
      <c r="C37" s="57" t="s">
        <v>93</v>
      </c>
      <c r="D37" s="25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>
        <v>20000</v>
      </c>
      <c r="P37" s="26"/>
      <c r="Q37" s="27"/>
      <c r="R37" s="30">
        <v>20000</v>
      </c>
      <c r="S37" s="28"/>
      <c r="T37" s="4">
        <f t="shared" si="20"/>
        <v>20000</v>
      </c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G37" s="29">
        <v>0</v>
      </c>
      <c r="AI37" s="30">
        <v>0</v>
      </c>
      <c r="AJ37" s="30">
        <v>0</v>
      </c>
      <c r="AK37" s="30">
        <v>0</v>
      </c>
      <c r="AL37" s="30">
        <v>0</v>
      </c>
      <c r="AM37" s="30">
        <v>0</v>
      </c>
      <c r="AN37" s="31">
        <v>0</v>
      </c>
      <c r="AO37" s="29">
        <f t="shared" si="17"/>
        <v>0</v>
      </c>
      <c r="AP37" s="32">
        <f t="shared" si="18"/>
        <v>0</v>
      </c>
      <c r="AR37" s="33">
        <f t="shared" si="7"/>
        <v>0</v>
      </c>
      <c r="AS37" s="30">
        <f t="shared" si="8"/>
        <v>0</v>
      </c>
      <c r="AT37" s="30">
        <f t="shared" si="9"/>
        <v>0</v>
      </c>
      <c r="AU37" s="30">
        <f t="shared" si="10"/>
        <v>0</v>
      </c>
      <c r="AV37" s="30">
        <f t="shared" si="11"/>
        <v>0</v>
      </c>
      <c r="AW37" s="34">
        <f t="shared" si="12"/>
        <v>0</v>
      </c>
    </row>
    <row r="38" spans="1:49" ht="15" customHeight="1">
      <c r="A38" s="37">
        <v>35</v>
      </c>
      <c r="B38" s="64" t="s">
        <v>94</v>
      </c>
      <c r="C38" s="57" t="s">
        <v>95</v>
      </c>
      <c r="D38" s="65" t="s">
        <v>51</v>
      </c>
      <c r="E38" s="26"/>
      <c r="F38" s="26"/>
      <c r="G38" s="26"/>
      <c r="H38" s="26">
        <v>200000</v>
      </c>
      <c r="I38" s="26"/>
      <c r="J38" s="26"/>
      <c r="K38" s="26"/>
      <c r="L38" s="26">
        <v>200000</v>
      </c>
      <c r="M38" s="26"/>
      <c r="N38" s="26"/>
      <c r="O38" s="26">
        <v>200000</v>
      </c>
      <c r="P38" s="26"/>
      <c r="Q38" s="27">
        <f>SUM(E38:P38)</f>
        <v>600000</v>
      </c>
      <c r="R38" s="30">
        <v>600000</v>
      </c>
      <c r="S38" s="28">
        <f>SUM(E38:E38)</f>
        <v>0</v>
      </c>
      <c r="T38" s="4">
        <f t="shared" si="20"/>
        <v>0</v>
      </c>
      <c r="U38" s="28">
        <f>SUM($E38:F38)</f>
        <v>0</v>
      </c>
      <c r="V38" s="28">
        <f>SUM($E38:G38)</f>
        <v>0</v>
      </c>
      <c r="W38" s="28">
        <f>SUM($E38:H38)</f>
        <v>200000</v>
      </c>
      <c r="X38" s="28">
        <f>SUM($E38:I38)</f>
        <v>200000</v>
      </c>
      <c r="Y38" s="28">
        <f>SUM($E38:J38)</f>
        <v>200000</v>
      </c>
      <c r="Z38" s="28">
        <f>SUM($E38:K38)</f>
        <v>200000</v>
      </c>
      <c r="AA38" s="28">
        <f>SUM($E38:L38)</f>
        <v>400000</v>
      </c>
      <c r="AB38" s="28">
        <f>SUM($E38:M38)</f>
        <v>400000</v>
      </c>
      <c r="AC38" s="28">
        <f>SUM($E38:N38)</f>
        <v>400000</v>
      </c>
      <c r="AD38" s="28">
        <f>SUM($E38:O38)</f>
        <v>600000</v>
      </c>
      <c r="AE38" s="28">
        <f>SUM($E38:P38)</f>
        <v>600000</v>
      </c>
      <c r="AG38" s="29">
        <v>0</v>
      </c>
      <c r="AI38" s="30">
        <v>0</v>
      </c>
      <c r="AJ38" s="30">
        <v>0</v>
      </c>
      <c r="AK38" s="30">
        <v>0</v>
      </c>
      <c r="AL38" s="30">
        <v>0</v>
      </c>
      <c r="AM38" s="30">
        <v>0</v>
      </c>
      <c r="AN38" s="31">
        <v>0</v>
      </c>
      <c r="AO38" s="29">
        <f t="shared" si="17"/>
        <v>0</v>
      </c>
      <c r="AP38" s="32">
        <f t="shared" si="18"/>
        <v>200000</v>
      </c>
      <c r="AR38" s="33">
        <f t="shared" si="7"/>
        <v>0</v>
      </c>
      <c r="AS38" s="30">
        <f t="shared" si="8"/>
        <v>0</v>
      </c>
      <c r="AT38" s="30">
        <f t="shared" si="9"/>
        <v>0</v>
      </c>
      <c r="AU38" s="30">
        <f t="shared" si="10"/>
        <v>0</v>
      </c>
      <c r="AV38" s="30">
        <f t="shared" si="11"/>
        <v>0</v>
      </c>
      <c r="AW38" s="34">
        <f t="shared" si="12"/>
        <v>0</v>
      </c>
    </row>
    <row r="39" spans="1:49" ht="15.75" customHeight="1">
      <c r="A39" s="23">
        <v>36</v>
      </c>
      <c r="B39" s="64" t="s">
        <v>96</v>
      </c>
      <c r="C39" s="57" t="s">
        <v>97</v>
      </c>
      <c r="D39" s="25"/>
      <c r="E39" s="26"/>
      <c r="F39" s="26"/>
      <c r="G39" s="26"/>
      <c r="H39" s="26"/>
      <c r="I39" s="26"/>
      <c r="J39" s="26">
        <v>200000</v>
      </c>
      <c r="K39" s="26"/>
      <c r="L39" s="26"/>
      <c r="M39" s="26"/>
      <c r="N39" s="26"/>
      <c r="O39" s="26">
        <v>200000</v>
      </c>
      <c r="P39" s="26"/>
      <c r="Q39" s="27">
        <f>SUM(E39:P39)</f>
        <v>400000</v>
      </c>
      <c r="R39" s="30">
        <v>400000</v>
      </c>
      <c r="S39" s="28">
        <f>SUM(E39:E39)</f>
        <v>0</v>
      </c>
      <c r="T39" s="4">
        <f t="shared" si="20"/>
        <v>0</v>
      </c>
      <c r="U39" s="28">
        <f>SUM($E39:F39)</f>
        <v>0</v>
      </c>
      <c r="V39" s="28">
        <f>SUM($E39:G39)</f>
        <v>0</v>
      </c>
      <c r="W39" s="28">
        <f>SUM($E39:H39)</f>
        <v>0</v>
      </c>
      <c r="X39" s="28">
        <f>SUM($E39:I39)</f>
        <v>0</v>
      </c>
      <c r="Y39" s="28">
        <f>SUM($E39:J39)</f>
        <v>200000</v>
      </c>
      <c r="Z39" s="28">
        <f>SUM($E39:K39)</f>
        <v>200000</v>
      </c>
      <c r="AA39" s="28">
        <f>SUM($E39:L39)</f>
        <v>200000</v>
      </c>
      <c r="AB39" s="28">
        <f>SUM($E39:M39)</f>
        <v>200000</v>
      </c>
      <c r="AC39" s="28">
        <f>SUM($E39:N39)</f>
        <v>200000</v>
      </c>
      <c r="AD39" s="28">
        <f>SUM($E39:O39)</f>
        <v>400000</v>
      </c>
      <c r="AE39" s="28">
        <f>SUM($E39:P39)</f>
        <v>400000</v>
      </c>
      <c r="AG39" s="29">
        <v>0</v>
      </c>
      <c r="AI39" s="30">
        <v>0</v>
      </c>
      <c r="AJ39" s="30">
        <v>0</v>
      </c>
      <c r="AK39" s="30">
        <v>0</v>
      </c>
      <c r="AL39" s="30">
        <v>100000</v>
      </c>
      <c r="AM39" s="30">
        <v>0</v>
      </c>
      <c r="AN39" s="31">
        <v>0</v>
      </c>
      <c r="AO39" s="29">
        <f t="shared" si="17"/>
        <v>100000</v>
      </c>
      <c r="AP39" s="32">
        <f t="shared" si="18"/>
        <v>300000</v>
      </c>
      <c r="AR39" s="33">
        <f t="shared" si="7"/>
        <v>0</v>
      </c>
      <c r="AS39" s="30">
        <f t="shared" si="8"/>
        <v>0</v>
      </c>
      <c r="AT39" s="30">
        <f t="shared" si="9"/>
        <v>0</v>
      </c>
      <c r="AU39" s="30">
        <f t="shared" si="10"/>
        <v>100000</v>
      </c>
      <c r="AV39" s="30">
        <f t="shared" si="11"/>
        <v>100000</v>
      </c>
      <c r="AW39" s="34">
        <f t="shared" si="12"/>
        <v>100000</v>
      </c>
    </row>
    <row r="40" spans="1:49" ht="15" customHeight="1">
      <c r="A40" s="45"/>
      <c r="B40" s="45" t="s">
        <v>98</v>
      </c>
      <c r="C40" s="45"/>
      <c r="D40" s="45"/>
      <c r="E40" s="46">
        <f t="shared" ref="E40:S40" si="22">SUM(E22:E39)</f>
        <v>526326.77011249994</v>
      </c>
      <c r="F40" s="46">
        <f t="shared" si="22"/>
        <v>624144.32430000009</v>
      </c>
      <c r="G40" s="46">
        <f t="shared" si="22"/>
        <v>542589.520425</v>
      </c>
      <c r="H40" s="46">
        <f t="shared" si="22"/>
        <v>946901.26630000002</v>
      </c>
      <c r="I40" s="46">
        <f t="shared" si="22"/>
        <v>856658.88679999998</v>
      </c>
      <c r="J40" s="46">
        <f t="shared" si="22"/>
        <v>758228.82929999998</v>
      </c>
      <c r="K40" s="46">
        <f t="shared" si="22"/>
        <v>1015167.992175</v>
      </c>
      <c r="L40" s="46">
        <f t="shared" si="22"/>
        <v>1146567.022175</v>
      </c>
      <c r="M40" s="46">
        <f t="shared" si="22"/>
        <v>688160.54454999999</v>
      </c>
      <c r="N40" s="46">
        <f t="shared" si="22"/>
        <v>689745.59680000006</v>
      </c>
      <c r="O40" s="46">
        <f t="shared" si="22"/>
        <v>1412960.1577375</v>
      </c>
      <c r="P40" s="66">
        <f t="shared" si="22"/>
        <v>593921.60261249996</v>
      </c>
      <c r="Q40" s="47">
        <f t="shared" si="22"/>
        <v>9781372.5132874995</v>
      </c>
      <c r="R40" s="47">
        <f t="shared" si="22"/>
        <v>5024793.3</v>
      </c>
      <c r="S40" s="47">
        <f t="shared" si="22"/>
        <v>526326.77011249994</v>
      </c>
      <c r="T40" s="4">
        <f t="shared" si="20"/>
        <v>-4756579.2132874997</v>
      </c>
      <c r="U40" s="47">
        <f t="shared" ref="U40:AE40" si="23">SUM(U22:U39)</f>
        <v>1150471.0944125</v>
      </c>
      <c r="V40" s="47">
        <f t="shared" si="23"/>
        <v>1693060.6148374998</v>
      </c>
      <c r="W40" s="47">
        <f t="shared" si="23"/>
        <v>2639961.8811375001</v>
      </c>
      <c r="X40" s="47">
        <f t="shared" si="23"/>
        <v>3496620.7679375</v>
      </c>
      <c r="Y40" s="47">
        <f t="shared" si="23"/>
        <v>4254849.5972375004</v>
      </c>
      <c r="Z40" s="47">
        <f t="shared" si="23"/>
        <v>5270017.5894125002</v>
      </c>
      <c r="AA40" s="47">
        <f t="shared" si="23"/>
        <v>6416584.6115875002</v>
      </c>
      <c r="AB40" s="47">
        <f t="shared" si="23"/>
        <v>7104745.156137499</v>
      </c>
      <c r="AC40" s="47">
        <f t="shared" si="23"/>
        <v>7794490.7529374994</v>
      </c>
      <c r="AD40" s="47">
        <f t="shared" si="23"/>
        <v>9187450.9106749985</v>
      </c>
      <c r="AE40" s="47">
        <f t="shared" si="23"/>
        <v>9781372.5132874995</v>
      </c>
      <c r="AG40" s="48">
        <f>SUM(AG22:AG39)</f>
        <v>2801213.84</v>
      </c>
      <c r="AI40" s="54">
        <f t="shared" ref="AI40:AP40" si="24">SUM(AI22:AI39)</f>
        <v>565966.80000000005</v>
      </c>
      <c r="AJ40" s="54">
        <f t="shared" si="24"/>
        <v>495012.4</v>
      </c>
      <c r="AK40" s="54">
        <f t="shared" si="24"/>
        <v>779615.8</v>
      </c>
      <c r="AL40" s="54">
        <f t="shared" si="24"/>
        <v>871888.6</v>
      </c>
      <c r="AM40" s="54">
        <f t="shared" si="24"/>
        <v>771122.5</v>
      </c>
      <c r="AN40" s="51">
        <f t="shared" si="24"/>
        <v>487561</v>
      </c>
      <c r="AO40" s="52">
        <f t="shared" si="24"/>
        <v>3971167.1</v>
      </c>
      <c r="AP40" s="53">
        <f t="shared" si="24"/>
        <v>8226016.6972375</v>
      </c>
      <c r="AR40" s="52">
        <f t="shared" si="7"/>
        <v>3367180.6399999997</v>
      </c>
      <c r="AS40" s="54">
        <f>SUM(AS22:AS39)</f>
        <v>3862193.0399999996</v>
      </c>
      <c r="AT40" s="54">
        <f>SUM(AT22:AT39)</f>
        <v>4641808.84</v>
      </c>
      <c r="AU40" s="54">
        <f>SUM(AU22:AU39)</f>
        <v>5513697.4399999995</v>
      </c>
      <c r="AV40" s="54">
        <f>SUM(AV22:AV39)</f>
        <v>6284819.9399999995</v>
      </c>
      <c r="AW40" s="54">
        <f>SUM(AW22:AW39)</f>
        <v>6772380.9399999995</v>
      </c>
    </row>
    <row r="41" spans="1:49" ht="15" customHeight="1">
      <c r="A41" s="67"/>
      <c r="B41" s="67" t="s">
        <v>99</v>
      </c>
      <c r="C41" s="67"/>
      <c r="D41" s="67"/>
      <c r="E41" s="68">
        <f t="shared" ref="E41:S41" si="25">E40+E21</f>
        <v>2378890.5346040246</v>
      </c>
      <c r="F41" s="68">
        <f t="shared" si="25"/>
        <v>2671040.9513150658</v>
      </c>
      <c r="G41" s="68">
        <f t="shared" si="25"/>
        <v>2775894.3395304615</v>
      </c>
      <c r="H41" s="68">
        <f t="shared" si="25"/>
        <v>2944067.6673263647</v>
      </c>
      <c r="I41" s="68">
        <f t="shared" si="25"/>
        <v>3153822.4629676091</v>
      </c>
      <c r="J41" s="68">
        <f t="shared" si="25"/>
        <v>3481428.3753357818</v>
      </c>
      <c r="K41" s="68">
        <f t="shared" si="25"/>
        <v>3827194.6568548493</v>
      </c>
      <c r="L41" s="68">
        <f t="shared" si="25"/>
        <v>4141049.6190582425</v>
      </c>
      <c r="M41" s="68">
        <f t="shared" si="25"/>
        <v>3373969.6951055555</v>
      </c>
      <c r="N41" s="68">
        <f t="shared" si="25"/>
        <v>3737220.3782406794</v>
      </c>
      <c r="O41" s="68">
        <f t="shared" si="25"/>
        <v>4914196.1444512531</v>
      </c>
      <c r="P41" s="69">
        <f t="shared" si="25"/>
        <v>3862704.3878196548</v>
      </c>
      <c r="Q41" s="70">
        <f t="shared" si="25"/>
        <v>41241479.212609507</v>
      </c>
      <c r="R41" s="70">
        <f t="shared" si="25"/>
        <v>5024793.3</v>
      </c>
      <c r="S41" s="70">
        <f t="shared" si="25"/>
        <v>2378890.5346040246</v>
      </c>
      <c r="U41" s="70">
        <f t="shared" ref="U41:AE41" si="26">U40+U21</f>
        <v>5049931.48591909</v>
      </c>
      <c r="V41" s="70">
        <f t="shared" si="26"/>
        <v>7825825.8254495542</v>
      </c>
      <c r="W41" s="70">
        <f t="shared" si="26"/>
        <v>10769893.492775917</v>
      </c>
      <c r="X41" s="70">
        <f t="shared" si="26"/>
        <v>13923715.955743527</v>
      </c>
      <c r="Y41" s="70">
        <f t="shared" si="26"/>
        <v>17405144.331079312</v>
      </c>
      <c r="Z41" s="70">
        <f t="shared" si="26"/>
        <v>21232338.987934161</v>
      </c>
      <c r="AA41" s="70">
        <f t="shared" si="26"/>
        <v>25373388.606992401</v>
      </c>
      <c r="AB41" s="70">
        <f t="shared" si="26"/>
        <v>28747358.302097961</v>
      </c>
      <c r="AC41" s="70">
        <f t="shared" si="26"/>
        <v>32484578.680338636</v>
      </c>
      <c r="AD41" s="70">
        <f t="shared" si="26"/>
        <v>37378774.824789889</v>
      </c>
      <c r="AE41" s="70">
        <f t="shared" si="26"/>
        <v>41241479.212609544</v>
      </c>
      <c r="AG41" s="71">
        <f>AG40+AG21</f>
        <v>12671808.107000029</v>
      </c>
      <c r="AI41" s="72">
        <f t="shared" ref="AI41:AP41" si="27">AI40+AI21</f>
        <v>2665966.7999999998</v>
      </c>
      <c r="AJ41" s="73">
        <f t="shared" si="27"/>
        <v>2626512.4</v>
      </c>
      <c r="AK41" s="73">
        <f t="shared" si="27"/>
        <v>3406716.6474576266</v>
      </c>
      <c r="AL41" s="73">
        <f t="shared" si="27"/>
        <v>3681445.3796610204</v>
      </c>
      <c r="AM41" s="73">
        <f t="shared" si="27"/>
        <v>3433922.5</v>
      </c>
      <c r="AN41" s="74">
        <f t="shared" si="27"/>
        <v>3438082.1864406802</v>
      </c>
      <c r="AO41" s="72">
        <f t="shared" si="27"/>
        <v>19252645.913559329</v>
      </c>
      <c r="AP41" s="73">
        <f t="shared" si="27"/>
        <v>36657790.244638637</v>
      </c>
      <c r="AR41" s="72">
        <f t="shared" si="7"/>
        <v>15337774.907000028</v>
      </c>
      <c r="AS41" s="73">
        <f>AS40+AS21</f>
        <v>17964287.30700003</v>
      </c>
      <c r="AT41" s="73">
        <f>AT40+AT21</f>
        <v>21371003.954457656</v>
      </c>
      <c r="AU41" s="73">
        <f>AU40+AU21</f>
        <v>25052449.334118672</v>
      </c>
      <c r="AV41" s="73">
        <f>AV40+AV21</f>
        <v>28486371.834118672</v>
      </c>
      <c r="AW41" s="73">
        <f>AW40+AW21</f>
        <v>31924454.020559356</v>
      </c>
    </row>
    <row r="42" spans="1:49" ht="15" customHeight="1">
      <c r="H42" s="3"/>
      <c r="S42" s="75"/>
      <c r="U42" s="75"/>
      <c r="V42" s="75"/>
      <c r="W42" s="75"/>
      <c r="X42" s="75"/>
      <c r="Y42" s="75"/>
      <c r="Z42" s="75"/>
      <c r="AA42" s="75"/>
      <c r="AB42" s="75"/>
      <c r="AC42" s="75"/>
      <c r="AD42" s="75"/>
      <c r="AE42" s="75"/>
      <c r="AG42" s="75"/>
    </row>
    <row r="43" spans="1:49" ht="14.25" customHeight="1">
      <c r="B43" s="76"/>
      <c r="C43" s="9"/>
      <c r="D43" s="9" t="s">
        <v>3</v>
      </c>
      <c r="E43" s="9" t="s">
        <v>4</v>
      </c>
      <c r="F43" s="9" t="s">
        <v>5</v>
      </c>
      <c r="G43" s="9" t="s">
        <v>6</v>
      </c>
      <c r="H43" s="10" t="s">
        <v>7</v>
      </c>
      <c r="I43" s="10" t="s">
        <v>8</v>
      </c>
      <c r="J43" s="9" t="s">
        <v>9</v>
      </c>
      <c r="K43" s="9" t="s">
        <v>10</v>
      </c>
      <c r="L43" s="9" t="s">
        <v>11</v>
      </c>
      <c r="M43" s="9" t="s">
        <v>12</v>
      </c>
      <c r="N43" s="10" t="s">
        <v>13</v>
      </c>
      <c r="O43" s="9" t="s">
        <v>14</v>
      </c>
      <c r="P43" s="11" t="s">
        <v>15</v>
      </c>
      <c r="Q43" s="12" t="s">
        <v>16</v>
      </c>
    </row>
    <row r="44" spans="1:49" ht="14.25" customHeight="1">
      <c r="B44" s="23" t="s">
        <v>31</v>
      </c>
      <c r="C44" s="23" t="s">
        <v>31</v>
      </c>
      <c r="D44" s="25" t="s">
        <v>32</v>
      </c>
      <c r="E44" s="77">
        <f t="shared" ref="E44:P44" si="28">E5/$Q5</f>
        <v>7.0105820105820213E-2</v>
      </c>
      <c r="F44" s="77">
        <f t="shared" si="28"/>
        <v>6.6767447719828538E-2</v>
      </c>
      <c r="G44" s="77">
        <f t="shared" si="28"/>
        <v>7.6782564877803147E-2</v>
      </c>
      <c r="H44" s="77">
        <f t="shared" si="28"/>
        <v>6.8657092466616235E-2</v>
      </c>
      <c r="I44" s="77">
        <f t="shared" si="28"/>
        <v>7.4703955656336474E-2</v>
      </c>
      <c r="J44" s="77">
        <f t="shared" si="28"/>
        <v>9.3285462333081312E-2</v>
      </c>
      <c r="K44" s="77">
        <f t="shared" si="28"/>
        <v>9.3285462333081312E-2</v>
      </c>
      <c r="L44" s="77">
        <f t="shared" si="28"/>
        <v>9.3285462333081312E-2</v>
      </c>
      <c r="M44" s="77">
        <f t="shared" si="28"/>
        <v>8.3270345175107105E-2</v>
      </c>
      <c r="N44" s="77">
        <f t="shared" si="28"/>
        <v>8.9947089947090053E-2</v>
      </c>
      <c r="O44" s="77">
        <f t="shared" si="28"/>
        <v>9.3285462333081312E-2</v>
      </c>
      <c r="P44" s="77">
        <f t="shared" si="28"/>
        <v>9.6623834719072973E-2</v>
      </c>
      <c r="Q44" s="78">
        <f t="shared" ref="Q44:Q56" si="29">SUM(E44:P44)</f>
        <v>1</v>
      </c>
    </row>
    <row r="45" spans="1:49" ht="14.25" customHeight="1">
      <c r="B45" s="23" t="s">
        <v>33</v>
      </c>
      <c r="C45" s="23" t="s">
        <v>33</v>
      </c>
      <c r="D45" s="25" t="s">
        <v>32</v>
      </c>
      <c r="E45" s="77">
        <f t="shared" ref="E45:P45" si="30">E6/$Q6</f>
        <v>7.9166052023405598E-2</v>
      </c>
      <c r="F45" s="77">
        <f t="shared" si="30"/>
        <v>7.8571311496521704E-2</v>
      </c>
      <c r="G45" s="77">
        <f t="shared" si="30"/>
        <v>9.0091482332225775E-2</v>
      </c>
      <c r="H45" s="77">
        <f t="shared" si="30"/>
        <v>7.0148942696516101E-2</v>
      </c>
      <c r="I45" s="77">
        <f t="shared" si="30"/>
        <v>8.2406685445481728E-2</v>
      </c>
      <c r="J45" s="77">
        <f t="shared" si="30"/>
        <v>8.9349227422689553E-2</v>
      </c>
      <c r="K45" s="77">
        <f t="shared" si="30"/>
        <v>8.9349227422689553E-2</v>
      </c>
      <c r="L45" s="77">
        <f t="shared" si="30"/>
        <v>8.9349227422689553E-2</v>
      </c>
      <c r="M45" s="77">
        <f t="shared" si="30"/>
        <v>7.7829056586985482E-2</v>
      </c>
      <c r="N45" s="77">
        <f t="shared" si="30"/>
        <v>8.0641195849928682E-2</v>
      </c>
      <c r="O45" s="77">
        <f t="shared" si="30"/>
        <v>8.4776281560468E-2</v>
      </c>
      <c r="P45" s="77">
        <f t="shared" si="30"/>
        <v>8.8321309740398077E-2</v>
      </c>
      <c r="Q45" s="78">
        <f t="shared" si="29"/>
        <v>0.99999999999999989</v>
      </c>
    </row>
    <row r="46" spans="1:49" ht="14.25" customHeight="1">
      <c r="B46" s="23" t="s">
        <v>34</v>
      </c>
      <c r="C46" s="23" t="s">
        <v>34</v>
      </c>
      <c r="D46" s="25" t="s">
        <v>32</v>
      </c>
      <c r="E46" s="77">
        <f t="shared" ref="E46:P46" si="31">E7/$Q7</f>
        <v>8.1111111111111106E-2</v>
      </c>
      <c r="F46" s="77">
        <f t="shared" si="31"/>
        <v>8.1587301587301556E-2</v>
      </c>
      <c r="G46" s="77">
        <f t="shared" si="31"/>
        <v>9.1269841269841223E-2</v>
      </c>
      <c r="H46" s="77">
        <f t="shared" si="31"/>
        <v>6.7460317460317443E-2</v>
      </c>
      <c r="I46" s="77">
        <f t="shared" si="31"/>
        <v>7.9365079365079333E-2</v>
      </c>
      <c r="J46" s="77">
        <f t="shared" si="31"/>
        <v>8.7301587301587324E-2</v>
      </c>
      <c r="K46" s="77">
        <f t="shared" si="31"/>
        <v>8.7301587301587324E-2</v>
      </c>
      <c r="L46" s="77">
        <f t="shared" si="31"/>
        <v>8.7301587301587324E-2</v>
      </c>
      <c r="M46" s="77">
        <f t="shared" si="31"/>
        <v>7.5396825396825323E-2</v>
      </c>
      <c r="N46" s="77">
        <f t="shared" si="31"/>
        <v>8.3333333333333329E-2</v>
      </c>
      <c r="O46" s="77">
        <f t="shared" si="31"/>
        <v>8.7301587301587324E-2</v>
      </c>
      <c r="P46" s="77">
        <f t="shared" si="31"/>
        <v>9.1269841269841223E-2</v>
      </c>
      <c r="Q46" s="78">
        <f t="shared" si="29"/>
        <v>1</v>
      </c>
    </row>
    <row r="47" spans="1:49" ht="14.25" customHeight="1">
      <c r="B47" s="23" t="s">
        <v>100</v>
      </c>
      <c r="C47" s="23" t="s">
        <v>35</v>
      </c>
      <c r="D47" s="25" t="s">
        <v>32</v>
      </c>
      <c r="E47" s="77">
        <f t="shared" ref="E47:P47" si="32">E8/$Q8</f>
        <v>7.8240027392569619E-2</v>
      </c>
      <c r="F47" s="77">
        <f t="shared" si="32"/>
        <v>8.0530894090216257E-2</v>
      </c>
      <c r="G47" s="77">
        <f t="shared" si="32"/>
        <v>8.9066614490343116E-2</v>
      </c>
      <c r="H47" s="77">
        <f t="shared" si="32"/>
        <v>6.891350959147563E-2</v>
      </c>
      <c r="I47" s="77">
        <f t="shared" si="32"/>
        <v>8.2585336822625088E-2</v>
      </c>
      <c r="J47" s="77">
        <f t="shared" si="32"/>
        <v>8.7762206406274301E-2</v>
      </c>
      <c r="K47" s="77">
        <f t="shared" si="32"/>
        <v>8.7762206406274301E-2</v>
      </c>
      <c r="L47" s="77">
        <f t="shared" si="32"/>
        <v>8.7762206406274301E-2</v>
      </c>
      <c r="M47" s="77">
        <f t="shared" si="32"/>
        <v>7.7172043273738083E-2</v>
      </c>
      <c r="N47" s="77">
        <f t="shared" si="32"/>
        <v>8.3376134223591705E-2</v>
      </c>
      <c r="O47" s="77">
        <f t="shared" si="32"/>
        <v>8.7762206406274301E-2</v>
      </c>
      <c r="P47" s="77">
        <f t="shared" si="32"/>
        <v>8.9066614490343116E-2</v>
      </c>
      <c r="Q47" s="78">
        <f t="shared" si="29"/>
        <v>0.99999999999999989</v>
      </c>
    </row>
    <row r="48" spans="1:49" ht="14.25" customHeight="1">
      <c r="B48" s="23" t="s">
        <v>36</v>
      </c>
      <c r="C48" s="23" t="s">
        <v>36</v>
      </c>
      <c r="D48" s="25" t="s">
        <v>32</v>
      </c>
      <c r="E48" s="77">
        <f t="shared" ref="E48:P48" si="33">E9/$Q9</f>
        <v>8.331431180095869E-2</v>
      </c>
      <c r="F48" s="77">
        <f t="shared" si="33"/>
        <v>8.331431180095869E-2</v>
      </c>
      <c r="G48" s="77">
        <f t="shared" si="33"/>
        <v>8.331431180095869E-2</v>
      </c>
      <c r="H48" s="77">
        <f t="shared" si="33"/>
        <v>8.331431180095869E-2</v>
      </c>
      <c r="I48" s="77">
        <f t="shared" si="33"/>
        <v>8.331431180095869E-2</v>
      </c>
      <c r="J48" s="77">
        <f t="shared" si="33"/>
        <v>8.331431180095869E-2</v>
      </c>
      <c r="K48" s="77">
        <f t="shared" si="33"/>
        <v>8.331431180095869E-2</v>
      </c>
      <c r="L48" s="77">
        <f t="shared" si="33"/>
        <v>8.331431180095869E-2</v>
      </c>
      <c r="M48" s="77">
        <f t="shared" si="33"/>
        <v>8.331431180095869E-2</v>
      </c>
      <c r="N48" s="77">
        <f t="shared" si="33"/>
        <v>8.331431180095869E-2</v>
      </c>
      <c r="O48" s="77">
        <f t="shared" si="33"/>
        <v>8.331431180095869E-2</v>
      </c>
      <c r="P48" s="77">
        <f t="shared" si="33"/>
        <v>8.3542570189454463E-2</v>
      </c>
      <c r="Q48" s="78">
        <f t="shared" si="29"/>
        <v>1.0000000000000002</v>
      </c>
    </row>
    <row r="49" spans="2:17" ht="14.25" customHeight="1">
      <c r="B49" s="23" t="s">
        <v>37</v>
      </c>
      <c r="C49" s="23" t="s">
        <v>37</v>
      </c>
      <c r="D49" s="25" t="s">
        <v>32</v>
      </c>
      <c r="E49" s="77">
        <f t="shared" ref="E49:P49" si="34">E10/$Q10</f>
        <v>6.8306010928961824E-2</v>
      </c>
      <c r="F49" s="77">
        <f t="shared" si="34"/>
        <v>8.9643507676294393E-2</v>
      </c>
      <c r="G49" s="77">
        <f t="shared" si="34"/>
        <v>9.1204787926099318E-2</v>
      </c>
      <c r="H49" s="77">
        <f t="shared" si="34"/>
        <v>7.9885506115014465E-2</v>
      </c>
      <c r="I49" s="77">
        <f t="shared" si="34"/>
        <v>8.1446786364819293E-2</v>
      </c>
      <c r="J49" s="77">
        <f t="shared" si="34"/>
        <v>8.7952120739005879E-2</v>
      </c>
      <c r="K49" s="77">
        <f t="shared" si="34"/>
        <v>8.7952120739005879E-2</v>
      </c>
      <c r="L49" s="77">
        <f t="shared" si="34"/>
        <v>8.7952120739005879E-2</v>
      </c>
      <c r="M49" s="77">
        <f t="shared" si="34"/>
        <v>7.8194119177725854E-2</v>
      </c>
      <c r="N49" s="77">
        <f t="shared" si="34"/>
        <v>8.4699453551912413E-2</v>
      </c>
      <c r="O49" s="77">
        <f t="shared" si="34"/>
        <v>8.7952120739005879E-2</v>
      </c>
      <c r="P49" s="77">
        <f t="shared" si="34"/>
        <v>7.4811345303148716E-2</v>
      </c>
      <c r="Q49" s="78">
        <f t="shared" si="29"/>
        <v>1</v>
      </c>
    </row>
    <row r="50" spans="2:17" ht="14.25" customHeight="1">
      <c r="B50" s="23" t="s">
        <v>38</v>
      </c>
      <c r="C50" s="23" t="s">
        <v>38</v>
      </c>
      <c r="D50" s="25" t="s">
        <v>32</v>
      </c>
      <c r="E50" s="77">
        <f t="shared" ref="E50:P50" si="35">E11/$Q11</f>
        <v>6.4468586828364288E-2</v>
      </c>
      <c r="F50" s="77">
        <f t="shared" si="35"/>
        <v>7.8362488670725081E-2</v>
      </c>
      <c r="G50" s="77">
        <f t="shared" si="35"/>
        <v>8.1147685619641197E-2</v>
      </c>
      <c r="H50" s="77">
        <f t="shared" si="35"/>
        <v>7.0524234622263746E-2</v>
      </c>
      <c r="I50" s="77">
        <f t="shared" si="35"/>
        <v>8.5942074320042916E-2</v>
      </c>
      <c r="J50" s="77">
        <f t="shared" si="35"/>
        <v>8.9483224652502233E-2</v>
      </c>
      <c r="K50" s="77">
        <f t="shared" si="35"/>
        <v>8.9483224652502233E-2</v>
      </c>
      <c r="L50" s="77">
        <f t="shared" si="35"/>
        <v>8.9483224652502233E-2</v>
      </c>
      <c r="M50" s="77">
        <f t="shared" si="35"/>
        <v>8.41714991538135E-2</v>
      </c>
      <c r="N50" s="77">
        <f t="shared" si="35"/>
        <v>8.7712649486272318E-2</v>
      </c>
      <c r="O50" s="77">
        <f t="shared" si="35"/>
        <v>8.9483224652502233E-2</v>
      </c>
      <c r="P50" s="77">
        <f t="shared" si="35"/>
        <v>8.9737882688868065E-2</v>
      </c>
      <c r="Q50" s="78">
        <f t="shared" si="29"/>
        <v>1</v>
      </c>
    </row>
    <row r="51" spans="2:17" ht="14.25" customHeight="1">
      <c r="B51" s="35" t="s">
        <v>39</v>
      </c>
      <c r="C51" s="35" t="s">
        <v>39</v>
      </c>
      <c r="D51" s="25" t="s">
        <v>32</v>
      </c>
      <c r="E51" s="77">
        <f t="shared" ref="E51:P51" si="36">E12/$Q12</f>
        <v>8.3333333333333218E-2</v>
      </c>
      <c r="F51" s="77">
        <f t="shared" si="36"/>
        <v>7.9365079365079527E-2</v>
      </c>
      <c r="G51" s="77">
        <f t="shared" si="36"/>
        <v>9.1269841269841126E-2</v>
      </c>
      <c r="H51" s="77">
        <f t="shared" si="36"/>
        <v>6.7460317460317415E-2</v>
      </c>
      <c r="I51" s="77">
        <f t="shared" si="36"/>
        <v>7.9365079365079527E-2</v>
      </c>
      <c r="J51" s="77">
        <f t="shared" si="36"/>
        <v>8.7301587301587436E-2</v>
      </c>
      <c r="K51" s="77">
        <f t="shared" si="36"/>
        <v>8.7301587301587436E-2</v>
      </c>
      <c r="L51" s="77">
        <f t="shared" si="36"/>
        <v>8.7301587301587436E-2</v>
      </c>
      <c r="M51" s="77">
        <f t="shared" si="36"/>
        <v>7.5396825396825323E-2</v>
      </c>
      <c r="N51" s="77">
        <f t="shared" si="36"/>
        <v>8.3333333333333218E-2</v>
      </c>
      <c r="O51" s="77">
        <f t="shared" si="36"/>
        <v>8.7301587301587436E-2</v>
      </c>
      <c r="P51" s="77">
        <f t="shared" si="36"/>
        <v>9.1269841269841126E-2</v>
      </c>
      <c r="Q51" s="78">
        <f t="shared" si="29"/>
        <v>1.0000000000000002</v>
      </c>
    </row>
    <row r="52" spans="2:17" ht="14.25" customHeight="1">
      <c r="B52" s="23" t="s">
        <v>40</v>
      </c>
      <c r="C52" s="23" t="s">
        <v>40</v>
      </c>
      <c r="D52" s="25" t="s">
        <v>32</v>
      </c>
      <c r="E52" s="77">
        <f t="shared" ref="E52:P52" si="37">E13/$Q13</f>
        <v>6.3333333333333297E-2</v>
      </c>
      <c r="F52" s="77">
        <f t="shared" si="37"/>
        <v>7.9365079365079402E-2</v>
      </c>
      <c r="G52" s="77">
        <f t="shared" si="37"/>
        <v>9.1269841269841306E-2</v>
      </c>
      <c r="H52" s="77">
        <f t="shared" si="37"/>
        <v>6.7460317460317498E-2</v>
      </c>
      <c r="I52" s="77">
        <f t="shared" si="37"/>
        <v>7.9365079365079402E-2</v>
      </c>
      <c r="J52" s="77">
        <f t="shared" si="37"/>
        <v>8.7301587301587297E-2</v>
      </c>
      <c r="K52" s="77">
        <f t="shared" si="37"/>
        <v>8.7301587301587297E-2</v>
      </c>
      <c r="L52" s="77">
        <f t="shared" si="37"/>
        <v>8.7301587301587297E-2</v>
      </c>
      <c r="M52" s="77">
        <f t="shared" si="37"/>
        <v>8.5396825396825402E-2</v>
      </c>
      <c r="N52" s="77">
        <f t="shared" si="37"/>
        <v>9.333333333333331E-2</v>
      </c>
      <c r="O52" s="77">
        <f t="shared" si="37"/>
        <v>8.7301587301587297E-2</v>
      </c>
      <c r="P52" s="77">
        <f t="shared" si="37"/>
        <v>9.1269841269841306E-2</v>
      </c>
      <c r="Q52" s="78">
        <f t="shared" si="29"/>
        <v>1.0000000000000002</v>
      </c>
    </row>
    <row r="53" spans="2:17" ht="14.25" hidden="1" customHeight="1">
      <c r="B53" s="23" t="s">
        <v>42</v>
      </c>
      <c r="C53" s="23" t="s">
        <v>42</v>
      </c>
      <c r="D53" s="25" t="s">
        <v>32</v>
      </c>
      <c r="E53" s="77" t="e">
        <f t="shared" ref="E53:P53" si="38">E15/$Q15</f>
        <v>#DIV/0!</v>
      </c>
      <c r="F53" s="77" t="e">
        <f t="shared" si="38"/>
        <v>#DIV/0!</v>
      </c>
      <c r="G53" s="77" t="e">
        <f t="shared" si="38"/>
        <v>#DIV/0!</v>
      </c>
      <c r="H53" s="77" t="e">
        <f t="shared" si="38"/>
        <v>#DIV/0!</v>
      </c>
      <c r="I53" s="77" t="e">
        <f t="shared" si="38"/>
        <v>#DIV/0!</v>
      </c>
      <c r="J53" s="77" t="e">
        <f t="shared" si="38"/>
        <v>#DIV/0!</v>
      </c>
      <c r="K53" s="77" t="e">
        <f t="shared" si="38"/>
        <v>#DIV/0!</v>
      </c>
      <c r="L53" s="77" t="e">
        <f t="shared" si="38"/>
        <v>#DIV/0!</v>
      </c>
      <c r="M53" s="77" t="e">
        <f t="shared" si="38"/>
        <v>#DIV/0!</v>
      </c>
      <c r="N53" s="77" t="e">
        <f t="shared" si="38"/>
        <v>#DIV/0!</v>
      </c>
      <c r="O53" s="77" t="e">
        <f t="shared" si="38"/>
        <v>#DIV/0!</v>
      </c>
      <c r="P53" s="77" t="e">
        <f t="shared" si="38"/>
        <v>#DIV/0!</v>
      </c>
      <c r="Q53" s="78" t="e">
        <f t="shared" si="29"/>
        <v>#DIV/0!</v>
      </c>
    </row>
    <row r="54" spans="2:17" ht="14.25" customHeight="1">
      <c r="B54" s="23" t="s">
        <v>44</v>
      </c>
      <c r="C54" s="23" t="s">
        <v>44</v>
      </c>
      <c r="D54" s="25" t="s">
        <v>32</v>
      </c>
      <c r="E54" s="77">
        <f t="shared" ref="E54:P54" si="39">E17/$Q17</f>
        <v>8.3333333333333343E-2</v>
      </c>
      <c r="F54" s="77">
        <f t="shared" si="39"/>
        <v>7.9365079365079347E-2</v>
      </c>
      <c r="G54" s="77">
        <f t="shared" si="39"/>
        <v>9.1269841269841334E-2</v>
      </c>
      <c r="H54" s="77">
        <f t="shared" si="39"/>
        <v>6.7460317460317373E-2</v>
      </c>
      <c r="I54" s="77">
        <f t="shared" si="39"/>
        <v>7.9365079365079347E-2</v>
      </c>
      <c r="J54" s="77">
        <f t="shared" si="39"/>
        <v>8.7301587301587338E-2</v>
      </c>
      <c r="K54" s="77">
        <f t="shared" si="39"/>
        <v>8.7301587301587338E-2</v>
      </c>
      <c r="L54" s="77">
        <f t="shared" si="39"/>
        <v>8.7301587301587338E-2</v>
      </c>
      <c r="M54" s="77">
        <f t="shared" si="39"/>
        <v>7.5396825396825351E-2</v>
      </c>
      <c r="N54" s="77">
        <f t="shared" si="39"/>
        <v>8.3333333333333343E-2</v>
      </c>
      <c r="O54" s="77">
        <f t="shared" si="39"/>
        <v>8.7301587301587338E-2</v>
      </c>
      <c r="P54" s="77">
        <f t="shared" si="39"/>
        <v>9.1269841269841334E-2</v>
      </c>
      <c r="Q54" s="78">
        <f t="shared" si="29"/>
        <v>1.0000000000000002</v>
      </c>
    </row>
    <row r="55" spans="2:17" ht="14.25" customHeight="1">
      <c r="B55" s="23" t="s">
        <v>45</v>
      </c>
      <c r="C55" s="23" t="s">
        <v>45</v>
      </c>
      <c r="D55" s="25" t="s">
        <v>32</v>
      </c>
      <c r="E55" s="77">
        <f t="shared" ref="E55:P55" si="40">E18/$Q18</f>
        <v>2.7492762922914346E-2</v>
      </c>
      <c r="F55" s="77">
        <f t="shared" si="40"/>
        <v>4.1239144384371568E-2</v>
      </c>
      <c r="G55" s="77">
        <f t="shared" si="40"/>
        <v>4.5363058822808743E-2</v>
      </c>
      <c r="H55" s="77">
        <f t="shared" si="40"/>
        <v>4.2044289584256912E-2</v>
      </c>
      <c r="I55" s="77">
        <f t="shared" si="40"/>
        <v>5.488930117559862E-2</v>
      </c>
      <c r="J55" s="77">
        <f t="shared" si="40"/>
        <v>8.2333991038773438E-2</v>
      </c>
      <c r="K55" s="77">
        <f t="shared" si="40"/>
        <v>9.0567366577425437E-2</v>
      </c>
      <c r="L55" s="77">
        <f t="shared" si="40"/>
        <v>0.10747918621107608</v>
      </c>
      <c r="M55" s="77">
        <f t="shared" si="40"/>
        <v>9.3876316972076213E-2</v>
      </c>
      <c r="N55" s="77">
        <f t="shared" si="40"/>
        <v>0.12054516106556665</v>
      </c>
      <c r="O55" s="77">
        <f t="shared" si="40"/>
        <v>0.15616486325924597</v>
      </c>
      <c r="P55" s="77">
        <f t="shared" si="40"/>
        <v>0.13800455798588987</v>
      </c>
      <c r="Q55" s="78">
        <f t="shared" si="29"/>
        <v>1.0000000000000038</v>
      </c>
    </row>
    <row r="56" spans="2:17" ht="14.25" customHeight="1">
      <c r="B56" s="37" t="s">
        <v>46</v>
      </c>
      <c r="C56" s="37" t="s">
        <v>46</v>
      </c>
      <c r="D56" s="25" t="s">
        <v>32</v>
      </c>
      <c r="E56" s="77">
        <f t="shared" ref="E56:P56" si="41">E19/$Q19</f>
        <v>8.3333333333333232E-2</v>
      </c>
      <c r="F56" s="77">
        <f t="shared" si="41"/>
        <v>8.3333333333333232E-2</v>
      </c>
      <c r="G56" s="77">
        <f t="shared" si="41"/>
        <v>8.3333333333333232E-2</v>
      </c>
      <c r="H56" s="77">
        <f t="shared" si="41"/>
        <v>8.3333333333333232E-2</v>
      </c>
      <c r="I56" s="77">
        <f t="shared" si="41"/>
        <v>8.3333333333333232E-2</v>
      </c>
      <c r="J56" s="77">
        <f t="shared" si="41"/>
        <v>8.3333333333333232E-2</v>
      </c>
      <c r="K56" s="77">
        <f t="shared" si="41"/>
        <v>8.3333333333333232E-2</v>
      </c>
      <c r="L56" s="77">
        <f t="shared" si="41"/>
        <v>8.3333333333333232E-2</v>
      </c>
      <c r="M56" s="77">
        <f t="shared" si="41"/>
        <v>8.3333333333333232E-2</v>
      </c>
      <c r="N56" s="77">
        <f t="shared" si="41"/>
        <v>8.3333333333333232E-2</v>
      </c>
      <c r="O56" s="77">
        <f t="shared" si="41"/>
        <v>8.3333333333333232E-2</v>
      </c>
      <c r="P56" s="77">
        <f t="shared" si="41"/>
        <v>8.3333333333333232E-2</v>
      </c>
      <c r="Q56" s="78">
        <f t="shared" si="29"/>
        <v>0.999999999999999</v>
      </c>
    </row>
    <row r="57" spans="2:17" ht="14.25" customHeight="1">
      <c r="B57" s="79"/>
      <c r="C57" s="37"/>
      <c r="D57" s="25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7"/>
    </row>
    <row r="58" spans="2:17" ht="14.25" customHeight="1">
      <c r="B58" s="185" t="s">
        <v>48</v>
      </c>
      <c r="C58" s="185"/>
      <c r="D58" s="185"/>
      <c r="E58" s="80">
        <f t="shared" ref="E58:P58" si="42">E21/$Q$21</f>
        <v>5.8886124646597246E-2</v>
      </c>
      <c r="F58" s="80">
        <f t="shared" si="42"/>
        <v>6.5063244908167409E-2</v>
      </c>
      <c r="G58" s="80">
        <f t="shared" si="42"/>
        <v>7.0988469316081229E-2</v>
      </c>
      <c r="H58" s="80">
        <f t="shared" si="42"/>
        <v>6.3482505641641887E-2</v>
      </c>
      <c r="I58" s="80">
        <f t="shared" si="42"/>
        <v>7.3018302134910271E-2</v>
      </c>
      <c r="J58" s="80">
        <f t="shared" si="42"/>
        <v>8.6560404008244177E-2</v>
      </c>
      <c r="K58" s="80">
        <f t="shared" si="42"/>
        <v>8.9383888349636495E-2</v>
      </c>
      <c r="L58" s="80">
        <f t="shared" si="42"/>
        <v>9.518348508804568E-2</v>
      </c>
      <c r="M58" s="80">
        <f t="shared" si="42"/>
        <v>8.5371902143403636E-2</v>
      </c>
      <c r="N58" s="80">
        <f t="shared" si="42"/>
        <v>9.6867909907831146E-2</v>
      </c>
      <c r="O58" s="80">
        <f t="shared" si="42"/>
        <v>0.11129129408798881</v>
      </c>
      <c r="P58" s="80">
        <f t="shared" si="42"/>
        <v>0.10390246976745314</v>
      </c>
      <c r="Q58" s="80">
        <f t="shared" ref="Q58:Q78" si="43">SUM(E58:P58)</f>
        <v>1.0000000000000009</v>
      </c>
    </row>
    <row r="59" spans="2:17" s="4" customFormat="1" ht="14.25" customHeight="1">
      <c r="B59" s="81" t="s">
        <v>49</v>
      </c>
      <c r="C59" s="56" t="s">
        <v>50</v>
      </c>
      <c r="D59" s="58" t="s">
        <v>51</v>
      </c>
      <c r="E59" s="77">
        <f t="shared" ref="E59:P59" si="44">E22/$Q22</f>
        <v>5.7002111757047558E-2</v>
      </c>
      <c r="F59" s="77">
        <f t="shared" si="44"/>
        <v>6.5383593823276784E-2</v>
      </c>
      <c r="G59" s="77">
        <f t="shared" si="44"/>
        <v>6.9678407874859696E-2</v>
      </c>
      <c r="H59" s="77">
        <f t="shared" si="44"/>
        <v>7.6861737897710627E-2</v>
      </c>
      <c r="I59" s="77">
        <f t="shared" si="44"/>
        <v>8.342507081469086E-2</v>
      </c>
      <c r="J59" s="77">
        <f t="shared" si="44"/>
        <v>8.9700959956858672E-2</v>
      </c>
      <c r="K59" s="77">
        <f t="shared" si="44"/>
        <v>9.6557155667804068E-2</v>
      </c>
      <c r="L59" s="77">
        <f t="shared" si="44"/>
        <v>0.10086756872224845</v>
      </c>
      <c r="M59" s="77">
        <f t="shared" si="44"/>
        <v>9.9945051309873162E-2</v>
      </c>
      <c r="N59" s="77">
        <f t="shared" si="44"/>
        <v>9.294423644285231E-2</v>
      </c>
      <c r="O59" s="77">
        <f t="shared" si="44"/>
        <v>8.3440690975475726E-2</v>
      </c>
      <c r="P59" s="77">
        <f t="shared" si="44"/>
        <v>8.4193414757302035E-2</v>
      </c>
      <c r="Q59" s="78">
        <f t="shared" si="43"/>
        <v>0.99999999999999989</v>
      </c>
    </row>
    <row r="60" spans="2:17" ht="14.25" customHeight="1">
      <c r="B60" s="82" t="s">
        <v>52</v>
      </c>
      <c r="C60" s="64" t="s">
        <v>53</v>
      </c>
      <c r="D60" s="25" t="s">
        <v>54</v>
      </c>
      <c r="E60" s="77">
        <f t="shared" ref="E60:P60" si="45">E23/$Q23</f>
        <v>0</v>
      </c>
      <c r="F60" s="77">
        <f t="shared" si="45"/>
        <v>0.24</v>
      </c>
      <c r="G60" s="77">
        <f t="shared" si="45"/>
        <v>0</v>
      </c>
      <c r="H60" s="77">
        <f t="shared" si="45"/>
        <v>0</v>
      </c>
      <c r="I60" s="77">
        <f t="shared" si="45"/>
        <v>0.24</v>
      </c>
      <c r="J60" s="77">
        <f t="shared" si="45"/>
        <v>0</v>
      </c>
      <c r="K60" s="77">
        <f t="shared" si="45"/>
        <v>0.21</v>
      </c>
      <c r="L60" s="77">
        <f t="shared" si="45"/>
        <v>0</v>
      </c>
      <c r="M60" s="77">
        <f t="shared" si="45"/>
        <v>0</v>
      </c>
      <c r="N60" s="77">
        <f t="shared" si="45"/>
        <v>0.16</v>
      </c>
      <c r="O60" s="77">
        <f t="shared" si="45"/>
        <v>0</v>
      </c>
      <c r="P60" s="77">
        <f t="shared" si="45"/>
        <v>0.15</v>
      </c>
      <c r="Q60" s="78">
        <f t="shared" si="43"/>
        <v>1</v>
      </c>
    </row>
    <row r="61" spans="2:17" ht="14.25" customHeight="1">
      <c r="B61" s="82" t="s">
        <v>55</v>
      </c>
      <c r="C61" s="64" t="s">
        <v>56</v>
      </c>
      <c r="D61" s="25" t="s">
        <v>57</v>
      </c>
      <c r="E61" s="77">
        <f t="shared" ref="E61:P61" si="46">E24/$Q24</f>
        <v>0.19214664326216355</v>
      </c>
      <c r="F61" s="77">
        <f t="shared" si="46"/>
        <v>1.8022915590481216E-2</v>
      </c>
      <c r="G61" s="77">
        <f t="shared" si="46"/>
        <v>2.307691349112824E-2</v>
      </c>
      <c r="H61" s="77">
        <f t="shared" si="46"/>
        <v>0.15384608994085494</v>
      </c>
      <c r="I61" s="77">
        <f t="shared" si="46"/>
        <v>2.307691349112824E-2</v>
      </c>
      <c r="J61" s="77">
        <f t="shared" si="46"/>
        <v>5.3846131479299231E-2</v>
      </c>
      <c r="K61" s="77">
        <f t="shared" si="46"/>
        <v>2.0599991443080477E-2</v>
      </c>
      <c r="L61" s="77">
        <f t="shared" si="46"/>
        <v>0.18461530792902592</v>
      </c>
      <c r="M61" s="77">
        <f t="shared" si="46"/>
        <v>2.307691349112824E-2</v>
      </c>
      <c r="N61" s="77">
        <f t="shared" si="46"/>
        <v>0</v>
      </c>
      <c r="O61" s="77">
        <f t="shared" si="46"/>
        <v>0.30769217988170988</v>
      </c>
      <c r="P61" s="77">
        <f t="shared" si="46"/>
        <v>0</v>
      </c>
      <c r="Q61" s="78">
        <f t="shared" si="43"/>
        <v>1</v>
      </c>
    </row>
    <row r="62" spans="2:17" ht="14.25" customHeight="1">
      <c r="B62" s="82" t="s">
        <v>58</v>
      </c>
      <c r="C62" s="64" t="s">
        <v>59</v>
      </c>
      <c r="D62" s="25" t="s">
        <v>60</v>
      </c>
      <c r="E62" s="77">
        <f t="shared" ref="E62:P62" si="47">E25/$Q25</f>
        <v>0.1343179480590769</v>
      </c>
      <c r="F62" s="77">
        <f t="shared" si="47"/>
        <v>0</v>
      </c>
      <c r="G62" s="77">
        <f t="shared" si="47"/>
        <v>0.1900000114000007</v>
      </c>
      <c r="H62" s="77">
        <f t="shared" si="47"/>
        <v>0</v>
      </c>
      <c r="I62" s="77">
        <f t="shared" si="47"/>
        <v>0.17000001020000063</v>
      </c>
      <c r="J62" s="77">
        <f t="shared" si="47"/>
        <v>0</v>
      </c>
      <c r="K62" s="77">
        <f t="shared" si="47"/>
        <v>0.17000001020000063</v>
      </c>
      <c r="L62" s="77">
        <f t="shared" si="47"/>
        <v>0</v>
      </c>
      <c r="M62" s="77">
        <f t="shared" si="47"/>
        <v>0.17000001020000063</v>
      </c>
      <c r="N62" s="77">
        <f t="shared" si="47"/>
        <v>0</v>
      </c>
      <c r="O62" s="77">
        <f t="shared" si="47"/>
        <v>0.16568200994092061</v>
      </c>
      <c r="P62" s="77">
        <f t="shared" si="47"/>
        <v>0</v>
      </c>
      <c r="Q62" s="78">
        <f t="shared" si="43"/>
        <v>1.0000000000000002</v>
      </c>
    </row>
    <row r="63" spans="2:17" ht="14.25" customHeight="1">
      <c r="B63" s="82" t="s">
        <v>61</v>
      </c>
      <c r="C63" s="64" t="s">
        <v>62</v>
      </c>
      <c r="D63" s="25" t="s">
        <v>63</v>
      </c>
      <c r="E63" s="77">
        <f t="shared" ref="E63:P63" si="48">E26/$Q26</f>
        <v>0.11267806438746537</v>
      </c>
      <c r="F63" s="77">
        <f t="shared" si="48"/>
        <v>0</v>
      </c>
      <c r="G63" s="77">
        <f t="shared" si="48"/>
        <v>0.1214286408163662</v>
      </c>
      <c r="H63" s="77">
        <f t="shared" si="48"/>
        <v>7.1428612244921294E-2</v>
      </c>
      <c r="I63" s="77">
        <f t="shared" si="48"/>
        <v>0.1214286408163662</v>
      </c>
      <c r="J63" s="77">
        <f t="shared" si="48"/>
        <v>7.1428612244921294E-2</v>
      </c>
      <c r="K63" s="77">
        <f t="shared" si="48"/>
        <v>0.1214286408163662</v>
      </c>
      <c r="L63" s="77">
        <f t="shared" si="48"/>
        <v>7.1428612244921294E-2</v>
      </c>
      <c r="M63" s="77">
        <f t="shared" si="48"/>
        <v>0.1214286408163662</v>
      </c>
      <c r="N63" s="77">
        <f t="shared" si="48"/>
        <v>6.5892894795939891E-2</v>
      </c>
      <c r="O63" s="77">
        <f t="shared" si="48"/>
        <v>0.1214286408163662</v>
      </c>
      <c r="P63" s="77">
        <f t="shared" si="48"/>
        <v>0</v>
      </c>
      <c r="Q63" s="78">
        <f t="shared" si="43"/>
        <v>1.0000000000000002</v>
      </c>
    </row>
    <row r="64" spans="2:17" ht="14.25" customHeight="1">
      <c r="B64" s="82" t="s">
        <v>64</v>
      </c>
      <c r="C64" s="64" t="s">
        <v>65</v>
      </c>
      <c r="D64" s="25" t="s">
        <v>66</v>
      </c>
      <c r="E64" s="77">
        <f t="shared" ref="E64:P64" si="49">E27/$Q27</f>
        <v>0</v>
      </c>
      <c r="F64" s="77">
        <f t="shared" si="49"/>
        <v>0</v>
      </c>
      <c r="G64" s="77">
        <f t="shared" si="49"/>
        <v>0.1</v>
      </c>
      <c r="H64" s="77">
        <f t="shared" si="49"/>
        <v>0.1</v>
      </c>
      <c r="I64" s="77">
        <f t="shared" si="49"/>
        <v>0.1</v>
      </c>
      <c r="J64" s="77">
        <f t="shared" si="49"/>
        <v>0.1</v>
      </c>
      <c r="K64" s="77">
        <f t="shared" si="49"/>
        <v>0.1</v>
      </c>
      <c r="L64" s="77">
        <f t="shared" si="49"/>
        <v>0.1</v>
      </c>
      <c r="M64" s="77">
        <f t="shared" si="49"/>
        <v>0.1</v>
      </c>
      <c r="N64" s="77">
        <f t="shared" si="49"/>
        <v>0.1</v>
      </c>
      <c r="O64" s="77">
        <f t="shared" si="49"/>
        <v>0.1</v>
      </c>
      <c r="P64" s="77">
        <f t="shared" si="49"/>
        <v>0.1</v>
      </c>
      <c r="Q64" s="78">
        <f t="shared" si="43"/>
        <v>0.99999999999999989</v>
      </c>
    </row>
    <row r="65" spans="2:17" ht="14.25" customHeight="1">
      <c r="B65" s="82" t="s">
        <v>67</v>
      </c>
      <c r="C65" s="64" t="s">
        <v>68</v>
      </c>
      <c r="D65" s="25" t="s">
        <v>69</v>
      </c>
      <c r="E65" s="77">
        <f t="shared" ref="E65:P65" si="50">E28/$Q28</f>
        <v>0</v>
      </c>
      <c r="F65" s="77">
        <f t="shared" si="50"/>
        <v>0</v>
      </c>
      <c r="G65" s="77">
        <f t="shared" si="50"/>
        <v>0</v>
      </c>
      <c r="H65" s="77">
        <f t="shared" si="50"/>
        <v>0.33333333333333331</v>
      </c>
      <c r="I65" s="77">
        <f t="shared" si="50"/>
        <v>0</v>
      </c>
      <c r="J65" s="77">
        <f t="shared" si="50"/>
        <v>0</v>
      </c>
      <c r="K65" s="77">
        <f t="shared" si="50"/>
        <v>0.33333333333333331</v>
      </c>
      <c r="L65" s="77">
        <f t="shared" si="50"/>
        <v>0</v>
      </c>
      <c r="M65" s="77">
        <f t="shared" si="50"/>
        <v>0</v>
      </c>
      <c r="N65" s="77">
        <f t="shared" si="50"/>
        <v>0</v>
      </c>
      <c r="O65" s="77">
        <f t="shared" si="50"/>
        <v>0.33333333333333331</v>
      </c>
      <c r="P65" s="77">
        <f t="shared" si="50"/>
        <v>0</v>
      </c>
      <c r="Q65" s="78">
        <f t="shared" si="43"/>
        <v>1</v>
      </c>
    </row>
    <row r="66" spans="2:17" ht="14.25" customHeight="1">
      <c r="B66" s="82" t="s">
        <v>70</v>
      </c>
      <c r="C66" s="64" t="s">
        <v>71</v>
      </c>
      <c r="D66" s="25" t="s">
        <v>72</v>
      </c>
      <c r="E66" s="77">
        <f t="shared" ref="E66:P66" si="51">E29/$Q29</f>
        <v>0</v>
      </c>
      <c r="F66" s="77">
        <f t="shared" si="51"/>
        <v>0.2</v>
      </c>
      <c r="G66" s="77">
        <f t="shared" si="51"/>
        <v>0</v>
      </c>
      <c r="H66" s="77">
        <f t="shared" si="51"/>
        <v>0.2</v>
      </c>
      <c r="I66" s="77">
        <f t="shared" si="51"/>
        <v>0</v>
      </c>
      <c r="J66" s="77">
        <f t="shared" si="51"/>
        <v>0.2</v>
      </c>
      <c r="K66" s="77">
        <f t="shared" si="51"/>
        <v>0</v>
      </c>
      <c r="L66" s="77">
        <f t="shared" si="51"/>
        <v>0.2</v>
      </c>
      <c r="M66" s="77">
        <f t="shared" si="51"/>
        <v>0</v>
      </c>
      <c r="N66" s="77">
        <f t="shared" si="51"/>
        <v>0</v>
      </c>
      <c r="O66" s="77">
        <f t="shared" si="51"/>
        <v>0.2</v>
      </c>
      <c r="P66" s="77">
        <f t="shared" si="51"/>
        <v>0</v>
      </c>
      <c r="Q66" s="78">
        <f t="shared" si="43"/>
        <v>1</v>
      </c>
    </row>
    <row r="67" spans="2:17" ht="14.25" customHeight="1">
      <c r="B67" s="82" t="s">
        <v>73</v>
      </c>
      <c r="C67" s="64" t="s">
        <v>74</v>
      </c>
      <c r="D67" s="25" t="s">
        <v>75</v>
      </c>
      <c r="E67" s="77">
        <f t="shared" ref="E67:P67" si="52">E30/$Q30</f>
        <v>0</v>
      </c>
      <c r="F67" s="77">
        <f t="shared" si="52"/>
        <v>0</v>
      </c>
      <c r="G67" s="77">
        <f t="shared" si="52"/>
        <v>0</v>
      </c>
      <c r="H67" s="77">
        <f t="shared" si="52"/>
        <v>0</v>
      </c>
      <c r="I67" s="77">
        <f t="shared" si="52"/>
        <v>0</v>
      </c>
      <c r="J67" s="77">
        <f t="shared" si="52"/>
        <v>0</v>
      </c>
      <c r="K67" s="77">
        <f t="shared" si="52"/>
        <v>0</v>
      </c>
      <c r="L67" s="77">
        <f t="shared" si="52"/>
        <v>1</v>
      </c>
      <c r="M67" s="77">
        <f t="shared" si="52"/>
        <v>0</v>
      </c>
      <c r="N67" s="77">
        <f t="shared" si="52"/>
        <v>0</v>
      </c>
      <c r="O67" s="77">
        <f t="shared" si="52"/>
        <v>0</v>
      </c>
      <c r="P67" s="77">
        <f t="shared" si="52"/>
        <v>0</v>
      </c>
      <c r="Q67" s="78">
        <f t="shared" si="43"/>
        <v>1</v>
      </c>
    </row>
    <row r="68" spans="2:17" ht="14.25" customHeight="1">
      <c r="B68" s="82" t="s">
        <v>76</v>
      </c>
      <c r="C68" s="64" t="s">
        <v>77</v>
      </c>
      <c r="D68" s="25" t="s">
        <v>78</v>
      </c>
      <c r="E68" s="77">
        <f t="shared" ref="E68:P68" si="53">E31/$Q31</f>
        <v>6.095497777777778E-2</v>
      </c>
      <c r="F68" s="77">
        <f t="shared" si="53"/>
        <v>5.5376666666666664E-2</v>
      </c>
      <c r="G68" s="77">
        <f t="shared" si="53"/>
        <v>8.8366835555555551E-2</v>
      </c>
      <c r="H68" s="77">
        <f t="shared" si="53"/>
        <v>8.8366835555555551E-2</v>
      </c>
      <c r="I68" s="77">
        <f t="shared" si="53"/>
        <v>8.8366835555555551E-2</v>
      </c>
      <c r="J68" s="77">
        <f t="shared" si="53"/>
        <v>8.8366835555555551E-2</v>
      </c>
      <c r="K68" s="77">
        <f t="shared" si="53"/>
        <v>8.8366835555555551E-2</v>
      </c>
      <c r="L68" s="77">
        <f t="shared" si="53"/>
        <v>8.8366835555555551E-2</v>
      </c>
      <c r="M68" s="77">
        <f t="shared" si="53"/>
        <v>8.8366835555555551E-2</v>
      </c>
      <c r="N68" s="77">
        <f t="shared" si="53"/>
        <v>8.8366835555555551E-2</v>
      </c>
      <c r="O68" s="77">
        <f t="shared" si="53"/>
        <v>8.8366835555555551E-2</v>
      </c>
      <c r="P68" s="77">
        <f t="shared" si="53"/>
        <v>8.8366835555555551E-2</v>
      </c>
      <c r="Q68" s="78">
        <f t="shared" si="43"/>
        <v>1</v>
      </c>
    </row>
    <row r="69" spans="2:17" ht="14.25" customHeight="1">
      <c r="B69" s="82" t="s">
        <v>79</v>
      </c>
      <c r="C69" s="64" t="s">
        <v>80</v>
      </c>
      <c r="D69" s="25" t="s">
        <v>81</v>
      </c>
      <c r="E69" s="77">
        <f t="shared" ref="E69:P69" si="54">E32/$Q32</f>
        <v>0</v>
      </c>
      <c r="F69" s="77">
        <f t="shared" si="54"/>
        <v>0</v>
      </c>
      <c r="G69" s="77">
        <f t="shared" si="54"/>
        <v>0</v>
      </c>
      <c r="H69" s="77">
        <f t="shared" si="54"/>
        <v>0.5</v>
      </c>
      <c r="I69" s="77">
        <f t="shared" si="54"/>
        <v>0</v>
      </c>
      <c r="J69" s="77">
        <f t="shared" si="54"/>
        <v>0</v>
      </c>
      <c r="K69" s="77">
        <f t="shared" si="54"/>
        <v>0</v>
      </c>
      <c r="L69" s="77">
        <f t="shared" si="54"/>
        <v>0</v>
      </c>
      <c r="M69" s="77">
        <f t="shared" si="54"/>
        <v>0</v>
      </c>
      <c r="N69" s="77">
        <f t="shared" si="54"/>
        <v>0.5</v>
      </c>
      <c r="O69" s="77">
        <f t="shared" si="54"/>
        <v>0</v>
      </c>
      <c r="P69" s="77">
        <f t="shared" si="54"/>
        <v>0</v>
      </c>
      <c r="Q69" s="78">
        <f t="shared" si="43"/>
        <v>1</v>
      </c>
    </row>
    <row r="70" spans="2:17" ht="14.25" customHeight="1">
      <c r="B70" s="82" t="s">
        <v>82</v>
      </c>
      <c r="C70" s="64" t="s">
        <v>83</v>
      </c>
      <c r="D70" s="25" t="s">
        <v>81</v>
      </c>
      <c r="E70" s="77">
        <f t="shared" ref="E70:P70" si="55">E33/$Q33</f>
        <v>0</v>
      </c>
      <c r="F70" s="77">
        <f t="shared" si="55"/>
        <v>0</v>
      </c>
      <c r="G70" s="77">
        <f t="shared" si="55"/>
        <v>0.33448731456859498</v>
      </c>
      <c r="H70" s="77">
        <f t="shared" si="55"/>
        <v>0</v>
      </c>
      <c r="I70" s="77">
        <f t="shared" si="55"/>
        <v>0</v>
      </c>
      <c r="J70" s="77">
        <f t="shared" si="55"/>
        <v>0</v>
      </c>
      <c r="K70" s="77">
        <f t="shared" si="55"/>
        <v>0.33448731456859498</v>
      </c>
      <c r="L70" s="77">
        <f t="shared" si="55"/>
        <v>0</v>
      </c>
      <c r="M70" s="77">
        <f t="shared" si="55"/>
        <v>0</v>
      </c>
      <c r="N70" s="77">
        <f t="shared" si="55"/>
        <v>0</v>
      </c>
      <c r="O70" s="77">
        <f t="shared" si="55"/>
        <v>0.33102537086281003</v>
      </c>
      <c r="P70" s="77">
        <f t="shared" si="55"/>
        <v>0</v>
      </c>
      <c r="Q70" s="78">
        <f t="shared" si="43"/>
        <v>1</v>
      </c>
    </row>
    <row r="71" spans="2:17" ht="14.25" customHeight="1">
      <c r="B71" s="83" t="s">
        <v>84</v>
      </c>
      <c r="C71" s="64" t="s">
        <v>85</v>
      </c>
      <c r="D71" s="25" t="s">
        <v>86</v>
      </c>
      <c r="E71" s="77">
        <f t="shared" ref="E71:P71" si="56">E34/$Q34</f>
        <v>0</v>
      </c>
      <c r="F71" s="77">
        <f t="shared" si="56"/>
        <v>0</v>
      </c>
      <c r="G71" s="77">
        <f t="shared" si="56"/>
        <v>0.21176470588235294</v>
      </c>
      <c r="H71" s="77">
        <f t="shared" si="56"/>
        <v>0</v>
      </c>
      <c r="I71" s="77">
        <f t="shared" si="56"/>
        <v>0</v>
      </c>
      <c r="J71" s="77">
        <f t="shared" si="56"/>
        <v>0</v>
      </c>
      <c r="K71" s="77">
        <f t="shared" si="56"/>
        <v>0.21176470588235294</v>
      </c>
      <c r="L71" s="77">
        <f t="shared" si="56"/>
        <v>0</v>
      </c>
      <c r="M71" s="77">
        <f t="shared" si="56"/>
        <v>0.57647058823529407</v>
      </c>
      <c r="N71" s="77">
        <f t="shared" si="56"/>
        <v>0</v>
      </c>
      <c r="O71" s="77">
        <f t="shared" si="56"/>
        <v>0</v>
      </c>
      <c r="P71" s="77">
        <f t="shared" si="56"/>
        <v>0</v>
      </c>
      <c r="Q71" s="78">
        <f t="shared" si="43"/>
        <v>1</v>
      </c>
    </row>
    <row r="72" spans="2:17" ht="14.25" customHeight="1">
      <c r="B72" s="82" t="s">
        <v>87</v>
      </c>
      <c r="C72" s="64" t="s">
        <v>88</v>
      </c>
      <c r="D72" s="25" t="s">
        <v>89</v>
      </c>
      <c r="E72" s="77">
        <f t="shared" ref="E72:P72" si="57">E35/$Q35</f>
        <v>0.46981649999999997</v>
      </c>
      <c r="F72" s="77">
        <f t="shared" si="57"/>
        <v>0</v>
      </c>
      <c r="G72" s="77">
        <f t="shared" si="57"/>
        <v>0</v>
      </c>
      <c r="H72" s="77">
        <f t="shared" si="57"/>
        <v>0</v>
      </c>
      <c r="I72" s="77">
        <f t="shared" si="57"/>
        <v>0.53018350000000003</v>
      </c>
      <c r="J72" s="77">
        <f t="shared" si="57"/>
        <v>0</v>
      </c>
      <c r="K72" s="77">
        <f t="shared" si="57"/>
        <v>0</v>
      </c>
      <c r="L72" s="77">
        <f t="shared" si="57"/>
        <v>0</v>
      </c>
      <c r="M72" s="77">
        <f t="shared" si="57"/>
        <v>0</v>
      </c>
      <c r="N72" s="77">
        <f t="shared" si="57"/>
        <v>0</v>
      </c>
      <c r="O72" s="77">
        <f t="shared" si="57"/>
        <v>0</v>
      </c>
      <c r="P72" s="77">
        <f t="shared" si="57"/>
        <v>0</v>
      </c>
      <c r="Q72" s="78">
        <f t="shared" si="43"/>
        <v>1</v>
      </c>
    </row>
    <row r="73" spans="2:17" ht="14.25" customHeight="1">
      <c r="B73" s="82" t="s">
        <v>90</v>
      </c>
      <c r="C73" s="64" t="s">
        <v>91</v>
      </c>
      <c r="D73" s="25" t="s">
        <v>92</v>
      </c>
      <c r="E73" s="77">
        <f t="shared" ref="E73:P73" si="58">E36/$Q36</f>
        <v>0</v>
      </c>
      <c r="F73" s="77">
        <f t="shared" si="58"/>
        <v>0</v>
      </c>
      <c r="G73" s="77">
        <f t="shared" si="58"/>
        <v>0</v>
      </c>
      <c r="H73" s="77">
        <f t="shared" si="58"/>
        <v>0</v>
      </c>
      <c r="I73" s="77">
        <f t="shared" si="58"/>
        <v>0.5</v>
      </c>
      <c r="J73" s="77">
        <f t="shared" si="58"/>
        <v>0</v>
      </c>
      <c r="K73" s="77">
        <f t="shared" si="58"/>
        <v>0</v>
      </c>
      <c r="L73" s="77">
        <f t="shared" si="58"/>
        <v>0</v>
      </c>
      <c r="M73" s="77">
        <f t="shared" si="58"/>
        <v>0</v>
      </c>
      <c r="N73" s="77">
        <f t="shared" si="58"/>
        <v>0</v>
      </c>
      <c r="O73" s="77">
        <f t="shared" si="58"/>
        <v>0.5</v>
      </c>
      <c r="P73" s="77">
        <f t="shared" si="58"/>
        <v>0</v>
      </c>
      <c r="Q73" s="78">
        <f t="shared" si="43"/>
        <v>1</v>
      </c>
    </row>
    <row r="74" spans="2:17" ht="14.25" customHeight="1">
      <c r="B74" s="83"/>
      <c r="C74" s="64" t="s">
        <v>93</v>
      </c>
      <c r="D74" s="25"/>
      <c r="E74" s="77" t="e">
        <f t="shared" ref="E74:P74" si="59">E37/$Q37</f>
        <v>#DIV/0!</v>
      </c>
      <c r="F74" s="77" t="e">
        <f t="shared" si="59"/>
        <v>#DIV/0!</v>
      </c>
      <c r="G74" s="77" t="e">
        <f t="shared" si="59"/>
        <v>#DIV/0!</v>
      </c>
      <c r="H74" s="77" t="e">
        <f t="shared" si="59"/>
        <v>#DIV/0!</v>
      </c>
      <c r="I74" s="77" t="e">
        <f t="shared" si="59"/>
        <v>#DIV/0!</v>
      </c>
      <c r="J74" s="77" t="e">
        <f t="shared" si="59"/>
        <v>#DIV/0!</v>
      </c>
      <c r="K74" s="77" t="e">
        <f t="shared" si="59"/>
        <v>#DIV/0!</v>
      </c>
      <c r="L74" s="77" t="e">
        <f t="shared" si="59"/>
        <v>#DIV/0!</v>
      </c>
      <c r="M74" s="77" t="e">
        <f t="shared" si="59"/>
        <v>#DIV/0!</v>
      </c>
      <c r="N74" s="77" t="e">
        <f t="shared" si="59"/>
        <v>#DIV/0!</v>
      </c>
      <c r="O74" s="77" t="e">
        <f t="shared" si="59"/>
        <v>#DIV/0!</v>
      </c>
      <c r="P74" s="77" t="e">
        <f t="shared" si="59"/>
        <v>#DIV/0!</v>
      </c>
      <c r="Q74" s="78" t="e">
        <f t="shared" si="43"/>
        <v>#DIV/0!</v>
      </c>
    </row>
    <row r="75" spans="2:17" ht="14.25" customHeight="1">
      <c r="B75" s="83" t="s">
        <v>94</v>
      </c>
      <c r="C75" s="64" t="s">
        <v>95</v>
      </c>
      <c r="D75" s="25" t="s">
        <v>51</v>
      </c>
      <c r="E75" s="77">
        <f t="shared" ref="E75:P75" si="60">E38/$Q38</f>
        <v>0</v>
      </c>
      <c r="F75" s="77">
        <f t="shared" si="60"/>
        <v>0</v>
      </c>
      <c r="G75" s="77">
        <f t="shared" si="60"/>
        <v>0</v>
      </c>
      <c r="H75" s="77">
        <f t="shared" si="60"/>
        <v>0.33333333333333331</v>
      </c>
      <c r="I75" s="77">
        <f t="shared" si="60"/>
        <v>0</v>
      </c>
      <c r="J75" s="77">
        <f t="shared" si="60"/>
        <v>0</v>
      </c>
      <c r="K75" s="77">
        <f t="shared" si="60"/>
        <v>0</v>
      </c>
      <c r="L75" s="77">
        <f t="shared" si="60"/>
        <v>0.33333333333333331</v>
      </c>
      <c r="M75" s="77">
        <f t="shared" si="60"/>
        <v>0</v>
      </c>
      <c r="N75" s="77">
        <f t="shared" si="60"/>
        <v>0</v>
      </c>
      <c r="O75" s="77">
        <f t="shared" si="60"/>
        <v>0.33333333333333331</v>
      </c>
      <c r="P75" s="77">
        <f t="shared" si="60"/>
        <v>0</v>
      </c>
      <c r="Q75" s="78">
        <f t="shared" si="43"/>
        <v>1</v>
      </c>
    </row>
    <row r="76" spans="2:17" ht="14.25" customHeight="1">
      <c r="B76" s="84" t="s">
        <v>96</v>
      </c>
      <c r="C76" s="64" t="s">
        <v>97</v>
      </c>
      <c r="D76" s="25"/>
      <c r="E76" s="77">
        <f t="shared" ref="E76:P76" si="61">E39/$Q39</f>
        <v>0</v>
      </c>
      <c r="F76" s="77">
        <f t="shared" si="61"/>
        <v>0</v>
      </c>
      <c r="G76" s="77">
        <f t="shared" si="61"/>
        <v>0</v>
      </c>
      <c r="H76" s="77">
        <f t="shared" si="61"/>
        <v>0</v>
      </c>
      <c r="I76" s="77">
        <f t="shared" si="61"/>
        <v>0</v>
      </c>
      <c r="J76" s="77">
        <f t="shared" si="61"/>
        <v>0.5</v>
      </c>
      <c r="K76" s="77">
        <f t="shared" si="61"/>
        <v>0</v>
      </c>
      <c r="L76" s="77">
        <f t="shared" si="61"/>
        <v>0</v>
      </c>
      <c r="M76" s="77">
        <f t="shared" si="61"/>
        <v>0</v>
      </c>
      <c r="N76" s="77">
        <f t="shared" si="61"/>
        <v>0</v>
      </c>
      <c r="O76" s="77">
        <f t="shared" si="61"/>
        <v>0.5</v>
      </c>
      <c r="P76" s="77">
        <f t="shared" si="61"/>
        <v>0</v>
      </c>
      <c r="Q76" s="78">
        <f t="shared" si="43"/>
        <v>1</v>
      </c>
    </row>
    <row r="77" spans="2:17" ht="14.25" customHeight="1">
      <c r="B77" s="185" t="s">
        <v>98</v>
      </c>
      <c r="C77" s="185"/>
      <c r="D77" s="185"/>
      <c r="E77" s="80">
        <f t="shared" ref="E77:P77" si="62">E40/$Q$40</f>
        <v>5.3809091658405979E-2</v>
      </c>
      <c r="F77" s="80">
        <f t="shared" si="62"/>
        <v>6.3809483122346231E-2</v>
      </c>
      <c r="G77" s="80">
        <f t="shared" si="62"/>
        <v>5.5471716232861963E-2</v>
      </c>
      <c r="H77" s="80">
        <f t="shared" si="62"/>
        <v>9.6806584660146883E-2</v>
      </c>
      <c r="I77" s="80">
        <f t="shared" si="62"/>
        <v>8.7580642249977927E-2</v>
      </c>
      <c r="J77" s="80">
        <f t="shared" si="62"/>
        <v>7.7517631423400402E-2</v>
      </c>
      <c r="K77" s="80">
        <f t="shared" si="62"/>
        <v>0.10378584301905951</v>
      </c>
      <c r="L77" s="80">
        <f t="shared" si="62"/>
        <v>0.11721944140430668</v>
      </c>
      <c r="M77" s="80">
        <f t="shared" si="62"/>
        <v>7.0354190438526767E-2</v>
      </c>
      <c r="N77" s="80">
        <f t="shared" si="62"/>
        <v>7.0516238479110732E-2</v>
      </c>
      <c r="O77" s="80">
        <f t="shared" si="62"/>
        <v>0.14445418123254841</v>
      </c>
      <c r="P77" s="80">
        <f t="shared" si="62"/>
        <v>6.071965890325591E-2</v>
      </c>
      <c r="Q77" s="80">
        <f t="shared" si="43"/>
        <v>1.0020447028239474</v>
      </c>
    </row>
    <row r="78" spans="2:17" ht="15" customHeight="1">
      <c r="B78" s="186" t="s">
        <v>99</v>
      </c>
      <c r="C78" s="186"/>
      <c r="D78" s="186"/>
      <c r="E78" s="85">
        <f t="shared" ref="E78:P78" si="63">E41/$Q$41</f>
        <v>5.7681988619765201E-2</v>
      </c>
      <c r="F78" s="85">
        <f t="shared" si="63"/>
        <v>6.4765886246349769E-2</v>
      </c>
      <c r="G78" s="85">
        <f t="shared" si="63"/>
        <v>6.7308311741683044E-2</v>
      </c>
      <c r="H78" s="85">
        <f t="shared" si="63"/>
        <v>7.1386083223373364E-2</v>
      </c>
      <c r="I78" s="85">
        <f t="shared" si="63"/>
        <v>7.6472098556623389E-2</v>
      </c>
      <c r="J78" s="85">
        <f t="shared" si="63"/>
        <v>8.4415700935172602E-2</v>
      </c>
      <c r="K78" s="85">
        <f t="shared" si="63"/>
        <v>9.2799645646189421E-2</v>
      </c>
      <c r="L78" s="85">
        <f t="shared" si="63"/>
        <v>0.10040982278327505</v>
      </c>
      <c r="M78" s="85">
        <f t="shared" si="63"/>
        <v>8.1810103796518777E-2</v>
      </c>
      <c r="N78" s="85">
        <f t="shared" si="63"/>
        <v>9.0618000362558071E-2</v>
      </c>
      <c r="O78" s="85">
        <f t="shared" si="63"/>
        <v>0.11915664128140066</v>
      </c>
      <c r="P78" s="85">
        <f t="shared" si="63"/>
        <v>9.3660665465137821E-2</v>
      </c>
      <c r="Q78" s="86">
        <f t="shared" si="43"/>
        <v>1.0004849486580472</v>
      </c>
    </row>
  </sheetData>
  <mergeCells count="3">
    <mergeCell ref="B58:D58"/>
    <mergeCell ref="B77:D77"/>
    <mergeCell ref="B78:D7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4"/>
  <sheetViews>
    <sheetView showGridLines="0" rightToLeft="1"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K6" sqref="K6"/>
    </sheetView>
  </sheetViews>
  <sheetFormatPr defaultColWidth="8.625" defaultRowHeight="14.25"/>
  <cols>
    <col min="1" max="1" width="2.875" customWidth="1"/>
    <col min="2" max="3" width="28" hidden="1" customWidth="1"/>
    <col min="4" max="4" width="28" customWidth="1"/>
    <col min="5" max="5" width="13.375" customWidth="1"/>
    <col min="6" max="9" width="12.25" customWidth="1"/>
    <col min="11" max="11" width="13.625" customWidth="1"/>
    <col min="12" max="12" width="14.25" customWidth="1"/>
    <col min="14" max="17" width="13.25" customWidth="1"/>
  </cols>
  <sheetData>
    <row r="1" spans="1:17" ht="15.75" customHeight="1">
      <c r="B1" s="6"/>
      <c r="C1" s="6" t="s">
        <v>101</v>
      </c>
      <c r="D1" s="6" t="s">
        <v>101</v>
      </c>
      <c r="E1" s="6"/>
      <c r="F1" s="87"/>
      <c r="G1" s="87"/>
      <c r="H1" s="87"/>
      <c r="I1" s="87"/>
      <c r="K1">
        <v>2025</v>
      </c>
      <c r="L1">
        <v>2025</v>
      </c>
      <c r="N1">
        <v>2026</v>
      </c>
      <c r="O1">
        <v>2026</v>
      </c>
      <c r="P1">
        <v>2026</v>
      </c>
      <c r="Q1">
        <v>2026</v>
      </c>
    </row>
    <row r="2" spans="1:17" ht="15" customHeight="1">
      <c r="A2" s="88" t="s">
        <v>2</v>
      </c>
      <c r="B2" s="89"/>
      <c r="C2" s="89"/>
      <c r="D2" s="89"/>
      <c r="E2" s="89" t="s">
        <v>3</v>
      </c>
      <c r="F2" s="90">
        <v>2024</v>
      </c>
      <c r="G2" s="90">
        <v>2025</v>
      </c>
      <c r="H2" s="90" t="s">
        <v>102</v>
      </c>
      <c r="I2" s="90" t="s">
        <v>103</v>
      </c>
      <c r="K2" s="90" t="s">
        <v>104</v>
      </c>
      <c r="L2" s="90" t="s">
        <v>105</v>
      </c>
      <c r="N2" s="90" t="s">
        <v>106</v>
      </c>
      <c r="O2" s="90" t="s">
        <v>107</v>
      </c>
      <c r="P2" s="90" t="s">
        <v>108</v>
      </c>
      <c r="Q2" s="90" t="s">
        <v>105</v>
      </c>
    </row>
    <row r="3" spans="1:17" ht="14.25" customHeight="1">
      <c r="A3" s="91">
        <v>5</v>
      </c>
      <c r="B3" s="92" t="s">
        <v>109</v>
      </c>
      <c r="C3" s="92" t="s">
        <v>31</v>
      </c>
      <c r="D3" s="92" t="s">
        <v>31</v>
      </c>
      <c r="E3" s="92" t="s">
        <v>32</v>
      </c>
      <c r="F3" s="93">
        <v>2052731.8</v>
      </c>
      <c r="G3" s="93">
        <v>1708656.85</v>
      </c>
      <c r="H3" s="93">
        <v>2520000</v>
      </c>
      <c r="I3" s="93">
        <v>1940443.3</v>
      </c>
      <c r="K3" s="156">
        <v>118392</v>
      </c>
      <c r="L3" s="156">
        <v>1708656.85</v>
      </c>
      <c r="N3" s="156">
        <v>0</v>
      </c>
      <c r="O3" s="156">
        <v>0</v>
      </c>
      <c r="P3" s="156">
        <v>78890.526315789495</v>
      </c>
      <c r="Q3" s="156">
        <v>1406948.0210526299</v>
      </c>
    </row>
    <row r="4" spans="1:17" ht="14.25" customHeight="1">
      <c r="A4" s="94">
        <v>1</v>
      </c>
      <c r="B4" s="92" t="s">
        <v>33</v>
      </c>
      <c r="C4" s="92" t="s">
        <v>33</v>
      </c>
      <c r="D4" s="92" t="s">
        <v>33</v>
      </c>
      <c r="E4" s="92" t="s">
        <v>32</v>
      </c>
      <c r="F4" s="93">
        <v>5482291.1780000003</v>
      </c>
      <c r="G4" s="93">
        <v>6071777.6226000404</v>
      </c>
      <c r="H4" s="93">
        <v>6779000</v>
      </c>
      <c r="I4" s="93">
        <v>6074937.8930000002</v>
      </c>
      <c r="K4" s="156">
        <v>176505</v>
      </c>
      <c r="L4" s="156">
        <v>6689220.5</v>
      </c>
      <c r="N4" s="156">
        <v>1952</v>
      </c>
      <c r="O4" s="156">
        <v>147652.20000000001</v>
      </c>
      <c r="P4" s="156">
        <v>149440.42105263201</v>
      </c>
      <c r="Q4" s="156">
        <v>5654545.6421052599</v>
      </c>
    </row>
    <row r="5" spans="1:17" s="160" customFormat="1" ht="14.25" customHeight="1">
      <c r="A5" s="157">
        <v>7</v>
      </c>
      <c r="B5" s="158" t="s">
        <v>34</v>
      </c>
      <c r="C5" s="158" t="s">
        <v>34</v>
      </c>
      <c r="D5" s="158" t="s">
        <v>34</v>
      </c>
      <c r="E5" s="158" t="s">
        <v>32</v>
      </c>
      <c r="F5" s="159">
        <v>1089803.8060000001</v>
      </c>
      <c r="G5" s="159">
        <v>828689.86</v>
      </c>
      <c r="H5" s="159">
        <v>900000</v>
      </c>
      <c r="I5" s="159">
        <v>1037274.5649999999</v>
      </c>
      <c r="K5" s="161">
        <v>27268</v>
      </c>
      <c r="L5" s="161">
        <v>889501.1</v>
      </c>
      <c r="N5" s="161">
        <v>8</v>
      </c>
      <c r="O5" s="161">
        <v>918.4</v>
      </c>
      <c r="P5" s="161">
        <v>24137.684210526299</v>
      </c>
      <c r="Q5" s="161">
        <v>854230.48421052599</v>
      </c>
    </row>
    <row r="6" spans="1:17" ht="14.25" customHeight="1">
      <c r="A6" s="94">
        <v>4</v>
      </c>
      <c r="B6" s="92" t="s">
        <v>35</v>
      </c>
      <c r="C6" s="92" t="s">
        <v>35</v>
      </c>
      <c r="D6" s="92" t="s">
        <v>35</v>
      </c>
      <c r="E6" s="92" t="s">
        <v>32</v>
      </c>
      <c r="F6" s="93">
        <v>1835959.53</v>
      </c>
      <c r="G6" s="93">
        <v>1941001.5793999999</v>
      </c>
      <c r="H6" s="93">
        <v>1947000</v>
      </c>
      <c r="I6" s="93">
        <v>2118523.9780000001</v>
      </c>
      <c r="K6" s="156"/>
      <c r="L6" s="156">
        <v>2120059.06</v>
      </c>
      <c r="N6" s="156"/>
      <c r="O6" s="156">
        <v>63207.99</v>
      </c>
      <c r="P6" s="156"/>
      <c r="Q6" s="156">
        <v>1774351.41473685</v>
      </c>
    </row>
    <row r="7" spans="1:17" ht="14.25" customHeight="1">
      <c r="A7" s="94">
        <v>3</v>
      </c>
      <c r="B7" s="92" t="s">
        <v>110</v>
      </c>
      <c r="C7" s="92" t="s">
        <v>36</v>
      </c>
      <c r="D7" s="92" t="s">
        <v>36</v>
      </c>
      <c r="E7" s="92" t="s">
        <v>32</v>
      </c>
      <c r="F7" s="93">
        <v>4118466.1</v>
      </c>
      <c r="G7" s="93">
        <v>3809616.42</v>
      </c>
      <c r="H7" s="93">
        <v>4381000</v>
      </c>
      <c r="I7" s="93">
        <v>3722410.85</v>
      </c>
      <c r="K7" s="156">
        <v>152395</v>
      </c>
      <c r="L7" s="156">
        <v>3809616.42</v>
      </c>
      <c r="N7" s="156">
        <v>-2</v>
      </c>
      <c r="O7" s="156">
        <v>-1176</v>
      </c>
      <c r="P7" s="156">
        <v>139120.42105263201</v>
      </c>
      <c r="Q7" s="156">
        <v>3245877.5368421101</v>
      </c>
    </row>
    <row r="8" spans="1:17" ht="14.25" customHeight="1">
      <c r="A8" s="94">
        <v>8</v>
      </c>
      <c r="B8" s="92" t="s">
        <v>111</v>
      </c>
      <c r="C8" s="92" t="s">
        <v>37</v>
      </c>
      <c r="D8" s="92" t="s">
        <v>37</v>
      </c>
      <c r="E8" s="92" t="s">
        <v>32</v>
      </c>
      <c r="F8" s="93">
        <v>797978.25</v>
      </c>
      <c r="G8" s="93">
        <v>892626.19</v>
      </c>
      <c r="H8" s="93">
        <v>1220000</v>
      </c>
      <c r="I8" s="93">
        <v>943097.61100000003</v>
      </c>
      <c r="K8" s="156"/>
      <c r="L8" s="156">
        <v>860680.72</v>
      </c>
      <c r="N8" s="156"/>
      <c r="O8" s="156">
        <v>308751.05</v>
      </c>
      <c r="P8" s="156"/>
      <c r="Q8" s="156">
        <v>624255.68842105195</v>
      </c>
    </row>
    <row r="9" spans="1:17" ht="14.25" customHeight="1">
      <c r="A9" s="94">
        <v>6</v>
      </c>
      <c r="B9" s="92" t="s">
        <v>112</v>
      </c>
      <c r="C9" s="92" t="s">
        <v>38</v>
      </c>
      <c r="D9" s="92" t="s">
        <v>38</v>
      </c>
      <c r="E9" s="92" t="s">
        <v>32</v>
      </c>
      <c r="F9" s="93">
        <v>901019.25</v>
      </c>
      <c r="G9" s="93">
        <v>854818.94</v>
      </c>
      <c r="H9" s="93">
        <v>1979000</v>
      </c>
      <c r="I9" s="93">
        <v>1075277.57</v>
      </c>
      <c r="K9" s="156">
        <v>11637</v>
      </c>
      <c r="L9" s="156">
        <v>850045.24</v>
      </c>
      <c r="N9" s="156">
        <v>728</v>
      </c>
      <c r="O9" s="156">
        <v>56220.09</v>
      </c>
      <c r="P9" s="156">
        <v>9871.5789473684199</v>
      </c>
      <c r="Q9" s="156">
        <v>818053.90736842097</v>
      </c>
    </row>
    <row r="10" spans="1:17" ht="14.25" customHeight="1">
      <c r="A10" s="95">
        <v>10</v>
      </c>
      <c r="B10" s="92" t="s">
        <v>113</v>
      </c>
      <c r="C10" s="92" t="s">
        <v>39</v>
      </c>
      <c r="D10" s="92" t="s">
        <v>39</v>
      </c>
      <c r="E10" s="92" t="s">
        <v>32</v>
      </c>
      <c r="F10" s="93">
        <v>187203.67</v>
      </c>
      <c r="G10" s="93">
        <v>185250.51</v>
      </c>
      <c r="H10" s="93">
        <v>190000</v>
      </c>
      <c r="I10" s="93">
        <v>151235.07999999999</v>
      </c>
      <c r="K10" s="156">
        <v>3679</v>
      </c>
      <c r="L10" s="156">
        <v>185250.51</v>
      </c>
      <c r="N10" s="156">
        <v>253</v>
      </c>
      <c r="O10" s="156">
        <v>13716.33</v>
      </c>
      <c r="P10" s="156">
        <v>1740.6315789473699</v>
      </c>
      <c r="Q10" s="156">
        <v>98772.012631578997</v>
      </c>
    </row>
    <row r="11" spans="1:17" ht="14.25" customHeight="1">
      <c r="A11" s="94">
        <v>11</v>
      </c>
      <c r="B11" s="92" t="s">
        <v>114</v>
      </c>
      <c r="C11" s="92" t="s">
        <v>40</v>
      </c>
      <c r="D11" s="92" t="s">
        <v>40</v>
      </c>
      <c r="E11" s="92" t="s">
        <v>32</v>
      </c>
      <c r="F11" s="93">
        <v>92204.35</v>
      </c>
      <c r="G11" s="93">
        <v>57359.72</v>
      </c>
      <c r="H11" s="93">
        <v>100000</v>
      </c>
      <c r="I11" s="93">
        <v>94015.41</v>
      </c>
      <c r="K11" s="156">
        <v>1208</v>
      </c>
      <c r="L11" s="156">
        <v>58306.79</v>
      </c>
      <c r="N11" s="156">
        <v>244</v>
      </c>
      <c r="O11" s="156">
        <v>18033.75</v>
      </c>
      <c r="P11" s="156">
        <v>833.68421052631595</v>
      </c>
      <c r="Q11" s="156">
        <v>58745.873684210499</v>
      </c>
    </row>
    <row r="12" spans="1:17" ht="14.25" customHeight="1">
      <c r="A12" s="94">
        <v>14</v>
      </c>
      <c r="B12" s="92" t="s">
        <v>115</v>
      </c>
      <c r="C12" s="92" t="s">
        <v>41</v>
      </c>
      <c r="D12" s="92" t="s">
        <v>41</v>
      </c>
      <c r="E12" s="92" t="s">
        <v>32</v>
      </c>
      <c r="F12" s="93">
        <v>3230.5</v>
      </c>
      <c r="G12" s="93">
        <v>4145.68</v>
      </c>
      <c r="H12" s="93">
        <v>0</v>
      </c>
      <c r="I12" s="93">
        <v>33576.15</v>
      </c>
      <c r="K12" s="156">
        <v>114</v>
      </c>
      <c r="L12" s="156">
        <v>4145.68</v>
      </c>
      <c r="N12" s="156">
        <v>18</v>
      </c>
      <c r="O12" s="156">
        <v>1012.72</v>
      </c>
      <c r="P12" s="156">
        <v>122.526315789474</v>
      </c>
      <c r="Q12" s="156">
        <v>5437.92</v>
      </c>
    </row>
    <row r="13" spans="1:17" ht="14.25" customHeight="1">
      <c r="A13" s="94">
        <v>15</v>
      </c>
      <c r="B13" s="92" t="s">
        <v>116</v>
      </c>
      <c r="C13" s="92" t="s">
        <v>47</v>
      </c>
      <c r="D13" s="92" t="s">
        <v>47</v>
      </c>
      <c r="E13" s="92" t="s">
        <v>32</v>
      </c>
      <c r="F13" s="93">
        <v>1583.18</v>
      </c>
      <c r="G13" s="93">
        <v>514.20000000000005</v>
      </c>
      <c r="H13" s="93">
        <v>25000</v>
      </c>
      <c r="I13" s="93">
        <v>31896.82</v>
      </c>
      <c r="K13" s="156">
        <v>16</v>
      </c>
      <c r="L13" s="156">
        <v>514.20000000000005</v>
      </c>
      <c r="N13" s="156">
        <v>59</v>
      </c>
      <c r="O13" s="156">
        <v>1896.82</v>
      </c>
      <c r="P13" s="156">
        <v>74.526315789473699</v>
      </c>
      <c r="Q13" s="156">
        <v>2395.9831578947401</v>
      </c>
    </row>
    <row r="14" spans="1:17" ht="14.25" customHeight="1">
      <c r="A14" s="94">
        <v>13</v>
      </c>
      <c r="B14" s="92" t="s">
        <v>117</v>
      </c>
      <c r="C14" s="92" t="s">
        <v>43</v>
      </c>
      <c r="D14" s="92" t="s">
        <v>43</v>
      </c>
      <c r="E14" s="92" t="s">
        <v>32</v>
      </c>
      <c r="F14" s="93">
        <v>9577.5</v>
      </c>
      <c r="G14" s="93">
        <v>13532.23</v>
      </c>
      <c r="H14" s="93">
        <v>400000</v>
      </c>
      <c r="I14" s="93">
        <v>37748.720000000001</v>
      </c>
      <c r="K14" s="156">
        <v>286</v>
      </c>
      <c r="L14" s="156">
        <v>13532.23</v>
      </c>
      <c r="N14" s="156">
        <v>41</v>
      </c>
      <c r="O14" s="156">
        <v>4381.47</v>
      </c>
      <c r="P14" s="156">
        <v>261.47368421052602</v>
      </c>
      <c r="Q14" s="156">
        <v>14829.2589473684</v>
      </c>
    </row>
    <row r="15" spans="1:17" ht="14.25" customHeight="1">
      <c r="A15" s="94">
        <v>9</v>
      </c>
      <c r="B15" s="92" t="s">
        <v>118</v>
      </c>
      <c r="C15" s="92" t="s">
        <v>44</v>
      </c>
      <c r="D15" s="92" t="s">
        <v>44</v>
      </c>
      <c r="E15" s="92" t="s">
        <v>32</v>
      </c>
      <c r="F15" s="93">
        <v>72915.81</v>
      </c>
      <c r="G15" s="93">
        <v>94701.6</v>
      </c>
      <c r="H15" s="93">
        <v>200000</v>
      </c>
      <c r="I15" s="93">
        <v>239111.1</v>
      </c>
      <c r="K15" s="156">
        <v>1673</v>
      </c>
      <c r="L15" s="156">
        <v>98528.23</v>
      </c>
      <c r="N15" s="156">
        <v>322</v>
      </c>
      <c r="O15" s="156">
        <v>27429.03</v>
      </c>
      <c r="P15" s="156">
        <v>1917.4736842105301</v>
      </c>
      <c r="Q15" s="156">
        <v>143175.309473684</v>
      </c>
    </row>
    <row r="16" spans="1:17" ht="15" customHeight="1">
      <c r="A16" s="96"/>
      <c r="B16" s="97"/>
      <c r="C16" s="97" t="s">
        <v>119</v>
      </c>
      <c r="D16" s="97" t="s">
        <v>119</v>
      </c>
      <c r="E16" s="97"/>
      <c r="F16" s="97">
        <f>SUM(F3:F15)</f>
        <v>16644964.923999999</v>
      </c>
      <c r="G16" s="97">
        <f>SUM(G3:G15)</f>
        <v>16462691.402000038</v>
      </c>
      <c r="H16" s="97">
        <f>SUM(H3:H15)</f>
        <v>20641000</v>
      </c>
      <c r="I16" s="97">
        <f>SUM(I3:I15)</f>
        <v>17499549.046999995</v>
      </c>
      <c r="K16" s="97">
        <f>SUM(K3:K15)</f>
        <v>493173</v>
      </c>
      <c r="L16" s="97">
        <f>SUM(L3:L15)</f>
        <v>17288057.530000001</v>
      </c>
      <c r="N16" s="97">
        <f>SUM(N3:N15)</f>
        <v>3623</v>
      </c>
      <c r="O16" s="97">
        <f t="shared" ref="O16:P16" si="0">SUM(O3:O15)</f>
        <v>642043.84999999986</v>
      </c>
      <c r="P16" s="97">
        <f t="shared" si="0"/>
        <v>406410.94736842188</v>
      </c>
      <c r="Q16" s="97">
        <f>SUM(Q3:Q15)</f>
        <v>14701619.052631585</v>
      </c>
    </row>
    <row r="17" spans="1:17" ht="14.25" customHeight="1">
      <c r="A17" s="94">
        <v>2</v>
      </c>
      <c r="B17" s="92" t="s">
        <v>120</v>
      </c>
      <c r="C17" s="92" t="s">
        <v>45</v>
      </c>
      <c r="D17" s="92" t="s">
        <v>45</v>
      </c>
      <c r="E17" s="92" t="s">
        <v>32</v>
      </c>
      <c r="F17" s="93">
        <v>683558.5</v>
      </c>
      <c r="G17" s="93">
        <v>1656258.29</v>
      </c>
      <c r="H17" s="93">
        <v>10788663.559322</v>
      </c>
      <c r="I17" s="93">
        <v>7612717.0135593498</v>
      </c>
      <c r="K17" s="156">
        <v>20470</v>
      </c>
      <c r="L17" s="156">
        <v>1657320.76</v>
      </c>
      <c r="N17" s="156">
        <v>2375</v>
      </c>
      <c r="O17" s="156">
        <v>147591.20000000001</v>
      </c>
      <c r="P17" s="156">
        <v>36103.578947368398</v>
      </c>
      <c r="Q17" s="156">
        <v>4037646.48</v>
      </c>
    </row>
    <row r="18" spans="1:17" ht="14.25" customHeight="1">
      <c r="A18" s="94">
        <v>12</v>
      </c>
      <c r="B18" s="92" t="s">
        <v>121</v>
      </c>
      <c r="C18" s="92" t="s">
        <v>46</v>
      </c>
      <c r="D18" s="92" t="s">
        <v>46</v>
      </c>
      <c r="E18" s="92" t="s">
        <v>32</v>
      </c>
      <c r="F18" s="93">
        <v>35758.89</v>
      </c>
      <c r="G18" s="93">
        <v>27325.74</v>
      </c>
      <c r="H18" s="93">
        <v>30443.14</v>
      </c>
      <c r="I18" s="93">
        <v>39807.019999999997</v>
      </c>
      <c r="K18" s="156">
        <v>415</v>
      </c>
      <c r="L18" s="156">
        <v>27325.74</v>
      </c>
      <c r="N18" s="156">
        <v>12</v>
      </c>
      <c r="O18" s="156">
        <v>1716.98</v>
      </c>
      <c r="P18" s="156">
        <v>252.63157894736801</v>
      </c>
      <c r="Q18" s="156">
        <v>16463.3178947368</v>
      </c>
    </row>
    <row r="19" spans="1:17" ht="15" customHeight="1">
      <c r="A19" s="95"/>
      <c r="B19" s="97"/>
      <c r="C19" s="97" t="s">
        <v>48</v>
      </c>
      <c r="D19" s="97" t="s">
        <v>48</v>
      </c>
      <c r="E19" s="97"/>
      <c r="F19" s="97">
        <f>F16+F17+F18</f>
        <v>17364282.313999999</v>
      </c>
      <c r="G19" s="97">
        <f>G16+G17+G18</f>
        <v>18146275.432000037</v>
      </c>
      <c r="H19" s="97">
        <f>H16+H17+H18</f>
        <v>31460106.699322</v>
      </c>
      <c r="I19" s="97">
        <f>I16+I17+I18</f>
        <v>25152073.080559343</v>
      </c>
      <c r="K19" s="97">
        <f>K16+K17+K18</f>
        <v>514058</v>
      </c>
      <c r="L19" s="97">
        <f>L16+L17+L18</f>
        <v>18972704.030000001</v>
      </c>
      <c r="N19" s="97">
        <f>N16+N17+N18</f>
        <v>6010</v>
      </c>
      <c r="O19" s="97">
        <f t="shared" ref="O19:P19" si="1">O16+O17+O18</f>
        <v>791352.0299999998</v>
      </c>
      <c r="P19" s="97">
        <f t="shared" si="1"/>
        <v>442767.15789473761</v>
      </c>
      <c r="Q19" s="97">
        <f>Q16+Q17+Q18</f>
        <v>18755728.850526322</v>
      </c>
    </row>
    <row r="20" spans="1:17" ht="14.25" customHeight="1">
      <c r="A20" s="95">
        <v>50</v>
      </c>
      <c r="B20" s="92" t="s">
        <v>122</v>
      </c>
      <c r="C20" s="92" t="s">
        <v>49</v>
      </c>
      <c r="D20" s="92" t="s">
        <v>50</v>
      </c>
      <c r="E20" s="92" t="s">
        <v>51</v>
      </c>
      <c r="F20" s="93">
        <v>3501494.53</v>
      </c>
      <c r="G20" s="93">
        <v>2705391.22</v>
      </c>
      <c r="H20" s="93">
        <v>4776579.3532875003</v>
      </c>
      <c r="I20" s="93">
        <v>3098024.51</v>
      </c>
      <c r="K20" s="156">
        <v>27158</v>
      </c>
      <c r="L20" s="156">
        <v>2705391.22</v>
      </c>
      <c r="N20" s="156">
        <v>47</v>
      </c>
      <c r="O20" s="156">
        <v>3274.06</v>
      </c>
      <c r="P20" s="156">
        <v>23757.473684210501</v>
      </c>
      <c r="Q20" s="156">
        <v>2062598.9305263199</v>
      </c>
    </row>
    <row r="21" spans="1:17" ht="14.25" customHeight="1">
      <c r="A21" s="95">
        <v>20</v>
      </c>
      <c r="B21" s="92" t="s">
        <v>123</v>
      </c>
      <c r="C21" s="92" t="s">
        <v>52</v>
      </c>
      <c r="D21" s="92" t="s">
        <v>53</v>
      </c>
      <c r="E21" s="92" t="s">
        <v>54</v>
      </c>
      <c r="F21" s="93">
        <v>879383.45</v>
      </c>
      <c r="G21" s="93">
        <v>902537.64</v>
      </c>
      <c r="H21" s="93">
        <v>980000</v>
      </c>
      <c r="I21" s="93">
        <v>922081.02</v>
      </c>
      <c r="K21" s="156">
        <v>48363</v>
      </c>
      <c r="L21" s="156">
        <v>902537.64</v>
      </c>
      <c r="N21" s="156">
        <v>250</v>
      </c>
      <c r="O21" s="156">
        <v>11540.57</v>
      </c>
      <c r="P21" s="156">
        <v>35605.8947368421</v>
      </c>
      <c r="Q21" s="156">
        <v>598967.48210526304</v>
      </c>
    </row>
    <row r="22" spans="1:17" ht="14.25" customHeight="1">
      <c r="A22" s="95">
        <v>21</v>
      </c>
      <c r="B22" s="92" t="s">
        <v>124</v>
      </c>
      <c r="C22" s="92" t="s">
        <v>55</v>
      </c>
      <c r="D22" s="92" t="s">
        <v>56</v>
      </c>
      <c r="E22" s="92" t="s">
        <v>57</v>
      </c>
      <c r="F22" s="93">
        <v>633752.75</v>
      </c>
      <c r="G22" s="93">
        <v>405920.85</v>
      </c>
      <c r="H22" s="93">
        <v>650000.27</v>
      </c>
      <c r="I22" s="93">
        <v>613276.52</v>
      </c>
      <c r="K22" s="156">
        <v>6959</v>
      </c>
      <c r="L22" s="156">
        <v>405920.85</v>
      </c>
      <c r="N22" s="156">
        <v>131</v>
      </c>
      <c r="O22" s="156">
        <v>4054.38</v>
      </c>
      <c r="P22" s="156">
        <v>8513.6842105263204</v>
      </c>
      <c r="Q22" s="156">
        <v>434858.64</v>
      </c>
    </row>
    <row r="23" spans="1:17" ht="14.25" customHeight="1">
      <c r="A23" s="95">
        <v>22</v>
      </c>
      <c r="B23" s="92" t="s">
        <v>125</v>
      </c>
      <c r="C23" s="92" t="s">
        <v>58</v>
      </c>
      <c r="D23" s="92" t="s">
        <v>59</v>
      </c>
      <c r="E23" s="92" t="s">
        <v>60</v>
      </c>
      <c r="F23" s="93">
        <v>489809</v>
      </c>
      <c r="G23" s="93">
        <v>414072.64</v>
      </c>
      <c r="H23" s="93">
        <v>499999.97</v>
      </c>
      <c r="I23" s="93">
        <v>457053.13</v>
      </c>
      <c r="K23" s="156">
        <v>21177</v>
      </c>
      <c r="L23" s="156">
        <v>414072.64</v>
      </c>
      <c r="N23" s="156">
        <v>154</v>
      </c>
      <c r="O23" s="156">
        <v>3246.9</v>
      </c>
      <c r="P23" s="156">
        <v>22898.526315789499</v>
      </c>
      <c r="Q23" s="156">
        <v>387859.16210526298</v>
      </c>
    </row>
    <row r="24" spans="1:17" ht="14.25" customHeight="1">
      <c r="A24" s="95">
        <v>23</v>
      </c>
      <c r="B24" s="92" t="s">
        <v>126</v>
      </c>
      <c r="C24" s="92" t="s">
        <v>61</v>
      </c>
      <c r="D24" s="92" t="s">
        <v>62</v>
      </c>
      <c r="E24" s="92" t="s">
        <v>63</v>
      </c>
      <c r="F24" s="93">
        <v>128758.9</v>
      </c>
      <c r="G24" s="93">
        <v>122339</v>
      </c>
      <c r="H24" s="93">
        <v>139999.92000000001</v>
      </c>
      <c r="I24" s="93">
        <v>131678.59</v>
      </c>
      <c r="K24" s="156">
        <v>12986</v>
      </c>
      <c r="L24" s="156">
        <v>122339</v>
      </c>
      <c r="N24" s="156">
        <v>0</v>
      </c>
      <c r="O24" s="156">
        <v>0</v>
      </c>
      <c r="P24" s="156">
        <v>16302.3157894737</v>
      </c>
      <c r="Q24" s="156">
        <v>121427.141052632</v>
      </c>
    </row>
    <row r="25" spans="1:17" ht="14.25" customHeight="1">
      <c r="A25" s="95">
        <v>24</v>
      </c>
      <c r="B25" s="92" t="s">
        <v>127</v>
      </c>
      <c r="C25" s="92" t="s">
        <v>64</v>
      </c>
      <c r="D25" s="92" t="s">
        <v>65</v>
      </c>
      <c r="E25" s="92" t="s">
        <v>66</v>
      </c>
      <c r="F25" s="93">
        <v>160712.5</v>
      </c>
      <c r="G25" s="93">
        <v>52899.82</v>
      </c>
      <c r="H25" s="93">
        <v>50000</v>
      </c>
      <c r="I25" s="93">
        <v>0</v>
      </c>
      <c r="K25" s="156">
        <v>1817</v>
      </c>
      <c r="L25" s="156">
        <v>52899.82</v>
      </c>
      <c r="N25" s="156">
        <v>0</v>
      </c>
      <c r="O25" s="156">
        <v>0</v>
      </c>
      <c r="P25" s="156">
        <v>0</v>
      </c>
      <c r="Q25" s="156">
        <v>0</v>
      </c>
    </row>
    <row r="26" spans="1:17" ht="13.5" customHeight="1">
      <c r="A26" s="95">
        <v>25</v>
      </c>
      <c r="B26" s="92" t="s">
        <v>128</v>
      </c>
      <c r="C26" s="92" t="s">
        <v>67</v>
      </c>
      <c r="D26" s="92" t="s">
        <v>68</v>
      </c>
      <c r="E26" s="92" t="s">
        <v>69</v>
      </c>
      <c r="F26" s="93">
        <v>471280.16</v>
      </c>
      <c r="G26" s="93">
        <v>319558.55</v>
      </c>
      <c r="H26" s="93">
        <v>450000</v>
      </c>
      <c r="I26" s="93">
        <v>524147.47</v>
      </c>
      <c r="K26" s="156">
        <v>18268</v>
      </c>
      <c r="L26" s="156">
        <v>319558.55</v>
      </c>
      <c r="N26" s="156">
        <v>991</v>
      </c>
      <c r="O26" s="156">
        <v>14625</v>
      </c>
      <c r="P26" s="156">
        <v>26022.315789473701</v>
      </c>
      <c r="Q26" s="156">
        <v>461754</v>
      </c>
    </row>
    <row r="27" spans="1:17" ht="14.25" customHeight="1">
      <c r="A27" s="95">
        <v>26</v>
      </c>
      <c r="B27" s="92" t="s">
        <v>129</v>
      </c>
      <c r="C27" s="92" t="s">
        <v>70</v>
      </c>
      <c r="D27" s="92" t="s">
        <v>71</v>
      </c>
      <c r="E27" s="92" t="s">
        <v>72</v>
      </c>
      <c r="F27" s="93">
        <v>162967.91</v>
      </c>
      <c r="G27" s="93">
        <v>86855.65</v>
      </c>
      <c r="H27" s="93">
        <v>200000</v>
      </c>
      <c r="I27" s="93">
        <v>100694.01</v>
      </c>
      <c r="K27" s="156">
        <v>3507</v>
      </c>
      <c r="L27" s="156">
        <v>86855.65</v>
      </c>
      <c r="N27" s="156">
        <v>754</v>
      </c>
      <c r="O27" s="156">
        <v>27727.77</v>
      </c>
      <c r="P27" s="156">
        <v>2952</v>
      </c>
      <c r="Q27" s="156">
        <v>76373.545263157896</v>
      </c>
    </row>
    <row r="28" spans="1:17" ht="13.5" customHeight="1">
      <c r="A28" s="95">
        <v>27</v>
      </c>
      <c r="B28" s="92" t="s">
        <v>130</v>
      </c>
      <c r="C28" s="92" t="s">
        <v>73</v>
      </c>
      <c r="D28" s="92" t="s">
        <v>74</v>
      </c>
      <c r="E28" s="92" t="s">
        <v>75</v>
      </c>
      <c r="F28" s="93">
        <v>370614.64</v>
      </c>
      <c r="G28" s="93">
        <v>256772.1</v>
      </c>
      <c r="H28" s="93">
        <v>250000</v>
      </c>
      <c r="I28" s="93">
        <v>250000</v>
      </c>
      <c r="K28" s="156">
        <v>6687</v>
      </c>
      <c r="L28" s="156">
        <v>256772.1</v>
      </c>
      <c r="N28" s="156">
        <v>0</v>
      </c>
      <c r="O28" s="156">
        <v>0</v>
      </c>
      <c r="P28" s="156">
        <v>0</v>
      </c>
      <c r="Q28" s="156">
        <v>0</v>
      </c>
    </row>
    <row r="29" spans="1:17" ht="13.5" customHeight="1">
      <c r="A29" s="95">
        <v>28</v>
      </c>
      <c r="B29" s="92" t="s">
        <v>131</v>
      </c>
      <c r="C29" s="92" t="s">
        <v>76</v>
      </c>
      <c r="D29" s="92" t="s">
        <v>77</v>
      </c>
      <c r="E29" s="92" t="s">
        <v>78</v>
      </c>
      <c r="F29" s="93">
        <v>348874.04</v>
      </c>
      <c r="G29" s="93">
        <v>405953.63</v>
      </c>
      <c r="H29" s="93">
        <v>450000</v>
      </c>
      <c r="I29" s="93">
        <v>378207.09</v>
      </c>
      <c r="K29" s="156">
        <v>13479</v>
      </c>
      <c r="L29" s="156">
        <v>407234.61</v>
      </c>
      <c r="N29" s="156">
        <v>147</v>
      </c>
      <c r="O29" s="156">
        <v>6167.14</v>
      </c>
      <c r="P29" s="156">
        <v>12256.4210526316</v>
      </c>
      <c r="Q29" s="156">
        <v>380002.34526315797</v>
      </c>
    </row>
    <row r="30" spans="1:17" ht="14.25" customHeight="1">
      <c r="A30" s="95">
        <v>29</v>
      </c>
      <c r="B30" s="92" t="s">
        <v>132</v>
      </c>
      <c r="C30" s="92" t="s">
        <v>79</v>
      </c>
      <c r="D30" s="92" t="s">
        <v>80</v>
      </c>
      <c r="E30" s="92" t="s">
        <v>81</v>
      </c>
      <c r="F30" s="93">
        <v>107690.85</v>
      </c>
      <c r="G30" s="93">
        <v>64554.59</v>
      </c>
      <c r="H30" s="93">
        <v>70000</v>
      </c>
      <c r="I30" s="93">
        <v>73116.44</v>
      </c>
      <c r="K30" s="156">
        <v>2672</v>
      </c>
      <c r="L30" s="156">
        <v>64554.59</v>
      </c>
      <c r="N30" s="156">
        <v>360</v>
      </c>
      <c r="O30" s="156">
        <v>16342.42</v>
      </c>
      <c r="P30" s="156">
        <v>1914.94736842105</v>
      </c>
      <c r="Q30" s="156">
        <v>54462.871578947401</v>
      </c>
    </row>
    <row r="31" spans="1:17" ht="14.25" customHeight="1">
      <c r="A31" s="95">
        <v>30</v>
      </c>
      <c r="B31" s="92" t="s">
        <v>133</v>
      </c>
      <c r="C31" s="92" t="s">
        <v>82</v>
      </c>
      <c r="D31" s="92" t="s">
        <v>83</v>
      </c>
      <c r="E31" s="92" t="s">
        <v>81</v>
      </c>
      <c r="F31" s="93">
        <v>41028.36</v>
      </c>
      <c r="G31" s="93">
        <v>60908.2</v>
      </c>
      <c r="H31" s="93">
        <v>59793</v>
      </c>
      <c r="I31" s="93">
        <v>42809.5</v>
      </c>
      <c r="K31" s="156">
        <v>2980</v>
      </c>
      <c r="L31" s="156">
        <v>60908.2</v>
      </c>
      <c r="N31" s="156">
        <v>260</v>
      </c>
      <c r="O31" s="156">
        <v>5860.29</v>
      </c>
      <c r="P31" s="156">
        <v>2058.9473684210502</v>
      </c>
      <c r="Q31" s="156">
        <v>41437.376842105303</v>
      </c>
    </row>
    <row r="32" spans="1:17" ht="13.5" customHeight="1">
      <c r="A32" s="95">
        <v>31</v>
      </c>
      <c r="B32" s="92" t="s">
        <v>84</v>
      </c>
      <c r="C32" s="92" t="s">
        <v>84</v>
      </c>
      <c r="D32" s="92" t="s">
        <v>85</v>
      </c>
      <c r="E32" s="92" t="s">
        <v>86</v>
      </c>
      <c r="F32" s="93">
        <v>31722.98</v>
      </c>
      <c r="G32" s="93">
        <v>81786.570000000007</v>
      </c>
      <c r="H32" s="93">
        <v>85000</v>
      </c>
      <c r="I32" s="93">
        <v>17500</v>
      </c>
      <c r="K32" s="156">
        <v>3060</v>
      </c>
      <c r="L32" s="156">
        <v>81786.570000000007</v>
      </c>
      <c r="N32" s="156">
        <v>5</v>
      </c>
      <c r="O32" s="156">
        <v>86.54</v>
      </c>
      <c r="P32" s="156">
        <v>851.36842105263099</v>
      </c>
      <c r="Q32" s="156">
        <v>12678.5052631579</v>
      </c>
    </row>
    <row r="33" spans="1:17" ht="13.5" customHeight="1">
      <c r="A33" s="95"/>
      <c r="B33" s="92"/>
      <c r="C33" s="92"/>
      <c r="D33" s="92" t="s">
        <v>134</v>
      </c>
      <c r="E33" s="92" t="s">
        <v>135</v>
      </c>
      <c r="F33" s="93">
        <v>0</v>
      </c>
      <c r="G33" s="93">
        <v>0</v>
      </c>
      <c r="H33" s="93">
        <v>0</v>
      </c>
      <c r="I33" s="93">
        <v>0</v>
      </c>
      <c r="K33" s="156"/>
      <c r="L33" s="156"/>
      <c r="N33" s="156"/>
      <c r="O33" s="156"/>
      <c r="P33" s="156"/>
      <c r="Q33" s="156"/>
    </row>
    <row r="34" spans="1:17" ht="13.5" customHeight="1">
      <c r="A34" s="95">
        <v>32</v>
      </c>
      <c r="B34" s="92" t="s">
        <v>136</v>
      </c>
      <c r="C34" s="92" t="s">
        <v>87</v>
      </c>
      <c r="D34" s="92" t="s">
        <v>88</v>
      </c>
      <c r="E34" s="92" t="s">
        <v>89</v>
      </c>
      <c r="F34" s="93">
        <v>35826.78</v>
      </c>
      <c r="G34" s="93">
        <v>39713.57</v>
      </c>
      <c r="H34" s="93">
        <v>40000</v>
      </c>
      <c r="I34" s="93">
        <v>38792.660000000003</v>
      </c>
      <c r="K34" s="156">
        <v>1359</v>
      </c>
      <c r="L34" s="156">
        <v>39713.57</v>
      </c>
      <c r="N34" s="156">
        <v>56</v>
      </c>
      <c r="O34" s="156">
        <v>1430.29</v>
      </c>
      <c r="P34" s="156">
        <v>1935.15789473684</v>
      </c>
      <c r="Q34" s="156">
        <v>46917.145263157901</v>
      </c>
    </row>
    <row r="35" spans="1:17" ht="13.5" customHeight="1">
      <c r="A35" s="95">
        <v>33</v>
      </c>
      <c r="B35" s="92" t="s">
        <v>137</v>
      </c>
      <c r="C35" s="92" t="s">
        <v>90</v>
      </c>
      <c r="D35" s="92" t="s">
        <v>91</v>
      </c>
      <c r="E35" s="92" t="s">
        <v>92</v>
      </c>
      <c r="F35" s="93">
        <v>59175.03</v>
      </c>
      <c r="G35" s="93">
        <v>53863.18</v>
      </c>
      <c r="H35" s="93">
        <v>80000</v>
      </c>
      <c r="I35" s="93">
        <v>25000</v>
      </c>
      <c r="K35" s="156">
        <v>1737</v>
      </c>
      <c r="L35" s="156">
        <v>53863.18</v>
      </c>
      <c r="N35" s="156">
        <v>0</v>
      </c>
      <c r="O35" s="156">
        <v>0</v>
      </c>
      <c r="P35" s="156">
        <v>1235.3684210526301</v>
      </c>
      <c r="Q35" s="156">
        <v>32975.646315789498</v>
      </c>
    </row>
    <row r="36" spans="1:17" ht="14.25" customHeight="1">
      <c r="A36" s="95"/>
      <c r="B36" s="92" t="s">
        <v>138</v>
      </c>
      <c r="C36" s="92" t="s">
        <v>138</v>
      </c>
      <c r="D36" s="92" t="s">
        <v>139</v>
      </c>
      <c r="E36" s="92" t="s">
        <v>78</v>
      </c>
      <c r="F36" s="93">
        <v>41531.96</v>
      </c>
      <c r="G36" s="93">
        <v>0</v>
      </c>
      <c r="H36" s="93">
        <v>0</v>
      </c>
      <c r="I36" s="93">
        <v>0</v>
      </c>
      <c r="K36" s="156"/>
      <c r="L36" s="156"/>
      <c r="N36" s="156"/>
      <c r="O36" s="156"/>
      <c r="P36" s="156"/>
      <c r="Q36" s="156"/>
    </row>
    <row r="37" spans="1:17" ht="14.25" customHeight="1">
      <c r="A37" s="95">
        <v>34</v>
      </c>
      <c r="B37" s="92" t="s">
        <v>140</v>
      </c>
      <c r="C37" s="92" t="s">
        <v>140</v>
      </c>
      <c r="D37" s="92" t="s">
        <v>93</v>
      </c>
      <c r="E37" s="92" t="s">
        <v>141</v>
      </c>
      <c r="F37" s="93">
        <v>22310.959999999999</v>
      </c>
      <c r="G37" s="93">
        <v>0</v>
      </c>
      <c r="H37" s="93">
        <v>0</v>
      </c>
      <c r="I37" s="93">
        <v>0</v>
      </c>
      <c r="K37" s="156"/>
      <c r="L37" s="156"/>
      <c r="N37" s="156"/>
      <c r="O37" s="156"/>
      <c r="P37" s="156"/>
      <c r="Q37" s="156"/>
    </row>
    <row r="38" spans="1:17" ht="13.5" customHeight="1">
      <c r="A38" s="95">
        <v>35</v>
      </c>
      <c r="B38" s="92" t="s">
        <v>94</v>
      </c>
      <c r="C38" s="92" t="s">
        <v>94</v>
      </c>
      <c r="D38" s="92" t="s">
        <v>95</v>
      </c>
      <c r="E38" s="92" t="s">
        <v>51</v>
      </c>
      <c r="F38" s="93">
        <v>161574.82</v>
      </c>
      <c r="G38" s="93">
        <v>248.59</v>
      </c>
      <c r="H38" s="93">
        <v>600000</v>
      </c>
      <c r="I38" s="93">
        <v>0</v>
      </c>
      <c r="K38" s="156">
        <v>24</v>
      </c>
      <c r="L38" s="156">
        <v>248.59</v>
      </c>
      <c r="N38" s="156">
        <v>0</v>
      </c>
      <c r="O38" s="156">
        <v>0</v>
      </c>
      <c r="P38" s="156">
        <v>0</v>
      </c>
      <c r="Q38" s="156">
        <v>0</v>
      </c>
    </row>
    <row r="39" spans="1:17" ht="13.5" customHeight="1">
      <c r="A39" s="95">
        <v>36</v>
      </c>
      <c r="B39" s="92"/>
      <c r="C39" s="92" t="s">
        <v>97</v>
      </c>
      <c r="D39" s="92" t="s">
        <v>97</v>
      </c>
      <c r="E39" s="92"/>
      <c r="F39" s="93">
        <v>0</v>
      </c>
      <c r="G39" s="93">
        <v>0</v>
      </c>
      <c r="H39" s="93">
        <v>400000</v>
      </c>
      <c r="I39" s="93">
        <v>100000</v>
      </c>
      <c r="K39" s="156"/>
      <c r="L39" s="156"/>
      <c r="N39" s="156"/>
      <c r="O39" s="156"/>
      <c r="P39" s="156"/>
      <c r="Q39" s="156"/>
    </row>
    <row r="40" spans="1:17" ht="13.5" customHeight="1">
      <c r="A40" s="95">
        <v>37</v>
      </c>
      <c r="B40" s="92"/>
      <c r="C40" s="92"/>
      <c r="D40" s="92" t="s">
        <v>142</v>
      </c>
      <c r="E40" s="92"/>
      <c r="F40" s="93"/>
      <c r="G40" s="93"/>
      <c r="H40" s="93"/>
      <c r="I40" s="93"/>
      <c r="K40" s="156"/>
      <c r="L40" s="156"/>
      <c r="N40" s="156"/>
      <c r="O40" s="156"/>
      <c r="P40" s="156"/>
      <c r="Q40" s="156"/>
    </row>
    <row r="41" spans="1:17" ht="13.5" customHeight="1">
      <c r="A41" s="95">
        <v>38</v>
      </c>
      <c r="B41" s="92"/>
      <c r="C41" s="92" t="s">
        <v>97</v>
      </c>
      <c r="D41" s="92" t="s">
        <v>143</v>
      </c>
      <c r="E41" s="92"/>
      <c r="F41" s="93">
        <v>0</v>
      </c>
      <c r="G41" s="93">
        <v>0</v>
      </c>
      <c r="H41" s="93"/>
      <c r="I41" s="93"/>
      <c r="K41" s="156"/>
      <c r="L41" s="156"/>
      <c r="N41" s="156"/>
      <c r="O41" s="156"/>
      <c r="P41" s="156"/>
      <c r="Q41" s="156"/>
    </row>
    <row r="42" spans="1:17" ht="15" customHeight="1">
      <c r="A42" s="95"/>
      <c r="B42" s="98"/>
      <c r="C42" s="98" t="s">
        <v>98</v>
      </c>
      <c r="D42" s="98" t="s">
        <v>98</v>
      </c>
      <c r="E42" s="98"/>
      <c r="F42" s="98">
        <f>SUM(F20:F41)</f>
        <v>7648509.620000001</v>
      </c>
      <c r="G42" s="98">
        <f>SUM(G20:G41)</f>
        <v>5973375.8000000007</v>
      </c>
      <c r="H42" s="98">
        <f>SUM(H20:H41)</f>
        <v>9781372.5132874995</v>
      </c>
      <c r="I42" s="98">
        <f>SUM(I20:I41)</f>
        <v>6772380.9399999995</v>
      </c>
      <c r="K42" s="98">
        <f>SUM(K20:K41)</f>
        <v>172233</v>
      </c>
      <c r="L42" s="98">
        <f>SUM(L20:L41)</f>
        <v>5974656.7800000012</v>
      </c>
      <c r="N42" s="98">
        <f>SUM(N20:N41)</f>
        <v>3155</v>
      </c>
      <c r="O42" s="98">
        <f t="shared" ref="O42:P42" si="2">SUM(O20:O41)</f>
        <v>94355.359999999986</v>
      </c>
      <c r="P42" s="98">
        <f t="shared" si="2"/>
        <v>156304.42105263163</v>
      </c>
      <c r="Q42" s="98">
        <f>SUM(Q20:Q41)</f>
        <v>4712312.7915789532</v>
      </c>
    </row>
    <row r="43" spans="1:17" ht="15" customHeight="1">
      <c r="A43" s="95"/>
      <c r="B43" s="99"/>
      <c r="C43" s="99" t="s">
        <v>144</v>
      </c>
      <c r="D43" s="99" t="s">
        <v>144</v>
      </c>
      <c r="E43" s="99"/>
      <c r="F43" s="99">
        <f>F42+F19</f>
        <v>25012791.934</v>
      </c>
      <c r="G43" s="99">
        <f>G42+G19</f>
        <v>24119651.232000038</v>
      </c>
      <c r="H43" s="99">
        <f>H42+H19</f>
        <v>41241479.2126095</v>
      </c>
      <c r="I43" s="99">
        <f>I42+I19</f>
        <v>31924454.020559341</v>
      </c>
      <c r="K43" s="99">
        <f>K42+K19</f>
        <v>686291</v>
      </c>
      <c r="L43" s="99">
        <f>L42+L19</f>
        <v>24947360.810000002</v>
      </c>
      <c r="N43" s="99">
        <f>N42+N19</f>
        <v>9165</v>
      </c>
      <c r="O43" s="99">
        <f t="shared" ref="O43:P43" si="3">O42+O19</f>
        <v>885707.38999999978</v>
      </c>
      <c r="P43" s="99">
        <f t="shared" si="3"/>
        <v>599071.57894736924</v>
      </c>
      <c r="Q43" s="99">
        <f>Q42+Q19</f>
        <v>23468041.642105274</v>
      </c>
    </row>
    <row r="44" spans="1:17" ht="15" customHeight="1">
      <c r="B44" s="100"/>
      <c r="C44" s="100" t="s">
        <v>145</v>
      </c>
      <c r="D44" s="100" t="s">
        <v>145</v>
      </c>
      <c r="E44" s="100"/>
      <c r="F44" s="101">
        <f>F42/F43</f>
        <v>0.30578392209001459</v>
      </c>
      <c r="G44" s="101">
        <f>G42/G43</f>
        <v>0.2476559773830809</v>
      </c>
      <c r="H44" s="101">
        <f>H42/H43</f>
        <v>0.23717317370849453</v>
      </c>
      <c r="I44" s="101">
        <f>I42/I43</f>
        <v>0.21213772162363648</v>
      </c>
      <c r="K44" s="101">
        <f>IFERROR(K42/K43,"")</f>
        <v>0.25096205545461037</v>
      </c>
      <c r="L44" s="101">
        <f>IFERROR(L42/L43,"")</f>
        <v>0.23949053471039292</v>
      </c>
      <c r="N44" s="101">
        <f>IFERROR(N42/N43,"")</f>
        <v>0.34424440807419532</v>
      </c>
      <c r="O44" s="101">
        <f t="shared" ref="O44:P44" si="4">IFERROR(O42/O43,"")</f>
        <v>0.10653107455725305</v>
      </c>
      <c r="P44" s="101">
        <f t="shared" si="4"/>
        <v>0.26091109400862361</v>
      </c>
      <c r="Q44" s="101">
        <f>IFERROR(Q42/Q43,"")</f>
        <v>0.20079701849191967</v>
      </c>
    </row>
    <row r="46" spans="1:17" ht="15" customHeight="1">
      <c r="D46" s="89"/>
      <c r="E46" s="4"/>
      <c r="F46" s="90">
        <v>2024</v>
      </c>
      <c r="G46" s="90">
        <v>2025</v>
      </c>
      <c r="H46" s="90" t="s">
        <v>102</v>
      </c>
      <c r="I46" s="90" t="s">
        <v>103</v>
      </c>
      <c r="K46" s="90" t="s">
        <v>103</v>
      </c>
    </row>
    <row r="47" spans="1:17" ht="15" customHeight="1">
      <c r="D47" s="97" t="s">
        <v>146</v>
      </c>
      <c r="E47" s="4"/>
      <c r="F47" s="102">
        <f>F16</f>
        <v>16644964.923999999</v>
      </c>
      <c r="G47" s="102">
        <f>G16</f>
        <v>16462691.402000038</v>
      </c>
      <c r="H47" s="102">
        <f>H16</f>
        <v>20641000</v>
      </c>
      <c r="I47" s="102">
        <f>I16</f>
        <v>17499549.046999995</v>
      </c>
      <c r="K47" s="102">
        <f>K16</f>
        <v>493173</v>
      </c>
    </row>
    <row r="48" spans="1:17" ht="15" customHeight="1">
      <c r="D48" s="97" t="s">
        <v>147</v>
      </c>
      <c r="E48" s="4"/>
      <c r="F48" s="102">
        <f>F17+F18</f>
        <v>719317.39</v>
      </c>
      <c r="G48" s="102">
        <f>G17+G18</f>
        <v>1683584.03</v>
      </c>
      <c r="H48" s="102">
        <f>H17+H18</f>
        <v>10819106.699322</v>
      </c>
      <c r="I48" s="102">
        <f>I17+I18</f>
        <v>7652524.0335593494</v>
      </c>
      <c r="K48" s="102">
        <f>K17+K18</f>
        <v>20885</v>
      </c>
    </row>
    <row r="49" spans="4:11" ht="15" customHeight="1">
      <c r="D49" s="103" t="s">
        <v>148</v>
      </c>
      <c r="E49" s="4"/>
      <c r="F49" s="104">
        <f>SUM(F47:F48)</f>
        <v>17364282.313999999</v>
      </c>
      <c r="G49" s="104">
        <f>SUM(G47:G48)</f>
        <v>18146275.432000037</v>
      </c>
      <c r="H49" s="104">
        <f>SUM(H47:H48)</f>
        <v>31460106.699322</v>
      </c>
      <c r="I49" s="104">
        <f>SUM(I47:I48)</f>
        <v>25152073.080559343</v>
      </c>
      <c r="K49" s="104">
        <f>SUM(K47:K48)</f>
        <v>514058</v>
      </c>
    </row>
    <row r="51" spans="4:11" ht="15" customHeight="1">
      <c r="D51" s="97" t="s">
        <v>149</v>
      </c>
      <c r="E51" s="4"/>
      <c r="F51" s="102">
        <f>F20</f>
        <v>3501494.53</v>
      </c>
      <c r="G51" s="102">
        <f>G20</f>
        <v>2705391.22</v>
      </c>
      <c r="H51" s="102">
        <f>H20</f>
        <v>4776579.3532875003</v>
      </c>
      <c r="I51" s="102">
        <f>I20</f>
        <v>3098024.51</v>
      </c>
      <c r="K51" s="102">
        <f>K20</f>
        <v>27158</v>
      </c>
    </row>
    <row r="52" spans="4:11" ht="15" customHeight="1">
      <c r="D52" s="97" t="s">
        <v>150</v>
      </c>
      <c r="E52" s="4"/>
      <c r="F52" s="102">
        <f>SUM(F21:F41)</f>
        <v>4147015.09</v>
      </c>
      <c r="G52" s="102">
        <f>SUM(G21:G41)</f>
        <v>3267984.5799999996</v>
      </c>
      <c r="H52" s="102">
        <f>SUM(H21:H41)</f>
        <v>5004793.16</v>
      </c>
      <c r="I52" s="102">
        <f>SUM(I21:I41)</f>
        <v>3674356.4299999992</v>
      </c>
      <c r="K52" s="102">
        <f>SUM(K21:K41)</f>
        <v>145075</v>
      </c>
    </row>
    <row r="53" spans="4:11" ht="15" customHeight="1">
      <c r="D53" s="99" t="s">
        <v>151</v>
      </c>
      <c r="E53" s="4"/>
      <c r="F53" s="99">
        <f>SUM(F49:F52)</f>
        <v>25012791.934</v>
      </c>
      <c r="G53" s="99">
        <f>SUM(G49:G52)</f>
        <v>24119651.232000034</v>
      </c>
      <c r="H53" s="99">
        <f>SUM(H49:H52)</f>
        <v>41241479.2126095</v>
      </c>
      <c r="I53" s="99">
        <f>SUM(I49:I52)</f>
        <v>31924454.020559341</v>
      </c>
      <c r="K53" s="99">
        <f>SUM(K49:K52)</f>
        <v>686291</v>
      </c>
    </row>
    <row r="54" spans="4:11" ht="14.25" customHeight="1">
      <c r="D54" t="s">
        <v>152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D63F-8138-4C83-97D7-9BE221F9E4B9}">
  <dimension ref="A1:Q55"/>
  <sheetViews>
    <sheetView showGridLines="0" rightToLeft="1" tabSelected="1"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J29" sqref="J29"/>
    </sheetView>
  </sheetViews>
  <sheetFormatPr defaultColWidth="8.625" defaultRowHeight="14.25"/>
  <cols>
    <col min="1" max="1" width="2.875" customWidth="1"/>
    <col min="2" max="3" width="28" hidden="1" customWidth="1"/>
    <col min="4" max="4" width="28" customWidth="1"/>
    <col min="5" max="5" width="13.375" customWidth="1"/>
    <col min="6" max="9" width="12.25" customWidth="1"/>
    <col min="11" max="11" width="13.625" customWidth="1"/>
    <col min="12" max="12" width="14.25" customWidth="1"/>
    <col min="14" max="17" width="13.25" customWidth="1"/>
  </cols>
  <sheetData>
    <row r="1" spans="1:17" ht="15.75" customHeight="1">
      <c r="B1" s="6"/>
      <c r="C1" s="6" t="s">
        <v>101</v>
      </c>
      <c r="D1" s="6" t="s">
        <v>101</v>
      </c>
      <c r="E1" s="6"/>
      <c r="F1" s="87"/>
      <c r="G1" s="87"/>
      <c r="H1" s="87"/>
      <c r="I1" s="87"/>
      <c r="K1">
        <v>2025</v>
      </c>
      <c r="L1">
        <v>2025</v>
      </c>
      <c r="N1">
        <v>2026</v>
      </c>
      <c r="O1">
        <v>2026</v>
      </c>
      <c r="P1">
        <v>2026</v>
      </c>
      <c r="Q1">
        <v>2026</v>
      </c>
    </row>
    <row r="2" spans="1:17" ht="15" customHeight="1">
      <c r="A2" s="88" t="s">
        <v>2</v>
      </c>
      <c r="B2" s="89"/>
      <c r="C2" s="89"/>
      <c r="D2" s="89"/>
      <c r="E2" s="89" t="s">
        <v>3</v>
      </c>
      <c r="F2" s="90">
        <v>2024</v>
      </c>
      <c r="G2" s="90">
        <v>2025</v>
      </c>
      <c r="H2" s="90" t="s">
        <v>102</v>
      </c>
      <c r="I2" s="90" t="s">
        <v>103</v>
      </c>
      <c r="K2" s="90" t="s">
        <v>104</v>
      </c>
      <c r="L2" s="90" t="s">
        <v>105</v>
      </c>
      <c r="N2" s="90" t="s">
        <v>106</v>
      </c>
      <c r="O2" s="90" t="s">
        <v>107</v>
      </c>
      <c r="P2" s="90" t="s">
        <v>108</v>
      </c>
      <c r="Q2" s="90" t="s">
        <v>105</v>
      </c>
    </row>
    <row r="3" spans="1:17" ht="14.25" customHeight="1">
      <c r="A3" s="91">
        <v>5</v>
      </c>
      <c r="B3" s="92" t="s">
        <v>109</v>
      </c>
      <c r="C3" s="92" t="s">
        <v>31</v>
      </c>
      <c r="D3" s="92" t="s">
        <v>31</v>
      </c>
      <c r="E3" s="92" t="s">
        <v>32</v>
      </c>
      <c r="F3" s="93">
        <v>2052731.8</v>
      </c>
      <c r="G3" s="93">
        <v>1708656.85</v>
      </c>
      <c r="H3" s="93">
        <v>2520000</v>
      </c>
      <c r="I3" s="93">
        <v>1940443.3</v>
      </c>
      <c r="K3" s="193"/>
      <c r="L3" s="193"/>
      <c r="N3" s="193"/>
      <c r="O3" s="193"/>
      <c r="P3" s="193"/>
      <c r="Q3" s="193"/>
    </row>
    <row r="4" spans="1:17" ht="14.25" customHeight="1">
      <c r="A4" s="94">
        <v>1</v>
      </c>
      <c r="B4" s="92" t="s">
        <v>33</v>
      </c>
      <c r="C4" s="92" t="s">
        <v>33</v>
      </c>
      <c r="D4" s="92" t="s">
        <v>33</v>
      </c>
      <c r="E4" s="92" t="s">
        <v>32</v>
      </c>
      <c r="F4" s="93">
        <v>5482291.1780000003</v>
      </c>
      <c r="G4" s="93">
        <v>6071777.6226000404</v>
      </c>
      <c r="H4" s="93">
        <v>6779000</v>
      </c>
      <c r="I4" s="93">
        <v>6074937.8930000002</v>
      </c>
      <c r="K4" s="193"/>
      <c r="L4" s="193"/>
      <c r="N4" s="193"/>
      <c r="O4" s="193"/>
      <c r="P4" s="193"/>
      <c r="Q4" s="193"/>
    </row>
    <row r="5" spans="1:17" s="192" customFormat="1" ht="14.25" customHeight="1">
      <c r="A5" s="189">
        <v>7</v>
      </c>
      <c r="B5" s="190" t="s">
        <v>34</v>
      </c>
      <c r="C5" s="190" t="s">
        <v>34</v>
      </c>
      <c r="D5" s="190" t="s">
        <v>34</v>
      </c>
      <c r="E5" s="190" t="s">
        <v>32</v>
      </c>
      <c r="F5" s="191">
        <v>1089803.8060000001</v>
      </c>
      <c r="G5" s="191">
        <v>828689.86</v>
      </c>
      <c r="H5" s="191">
        <v>900000</v>
      </c>
      <c r="I5" s="191">
        <v>1037274.5649999999</v>
      </c>
      <c r="K5" s="193"/>
      <c r="L5" s="193"/>
      <c r="N5" s="193"/>
      <c r="O5" s="193"/>
      <c r="P5" s="193"/>
      <c r="Q5" s="193"/>
    </row>
    <row r="6" spans="1:17" ht="14.25" customHeight="1">
      <c r="A6" s="94">
        <v>4</v>
      </c>
      <c r="B6" s="92" t="s">
        <v>35</v>
      </c>
      <c r="C6" s="92" t="s">
        <v>35</v>
      </c>
      <c r="D6" s="92" t="s">
        <v>35</v>
      </c>
      <c r="E6" s="92" t="s">
        <v>32</v>
      </c>
      <c r="F6" s="93">
        <v>1835959.53</v>
      </c>
      <c r="G6" s="93">
        <v>1941001.5793999999</v>
      </c>
      <c r="H6" s="93">
        <v>1947000</v>
      </c>
      <c r="I6" s="93">
        <v>2118523.9780000001</v>
      </c>
      <c r="K6" s="193"/>
      <c r="L6" s="193"/>
      <c r="N6" s="193"/>
      <c r="O6" s="193"/>
      <c r="P6" s="193"/>
      <c r="Q6" s="193"/>
    </row>
    <row r="7" spans="1:17" ht="14.25" customHeight="1">
      <c r="A7" s="94">
        <v>3</v>
      </c>
      <c r="B7" s="92" t="s">
        <v>110</v>
      </c>
      <c r="C7" s="92" t="s">
        <v>36</v>
      </c>
      <c r="D7" s="92" t="s">
        <v>36</v>
      </c>
      <c r="E7" s="92" t="s">
        <v>32</v>
      </c>
      <c r="F7" s="93">
        <v>4118466.1</v>
      </c>
      <c r="G7" s="93">
        <v>3809616.42</v>
      </c>
      <c r="H7" s="93">
        <v>4381000</v>
      </c>
      <c r="I7" s="93">
        <v>3722410.85</v>
      </c>
      <c r="K7" s="193"/>
      <c r="L7" s="193"/>
      <c r="N7" s="193"/>
      <c r="O7" s="193"/>
      <c r="P7" s="193"/>
      <c r="Q7" s="193"/>
    </row>
    <row r="8" spans="1:17" ht="14.25" customHeight="1">
      <c r="A8" s="94">
        <v>8</v>
      </c>
      <c r="B8" s="92" t="s">
        <v>111</v>
      </c>
      <c r="C8" s="92" t="s">
        <v>37</v>
      </c>
      <c r="D8" s="92" t="s">
        <v>37</v>
      </c>
      <c r="E8" s="92" t="s">
        <v>32</v>
      </c>
      <c r="F8" s="93">
        <v>797978.25</v>
      </c>
      <c r="G8" s="93">
        <v>892626.19</v>
      </c>
      <c r="H8" s="93">
        <v>1220000</v>
      </c>
      <c r="I8" s="93">
        <v>943097.61100000003</v>
      </c>
      <c r="K8" s="193"/>
      <c r="L8" s="193"/>
      <c r="N8" s="193"/>
      <c r="O8" s="193"/>
      <c r="P8" s="193"/>
      <c r="Q8" s="193"/>
    </row>
    <row r="9" spans="1:17" ht="14.25" customHeight="1">
      <c r="A9" s="94">
        <v>20</v>
      </c>
      <c r="B9" s="92"/>
      <c r="C9" s="92"/>
      <c r="D9" s="92" t="s">
        <v>313</v>
      </c>
      <c r="E9" s="92" t="s">
        <v>32</v>
      </c>
      <c r="F9" s="93">
        <v>0</v>
      </c>
      <c r="G9" s="93">
        <v>0</v>
      </c>
      <c r="H9" s="93">
        <v>0</v>
      </c>
      <c r="I9" s="93">
        <v>0</v>
      </c>
      <c r="K9" s="193"/>
      <c r="L9" s="193"/>
      <c r="N9" s="193"/>
      <c r="O9" s="193"/>
      <c r="P9" s="193"/>
      <c r="Q9" s="193"/>
    </row>
    <row r="10" spans="1:17" ht="14.25" customHeight="1">
      <c r="A10" s="94">
        <v>6</v>
      </c>
      <c r="B10" s="92" t="s">
        <v>112</v>
      </c>
      <c r="C10" s="92" t="s">
        <v>38</v>
      </c>
      <c r="D10" s="92" t="s">
        <v>38</v>
      </c>
      <c r="E10" s="92" t="s">
        <v>32</v>
      </c>
      <c r="F10" s="93">
        <v>901019.25</v>
      </c>
      <c r="G10" s="93">
        <v>854818.94</v>
      </c>
      <c r="H10" s="93">
        <v>1979000</v>
      </c>
      <c r="I10" s="93">
        <v>1075277.57</v>
      </c>
      <c r="K10" s="193"/>
      <c r="L10" s="193"/>
      <c r="N10" s="193"/>
      <c r="O10" s="193"/>
      <c r="P10" s="193"/>
      <c r="Q10" s="193"/>
    </row>
    <row r="11" spans="1:17" ht="14.25" customHeight="1">
      <c r="A11" s="95">
        <v>10</v>
      </c>
      <c r="B11" s="92" t="s">
        <v>113</v>
      </c>
      <c r="C11" s="92" t="s">
        <v>39</v>
      </c>
      <c r="D11" s="92" t="s">
        <v>39</v>
      </c>
      <c r="E11" s="92" t="s">
        <v>32</v>
      </c>
      <c r="F11" s="93">
        <v>187203.67</v>
      </c>
      <c r="G11" s="93">
        <v>185250.51</v>
      </c>
      <c r="H11" s="93">
        <v>190000</v>
      </c>
      <c r="I11" s="93">
        <v>151235.07999999999</v>
      </c>
      <c r="K11" s="193"/>
      <c r="L11" s="193"/>
      <c r="N11" s="193"/>
      <c r="O11" s="193"/>
      <c r="P11" s="193"/>
      <c r="Q11" s="193"/>
    </row>
    <row r="12" spans="1:17" ht="14.25" customHeight="1">
      <c r="A12" s="94">
        <v>11</v>
      </c>
      <c r="B12" s="92" t="s">
        <v>114</v>
      </c>
      <c r="C12" s="92" t="s">
        <v>40</v>
      </c>
      <c r="D12" s="92" t="s">
        <v>40</v>
      </c>
      <c r="E12" s="92" t="s">
        <v>32</v>
      </c>
      <c r="F12" s="93">
        <v>92204.35</v>
      </c>
      <c r="G12" s="93">
        <v>57359.72</v>
      </c>
      <c r="H12" s="93">
        <v>100000</v>
      </c>
      <c r="I12" s="93">
        <v>94015.41</v>
      </c>
      <c r="K12" s="193"/>
      <c r="L12" s="193"/>
      <c r="N12" s="193"/>
      <c r="O12" s="193"/>
      <c r="P12" s="193"/>
      <c r="Q12" s="193"/>
    </row>
    <row r="13" spans="1:17" ht="14.25" customHeight="1">
      <c r="A13" s="94">
        <v>14</v>
      </c>
      <c r="B13" s="92" t="s">
        <v>115</v>
      </c>
      <c r="C13" s="92" t="s">
        <v>41</v>
      </c>
      <c r="D13" s="92" t="s">
        <v>41</v>
      </c>
      <c r="E13" s="92" t="s">
        <v>32</v>
      </c>
      <c r="F13" s="93">
        <v>3230.5</v>
      </c>
      <c r="G13" s="93">
        <v>4145.68</v>
      </c>
      <c r="H13" s="93">
        <v>0</v>
      </c>
      <c r="I13" s="93">
        <v>33576.15</v>
      </c>
      <c r="K13" s="193"/>
      <c r="L13" s="193"/>
      <c r="N13" s="193"/>
      <c r="O13" s="193"/>
      <c r="P13" s="193"/>
      <c r="Q13" s="193"/>
    </row>
    <row r="14" spans="1:17" ht="14.25" customHeight="1">
      <c r="A14" s="94">
        <v>15</v>
      </c>
      <c r="B14" s="92" t="s">
        <v>116</v>
      </c>
      <c r="C14" s="92" t="s">
        <v>47</v>
      </c>
      <c r="D14" s="92" t="s">
        <v>47</v>
      </c>
      <c r="E14" s="92" t="s">
        <v>32</v>
      </c>
      <c r="F14" s="93">
        <v>1583.18</v>
      </c>
      <c r="G14" s="93">
        <v>514.20000000000005</v>
      </c>
      <c r="H14" s="93">
        <v>25000</v>
      </c>
      <c r="I14" s="93">
        <v>31896.82</v>
      </c>
      <c r="K14" s="193"/>
      <c r="L14" s="193"/>
      <c r="N14" s="193"/>
      <c r="O14" s="193"/>
      <c r="P14" s="193"/>
      <c r="Q14" s="193"/>
    </row>
    <row r="15" spans="1:17" ht="14.25" customHeight="1">
      <c r="A15" s="94">
        <v>13</v>
      </c>
      <c r="B15" s="92" t="s">
        <v>117</v>
      </c>
      <c r="C15" s="92" t="s">
        <v>43</v>
      </c>
      <c r="D15" s="92" t="s">
        <v>43</v>
      </c>
      <c r="E15" s="92" t="s">
        <v>32</v>
      </c>
      <c r="F15" s="93">
        <v>9577.5</v>
      </c>
      <c r="G15" s="93">
        <v>13532.23</v>
      </c>
      <c r="H15" s="93">
        <v>400000</v>
      </c>
      <c r="I15" s="93">
        <v>37748.720000000001</v>
      </c>
      <c r="K15" s="193"/>
      <c r="L15" s="193"/>
      <c r="N15" s="193"/>
      <c r="O15" s="193"/>
      <c r="P15" s="193"/>
      <c r="Q15" s="193"/>
    </row>
    <row r="16" spans="1:17" ht="14.25" customHeight="1">
      <c r="A16" s="94">
        <v>9</v>
      </c>
      <c r="B16" s="92" t="s">
        <v>118</v>
      </c>
      <c r="C16" s="92" t="s">
        <v>44</v>
      </c>
      <c r="D16" s="92" t="s">
        <v>44</v>
      </c>
      <c r="E16" s="92" t="s">
        <v>32</v>
      </c>
      <c r="F16" s="93">
        <v>72915.81</v>
      </c>
      <c r="G16" s="93">
        <v>94701.6</v>
      </c>
      <c r="H16" s="93">
        <v>200000</v>
      </c>
      <c r="I16" s="93">
        <v>239111.1</v>
      </c>
      <c r="K16" s="193"/>
      <c r="L16" s="193"/>
      <c r="N16" s="193"/>
      <c r="O16" s="193"/>
      <c r="P16" s="193"/>
      <c r="Q16" s="193"/>
    </row>
    <row r="17" spans="1:17" ht="15" customHeight="1">
      <c r="A17" s="96"/>
      <c r="B17" s="97"/>
      <c r="C17" s="97" t="s">
        <v>119</v>
      </c>
      <c r="D17" s="97" t="s">
        <v>119</v>
      </c>
      <c r="E17" s="97"/>
      <c r="F17" s="97">
        <f>SUM(F3:F16)</f>
        <v>16644964.923999999</v>
      </c>
      <c r="G17" s="97">
        <f>SUM(G3:G16)</f>
        <v>16462691.402000038</v>
      </c>
      <c r="H17" s="97">
        <f>SUM(H3:H16)</f>
        <v>20641000</v>
      </c>
      <c r="I17" s="97">
        <f>SUM(I3:I16)</f>
        <v>17499549.046999995</v>
      </c>
      <c r="K17" s="97">
        <f>SUM(K3:K16)</f>
        <v>0</v>
      </c>
      <c r="L17" s="97">
        <f>SUM(L3:L16)</f>
        <v>0</v>
      </c>
      <c r="N17" s="97">
        <f>SUM(N3:N16)</f>
        <v>0</v>
      </c>
      <c r="O17" s="97">
        <f t="shared" ref="O17:P17" si="0">SUM(O3:O16)</f>
        <v>0</v>
      </c>
      <c r="P17" s="97">
        <f t="shared" si="0"/>
        <v>0</v>
      </c>
      <c r="Q17" s="97">
        <f>SUM(Q3:Q16)</f>
        <v>0</v>
      </c>
    </row>
    <row r="18" spans="1:17" ht="14.25" customHeight="1">
      <c r="A18" s="94">
        <v>2</v>
      </c>
      <c r="B18" s="92" t="s">
        <v>120</v>
      </c>
      <c r="C18" s="92" t="s">
        <v>45</v>
      </c>
      <c r="D18" s="92" t="s">
        <v>45</v>
      </c>
      <c r="E18" s="92" t="s">
        <v>32</v>
      </c>
      <c r="F18" s="93">
        <v>683558.5</v>
      </c>
      <c r="G18" s="93">
        <v>1656258.29</v>
      </c>
      <c r="H18" s="93">
        <v>10788663.559322</v>
      </c>
      <c r="I18" s="93">
        <v>7612717.0135593498</v>
      </c>
      <c r="K18" s="193"/>
      <c r="L18" s="193"/>
      <c r="N18" s="193"/>
      <c r="O18" s="193"/>
      <c r="P18" s="193"/>
      <c r="Q18" s="193"/>
    </row>
    <row r="19" spans="1:17" ht="14.25" customHeight="1">
      <c r="A19" s="94">
        <v>12</v>
      </c>
      <c r="B19" s="92" t="s">
        <v>121</v>
      </c>
      <c r="C19" s="92" t="s">
        <v>46</v>
      </c>
      <c r="D19" s="92" t="s">
        <v>46</v>
      </c>
      <c r="E19" s="92" t="s">
        <v>32</v>
      </c>
      <c r="F19" s="93">
        <v>35758.89</v>
      </c>
      <c r="G19" s="93">
        <v>27325.74</v>
      </c>
      <c r="H19" s="93">
        <v>30443.14</v>
      </c>
      <c r="I19" s="93">
        <v>39807.019999999997</v>
      </c>
      <c r="K19" s="193"/>
      <c r="L19" s="193"/>
      <c r="N19" s="193"/>
      <c r="O19" s="193"/>
      <c r="P19" s="193"/>
      <c r="Q19" s="193"/>
    </row>
    <row r="20" spans="1:17" ht="15" customHeight="1">
      <c r="A20" s="95"/>
      <c r="B20" s="97"/>
      <c r="C20" s="97" t="s">
        <v>48</v>
      </c>
      <c r="D20" s="97" t="s">
        <v>48</v>
      </c>
      <c r="E20" s="97"/>
      <c r="F20" s="97">
        <f>F17+F18+F19</f>
        <v>17364282.313999999</v>
      </c>
      <c r="G20" s="97">
        <f>G17+G18+G19</f>
        <v>18146275.432000037</v>
      </c>
      <c r="H20" s="97">
        <f>H17+H18+H19</f>
        <v>31460106.699322</v>
      </c>
      <c r="I20" s="97">
        <f>I17+I18+I19</f>
        <v>25152073.080559343</v>
      </c>
      <c r="K20" s="97">
        <f>K17+K18+K19</f>
        <v>0</v>
      </c>
      <c r="L20" s="97">
        <f>L17+L18+L19</f>
        <v>0</v>
      </c>
      <c r="N20" s="97">
        <f>N17+N18+N19</f>
        <v>0</v>
      </c>
      <c r="O20" s="97">
        <f t="shared" ref="O20:P20" si="1">O17+O18+O19</f>
        <v>0</v>
      </c>
      <c r="P20" s="97">
        <f t="shared" si="1"/>
        <v>0</v>
      </c>
      <c r="Q20" s="97">
        <f>Q17+Q18+Q19</f>
        <v>0</v>
      </c>
    </row>
    <row r="21" spans="1:17" ht="14.25" customHeight="1">
      <c r="A21" s="95">
        <v>50</v>
      </c>
      <c r="B21" s="92" t="s">
        <v>122</v>
      </c>
      <c r="C21" s="92" t="s">
        <v>49</v>
      </c>
      <c r="D21" s="92" t="s">
        <v>50</v>
      </c>
      <c r="E21" s="92" t="s">
        <v>51</v>
      </c>
      <c r="F21" s="93">
        <v>3501494.53</v>
      </c>
      <c r="G21" s="93">
        <v>2705391.22</v>
      </c>
      <c r="H21" s="93">
        <v>4776579.3532875003</v>
      </c>
      <c r="I21" s="93">
        <v>3098024.51</v>
      </c>
      <c r="K21" s="193"/>
      <c r="L21" s="193"/>
      <c r="N21" s="193"/>
      <c r="O21" s="193"/>
      <c r="P21" s="193"/>
      <c r="Q21" s="193"/>
    </row>
    <row r="22" spans="1:17" ht="14.25" customHeight="1">
      <c r="A22" s="95">
        <v>20</v>
      </c>
      <c r="B22" s="92" t="s">
        <v>123</v>
      </c>
      <c r="C22" s="92" t="s">
        <v>52</v>
      </c>
      <c r="D22" s="92" t="s">
        <v>53</v>
      </c>
      <c r="E22" s="92" t="s">
        <v>54</v>
      </c>
      <c r="F22" s="93">
        <v>879383.45</v>
      </c>
      <c r="G22" s="93">
        <v>902537.64</v>
      </c>
      <c r="H22" s="93">
        <v>980000</v>
      </c>
      <c r="I22" s="93">
        <v>922081.02</v>
      </c>
      <c r="K22" s="193"/>
      <c r="L22" s="193"/>
      <c r="N22" s="193"/>
      <c r="O22" s="193"/>
      <c r="P22" s="193"/>
      <c r="Q22" s="193"/>
    </row>
    <row r="23" spans="1:17" ht="14.25" customHeight="1">
      <c r="A23" s="95">
        <v>21</v>
      </c>
      <c r="B23" s="92" t="s">
        <v>124</v>
      </c>
      <c r="C23" s="92" t="s">
        <v>55</v>
      </c>
      <c r="D23" s="92" t="s">
        <v>56</v>
      </c>
      <c r="E23" s="92" t="s">
        <v>57</v>
      </c>
      <c r="F23" s="93">
        <v>633752.75</v>
      </c>
      <c r="G23" s="93">
        <v>405920.85</v>
      </c>
      <c r="H23" s="93">
        <v>650000.27</v>
      </c>
      <c r="I23" s="93">
        <v>613276.52</v>
      </c>
      <c r="K23" s="193"/>
      <c r="L23" s="193"/>
      <c r="N23" s="193"/>
      <c r="O23" s="193"/>
      <c r="P23" s="193"/>
      <c r="Q23" s="193"/>
    </row>
    <row r="24" spans="1:17" ht="14.25" customHeight="1">
      <c r="A24" s="95">
        <v>22</v>
      </c>
      <c r="B24" s="92" t="s">
        <v>125</v>
      </c>
      <c r="C24" s="92" t="s">
        <v>58</v>
      </c>
      <c r="D24" s="92" t="s">
        <v>59</v>
      </c>
      <c r="E24" s="92" t="s">
        <v>60</v>
      </c>
      <c r="F24" s="93">
        <v>489809</v>
      </c>
      <c r="G24" s="93">
        <v>414072.64</v>
      </c>
      <c r="H24" s="93">
        <v>499999.97</v>
      </c>
      <c r="I24" s="93">
        <v>457053.13</v>
      </c>
      <c r="K24" s="193"/>
      <c r="L24" s="193"/>
      <c r="N24" s="193"/>
      <c r="O24" s="193"/>
      <c r="P24" s="193"/>
      <c r="Q24" s="193"/>
    </row>
    <row r="25" spans="1:17" ht="14.25" customHeight="1">
      <c r="A25" s="95">
        <v>23</v>
      </c>
      <c r="B25" s="92" t="s">
        <v>126</v>
      </c>
      <c r="C25" s="92" t="s">
        <v>61</v>
      </c>
      <c r="D25" s="92" t="s">
        <v>62</v>
      </c>
      <c r="E25" s="92" t="s">
        <v>63</v>
      </c>
      <c r="F25" s="93">
        <v>128758.9</v>
      </c>
      <c r="G25" s="93">
        <v>122339</v>
      </c>
      <c r="H25" s="93">
        <v>139999.92000000001</v>
      </c>
      <c r="I25" s="93">
        <v>131678.59</v>
      </c>
      <c r="K25" s="193"/>
      <c r="L25" s="193"/>
      <c r="N25" s="193"/>
      <c r="O25" s="193"/>
      <c r="P25" s="193"/>
      <c r="Q25" s="193"/>
    </row>
    <row r="26" spans="1:17" ht="14.25" customHeight="1">
      <c r="A26" s="95">
        <v>24</v>
      </c>
      <c r="B26" s="92" t="s">
        <v>127</v>
      </c>
      <c r="C26" s="92" t="s">
        <v>64</v>
      </c>
      <c r="D26" s="92" t="s">
        <v>65</v>
      </c>
      <c r="E26" s="92" t="s">
        <v>66</v>
      </c>
      <c r="F26" s="93">
        <v>160712.5</v>
      </c>
      <c r="G26" s="93">
        <v>52899.82</v>
      </c>
      <c r="H26" s="93">
        <v>50000</v>
      </c>
      <c r="I26" s="93">
        <v>0</v>
      </c>
      <c r="K26" s="193"/>
      <c r="L26" s="193"/>
      <c r="N26" s="193"/>
      <c r="O26" s="193"/>
      <c r="P26" s="193"/>
      <c r="Q26" s="193"/>
    </row>
    <row r="27" spans="1:17" ht="13.5" customHeight="1">
      <c r="A27" s="95">
        <v>25</v>
      </c>
      <c r="B27" s="92" t="s">
        <v>128</v>
      </c>
      <c r="C27" s="92" t="s">
        <v>67</v>
      </c>
      <c r="D27" s="92" t="s">
        <v>68</v>
      </c>
      <c r="E27" s="92" t="s">
        <v>69</v>
      </c>
      <c r="F27" s="93">
        <v>471280.16</v>
      </c>
      <c r="G27" s="93">
        <v>319558.55</v>
      </c>
      <c r="H27" s="93">
        <v>450000</v>
      </c>
      <c r="I27" s="93">
        <v>524147.47</v>
      </c>
      <c r="K27" s="193"/>
      <c r="L27" s="193"/>
      <c r="N27" s="193"/>
      <c r="O27" s="193"/>
      <c r="P27" s="193"/>
      <c r="Q27" s="193"/>
    </row>
    <row r="28" spans="1:17" ht="14.25" customHeight="1">
      <c r="A28" s="95">
        <v>26</v>
      </c>
      <c r="B28" s="92" t="s">
        <v>129</v>
      </c>
      <c r="C28" s="92" t="s">
        <v>70</v>
      </c>
      <c r="D28" s="92" t="s">
        <v>71</v>
      </c>
      <c r="E28" s="92" t="s">
        <v>72</v>
      </c>
      <c r="F28" s="93">
        <v>162967.91</v>
      </c>
      <c r="G28" s="93">
        <v>86855.65</v>
      </c>
      <c r="H28" s="93">
        <v>200000</v>
      </c>
      <c r="I28" s="93">
        <v>100694.01</v>
      </c>
      <c r="K28" s="193"/>
      <c r="L28" s="193"/>
      <c r="N28" s="193"/>
      <c r="O28" s="193"/>
      <c r="P28" s="193"/>
      <c r="Q28" s="193"/>
    </row>
    <row r="29" spans="1:17" ht="13.5" customHeight="1">
      <c r="A29" s="95">
        <v>27</v>
      </c>
      <c r="B29" s="92" t="s">
        <v>130</v>
      </c>
      <c r="C29" s="92" t="s">
        <v>73</v>
      </c>
      <c r="D29" s="92" t="s">
        <v>74</v>
      </c>
      <c r="E29" s="92" t="s">
        <v>75</v>
      </c>
      <c r="F29" s="93">
        <v>370614.64</v>
      </c>
      <c r="G29" s="93">
        <v>256772.1</v>
      </c>
      <c r="H29" s="93">
        <v>250000</v>
      </c>
      <c r="I29" s="93">
        <v>250000</v>
      </c>
      <c r="K29" s="193"/>
      <c r="L29" s="193"/>
      <c r="N29" s="193"/>
      <c r="O29" s="193"/>
      <c r="P29" s="193"/>
      <c r="Q29" s="193"/>
    </row>
    <row r="30" spans="1:17" ht="13.5" customHeight="1">
      <c r="A30" s="95">
        <v>28</v>
      </c>
      <c r="B30" s="92" t="s">
        <v>131</v>
      </c>
      <c r="C30" s="92" t="s">
        <v>76</v>
      </c>
      <c r="D30" s="92" t="s">
        <v>77</v>
      </c>
      <c r="E30" s="92" t="s">
        <v>78</v>
      </c>
      <c r="F30" s="93">
        <v>348874.04</v>
      </c>
      <c r="G30" s="93">
        <v>405953.63</v>
      </c>
      <c r="H30" s="93">
        <v>450000</v>
      </c>
      <c r="I30" s="93">
        <v>378207.09</v>
      </c>
      <c r="K30" s="193"/>
      <c r="L30" s="193"/>
      <c r="N30" s="193"/>
      <c r="O30" s="193"/>
      <c r="P30" s="193"/>
      <c r="Q30" s="193"/>
    </row>
    <row r="31" spans="1:17" ht="14.25" customHeight="1">
      <c r="A31" s="95">
        <v>29</v>
      </c>
      <c r="B31" s="92" t="s">
        <v>132</v>
      </c>
      <c r="C31" s="92" t="s">
        <v>79</v>
      </c>
      <c r="D31" s="92" t="s">
        <v>80</v>
      </c>
      <c r="E31" s="92" t="s">
        <v>81</v>
      </c>
      <c r="F31" s="93">
        <v>107690.85</v>
      </c>
      <c r="G31" s="93">
        <v>64554.59</v>
      </c>
      <c r="H31" s="93">
        <v>70000</v>
      </c>
      <c r="I31" s="93">
        <v>73116.44</v>
      </c>
      <c r="K31" s="193"/>
      <c r="L31" s="193"/>
      <c r="N31" s="193"/>
      <c r="O31" s="193"/>
      <c r="P31" s="193"/>
      <c r="Q31" s="193"/>
    </row>
    <row r="32" spans="1:17" ht="14.25" customHeight="1">
      <c r="A32" s="95">
        <v>30</v>
      </c>
      <c r="B32" s="92" t="s">
        <v>133</v>
      </c>
      <c r="C32" s="92" t="s">
        <v>82</v>
      </c>
      <c r="D32" s="92" t="s">
        <v>83</v>
      </c>
      <c r="E32" s="92" t="s">
        <v>81</v>
      </c>
      <c r="F32" s="93">
        <v>41028.36</v>
      </c>
      <c r="G32" s="93">
        <v>60908.2</v>
      </c>
      <c r="H32" s="93">
        <v>59793</v>
      </c>
      <c r="I32" s="93">
        <v>42809.5</v>
      </c>
      <c r="K32" s="193"/>
      <c r="L32" s="193"/>
      <c r="N32" s="193"/>
      <c r="O32" s="193"/>
      <c r="P32" s="193"/>
      <c r="Q32" s="193"/>
    </row>
    <row r="33" spans="1:17" ht="13.5" customHeight="1">
      <c r="A33" s="95">
        <v>31</v>
      </c>
      <c r="B33" s="92" t="s">
        <v>84</v>
      </c>
      <c r="C33" s="92" t="s">
        <v>84</v>
      </c>
      <c r="D33" s="92" t="s">
        <v>85</v>
      </c>
      <c r="E33" s="92" t="s">
        <v>86</v>
      </c>
      <c r="F33" s="93">
        <v>31722.98</v>
      </c>
      <c r="G33" s="93">
        <v>81786.570000000007</v>
      </c>
      <c r="H33" s="93">
        <v>85000</v>
      </c>
      <c r="I33" s="93">
        <v>17500</v>
      </c>
      <c r="K33" s="193"/>
      <c r="L33" s="193"/>
      <c r="N33" s="193"/>
      <c r="O33" s="193"/>
      <c r="P33" s="193"/>
      <c r="Q33" s="193"/>
    </row>
    <row r="34" spans="1:17" ht="13.5" customHeight="1">
      <c r="A34" s="95"/>
      <c r="B34" s="92"/>
      <c r="C34" s="92"/>
      <c r="D34" s="92" t="s">
        <v>134</v>
      </c>
      <c r="E34" s="92" t="s">
        <v>135</v>
      </c>
      <c r="F34" s="93">
        <v>0</v>
      </c>
      <c r="G34" s="93">
        <v>0</v>
      </c>
      <c r="H34" s="93">
        <v>0</v>
      </c>
      <c r="I34" s="93">
        <v>0</v>
      </c>
      <c r="K34" s="193"/>
      <c r="L34" s="193"/>
      <c r="N34" s="193"/>
      <c r="O34" s="193"/>
      <c r="P34" s="193"/>
      <c r="Q34" s="193"/>
    </row>
    <row r="35" spans="1:17" ht="13.5" customHeight="1">
      <c r="A35" s="95">
        <v>32</v>
      </c>
      <c r="B35" s="92" t="s">
        <v>136</v>
      </c>
      <c r="C35" s="92" t="s">
        <v>87</v>
      </c>
      <c r="D35" s="92" t="s">
        <v>88</v>
      </c>
      <c r="E35" s="92" t="s">
        <v>89</v>
      </c>
      <c r="F35" s="93">
        <v>35826.78</v>
      </c>
      <c r="G35" s="93">
        <v>39713.57</v>
      </c>
      <c r="H35" s="93">
        <v>40000</v>
      </c>
      <c r="I35" s="93">
        <v>38792.660000000003</v>
      </c>
      <c r="K35" s="193"/>
      <c r="L35" s="193"/>
      <c r="N35" s="193"/>
      <c r="O35" s="193"/>
      <c r="P35" s="193"/>
      <c r="Q35" s="193"/>
    </row>
    <row r="36" spans="1:17" ht="13.5" customHeight="1">
      <c r="A36" s="95">
        <v>33</v>
      </c>
      <c r="B36" s="92" t="s">
        <v>137</v>
      </c>
      <c r="C36" s="92" t="s">
        <v>90</v>
      </c>
      <c r="D36" s="92" t="s">
        <v>91</v>
      </c>
      <c r="E36" s="92" t="s">
        <v>92</v>
      </c>
      <c r="F36" s="93">
        <v>59175.03</v>
      </c>
      <c r="G36" s="93">
        <v>53863.18</v>
      </c>
      <c r="H36" s="93">
        <v>80000</v>
      </c>
      <c r="I36" s="93">
        <v>25000</v>
      </c>
      <c r="K36" s="193"/>
      <c r="L36" s="193"/>
      <c r="N36" s="193"/>
      <c r="O36" s="193"/>
      <c r="P36" s="193"/>
      <c r="Q36" s="193"/>
    </row>
    <row r="37" spans="1:17" ht="14.25" customHeight="1">
      <c r="A37" s="95"/>
      <c r="B37" s="92" t="s">
        <v>138</v>
      </c>
      <c r="C37" s="92" t="s">
        <v>138</v>
      </c>
      <c r="D37" s="92" t="s">
        <v>139</v>
      </c>
      <c r="E37" s="92" t="s">
        <v>78</v>
      </c>
      <c r="F37" s="93">
        <v>41531.96</v>
      </c>
      <c r="G37" s="93">
        <v>0</v>
      </c>
      <c r="H37" s="93">
        <v>0</v>
      </c>
      <c r="I37" s="93">
        <v>0</v>
      </c>
      <c r="K37" s="193"/>
      <c r="L37" s="193"/>
      <c r="N37" s="193"/>
      <c r="O37" s="193"/>
      <c r="P37" s="193"/>
      <c r="Q37" s="193"/>
    </row>
    <row r="38" spans="1:17" ht="14.25" customHeight="1">
      <c r="A38" s="95">
        <v>34</v>
      </c>
      <c r="B38" s="92" t="s">
        <v>140</v>
      </c>
      <c r="C38" s="92" t="s">
        <v>140</v>
      </c>
      <c r="D38" s="92" t="s">
        <v>93</v>
      </c>
      <c r="E38" s="92" t="s">
        <v>141</v>
      </c>
      <c r="F38" s="93">
        <v>22310.959999999999</v>
      </c>
      <c r="G38" s="93">
        <v>0</v>
      </c>
      <c r="H38" s="93">
        <v>0</v>
      </c>
      <c r="I38" s="93">
        <v>0</v>
      </c>
      <c r="K38" s="193"/>
      <c r="L38" s="193"/>
      <c r="N38" s="193"/>
      <c r="O38" s="193"/>
      <c r="P38" s="193"/>
      <c r="Q38" s="193"/>
    </row>
    <row r="39" spans="1:17" ht="13.5" customHeight="1">
      <c r="A39" s="95">
        <v>35</v>
      </c>
      <c r="B39" s="92" t="s">
        <v>94</v>
      </c>
      <c r="C39" s="92" t="s">
        <v>94</v>
      </c>
      <c r="D39" s="92" t="s">
        <v>95</v>
      </c>
      <c r="E39" s="92" t="s">
        <v>51</v>
      </c>
      <c r="F39" s="93">
        <v>161574.82</v>
      </c>
      <c r="G39" s="93">
        <v>248.59</v>
      </c>
      <c r="H39" s="93">
        <v>600000</v>
      </c>
      <c r="I39" s="93">
        <v>0</v>
      </c>
      <c r="K39" s="193"/>
      <c r="L39" s="193"/>
      <c r="N39" s="193"/>
      <c r="O39" s="193"/>
      <c r="P39" s="193"/>
      <c r="Q39" s="193"/>
    </row>
    <row r="40" spans="1:17" ht="13.5" customHeight="1">
      <c r="A40" s="95">
        <v>36</v>
      </c>
      <c r="B40" s="92"/>
      <c r="C40" s="92" t="s">
        <v>97</v>
      </c>
      <c r="D40" s="92" t="s">
        <v>97</v>
      </c>
      <c r="E40" s="92"/>
      <c r="F40" s="93">
        <v>0</v>
      </c>
      <c r="G40" s="93">
        <v>0</v>
      </c>
      <c r="H40" s="93">
        <v>400000</v>
      </c>
      <c r="I40" s="93">
        <v>100000</v>
      </c>
      <c r="K40" s="193"/>
      <c r="L40" s="193"/>
      <c r="N40" s="193"/>
      <c r="O40" s="193"/>
      <c r="P40" s="193"/>
      <c r="Q40" s="193"/>
    </row>
    <row r="41" spans="1:17" ht="13.5" customHeight="1">
      <c r="A41" s="95">
        <v>37</v>
      </c>
      <c r="B41" s="92"/>
      <c r="C41" s="92"/>
      <c r="D41" s="92" t="s">
        <v>142</v>
      </c>
      <c r="E41" s="92"/>
      <c r="F41" s="93"/>
      <c r="G41" s="93"/>
      <c r="H41" s="93"/>
      <c r="I41" s="93"/>
      <c r="K41" s="193"/>
      <c r="L41" s="193"/>
      <c r="N41" s="193"/>
      <c r="O41" s="193"/>
      <c r="P41" s="193"/>
      <c r="Q41" s="193"/>
    </row>
    <row r="42" spans="1:17" ht="13.5" customHeight="1">
      <c r="A42" s="95">
        <v>38</v>
      </c>
      <c r="B42" s="92"/>
      <c r="C42" s="92" t="s">
        <v>97</v>
      </c>
      <c r="D42" s="92" t="s">
        <v>143</v>
      </c>
      <c r="E42" s="92"/>
      <c r="F42" s="93">
        <v>0</v>
      </c>
      <c r="G42" s="93">
        <v>0</v>
      </c>
      <c r="H42" s="93"/>
      <c r="I42" s="93"/>
      <c r="K42" s="193"/>
      <c r="L42" s="193"/>
      <c r="N42" s="193"/>
      <c r="O42" s="193"/>
      <c r="P42" s="193"/>
      <c r="Q42" s="193"/>
    </row>
    <row r="43" spans="1:17" ht="15" customHeight="1">
      <c r="A43" s="95"/>
      <c r="B43" s="98"/>
      <c r="C43" s="98" t="s">
        <v>98</v>
      </c>
      <c r="D43" s="98" t="s">
        <v>98</v>
      </c>
      <c r="E43" s="98"/>
      <c r="F43" s="98">
        <f>SUM(F21:F42)</f>
        <v>7648509.620000001</v>
      </c>
      <c r="G43" s="98">
        <f>SUM(G21:G42)</f>
        <v>5973375.8000000007</v>
      </c>
      <c r="H43" s="98">
        <f>SUM(H21:H42)</f>
        <v>9781372.5132874995</v>
      </c>
      <c r="I43" s="98">
        <f>SUM(I21:I42)</f>
        <v>6772380.9399999995</v>
      </c>
      <c r="K43" s="98">
        <f>SUM(K21:K42)</f>
        <v>0</v>
      </c>
      <c r="L43" s="98">
        <f>SUM(L21:L42)</f>
        <v>0</v>
      </c>
      <c r="N43" s="98">
        <f>SUM(N21:N42)</f>
        <v>0</v>
      </c>
      <c r="O43" s="98">
        <f t="shared" ref="O43:P43" si="2">SUM(O21:O42)</f>
        <v>0</v>
      </c>
      <c r="P43" s="98">
        <f t="shared" si="2"/>
        <v>0</v>
      </c>
      <c r="Q43" s="98">
        <f>SUM(Q21:Q42)</f>
        <v>0</v>
      </c>
    </row>
    <row r="44" spans="1:17" ht="15" customHeight="1">
      <c r="A44" s="95"/>
      <c r="B44" s="99"/>
      <c r="C44" s="99" t="s">
        <v>144</v>
      </c>
      <c r="D44" s="99" t="s">
        <v>144</v>
      </c>
      <c r="E44" s="99"/>
      <c r="F44" s="99">
        <f>F43+F20</f>
        <v>25012791.934</v>
      </c>
      <c r="G44" s="99">
        <f>G43+G20</f>
        <v>24119651.232000038</v>
      </c>
      <c r="H44" s="99">
        <f>H43+H20</f>
        <v>41241479.2126095</v>
      </c>
      <c r="I44" s="99">
        <f>I43+I20</f>
        <v>31924454.020559341</v>
      </c>
      <c r="K44" s="99">
        <f>K43+K20</f>
        <v>0</v>
      </c>
      <c r="L44" s="99">
        <f>L43+L20</f>
        <v>0</v>
      </c>
      <c r="N44" s="99">
        <f>N43+N20</f>
        <v>0</v>
      </c>
      <c r="O44" s="99">
        <f t="shared" ref="O44:P44" si="3">O43+O20</f>
        <v>0</v>
      </c>
      <c r="P44" s="99">
        <f t="shared" si="3"/>
        <v>0</v>
      </c>
      <c r="Q44" s="99">
        <f>Q43+Q20</f>
        <v>0</v>
      </c>
    </row>
    <row r="45" spans="1:17" ht="15" customHeight="1">
      <c r="B45" s="100"/>
      <c r="C45" s="100" t="s">
        <v>145</v>
      </c>
      <c r="D45" s="100" t="s">
        <v>145</v>
      </c>
      <c r="E45" s="100"/>
      <c r="F45" s="101">
        <f>F43/F44</f>
        <v>0.30578392209001459</v>
      </c>
      <c r="G45" s="101">
        <f>G43/G44</f>
        <v>0.2476559773830809</v>
      </c>
      <c r="H45" s="101">
        <f>H43/H44</f>
        <v>0.23717317370849453</v>
      </c>
      <c r="I45" s="101">
        <f>I43/I44</f>
        <v>0.21213772162363648</v>
      </c>
      <c r="K45" s="101" t="str">
        <f>IFERROR(K43/K44,"")</f>
        <v/>
      </c>
      <c r="L45" s="101" t="str">
        <f>IFERROR(L43/L44,"")</f>
        <v/>
      </c>
      <c r="N45" s="101" t="str">
        <f>IFERROR(N43/N44,"")</f>
        <v/>
      </c>
      <c r="O45" s="101" t="str">
        <f t="shared" ref="O45:P45" si="4">IFERROR(O43/O44,"")</f>
        <v/>
      </c>
      <c r="P45" s="101" t="str">
        <f t="shared" si="4"/>
        <v/>
      </c>
      <c r="Q45" s="101" t="str">
        <f>IFERROR(Q43/Q44,"")</f>
        <v/>
      </c>
    </row>
    <row r="47" spans="1:17" ht="15" customHeight="1">
      <c r="D47" s="89"/>
      <c r="E47" s="4"/>
      <c r="F47" s="90">
        <v>2024</v>
      </c>
      <c r="G47" s="90">
        <v>2025</v>
      </c>
      <c r="H47" s="90" t="s">
        <v>102</v>
      </c>
      <c r="I47" s="90" t="s">
        <v>103</v>
      </c>
      <c r="K47" s="90" t="s">
        <v>103</v>
      </c>
    </row>
    <row r="48" spans="1:17" ht="15" customHeight="1">
      <c r="D48" s="97" t="s">
        <v>146</v>
      </c>
      <c r="E48" s="4"/>
      <c r="F48" s="102">
        <f>F17</f>
        <v>16644964.923999999</v>
      </c>
      <c r="G48" s="102">
        <f>G17</f>
        <v>16462691.402000038</v>
      </c>
      <c r="H48" s="102">
        <f>H17</f>
        <v>20641000</v>
      </c>
      <c r="I48" s="102">
        <f>I17</f>
        <v>17499549.046999995</v>
      </c>
      <c r="K48" s="102">
        <f>K17</f>
        <v>0</v>
      </c>
    </row>
    <row r="49" spans="4:11" ht="15" customHeight="1">
      <c r="D49" s="97" t="s">
        <v>147</v>
      </c>
      <c r="E49" s="4"/>
      <c r="F49" s="102">
        <f>F18+F19</f>
        <v>719317.39</v>
      </c>
      <c r="G49" s="102">
        <f>G18+G19</f>
        <v>1683584.03</v>
      </c>
      <c r="H49" s="102">
        <f>H18+H19</f>
        <v>10819106.699322</v>
      </c>
      <c r="I49" s="102">
        <f>I18+I19</f>
        <v>7652524.0335593494</v>
      </c>
      <c r="K49" s="102">
        <f>K18+K19</f>
        <v>0</v>
      </c>
    </row>
    <row r="50" spans="4:11" ht="15" customHeight="1">
      <c r="D50" s="103" t="s">
        <v>148</v>
      </c>
      <c r="E50" s="4"/>
      <c r="F50" s="104">
        <f>SUM(F48:F49)</f>
        <v>17364282.313999999</v>
      </c>
      <c r="G50" s="104">
        <f>SUM(G48:G49)</f>
        <v>18146275.432000037</v>
      </c>
      <c r="H50" s="104">
        <f>SUM(H48:H49)</f>
        <v>31460106.699322</v>
      </c>
      <c r="I50" s="104">
        <f>SUM(I48:I49)</f>
        <v>25152073.080559343</v>
      </c>
      <c r="K50" s="104">
        <f>SUM(K48:K49)</f>
        <v>0</v>
      </c>
    </row>
    <row r="52" spans="4:11" ht="15" customHeight="1">
      <c r="D52" s="97" t="s">
        <v>149</v>
      </c>
      <c r="E52" s="4"/>
      <c r="F52" s="102">
        <f>F21</f>
        <v>3501494.53</v>
      </c>
      <c r="G52" s="102">
        <f>G21</f>
        <v>2705391.22</v>
      </c>
      <c r="H52" s="102">
        <f>H21</f>
        <v>4776579.3532875003</v>
      </c>
      <c r="I52" s="102">
        <f>I21</f>
        <v>3098024.51</v>
      </c>
      <c r="K52" s="102">
        <f>K21</f>
        <v>0</v>
      </c>
    </row>
    <row r="53" spans="4:11" ht="15" customHeight="1">
      <c r="D53" s="97" t="s">
        <v>150</v>
      </c>
      <c r="E53" s="4"/>
      <c r="F53" s="102">
        <f>SUM(F22:F42)</f>
        <v>4147015.09</v>
      </c>
      <c r="G53" s="102">
        <f>SUM(G22:G42)</f>
        <v>3267984.5799999996</v>
      </c>
      <c r="H53" s="102">
        <f>SUM(H22:H42)</f>
        <v>5004793.16</v>
      </c>
      <c r="I53" s="102">
        <f>SUM(I22:I42)</f>
        <v>3674356.4299999992</v>
      </c>
      <c r="K53" s="102">
        <f>SUM(K22:K42)</f>
        <v>0</v>
      </c>
    </row>
    <row r="54" spans="4:11" ht="15" customHeight="1">
      <c r="D54" s="99" t="s">
        <v>151</v>
      </c>
      <c r="E54" s="4"/>
      <c r="F54" s="99">
        <f>SUM(F50:F53)</f>
        <v>25012791.934</v>
      </c>
      <c r="G54" s="99">
        <f>SUM(G50:G53)</f>
        <v>24119651.232000034</v>
      </c>
      <c r="H54" s="99">
        <f>SUM(H50:H53)</f>
        <v>41241479.2126095</v>
      </c>
      <c r="I54" s="99">
        <f>SUM(I50:I53)</f>
        <v>31924454.020559341</v>
      </c>
      <c r="K54" s="99">
        <f>SUM(K50:K53)</f>
        <v>0</v>
      </c>
    </row>
    <row r="55" spans="4:11" ht="14.25" customHeight="1">
      <c r="D55" t="s">
        <v>152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A02DF-3E73-4B96-9AAA-DFE38B1C5801}">
  <dimension ref="A1:N33"/>
  <sheetViews>
    <sheetView rightToLeft="1" workbookViewId="0">
      <selection activeCell="B12" sqref="B12"/>
    </sheetView>
  </sheetViews>
  <sheetFormatPr defaultRowHeight="14.25"/>
  <cols>
    <col min="1" max="1" width="18.125" bestFit="1" customWidth="1"/>
    <col min="2" max="2" width="26.375" bestFit="1" customWidth="1"/>
    <col min="3" max="13" width="9.375" customWidth="1"/>
    <col min="14" max="14" width="7.875" bestFit="1" customWidth="1"/>
  </cols>
  <sheetData>
    <row r="1" spans="1:14" ht="18.75">
      <c r="A1" s="162" t="s">
        <v>284</v>
      </c>
      <c r="B1" s="163" t="s">
        <v>215</v>
      </c>
      <c r="C1" s="163" t="s">
        <v>219</v>
      </c>
      <c r="D1" s="163" t="s">
        <v>220</v>
      </c>
      <c r="E1" s="163" t="s">
        <v>221</v>
      </c>
      <c r="F1" s="163" t="s">
        <v>222</v>
      </c>
      <c r="G1" s="163" t="s">
        <v>223</v>
      </c>
      <c r="H1" s="163" t="s">
        <v>224</v>
      </c>
      <c r="I1" s="163" t="s">
        <v>225</v>
      </c>
      <c r="J1" s="163" t="s">
        <v>226</v>
      </c>
      <c r="K1" s="163" t="s">
        <v>227</v>
      </c>
      <c r="L1" s="163" t="s">
        <v>228</v>
      </c>
      <c r="M1" s="163" t="s">
        <v>229</v>
      </c>
      <c r="N1" s="163" t="s">
        <v>230</v>
      </c>
    </row>
    <row r="2" spans="1:14" ht="15.75">
      <c r="A2" s="164" t="s">
        <v>285</v>
      </c>
      <c r="B2" s="165" t="s">
        <v>287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</row>
    <row r="3" spans="1:14" ht="15.75">
      <c r="A3" s="164" t="s">
        <v>286</v>
      </c>
      <c r="B3" s="167" t="s">
        <v>288</v>
      </c>
      <c r="C3" s="168"/>
      <c r="D3" s="168"/>
      <c r="E3" s="166"/>
      <c r="F3" s="166"/>
      <c r="G3" s="166"/>
      <c r="H3" s="166"/>
      <c r="I3" s="166"/>
      <c r="J3" s="166"/>
      <c r="K3" s="166"/>
      <c r="L3" s="166"/>
      <c r="M3" s="166"/>
      <c r="N3" s="168"/>
    </row>
    <row r="4" spans="1:14" ht="15.75">
      <c r="A4" s="164"/>
      <c r="B4" s="167" t="s">
        <v>289</v>
      </c>
      <c r="C4" s="168"/>
      <c r="D4" s="168"/>
      <c r="E4" s="166"/>
      <c r="F4" s="166"/>
      <c r="G4" s="166"/>
      <c r="H4" s="166"/>
      <c r="I4" s="166"/>
      <c r="J4" s="166"/>
      <c r="K4" s="166"/>
      <c r="L4" s="166"/>
      <c r="M4" s="166"/>
      <c r="N4" s="168"/>
    </row>
    <row r="5" spans="1:14" ht="15.75">
      <c r="A5" s="164"/>
      <c r="B5" s="169" t="s">
        <v>290</v>
      </c>
      <c r="C5" s="168"/>
      <c r="D5" s="168"/>
      <c r="E5" s="168"/>
      <c r="F5" s="168"/>
      <c r="G5" s="168"/>
      <c r="H5" s="168"/>
      <c r="I5" s="168"/>
      <c r="J5" s="166"/>
      <c r="K5" s="166"/>
      <c r="L5" s="166"/>
      <c r="M5" s="166"/>
      <c r="N5" s="170"/>
    </row>
    <row r="6" spans="1:14" ht="15.75">
      <c r="A6" s="164"/>
      <c r="B6" s="165" t="s">
        <v>239</v>
      </c>
      <c r="C6" s="166"/>
      <c r="D6" s="166"/>
      <c r="E6" s="166"/>
      <c r="F6" s="166"/>
      <c r="G6" s="166"/>
      <c r="H6" s="166"/>
      <c r="I6" s="166"/>
      <c r="J6" s="170"/>
      <c r="K6" s="170"/>
      <c r="L6" s="170"/>
      <c r="M6" s="170"/>
      <c r="N6" s="168"/>
    </row>
    <row r="7" spans="1:14" ht="15.75">
      <c r="A7" s="164"/>
      <c r="B7" s="167" t="s">
        <v>241</v>
      </c>
      <c r="C7" s="166"/>
      <c r="D7" s="166"/>
      <c r="E7" s="166"/>
      <c r="F7" s="166"/>
      <c r="G7" s="166"/>
      <c r="H7" s="166"/>
      <c r="I7" s="170"/>
      <c r="J7" s="170"/>
      <c r="K7" s="170"/>
      <c r="L7" s="170"/>
      <c r="M7" s="170"/>
      <c r="N7" s="171">
        <v>46388</v>
      </c>
    </row>
    <row r="8" spans="1:14" ht="15.75">
      <c r="A8" s="164"/>
      <c r="B8" s="167" t="s">
        <v>245</v>
      </c>
      <c r="C8" s="166"/>
      <c r="D8" s="166"/>
      <c r="E8" s="166"/>
      <c r="F8" s="166"/>
      <c r="G8" s="166"/>
      <c r="H8" s="170"/>
      <c r="I8" s="170"/>
      <c r="J8" s="170"/>
      <c r="K8" s="170"/>
      <c r="L8" s="168"/>
      <c r="M8" s="168"/>
      <c r="N8" s="168"/>
    </row>
    <row r="9" spans="1:14" ht="15.75">
      <c r="A9" s="164"/>
      <c r="B9" s="167" t="s">
        <v>291</v>
      </c>
      <c r="C9" s="166"/>
      <c r="D9" s="166"/>
      <c r="E9" s="166"/>
      <c r="F9" s="166"/>
      <c r="G9" s="166"/>
      <c r="H9" s="166"/>
      <c r="I9" s="166"/>
      <c r="J9" s="166"/>
      <c r="K9" s="170"/>
      <c r="L9" s="170"/>
      <c r="M9" s="170"/>
      <c r="N9" s="168"/>
    </row>
    <row r="10" spans="1:14" ht="15.75">
      <c r="A10" s="164"/>
      <c r="B10" s="167" t="s">
        <v>195</v>
      </c>
      <c r="C10" s="168"/>
      <c r="D10" s="170"/>
      <c r="E10" s="170"/>
      <c r="F10" s="170"/>
      <c r="G10" s="166"/>
      <c r="H10" s="166"/>
      <c r="I10" s="166"/>
      <c r="J10" s="166"/>
      <c r="K10" s="166"/>
      <c r="L10" s="166"/>
      <c r="M10" s="166"/>
      <c r="N10" s="168"/>
    </row>
    <row r="11" spans="1:14" ht="15.75">
      <c r="A11" s="164"/>
      <c r="B11" s="165" t="s">
        <v>197</v>
      </c>
      <c r="C11" s="168"/>
      <c r="D11" s="170"/>
      <c r="E11" s="170"/>
      <c r="F11" s="170"/>
      <c r="G11" s="166"/>
      <c r="H11" s="166"/>
      <c r="I11" s="166"/>
      <c r="J11" s="166"/>
      <c r="K11" s="166"/>
      <c r="L11" s="166"/>
      <c r="M11" s="166"/>
      <c r="N11" s="168"/>
    </row>
    <row r="12" spans="1:14" ht="15.75">
      <c r="A12" s="184" t="s">
        <v>292</v>
      </c>
      <c r="B12" s="170">
        <v>3051</v>
      </c>
      <c r="C12" s="166"/>
      <c r="D12" s="166"/>
      <c r="E12" s="166"/>
      <c r="F12" s="166"/>
      <c r="G12" s="166"/>
      <c r="H12" s="166"/>
      <c r="I12" s="166"/>
      <c r="J12" s="170"/>
      <c r="K12" s="170"/>
      <c r="L12" s="170"/>
      <c r="M12" s="170"/>
      <c r="N12" s="171">
        <v>46419</v>
      </c>
    </row>
    <row r="13" spans="1:14" ht="15.75">
      <c r="A13" s="184"/>
      <c r="B13" s="172" t="s">
        <v>243</v>
      </c>
      <c r="C13" s="166"/>
      <c r="D13" s="166"/>
      <c r="E13" s="166"/>
      <c r="F13" s="166"/>
      <c r="G13" s="166"/>
      <c r="H13" s="170"/>
      <c r="I13" s="170"/>
      <c r="J13" s="170"/>
      <c r="K13" s="170"/>
      <c r="L13" s="170"/>
      <c r="M13" s="170"/>
      <c r="N13" s="171">
        <v>46447</v>
      </c>
    </row>
    <row r="14" spans="1:14" ht="15.75">
      <c r="A14" s="184"/>
      <c r="B14" s="172" t="s">
        <v>293</v>
      </c>
      <c r="C14" s="168"/>
      <c r="D14" s="168"/>
      <c r="E14" s="166"/>
      <c r="F14" s="166"/>
      <c r="G14" s="166"/>
      <c r="H14" s="166"/>
      <c r="I14" s="166"/>
      <c r="J14" s="166"/>
      <c r="K14" s="170"/>
      <c r="L14" s="170"/>
      <c r="M14" s="170"/>
      <c r="N14" s="170"/>
    </row>
    <row r="15" spans="1:14" ht="15.75">
      <c r="A15" s="184"/>
      <c r="B15" s="172" t="s">
        <v>294</v>
      </c>
      <c r="C15" s="173"/>
      <c r="D15" s="173"/>
      <c r="E15" s="166"/>
      <c r="F15" s="166"/>
      <c r="G15" s="166"/>
      <c r="H15" s="166"/>
      <c r="I15" s="166"/>
      <c r="J15" s="166"/>
      <c r="K15" s="170"/>
      <c r="L15" s="170"/>
      <c r="M15" s="170"/>
      <c r="N15" s="171">
        <v>46508</v>
      </c>
    </row>
    <row r="16" spans="1:14" ht="15.75">
      <c r="A16" s="184"/>
      <c r="B16" s="170" t="s">
        <v>204</v>
      </c>
      <c r="C16" s="166"/>
      <c r="D16" s="166"/>
      <c r="E16" s="166"/>
      <c r="F16" s="166"/>
      <c r="G16" s="166"/>
      <c r="H16" s="166"/>
      <c r="I16" s="166"/>
      <c r="J16" s="170"/>
      <c r="K16" s="170"/>
      <c r="L16" s="170"/>
      <c r="M16" s="170"/>
      <c r="N16" s="170"/>
    </row>
    <row r="17" spans="1:14" ht="15.75">
      <c r="A17" s="184"/>
      <c r="B17" s="174" t="s">
        <v>295</v>
      </c>
      <c r="C17" s="168"/>
      <c r="D17" s="168"/>
      <c r="E17" s="168"/>
      <c r="F17" s="168"/>
      <c r="G17" s="170"/>
      <c r="H17" s="170"/>
      <c r="I17" s="170"/>
      <c r="J17" s="170"/>
      <c r="K17" s="170"/>
      <c r="L17" s="170"/>
      <c r="M17" s="170"/>
      <c r="N17" s="171">
        <v>46447</v>
      </c>
    </row>
    <row r="18" spans="1:14" ht="15.75">
      <c r="A18" s="184" t="s">
        <v>296</v>
      </c>
      <c r="B18" s="175" t="s">
        <v>297</v>
      </c>
      <c r="C18" s="168"/>
      <c r="D18" s="168"/>
      <c r="E18" s="166"/>
      <c r="F18" s="166"/>
      <c r="G18" s="166"/>
      <c r="H18" s="166"/>
      <c r="I18" s="166"/>
      <c r="J18" s="166"/>
      <c r="K18" s="170"/>
      <c r="L18" s="170"/>
      <c r="M18" s="170"/>
      <c r="N18" s="170" t="s">
        <v>298</v>
      </c>
    </row>
    <row r="19" spans="1:14" ht="15.75">
      <c r="A19" s="184"/>
      <c r="B19" s="175" t="s">
        <v>262</v>
      </c>
      <c r="C19" s="168"/>
      <c r="D19" s="168"/>
      <c r="E19" s="168"/>
      <c r="F19" s="168"/>
      <c r="G19" s="168"/>
      <c r="H19" s="168"/>
      <c r="I19" s="168"/>
      <c r="J19" s="166"/>
      <c r="K19" s="166"/>
      <c r="L19" s="166"/>
      <c r="M19" s="166"/>
      <c r="N19" s="171">
        <v>46508</v>
      </c>
    </row>
    <row r="20" spans="1:14" ht="15.75">
      <c r="A20" s="184"/>
      <c r="B20" s="176" t="s">
        <v>299</v>
      </c>
      <c r="C20" s="168"/>
      <c r="D20" s="168"/>
      <c r="E20" s="170"/>
      <c r="F20" s="170"/>
      <c r="G20" s="170"/>
      <c r="H20" s="170"/>
      <c r="I20" s="170"/>
      <c r="J20" s="170"/>
      <c r="K20" s="170"/>
      <c r="L20" s="170"/>
      <c r="M20" s="170"/>
      <c r="N20" s="171">
        <v>46419</v>
      </c>
    </row>
    <row r="21" spans="1:14" ht="15.75">
      <c r="A21" s="184"/>
      <c r="B21" s="177" t="s">
        <v>300</v>
      </c>
      <c r="C21" s="168"/>
      <c r="D21" s="168"/>
      <c r="E21" s="168"/>
      <c r="F21" s="168"/>
      <c r="G21" s="168"/>
      <c r="H21" s="168"/>
      <c r="I21" s="168"/>
      <c r="J21" s="166"/>
      <c r="K21" s="170"/>
      <c r="L21" s="170"/>
      <c r="M21" s="170"/>
      <c r="N21" s="171">
        <v>46447</v>
      </c>
    </row>
    <row r="22" spans="1:14" ht="15.75">
      <c r="A22" s="184"/>
      <c r="B22" s="177" t="s">
        <v>301</v>
      </c>
      <c r="C22" s="168"/>
      <c r="D22" s="168"/>
      <c r="E22" s="168"/>
      <c r="F22" s="168"/>
      <c r="G22" s="168"/>
      <c r="H22" s="168"/>
      <c r="I22" s="168"/>
      <c r="J22" s="170"/>
      <c r="K22" s="170"/>
      <c r="L22" s="170"/>
      <c r="M22" s="170"/>
      <c r="N22" s="171">
        <v>46447</v>
      </c>
    </row>
    <row r="23" spans="1:14" ht="15.75">
      <c r="A23" s="184"/>
      <c r="B23" s="175" t="s">
        <v>302</v>
      </c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8"/>
    </row>
    <row r="24" spans="1:14" ht="15.75">
      <c r="A24" s="184" t="s">
        <v>303</v>
      </c>
      <c r="B24" s="178" t="s">
        <v>193</v>
      </c>
      <c r="C24" s="168"/>
      <c r="D24" s="168"/>
      <c r="E24" s="168"/>
      <c r="F24" s="168"/>
      <c r="G24" s="168"/>
      <c r="H24" s="168"/>
      <c r="I24" s="168"/>
      <c r="J24" s="168"/>
      <c r="K24" s="168"/>
      <c r="L24" s="168"/>
      <c r="M24" s="170"/>
      <c r="N24" s="171">
        <v>46631</v>
      </c>
    </row>
    <row r="25" spans="1:14" ht="15.75">
      <c r="A25" s="184"/>
      <c r="B25" s="178" t="s">
        <v>194</v>
      </c>
      <c r="C25" s="168"/>
      <c r="D25" s="168"/>
      <c r="E25" s="168"/>
      <c r="F25" s="168"/>
      <c r="G25" s="168"/>
      <c r="H25" s="168"/>
      <c r="I25" s="168"/>
      <c r="J25" s="168"/>
      <c r="K25" s="168"/>
      <c r="L25" s="168"/>
      <c r="M25" s="168"/>
      <c r="N25" s="171">
        <v>47088</v>
      </c>
    </row>
    <row r="26" spans="1:14" ht="15.75">
      <c r="A26" s="184"/>
      <c r="B26" s="178" t="s">
        <v>304</v>
      </c>
      <c r="C26" s="168"/>
      <c r="D26" s="168"/>
      <c r="E26" s="168"/>
      <c r="F26" s="168"/>
      <c r="G26" s="168"/>
      <c r="H26" s="168"/>
      <c r="I26" s="168"/>
      <c r="J26" s="168"/>
      <c r="K26" s="168"/>
      <c r="L26" s="168"/>
      <c r="M26" s="170"/>
      <c r="N26" s="171">
        <v>46569</v>
      </c>
    </row>
    <row r="27" spans="1:14" ht="15.75">
      <c r="A27" s="184"/>
      <c r="B27" s="178" t="s">
        <v>305</v>
      </c>
      <c r="C27" s="168"/>
      <c r="D27" s="168"/>
      <c r="E27" s="168"/>
      <c r="F27" s="168"/>
      <c r="G27" s="168"/>
      <c r="H27" s="168"/>
      <c r="I27" s="168"/>
      <c r="J27" s="168"/>
      <c r="K27" s="168"/>
      <c r="L27" s="168"/>
      <c r="M27" s="170"/>
      <c r="N27" s="171">
        <v>46631</v>
      </c>
    </row>
    <row r="28" spans="1:14" ht="15.75">
      <c r="A28" s="184"/>
      <c r="B28" s="178" t="s">
        <v>306</v>
      </c>
      <c r="C28" s="168"/>
      <c r="D28" s="168"/>
      <c r="E28" s="168"/>
      <c r="F28" s="168"/>
      <c r="G28" s="168"/>
      <c r="H28" s="168"/>
      <c r="I28" s="168"/>
      <c r="J28" s="168"/>
      <c r="K28" s="168"/>
      <c r="L28" s="168"/>
      <c r="M28" s="170"/>
      <c r="N28" s="171">
        <v>46569</v>
      </c>
    </row>
    <row r="29" spans="1:14" ht="15.75">
      <c r="A29" s="179" t="s">
        <v>307</v>
      </c>
      <c r="B29" s="180" t="s">
        <v>308</v>
      </c>
      <c r="C29" s="168"/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</row>
    <row r="30" spans="1:14" ht="15.75">
      <c r="A30" s="184" t="s">
        <v>309</v>
      </c>
      <c r="B30" s="181">
        <v>78</v>
      </c>
      <c r="C30" s="168"/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</row>
    <row r="31" spans="1:14" ht="15.75">
      <c r="A31" s="184"/>
      <c r="B31" s="181" t="s">
        <v>310</v>
      </c>
      <c r="C31" s="168"/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</row>
    <row r="32" spans="1:14" ht="15.75">
      <c r="A32" s="184"/>
      <c r="B32" s="182" t="s">
        <v>311</v>
      </c>
      <c r="C32" s="168"/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</row>
    <row r="33" spans="1:14" ht="15.75">
      <c r="A33" s="184"/>
      <c r="B33" s="181" t="s">
        <v>312</v>
      </c>
      <c r="C33" s="168"/>
      <c r="D33" s="166"/>
      <c r="E33" s="166"/>
      <c r="F33" s="166"/>
      <c r="G33" s="166"/>
      <c r="H33" s="183"/>
      <c r="I33" s="168"/>
      <c r="J33" s="168"/>
      <c r="K33" s="168"/>
      <c r="L33" s="168"/>
      <c r="M33" s="168"/>
      <c r="N33" s="168"/>
    </row>
  </sheetData>
  <mergeCells count="4">
    <mergeCell ref="A12:A17"/>
    <mergeCell ref="A18:A23"/>
    <mergeCell ref="A24:A28"/>
    <mergeCell ref="A30:A3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DD7EE"/>
  </sheetPr>
  <dimension ref="A1:AE78"/>
  <sheetViews>
    <sheetView rightToLeft="1" zoomScale="145" zoomScaleNormal="14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11" sqref="B11"/>
    </sheetView>
  </sheetViews>
  <sheetFormatPr defaultColWidth="8.625" defaultRowHeight="14.25"/>
  <cols>
    <col min="1" max="1" width="12.5" customWidth="1"/>
    <col min="2" max="2" width="19.75" style="105" customWidth="1"/>
    <col min="3" max="3" width="14.75" style="105" customWidth="1"/>
    <col min="4" max="6" width="9.875" style="105" customWidth="1"/>
    <col min="7" max="7" width="10.875" customWidth="1"/>
    <col min="8" max="8" width="9.25" customWidth="1"/>
    <col min="9" max="9" width="10.75" customWidth="1"/>
    <col min="12" max="12" width="8.75" customWidth="1"/>
    <col min="13" max="13" width="11" customWidth="1"/>
    <col min="14" max="14" width="13.375" customWidth="1"/>
    <col min="15" max="15" width="15.125" style="106" customWidth="1"/>
    <col min="16" max="16" width="9" style="4" customWidth="1"/>
    <col min="17" max="17" width="10" customWidth="1"/>
  </cols>
  <sheetData>
    <row r="1" spans="1:31" ht="15" customHeight="1">
      <c r="D1" s="187" t="s">
        <v>153</v>
      </c>
      <c r="E1" s="187"/>
      <c r="F1" s="187"/>
      <c r="G1" s="187"/>
      <c r="H1" s="187"/>
      <c r="I1" s="187"/>
      <c r="K1" s="188" t="s">
        <v>102</v>
      </c>
      <c r="L1" s="188"/>
      <c r="M1" s="188"/>
    </row>
    <row r="2" spans="1:31" s="108" customFormat="1" ht="15" customHeight="1">
      <c r="A2" s="109" t="s">
        <v>280</v>
      </c>
      <c r="B2" s="107" t="s">
        <v>154</v>
      </c>
      <c r="C2" s="105" t="s">
        <v>155</v>
      </c>
      <c r="D2" s="105" t="s">
        <v>13</v>
      </c>
      <c r="E2" s="105" t="s">
        <v>14</v>
      </c>
      <c r="F2" s="105" t="s">
        <v>15</v>
      </c>
      <c r="G2" s="108" t="s">
        <v>156</v>
      </c>
      <c r="H2" s="108" t="s">
        <v>157</v>
      </c>
      <c r="I2" s="108" t="s">
        <v>158</v>
      </c>
      <c r="K2" s="108" t="s">
        <v>159</v>
      </c>
      <c r="L2" s="108" t="s">
        <v>157</v>
      </c>
      <c r="M2" s="108" t="s">
        <v>158</v>
      </c>
      <c r="N2" s="108" t="s">
        <v>160</v>
      </c>
      <c r="O2" s="109" t="s">
        <v>161</v>
      </c>
      <c r="P2" s="110" t="s">
        <v>162</v>
      </c>
    </row>
    <row r="3" spans="1:31" ht="14.25" customHeight="1">
      <c r="A3" t="s">
        <v>164</v>
      </c>
      <c r="B3" s="105" t="s">
        <v>163</v>
      </c>
      <c r="C3" s="105">
        <v>2025</v>
      </c>
      <c r="D3" s="4">
        <f>50*6</f>
        <v>300</v>
      </c>
      <c r="E3" s="4">
        <f>100*6</f>
        <v>600</v>
      </c>
      <c r="F3" s="4">
        <f>50*6</f>
        <v>300</v>
      </c>
      <c r="G3" s="4">
        <f>SUM(D3:F3)</f>
        <v>1200</v>
      </c>
      <c r="H3" s="4">
        <v>90</v>
      </c>
      <c r="I3" s="4">
        <f t="shared" ref="I3:I8" si="0">G3*H3</f>
        <v>108000</v>
      </c>
      <c r="J3" s="4" t="s">
        <v>164</v>
      </c>
      <c r="K3" s="4">
        <f>60*12*6/2</f>
        <v>2160</v>
      </c>
      <c r="L3" s="4">
        <f>H3</f>
        <v>90</v>
      </c>
      <c r="M3" s="4">
        <f t="shared" ref="M3:M36" si="1">K3*L3</f>
        <v>194400</v>
      </c>
      <c r="N3" s="4" t="s">
        <v>38</v>
      </c>
      <c r="O3" s="111" t="s">
        <v>165</v>
      </c>
      <c r="P3" s="4">
        <v>3000</v>
      </c>
      <c r="Q3" s="4"/>
    </row>
    <row r="4" spans="1:31" ht="15" customHeight="1">
      <c r="A4" t="s">
        <v>164</v>
      </c>
      <c r="B4" s="105" t="s">
        <v>166</v>
      </c>
      <c r="C4" s="105">
        <v>2025</v>
      </c>
      <c r="D4" s="4">
        <f>12*50</f>
        <v>600</v>
      </c>
      <c r="E4" s="4">
        <f>12*50+6*50</f>
        <v>900</v>
      </c>
      <c r="F4" s="4">
        <v>200</v>
      </c>
      <c r="G4" s="4">
        <f>SUM(D4:F4)</f>
        <v>1700</v>
      </c>
      <c r="H4" s="4">
        <v>100</v>
      </c>
      <c r="I4" s="4">
        <f t="shared" si="0"/>
        <v>170000</v>
      </c>
      <c r="J4" s="4" t="s">
        <v>164</v>
      </c>
      <c r="K4" s="4">
        <f>80*12*6/2</f>
        <v>2880</v>
      </c>
      <c r="L4" s="4">
        <f>H4</f>
        <v>100</v>
      </c>
      <c r="M4" s="4">
        <f t="shared" si="1"/>
        <v>288000</v>
      </c>
      <c r="N4" s="4" t="s">
        <v>38</v>
      </c>
      <c r="O4" s="111" t="s">
        <v>167</v>
      </c>
      <c r="P4" s="4">
        <v>3000</v>
      </c>
    </row>
    <row r="5" spans="1:31" ht="14.25" customHeight="1">
      <c r="A5" t="s">
        <v>164</v>
      </c>
      <c r="B5" s="112" t="s">
        <v>168</v>
      </c>
      <c r="C5" s="105">
        <v>2025</v>
      </c>
      <c r="E5" s="4">
        <v>600</v>
      </c>
      <c r="G5" s="4">
        <f>SUM(D5:F5)</f>
        <v>600</v>
      </c>
      <c r="H5" s="4">
        <v>50</v>
      </c>
      <c r="I5" s="4">
        <f t="shared" si="0"/>
        <v>30000</v>
      </c>
      <c r="J5" s="4" t="s">
        <v>164</v>
      </c>
      <c r="K5" s="113">
        <v>2000</v>
      </c>
      <c r="L5" s="4">
        <f>H5</f>
        <v>50</v>
      </c>
      <c r="M5" s="4">
        <f t="shared" si="1"/>
        <v>100000</v>
      </c>
      <c r="N5" s="4" t="s">
        <v>33</v>
      </c>
      <c r="O5" s="111" t="s">
        <v>169</v>
      </c>
      <c r="Q5" s="114" t="s">
        <v>170</v>
      </c>
      <c r="R5" s="115" t="s">
        <v>4</v>
      </c>
      <c r="S5" s="115" t="s">
        <v>5</v>
      </c>
      <c r="T5" s="115" t="s">
        <v>6</v>
      </c>
      <c r="U5" s="115" t="s">
        <v>7</v>
      </c>
      <c r="V5" s="115" t="s">
        <v>8</v>
      </c>
      <c r="W5" s="115" t="s">
        <v>9</v>
      </c>
      <c r="X5" s="115" t="s">
        <v>10</v>
      </c>
      <c r="Y5" s="115" t="s">
        <v>11</v>
      </c>
      <c r="Z5" s="115" t="s">
        <v>12</v>
      </c>
      <c r="AA5" s="115" t="s">
        <v>13</v>
      </c>
      <c r="AB5" s="115" t="s">
        <v>14</v>
      </c>
      <c r="AC5" s="115" t="s">
        <v>15</v>
      </c>
      <c r="AD5" s="116"/>
    </row>
    <row r="6" spans="1:31" ht="14.25" customHeight="1">
      <c r="A6" t="s">
        <v>164</v>
      </c>
      <c r="B6" s="105" t="s">
        <v>170</v>
      </c>
      <c r="C6" s="117">
        <v>46023</v>
      </c>
      <c r="G6" s="4">
        <f>SUM(D6:F6)</f>
        <v>0</v>
      </c>
      <c r="H6" s="4">
        <v>70</v>
      </c>
      <c r="I6" s="4">
        <f t="shared" si="0"/>
        <v>0</v>
      </c>
      <c r="J6" s="4" t="s">
        <v>164</v>
      </c>
      <c r="K6" s="113">
        <v>1000</v>
      </c>
      <c r="L6" s="4">
        <f>H6</f>
        <v>70</v>
      </c>
      <c r="M6" s="4">
        <f t="shared" si="1"/>
        <v>70000</v>
      </c>
      <c r="N6" s="4" t="s">
        <v>38</v>
      </c>
      <c r="O6" s="111" t="s">
        <v>171</v>
      </c>
      <c r="P6" s="4">
        <v>300</v>
      </c>
      <c r="Q6" s="118" t="s">
        <v>172</v>
      </c>
      <c r="R6">
        <v>70</v>
      </c>
      <c r="S6">
        <v>20</v>
      </c>
      <c r="T6">
        <v>30</v>
      </c>
      <c r="U6">
        <v>20</v>
      </c>
      <c r="V6">
        <v>20</v>
      </c>
      <c r="W6">
        <v>30</v>
      </c>
      <c r="X6">
        <v>25</v>
      </c>
      <c r="Y6">
        <v>25</v>
      </c>
      <c r="Z6">
        <v>10</v>
      </c>
      <c r="AA6">
        <v>10</v>
      </c>
      <c r="AB6">
        <v>30</v>
      </c>
      <c r="AC6">
        <v>10</v>
      </c>
      <c r="AD6" s="119">
        <f>SUM(R6:AC6)</f>
        <v>300</v>
      </c>
    </row>
    <row r="7" spans="1:31" ht="14.25" customHeight="1">
      <c r="A7" t="s">
        <v>164</v>
      </c>
      <c r="B7" s="105" t="s">
        <v>173</v>
      </c>
      <c r="C7" s="117">
        <v>46023</v>
      </c>
      <c r="G7" s="4">
        <f>SUM(D7:F7)</f>
        <v>0</v>
      </c>
      <c r="H7" s="4">
        <v>350</v>
      </c>
      <c r="I7" s="4">
        <f t="shared" si="0"/>
        <v>0</v>
      </c>
      <c r="J7" s="4" t="s">
        <v>164</v>
      </c>
      <c r="K7" s="4">
        <v>220</v>
      </c>
      <c r="L7" s="4">
        <f>H7</f>
        <v>350</v>
      </c>
      <c r="M7" s="4">
        <f t="shared" si="1"/>
        <v>77000</v>
      </c>
      <c r="N7" s="4" t="s">
        <v>38</v>
      </c>
      <c r="O7" s="111" t="s">
        <v>171</v>
      </c>
      <c r="P7" s="4">
        <v>220</v>
      </c>
      <c r="Q7" s="118" t="s">
        <v>174</v>
      </c>
      <c r="R7">
        <v>2</v>
      </c>
      <c r="S7">
        <v>2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A7">
        <v>2</v>
      </c>
      <c r="AB7">
        <v>2</v>
      </c>
      <c r="AC7">
        <v>2</v>
      </c>
      <c r="AD7" s="119"/>
      <c r="AE7" t="s">
        <v>175</v>
      </c>
    </row>
    <row r="8" spans="1:31" ht="15" customHeight="1">
      <c r="B8" s="105" t="s">
        <v>176</v>
      </c>
      <c r="C8" s="105" t="s">
        <v>8</v>
      </c>
      <c r="D8" s="4"/>
      <c r="E8" s="4"/>
      <c r="F8" s="4"/>
      <c r="G8" s="4"/>
      <c r="H8" s="4"/>
      <c r="I8" s="4">
        <f t="shared" si="0"/>
        <v>0</v>
      </c>
      <c r="J8" s="4" t="s">
        <v>164</v>
      </c>
      <c r="K8" s="4">
        <f>$AD$13</f>
        <v>280</v>
      </c>
      <c r="L8" s="4">
        <v>70</v>
      </c>
      <c r="M8" s="4">
        <f t="shared" si="1"/>
        <v>19600</v>
      </c>
      <c r="N8" s="4" t="s">
        <v>38</v>
      </c>
      <c r="Q8" s="120"/>
      <c r="R8" s="121">
        <f t="shared" ref="R8:AC8" si="2">R6*2</f>
        <v>140</v>
      </c>
      <c r="S8" s="121">
        <f t="shared" si="2"/>
        <v>40</v>
      </c>
      <c r="T8" s="121">
        <f t="shared" si="2"/>
        <v>60</v>
      </c>
      <c r="U8" s="121">
        <f t="shared" si="2"/>
        <v>40</v>
      </c>
      <c r="V8" s="121">
        <f t="shared" si="2"/>
        <v>40</v>
      </c>
      <c r="W8" s="121">
        <f t="shared" si="2"/>
        <v>60</v>
      </c>
      <c r="X8" s="121">
        <f t="shared" si="2"/>
        <v>50</v>
      </c>
      <c r="Y8" s="121">
        <f t="shared" si="2"/>
        <v>50</v>
      </c>
      <c r="Z8" s="121">
        <f t="shared" si="2"/>
        <v>20</v>
      </c>
      <c r="AA8" s="121">
        <f t="shared" si="2"/>
        <v>20</v>
      </c>
      <c r="AB8" s="121">
        <f t="shared" si="2"/>
        <v>60</v>
      </c>
      <c r="AC8" s="121">
        <f t="shared" si="2"/>
        <v>20</v>
      </c>
      <c r="AD8" s="122">
        <f>SUM(R8:AC8)</f>
        <v>600</v>
      </c>
      <c r="AE8">
        <v>333</v>
      </c>
    </row>
    <row r="9" spans="1:31" ht="15" customHeight="1">
      <c r="B9" s="105" t="s">
        <v>177</v>
      </c>
      <c r="C9" s="105" t="s">
        <v>8</v>
      </c>
      <c r="D9" s="4"/>
      <c r="E9" s="4"/>
      <c r="F9" s="4"/>
      <c r="G9" s="4"/>
      <c r="H9" s="4"/>
      <c r="I9" s="4"/>
      <c r="J9" s="4" t="s">
        <v>164</v>
      </c>
      <c r="K9" s="4">
        <f>$AD$13</f>
        <v>280</v>
      </c>
      <c r="L9" s="4">
        <v>80</v>
      </c>
      <c r="M9" s="4">
        <f t="shared" si="1"/>
        <v>22400</v>
      </c>
      <c r="N9" s="4" t="s">
        <v>38</v>
      </c>
    </row>
    <row r="10" spans="1:31" ht="14.25" customHeight="1">
      <c r="A10" t="s">
        <v>281</v>
      </c>
      <c r="B10" s="105" t="s">
        <v>178</v>
      </c>
      <c r="C10" s="105" t="s">
        <v>8</v>
      </c>
      <c r="D10" s="4"/>
      <c r="E10" s="4"/>
      <c r="F10" s="4"/>
      <c r="G10" s="4"/>
      <c r="H10" s="4"/>
      <c r="I10" s="4"/>
      <c r="J10" s="4" t="s">
        <v>164</v>
      </c>
      <c r="K10" s="4">
        <v>200</v>
      </c>
      <c r="L10" s="4">
        <v>260</v>
      </c>
      <c r="M10" s="4">
        <f t="shared" si="1"/>
        <v>52000</v>
      </c>
      <c r="N10" s="4" t="s">
        <v>38</v>
      </c>
      <c r="Q10" s="114" t="s">
        <v>179</v>
      </c>
      <c r="R10" s="115" t="s">
        <v>4</v>
      </c>
      <c r="S10" s="115" t="s">
        <v>5</v>
      </c>
      <c r="T10" s="115" t="s">
        <v>6</v>
      </c>
      <c r="U10" s="115" t="s">
        <v>7</v>
      </c>
      <c r="V10" s="115" t="s">
        <v>8</v>
      </c>
      <c r="W10" s="115" t="s">
        <v>9</v>
      </c>
      <c r="X10" s="115" t="s">
        <v>10</v>
      </c>
      <c r="Y10" s="115" t="s">
        <v>11</v>
      </c>
      <c r="Z10" s="115" t="s">
        <v>12</v>
      </c>
      <c r="AA10" s="115" t="s">
        <v>13</v>
      </c>
      <c r="AB10" s="115" t="s">
        <v>14</v>
      </c>
      <c r="AC10" s="115" t="s">
        <v>15</v>
      </c>
      <c r="AD10" s="116"/>
      <c r="AE10" t="s">
        <v>180</v>
      </c>
    </row>
    <row r="11" spans="1:31" ht="14.25" customHeight="1">
      <c r="A11" t="s">
        <v>164</v>
      </c>
      <c r="B11" s="105" t="s">
        <v>181</v>
      </c>
      <c r="C11" s="4" t="s">
        <v>5</v>
      </c>
      <c r="D11" s="4"/>
      <c r="E11" s="4"/>
      <c r="F11" s="4"/>
      <c r="G11" s="4"/>
      <c r="H11" s="4"/>
      <c r="I11" s="4"/>
      <c r="J11" s="4" t="s">
        <v>164</v>
      </c>
      <c r="K11" s="4">
        <v>1000</v>
      </c>
      <c r="L11" s="4">
        <v>24</v>
      </c>
      <c r="M11" s="4">
        <f t="shared" si="1"/>
        <v>24000</v>
      </c>
      <c r="N11" s="4" t="s">
        <v>35</v>
      </c>
      <c r="O11" s="111" t="s">
        <v>182</v>
      </c>
      <c r="P11" s="4">
        <v>1000</v>
      </c>
      <c r="Q11" s="118" t="s">
        <v>172</v>
      </c>
      <c r="W11">
        <v>30</v>
      </c>
      <c r="X11">
        <v>25</v>
      </c>
      <c r="Y11">
        <v>25</v>
      </c>
      <c r="Z11">
        <v>10</v>
      </c>
      <c r="AA11">
        <v>10</v>
      </c>
      <c r="AB11">
        <v>30</v>
      </c>
      <c r="AC11">
        <v>10</v>
      </c>
      <c r="AD11" s="119">
        <f>SUM(R11:AC11)</f>
        <v>140</v>
      </c>
    </row>
    <row r="12" spans="1:31" ht="14.25" customHeight="1">
      <c r="A12" t="s">
        <v>164</v>
      </c>
      <c r="B12" s="105" t="s">
        <v>183</v>
      </c>
      <c r="C12" s="4" t="s">
        <v>10</v>
      </c>
      <c r="D12" s="4"/>
      <c r="E12" s="4"/>
      <c r="F12" s="4"/>
      <c r="G12" s="4"/>
      <c r="H12" s="4"/>
      <c r="I12" s="4"/>
      <c r="J12" s="4"/>
      <c r="K12" s="113"/>
      <c r="L12" s="4">
        <v>130</v>
      </c>
      <c r="M12" s="4">
        <f t="shared" si="1"/>
        <v>0</v>
      </c>
      <c r="N12" s="4" t="s">
        <v>33</v>
      </c>
      <c r="O12" s="111"/>
      <c r="Q12" s="118" t="s">
        <v>174</v>
      </c>
      <c r="W12">
        <v>5</v>
      </c>
      <c r="X12">
        <v>5</v>
      </c>
      <c r="Y12">
        <v>5</v>
      </c>
      <c r="Z12">
        <v>5</v>
      </c>
      <c r="AA12">
        <v>5</v>
      </c>
      <c r="AB12">
        <v>5</v>
      </c>
      <c r="AC12">
        <v>5</v>
      </c>
      <c r="AD12" s="119"/>
    </row>
    <row r="13" spans="1:31" ht="15" customHeight="1">
      <c r="A13" t="s">
        <v>164</v>
      </c>
      <c r="B13" s="105" t="s">
        <v>184</v>
      </c>
      <c r="C13" s="4"/>
      <c r="D13" s="4"/>
      <c r="E13" s="4"/>
      <c r="F13" s="4"/>
      <c r="G13" s="4"/>
      <c r="H13" s="4"/>
      <c r="I13" s="4"/>
      <c r="J13" s="4" t="s">
        <v>164</v>
      </c>
      <c r="K13" s="4">
        <v>2000</v>
      </c>
      <c r="L13" s="4">
        <v>12</v>
      </c>
      <c r="M13" s="4">
        <f t="shared" si="1"/>
        <v>24000</v>
      </c>
      <c r="N13" s="4" t="s">
        <v>38</v>
      </c>
      <c r="O13" s="111" t="s">
        <v>185</v>
      </c>
      <c r="P13" s="4">
        <v>2016</v>
      </c>
      <c r="Q13" s="120"/>
      <c r="R13" s="121">
        <f t="shared" ref="R13:AC13" si="3">R11*2</f>
        <v>0</v>
      </c>
      <c r="S13" s="121">
        <f t="shared" si="3"/>
        <v>0</v>
      </c>
      <c r="T13" s="121">
        <f t="shared" si="3"/>
        <v>0</v>
      </c>
      <c r="U13" s="121">
        <f t="shared" si="3"/>
        <v>0</v>
      </c>
      <c r="V13" s="121">
        <f t="shared" si="3"/>
        <v>0</v>
      </c>
      <c r="W13" s="121">
        <f t="shared" si="3"/>
        <v>60</v>
      </c>
      <c r="X13" s="121">
        <f t="shared" si="3"/>
        <v>50</v>
      </c>
      <c r="Y13" s="121">
        <f t="shared" si="3"/>
        <v>50</v>
      </c>
      <c r="Z13" s="121">
        <f t="shared" si="3"/>
        <v>20</v>
      </c>
      <c r="AA13" s="121">
        <f t="shared" si="3"/>
        <v>20</v>
      </c>
      <c r="AB13" s="121">
        <f t="shared" si="3"/>
        <v>60</v>
      </c>
      <c r="AC13" s="121">
        <f t="shared" si="3"/>
        <v>20</v>
      </c>
      <c r="AD13" s="122">
        <f>SUM(R13:AC13)</f>
        <v>280</v>
      </c>
    </row>
    <row r="14" spans="1:31" ht="14.25" customHeight="1">
      <c r="A14" t="s">
        <v>164</v>
      </c>
      <c r="B14" s="105">
        <v>59</v>
      </c>
      <c r="C14" s="105" t="s">
        <v>8</v>
      </c>
      <c r="G14" s="4"/>
      <c r="H14" s="4"/>
      <c r="I14" s="4"/>
      <c r="J14" s="4" t="s">
        <v>164</v>
      </c>
      <c r="K14" s="113">
        <v>500</v>
      </c>
      <c r="L14" s="4">
        <v>150</v>
      </c>
      <c r="M14" s="4">
        <f t="shared" si="1"/>
        <v>75000</v>
      </c>
      <c r="N14" s="4"/>
    </row>
    <row r="15" spans="1:31" ht="14.25" customHeight="1">
      <c r="A15" t="s">
        <v>164</v>
      </c>
      <c r="B15" s="112" t="s">
        <v>186</v>
      </c>
      <c r="C15" s="105" t="s">
        <v>7</v>
      </c>
      <c r="G15" s="4">
        <f>SUM(D15:F15)</f>
        <v>0</v>
      </c>
      <c r="H15" s="4">
        <f>74*0.9*0.91</f>
        <v>60.606000000000009</v>
      </c>
      <c r="I15" s="4">
        <f>G15*H15</f>
        <v>0</v>
      </c>
      <c r="J15" s="4" t="s">
        <v>164</v>
      </c>
      <c r="K15" s="4">
        <v>1000</v>
      </c>
      <c r="L15" s="4">
        <f>H15</f>
        <v>60.606000000000009</v>
      </c>
      <c r="M15" s="4">
        <f t="shared" si="1"/>
        <v>60606.000000000007</v>
      </c>
      <c r="N15" s="4" t="s">
        <v>33</v>
      </c>
      <c r="O15" s="111" t="s">
        <v>187</v>
      </c>
      <c r="P15" s="4">
        <f>1488+50</f>
        <v>1538</v>
      </c>
    </row>
    <row r="16" spans="1:31" ht="14.25" customHeight="1">
      <c r="A16" t="s">
        <v>164</v>
      </c>
      <c r="B16" s="112" t="s">
        <v>186</v>
      </c>
      <c r="C16" s="105" t="s">
        <v>7</v>
      </c>
      <c r="G16" s="4">
        <f>SUM(D16:F16)</f>
        <v>0</v>
      </c>
      <c r="H16" s="4">
        <v>70</v>
      </c>
      <c r="I16" s="4">
        <f>G16*H16</f>
        <v>0</v>
      </c>
      <c r="J16" s="4" t="s">
        <v>164</v>
      </c>
      <c r="K16" s="4">
        <v>300</v>
      </c>
      <c r="L16" s="4">
        <f>H16</f>
        <v>70</v>
      </c>
      <c r="M16" s="4">
        <f t="shared" si="1"/>
        <v>21000</v>
      </c>
      <c r="N16" s="4" t="s">
        <v>38</v>
      </c>
    </row>
    <row r="17" spans="1:16" ht="14.25" customHeight="1">
      <c r="A17" t="s">
        <v>164</v>
      </c>
      <c r="B17" s="105" t="s">
        <v>188</v>
      </c>
      <c r="G17" s="4"/>
      <c r="H17" s="4"/>
      <c r="I17" s="4"/>
      <c r="J17" s="4" t="s">
        <v>164</v>
      </c>
      <c r="K17" s="4">
        <v>300</v>
      </c>
      <c r="L17" s="4">
        <v>140</v>
      </c>
      <c r="M17" s="4">
        <f t="shared" si="1"/>
        <v>42000</v>
      </c>
      <c r="N17" s="4" t="s">
        <v>38</v>
      </c>
    </row>
    <row r="18" spans="1:16" ht="14.25" customHeight="1">
      <c r="B18" s="123">
        <v>305</v>
      </c>
      <c r="C18" s="105" t="s">
        <v>8</v>
      </c>
      <c r="G18" s="4"/>
      <c r="H18" s="4"/>
      <c r="I18" s="4"/>
      <c r="J18" s="4" t="s">
        <v>164</v>
      </c>
      <c r="K18" s="4">
        <v>500</v>
      </c>
      <c r="L18" s="4">
        <v>75</v>
      </c>
      <c r="M18" s="4">
        <f t="shared" si="1"/>
        <v>37500</v>
      </c>
      <c r="N18" s="4" t="s">
        <v>33</v>
      </c>
      <c r="O18" s="106" t="s">
        <v>189</v>
      </c>
    </row>
    <row r="19" spans="1:16" ht="14.25" customHeight="1">
      <c r="A19" t="s">
        <v>282</v>
      </c>
      <c r="B19" s="123">
        <v>305</v>
      </c>
      <c r="C19" s="105" t="s">
        <v>8</v>
      </c>
      <c r="G19" s="4"/>
      <c r="H19" s="4"/>
      <c r="I19" s="4"/>
      <c r="J19" s="4" t="s">
        <v>164</v>
      </c>
      <c r="K19" s="4">
        <v>300</v>
      </c>
      <c r="L19" s="4">
        <v>75</v>
      </c>
      <c r="M19" s="4">
        <f t="shared" si="1"/>
        <v>22500</v>
      </c>
      <c r="N19" s="4" t="s">
        <v>38</v>
      </c>
    </row>
    <row r="20" spans="1:16" ht="14.25" customHeight="1">
      <c r="A20" t="s">
        <v>282</v>
      </c>
      <c r="B20" s="123">
        <v>305</v>
      </c>
      <c r="C20" s="105" t="s">
        <v>8</v>
      </c>
      <c r="G20" s="4"/>
      <c r="H20" s="4"/>
      <c r="I20" s="4"/>
      <c r="J20" s="4" t="s">
        <v>164</v>
      </c>
      <c r="K20" s="4">
        <v>200</v>
      </c>
      <c r="L20" s="4">
        <v>75</v>
      </c>
      <c r="M20" s="4">
        <f t="shared" si="1"/>
        <v>15000</v>
      </c>
      <c r="N20" s="4" t="s">
        <v>35</v>
      </c>
    </row>
    <row r="21" spans="1:16" ht="14.25" customHeight="1">
      <c r="A21" t="s">
        <v>164</v>
      </c>
      <c r="B21" s="124" t="s">
        <v>190</v>
      </c>
      <c r="C21" s="105">
        <v>2025</v>
      </c>
      <c r="D21" s="125"/>
      <c r="E21" s="4">
        <v>20</v>
      </c>
      <c r="F21" s="125"/>
      <c r="G21" s="4">
        <f>SUM(D21:F21)</f>
        <v>20</v>
      </c>
      <c r="H21" s="4">
        <v>550</v>
      </c>
      <c r="I21" s="4">
        <f>G21*H21</f>
        <v>11000</v>
      </c>
      <c r="J21" s="4" t="s">
        <v>164</v>
      </c>
      <c r="K21" s="113">
        <v>100</v>
      </c>
      <c r="L21" s="4">
        <f>H21</f>
        <v>550</v>
      </c>
      <c r="M21" s="4">
        <f t="shared" si="1"/>
        <v>55000</v>
      </c>
      <c r="N21" s="4" t="s">
        <v>38</v>
      </c>
      <c r="O21" s="111" t="s">
        <v>191</v>
      </c>
    </row>
    <row r="22" spans="1:16" ht="14.25" customHeight="1">
      <c r="A22" t="s">
        <v>164</v>
      </c>
      <c r="B22" s="124" t="s">
        <v>192</v>
      </c>
      <c r="C22" s="105">
        <v>2025</v>
      </c>
      <c r="D22" s="125"/>
      <c r="E22" s="4">
        <v>20</v>
      </c>
      <c r="F22" s="125"/>
      <c r="G22" s="4">
        <f>SUM(D22:F22)</f>
        <v>20</v>
      </c>
      <c r="H22" s="4">
        <v>550</v>
      </c>
      <c r="I22" s="4">
        <f>G22*H22</f>
        <v>11000</v>
      </c>
      <c r="J22" s="4" t="s">
        <v>164</v>
      </c>
      <c r="K22" s="113">
        <v>100</v>
      </c>
      <c r="L22" s="4">
        <f>H22</f>
        <v>550</v>
      </c>
      <c r="M22" s="4">
        <f t="shared" si="1"/>
        <v>55000</v>
      </c>
      <c r="N22" s="4" t="s">
        <v>38</v>
      </c>
      <c r="O22" s="111" t="s">
        <v>191</v>
      </c>
    </row>
    <row r="23" spans="1:16" ht="14.25" customHeight="1">
      <c r="B23" s="105" t="s">
        <v>193</v>
      </c>
      <c r="C23" s="105" t="s">
        <v>10</v>
      </c>
      <c r="G23" s="4"/>
      <c r="H23" s="4"/>
      <c r="I23" s="4"/>
      <c r="J23" s="4" t="s">
        <v>164</v>
      </c>
      <c r="K23" s="113">
        <v>200</v>
      </c>
      <c r="L23" s="4">
        <v>265</v>
      </c>
      <c r="M23" s="4">
        <f t="shared" si="1"/>
        <v>53000</v>
      </c>
      <c r="N23" s="4" t="s">
        <v>38</v>
      </c>
    </row>
    <row r="24" spans="1:16" ht="14.25" customHeight="1">
      <c r="B24" s="105" t="s">
        <v>194</v>
      </c>
      <c r="C24" s="105" t="s">
        <v>10</v>
      </c>
      <c r="G24" s="4"/>
      <c r="H24" s="4"/>
      <c r="I24" s="4"/>
      <c r="J24" s="4" t="s">
        <v>164</v>
      </c>
      <c r="K24" s="113">
        <v>50</v>
      </c>
      <c r="L24" s="4">
        <v>350</v>
      </c>
      <c r="M24" s="4">
        <f t="shared" si="1"/>
        <v>17500</v>
      </c>
      <c r="N24" s="4" t="s">
        <v>38</v>
      </c>
    </row>
    <row r="25" spans="1:16" ht="14.25" customHeight="1">
      <c r="A25" t="s">
        <v>164</v>
      </c>
      <c r="B25" s="105" t="s">
        <v>195</v>
      </c>
      <c r="C25" s="105" t="s">
        <v>8</v>
      </c>
      <c r="G25" s="4"/>
      <c r="H25" s="4"/>
      <c r="I25" s="4"/>
      <c r="J25" s="4" t="s">
        <v>164</v>
      </c>
      <c r="K25" s="113">
        <f>10*6</f>
        <v>60</v>
      </c>
      <c r="L25" s="4">
        <v>440</v>
      </c>
      <c r="M25" s="4">
        <f t="shared" si="1"/>
        <v>26400</v>
      </c>
      <c r="N25" s="4" t="s">
        <v>38</v>
      </c>
    </row>
    <row r="26" spans="1:16" ht="14.25" customHeight="1">
      <c r="B26" s="105" t="s">
        <v>196</v>
      </c>
      <c r="C26" s="105" t="s">
        <v>8</v>
      </c>
      <c r="G26" s="4"/>
      <c r="H26" s="4"/>
      <c r="I26" s="4"/>
      <c r="J26" s="4"/>
      <c r="K26" s="113">
        <v>350</v>
      </c>
      <c r="L26" s="4">
        <v>160</v>
      </c>
      <c r="M26" s="4">
        <f t="shared" si="1"/>
        <v>56000</v>
      </c>
      <c r="N26" s="4" t="s">
        <v>38</v>
      </c>
    </row>
    <row r="27" spans="1:16" ht="14.25" customHeight="1">
      <c r="A27" t="s">
        <v>164</v>
      </c>
      <c r="B27" s="105" t="s">
        <v>197</v>
      </c>
      <c r="C27" s="105" t="s">
        <v>8</v>
      </c>
      <c r="G27" s="4"/>
      <c r="H27" s="4"/>
      <c r="I27" s="4"/>
      <c r="J27" s="4" t="s">
        <v>198</v>
      </c>
      <c r="K27" s="4"/>
      <c r="L27" s="4"/>
      <c r="M27" s="4">
        <f t="shared" si="1"/>
        <v>0</v>
      </c>
      <c r="N27" s="4"/>
      <c r="O27" s="106" t="s">
        <v>199</v>
      </c>
      <c r="P27" s="4" t="s">
        <v>200</v>
      </c>
    </row>
    <row r="28" spans="1:16" ht="14.25" customHeight="1">
      <c r="B28" s="105" t="s">
        <v>201</v>
      </c>
      <c r="C28" s="105" t="s">
        <v>10</v>
      </c>
      <c r="G28" s="4"/>
      <c r="H28" s="4"/>
      <c r="I28" s="4"/>
      <c r="J28" s="4"/>
      <c r="K28" s="4"/>
      <c r="L28" s="4"/>
      <c r="M28" s="4">
        <f t="shared" si="1"/>
        <v>0</v>
      </c>
      <c r="N28" s="4"/>
    </row>
    <row r="29" spans="1:16" ht="14.25" customHeight="1">
      <c r="B29" s="126" t="s">
        <v>202</v>
      </c>
      <c r="C29" s="105" t="s">
        <v>9</v>
      </c>
      <c r="G29" s="4"/>
      <c r="H29" s="4"/>
      <c r="I29" s="4"/>
      <c r="J29" s="4"/>
      <c r="K29" s="4"/>
      <c r="L29" s="4"/>
      <c r="M29" s="4">
        <f t="shared" si="1"/>
        <v>0</v>
      </c>
      <c r="N29" s="4"/>
    </row>
    <row r="30" spans="1:16" ht="14.25" customHeight="1">
      <c r="B30" s="105" t="s">
        <v>203</v>
      </c>
      <c r="C30" s="105" t="s">
        <v>12</v>
      </c>
      <c r="G30" s="4"/>
      <c r="H30" s="4"/>
      <c r="I30" s="4"/>
      <c r="J30" s="4"/>
      <c r="K30" s="4"/>
      <c r="L30" s="4"/>
      <c r="M30" s="4">
        <f t="shared" si="1"/>
        <v>0</v>
      </c>
      <c r="N30" s="4"/>
    </row>
    <row r="31" spans="1:16" ht="14.25" customHeight="1">
      <c r="B31" s="105" t="s">
        <v>204</v>
      </c>
      <c r="C31" s="105" t="s">
        <v>9</v>
      </c>
      <c r="G31" s="4"/>
      <c r="H31" s="4"/>
      <c r="I31" s="4"/>
      <c r="J31" s="4"/>
      <c r="K31" s="4"/>
      <c r="L31" s="4"/>
      <c r="M31" s="4">
        <f t="shared" si="1"/>
        <v>0</v>
      </c>
      <c r="N31" s="4"/>
    </row>
    <row r="32" spans="1:16" ht="14.25" customHeight="1">
      <c r="B32" s="105" t="s">
        <v>205</v>
      </c>
      <c r="C32" s="105" t="s">
        <v>11</v>
      </c>
      <c r="G32" s="4"/>
      <c r="H32" s="4"/>
      <c r="I32" s="4"/>
      <c r="J32" s="4" t="s">
        <v>198</v>
      </c>
      <c r="K32" s="4"/>
      <c r="L32" s="4"/>
      <c r="M32" s="4">
        <f t="shared" si="1"/>
        <v>0</v>
      </c>
      <c r="N32" s="4"/>
    </row>
    <row r="33" spans="1:15" ht="14.25" customHeight="1">
      <c r="B33" s="105" t="s">
        <v>206</v>
      </c>
      <c r="C33" s="105" t="s">
        <v>6</v>
      </c>
      <c r="G33" s="4"/>
      <c r="H33" s="4"/>
      <c r="I33" s="4"/>
      <c r="J33" s="4"/>
      <c r="K33" s="4"/>
      <c r="L33" s="4"/>
      <c r="M33" s="4">
        <f t="shared" si="1"/>
        <v>0</v>
      </c>
      <c r="N33" s="4"/>
    </row>
    <row r="34" spans="1:15" ht="14.25" customHeight="1">
      <c r="A34" t="s">
        <v>283</v>
      </c>
      <c r="B34" s="105" t="s">
        <v>207</v>
      </c>
      <c r="G34" s="4"/>
      <c r="H34" s="4"/>
      <c r="I34" s="4"/>
      <c r="J34" s="4" t="s">
        <v>164</v>
      </c>
      <c r="K34" s="4">
        <v>300</v>
      </c>
      <c r="L34" s="4">
        <v>65</v>
      </c>
      <c r="M34" s="4">
        <f t="shared" si="1"/>
        <v>19500</v>
      </c>
      <c r="N34" s="4" t="s">
        <v>33</v>
      </c>
      <c r="O34" s="106" t="s">
        <v>208</v>
      </c>
    </row>
    <row r="35" spans="1:15" ht="14.25" customHeight="1">
      <c r="A35" t="s">
        <v>283</v>
      </c>
      <c r="B35" s="105" t="s">
        <v>209</v>
      </c>
      <c r="G35" s="4"/>
      <c r="H35" s="4"/>
      <c r="I35" s="4"/>
      <c r="J35" s="4" t="s">
        <v>164</v>
      </c>
      <c r="K35" s="4">
        <v>100</v>
      </c>
      <c r="L35" s="4">
        <v>75</v>
      </c>
      <c r="M35" s="4">
        <f t="shared" si="1"/>
        <v>7500</v>
      </c>
      <c r="N35" s="4" t="s">
        <v>35</v>
      </c>
      <c r="O35" s="106" t="s">
        <v>210</v>
      </c>
    </row>
    <row r="36" spans="1:15" ht="14.25" customHeight="1">
      <c r="G36" s="4"/>
      <c r="H36" s="4"/>
      <c r="I36" s="4"/>
      <c r="J36" s="4"/>
      <c r="K36" s="4"/>
      <c r="L36" s="4"/>
      <c r="M36" s="4">
        <f t="shared" si="1"/>
        <v>0</v>
      </c>
      <c r="N36" s="4"/>
    </row>
    <row r="37" spans="1:15" ht="14.25" customHeight="1">
      <c r="G37" s="4"/>
      <c r="H37" s="4"/>
      <c r="I37" s="4"/>
      <c r="J37" s="4"/>
      <c r="K37" s="4"/>
      <c r="L37" s="4"/>
      <c r="M37" s="4"/>
      <c r="N37" s="4"/>
    </row>
    <row r="38" spans="1:15" ht="14.25" customHeight="1">
      <c r="G38" s="4"/>
      <c r="H38" s="4"/>
      <c r="I38" s="4"/>
      <c r="J38" s="4"/>
      <c r="K38" s="4"/>
      <c r="L38" s="4"/>
      <c r="M38" s="4"/>
      <c r="N38" s="4"/>
    </row>
    <row r="39" spans="1:15" ht="14.25" customHeight="1">
      <c r="G39" s="4"/>
      <c r="H39" s="4"/>
      <c r="I39" s="4"/>
      <c r="J39" s="4"/>
      <c r="K39" s="4"/>
      <c r="L39" s="4"/>
      <c r="M39" s="4"/>
      <c r="N39" s="4"/>
    </row>
    <row r="40" spans="1:15" ht="14.25" customHeight="1">
      <c r="G40" s="4"/>
      <c r="H40" s="4"/>
      <c r="I40" s="4"/>
      <c r="J40" s="4"/>
      <c r="K40" s="4"/>
      <c r="L40" s="4"/>
      <c r="M40" s="4"/>
      <c r="N40" s="4"/>
    </row>
    <row r="41" spans="1:15" ht="15" customHeight="1">
      <c r="G41" s="4"/>
      <c r="H41" s="4"/>
      <c r="I41" s="110">
        <f>SUM(I3:I40)</f>
        <v>330000</v>
      </c>
      <c r="J41" s="4"/>
      <c r="K41" s="4"/>
      <c r="L41" s="4"/>
      <c r="M41" s="110">
        <f>SUM(M3:M40)</f>
        <v>1434906</v>
      </c>
      <c r="N41" s="4"/>
    </row>
    <row r="42" spans="1:15" ht="14.25" customHeight="1">
      <c r="G42" s="4"/>
      <c r="H42" s="4"/>
      <c r="I42" s="4"/>
      <c r="J42" s="4"/>
      <c r="K42" s="4"/>
      <c r="L42" s="4"/>
      <c r="M42" s="4"/>
      <c r="N42" s="4"/>
    </row>
    <row r="43" spans="1:15" ht="14.25" customHeight="1">
      <c r="G43" s="4"/>
      <c r="H43" s="4"/>
      <c r="I43" s="4"/>
      <c r="J43" s="4"/>
      <c r="K43" s="4"/>
      <c r="L43" s="4"/>
      <c r="M43" s="4"/>
      <c r="N43" s="4"/>
    </row>
    <row r="44" spans="1:15" ht="15" customHeight="1">
      <c r="B44" s="107" t="s">
        <v>198</v>
      </c>
      <c r="G44" s="4"/>
      <c r="H44" s="4"/>
      <c r="I44" s="4"/>
      <c r="J44" s="4"/>
      <c r="K44" s="4"/>
      <c r="L44" s="4"/>
      <c r="M44" s="4"/>
      <c r="N44" s="4"/>
    </row>
    <row r="45" spans="1:15" ht="14.25" customHeight="1">
      <c r="B45" s="105">
        <v>56</v>
      </c>
      <c r="C45" s="105" t="s">
        <v>5</v>
      </c>
      <c r="G45" s="4"/>
      <c r="H45" s="4"/>
      <c r="I45" s="4"/>
      <c r="J45" s="4"/>
      <c r="K45" s="4"/>
      <c r="L45" s="4"/>
      <c r="M45" s="4"/>
      <c r="N45" s="4"/>
    </row>
    <row r="46" spans="1:15" ht="14.25" customHeight="1">
      <c r="B46" s="105">
        <v>202</v>
      </c>
      <c r="C46" s="105" t="s">
        <v>5</v>
      </c>
      <c r="G46" s="4"/>
      <c r="H46" s="4"/>
      <c r="I46" s="4"/>
      <c r="J46" s="4"/>
      <c r="K46" s="4"/>
      <c r="L46" s="4"/>
      <c r="M46" s="4"/>
      <c r="N46" s="4"/>
    </row>
    <row r="47" spans="1:15" ht="14.25" customHeight="1">
      <c r="B47" s="105">
        <v>376</v>
      </c>
      <c r="C47" s="105" t="s">
        <v>6</v>
      </c>
      <c r="G47" s="4"/>
      <c r="H47" s="4"/>
      <c r="I47" s="4"/>
      <c r="J47" s="4"/>
      <c r="K47" s="4"/>
      <c r="L47" s="4"/>
      <c r="M47" s="4"/>
      <c r="N47" s="4"/>
    </row>
    <row r="48" spans="1:15" ht="14.25" customHeight="1">
      <c r="B48" s="105" t="s">
        <v>211</v>
      </c>
      <c r="C48" s="105" t="s">
        <v>15</v>
      </c>
      <c r="G48" s="4"/>
      <c r="H48" s="4"/>
      <c r="I48" s="4"/>
      <c r="J48" s="4"/>
      <c r="K48" s="4"/>
      <c r="L48" s="4"/>
      <c r="M48" s="4"/>
      <c r="N48" s="4"/>
    </row>
    <row r="49" spans="2:14" ht="14.25" customHeight="1">
      <c r="B49" s="105" t="s">
        <v>212</v>
      </c>
      <c r="C49" s="105" t="s">
        <v>7</v>
      </c>
      <c r="G49" s="4"/>
      <c r="H49" s="4"/>
      <c r="I49" s="4"/>
      <c r="J49" s="4"/>
      <c r="K49" s="4"/>
      <c r="L49" s="4"/>
      <c r="M49" s="4"/>
      <c r="N49" s="4"/>
    </row>
    <row r="50" spans="2:14" ht="14.25" customHeight="1">
      <c r="B50" s="105" t="s">
        <v>213</v>
      </c>
      <c r="C50" s="105" t="s">
        <v>6</v>
      </c>
      <c r="G50" s="4"/>
      <c r="H50" s="4"/>
      <c r="I50" s="4"/>
      <c r="J50" s="4"/>
      <c r="K50" s="4"/>
      <c r="L50" s="4"/>
      <c r="M50" s="4"/>
      <c r="N50" s="4"/>
    </row>
    <row r="51" spans="2:14" ht="14.25" customHeight="1">
      <c r="G51" s="4"/>
      <c r="H51" s="4"/>
      <c r="I51" s="4"/>
      <c r="J51" s="4"/>
      <c r="K51" s="4"/>
      <c r="L51" s="4"/>
      <c r="M51" s="4"/>
      <c r="N51" s="4"/>
    </row>
    <row r="52" spans="2:14" ht="14.25" customHeight="1">
      <c r="G52" s="4"/>
      <c r="H52" s="4"/>
      <c r="I52" s="4"/>
      <c r="J52" s="4"/>
      <c r="K52" s="4"/>
      <c r="L52" s="4"/>
      <c r="M52" s="4"/>
      <c r="N52" s="4"/>
    </row>
    <row r="53" spans="2:14" ht="15" customHeight="1">
      <c r="G53" s="4"/>
      <c r="H53" s="110"/>
      <c r="I53" s="110"/>
      <c r="J53" s="4"/>
      <c r="K53" s="4"/>
      <c r="L53" s="4"/>
      <c r="M53" s="110"/>
      <c r="N53" s="4"/>
    </row>
    <row r="54" spans="2:14" ht="15" customHeight="1">
      <c r="B54" s="125"/>
      <c r="G54" s="4"/>
      <c r="H54" s="110"/>
      <c r="I54" s="4"/>
      <c r="J54" s="4"/>
      <c r="K54" s="4"/>
      <c r="L54" s="4"/>
      <c r="M54" s="110"/>
      <c r="N54" s="4"/>
    </row>
    <row r="55" spans="2:14" ht="15" customHeight="1">
      <c r="B55" s="127"/>
      <c r="G55" s="4"/>
      <c r="H55" s="4"/>
      <c r="I55" s="4"/>
      <c r="J55" s="4"/>
      <c r="K55" s="4"/>
      <c r="L55" s="4"/>
      <c r="M55" s="110"/>
      <c r="N55" s="4"/>
    </row>
    <row r="56" spans="2:14" ht="15" customHeight="1">
      <c r="G56" s="4"/>
      <c r="H56" s="128">
        <v>2025</v>
      </c>
      <c r="I56" s="128">
        <v>2026</v>
      </c>
      <c r="J56" s="4"/>
      <c r="K56" s="4"/>
      <c r="L56" s="4"/>
      <c r="M56" s="110"/>
      <c r="N56" s="4"/>
    </row>
    <row r="57" spans="2:14" ht="14.25" customHeight="1">
      <c r="G57" s="4"/>
      <c r="H57" s="4"/>
      <c r="I57" s="4"/>
      <c r="J57" s="4"/>
      <c r="K57" s="4"/>
      <c r="L57" s="4"/>
      <c r="M57" s="4"/>
      <c r="N57" s="4"/>
    </row>
    <row r="58" spans="2:14" ht="14.25" customHeight="1">
      <c r="B58" s="105" t="s">
        <v>33</v>
      </c>
      <c r="D58" s="129">
        <f>$H$5*D5</f>
        <v>0</v>
      </c>
      <c r="E58" s="129">
        <f>$H$5*E5</f>
        <v>30000</v>
      </c>
      <c r="F58" s="129">
        <f>$H$5*F5</f>
        <v>0</v>
      </c>
      <c r="G58" s="4"/>
      <c r="H58" s="4">
        <f>SUM(D58:F58)</f>
        <v>30000</v>
      </c>
      <c r="I58" s="4">
        <f>SUMIF($N$3:$N$38,B58,$M$3:$M$38)</f>
        <v>217606</v>
      </c>
      <c r="J58" s="4"/>
      <c r="K58" s="4"/>
      <c r="L58" s="4"/>
      <c r="M58" s="4"/>
      <c r="N58" s="4"/>
    </row>
    <row r="59" spans="2:14" ht="14.25" customHeight="1">
      <c r="B59" s="105" t="s">
        <v>38</v>
      </c>
      <c r="D59" s="129">
        <f>$H$3*D3+$H$4*D4+$H$21*D21+$H$22*D22</f>
        <v>87000</v>
      </c>
      <c r="E59" s="129">
        <f>$H$3*E3+$H$4*E4+$H$21*E21+$H$22*E22</f>
        <v>166000</v>
      </c>
      <c r="F59" s="129">
        <f>$H$3*F3+$H$4*F4+$H$21*F21+$H$22*F22</f>
        <v>47000</v>
      </c>
      <c r="G59" s="4"/>
      <c r="H59" s="4">
        <f>SUM(D59:F59)</f>
        <v>300000</v>
      </c>
      <c r="I59" s="4">
        <f>SUMIF($N$3:$N$38,B59,$M$3:$M$38)</f>
        <v>1095800</v>
      </c>
      <c r="J59" s="4"/>
      <c r="K59" s="4"/>
      <c r="L59" s="4"/>
      <c r="M59" s="4"/>
      <c r="N59" s="4"/>
    </row>
    <row r="60" spans="2:14" ht="14.25" customHeight="1">
      <c r="B60" s="105" t="s">
        <v>35</v>
      </c>
      <c r="G60" s="4"/>
      <c r="H60" s="4"/>
      <c r="I60" s="4">
        <f>SUMIF($N$3:$N$38,B60,$M$3:$M$38)</f>
        <v>46500</v>
      </c>
      <c r="J60" s="4"/>
      <c r="K60" s="4"/>
      <c r="L60" s="4"/>
      <c r="M60" s="4"/>
      <c r="N60" s="4"/>
    </row>
    <row r="61" spans="2:14" ht="14.25" customHeight="1">
      <c r="G61" s="4"/>
      <c r="H61" s="4"/>
      <c r="I61" s="4"/>
      <c r="J61" s="4"/>
      <c r="K61" s="4"/>
      <c r="L61" s="4"/>
      <c r="M61" s="4"/>
      <c r="N61" s="4"/>
    </row>
    <row r="62" spans="2:14" ht="15" customHeight="1">
      <c r="G62" s="4"/>
      <c r="H62" s="110">
        <f>SUM(H58:H60)</f>
        <v>330000</v>
      </c>
      <c r="I62" s="110">
        <f>SUM(I58:I60)</f>
        <v>1359906</v>
      </c>
      <c r="J62" s="4"/>
      <c r="K62" s="4"/>
      <c r="L62" s="4"/>
      <c r="M62" s="4"/>
      <c r="N62" s="4"/>
    </row>
    <row r="63" spans="2:14" ht="14.25" customHeight="1">
      <c r="G63" s="4"/>
      <c r="H63" s="75">
        <f>H62-I41</f>
        <v>0</v>
      </c>
      <c r="I63" s="75">
        <f>I62-M41</f>
        <v>-75000</v>
      </c>
      <c r="J63" s="4"/>
      <c r="K63" s="4"/>
      <c r="L63" s="4"/>
      <c r="M63" s="4"/>
      <c r="N63" s="4"/>
    </row>
    <row r="64" spans="2:14" ht="14.25" customHeight="1">
      <c r="G64" s="4"/>
      <c r="H64" s="4"/>
      <c r="I64" s="4"/>
      <c r="J64" s="4"/>
      <c r="K64" s="4"/>
      <c r="L64" s="4"/>
      <c r="M64" s="4"/>
      <c r="N64" s="4"/>
    </row>
    <row r="65" spans="7:14" ht="14.25" customHeight="1">
      <c r="G65" s="4"/>
      <c r="H65" s="4"/>
      <c r="I65" s="4"/>
      <c r="J65" s="4"/>
      <c r="K65" s="4"/>
      <c r="L65" s="4"/>
      <c r="M65" s="4"/>
      <c r="N65" s="4"/>
    </row>
    <row r="66" spans="7:14" ht="14.25" customHeight="1">
      <c r="G66" s="4"/>
      <c r="H66" s="4"/>
      <c r="I66" s="4"/>
      <c r="J66" s="4"/>
      <c r="K66" s="4"/>
      <c r="L66" s="4"/>
      <c r="M66" s="4"/>
      <c r="N66" s="4"/>
    </row>
    <row r="67" spans="7:14" ht="14.25" customHeight="1">
      <c r="G67" s="4"/>
      <c r="H67" s="4"/>
      <c r="I67" s="4"/>
      <c r="J67" s="4"/>
      <c r="K67" s="4"/>
      <c r="L67" s="4"/>
      <c r="M67" s="4"/>
      <c r="N67" s="4"/>
    </row>
    <row r="68" spans="7:14" ht="14.25" customHeight="1">
      <c r="G68" s="4"/>
      <c r="H68" s="4"/>
      <c r="I68" s="4"/>
      <c r="J68" s="4"/>
      <c r="K68" s="4"/>
      <c r="L68" s="4"/>
      <c r="M68" s="4"/>
      <c r="N68" s="4"/>
    </row>
    <row r="69" spans="7:14" ht="14.25" customHeight="1">
      <c r="G69" s="4"/>
      <c r="H69" s="4"/>
      <c r="I69" s="4"/>
      <c r="J69" s="4"/>
      <c r="K69" s="4"/>
      <c r="L69" s="4"/>
      <c r="M69" s="4"/>
      <c r="N69" s="4"/>
    </row>
    <row r="70" spans="7:14" ht="14.25" customHeight="1">
      <c r="G70" s="4"/>
      <c r="H70" s="4"/>
      <c r="I70" s="4"/>
      <c r="J70" s="4"/>
      <c r="K70" s="4"/>
      <c r="L70" s="4"/>
      <c r="M70" s="4"/>
      <c r="N70" s="4"/>
    </row>
    <row r="71" spans="7:14" ht="14.25" customHeight="1">
      <c r="G71" s="4"/>
      <c r="H71" s="4"/>
      <c r="I71" s="4"/>
      <c r="J71" s="4"/>
      <c r="K71" s="4"/>
      <c r="L71" s="4"/>
      <c r="M71" s="4"/>
      <c r="N71" s="4"/>
    </row>
    <row r="72" spans="7:14" ht="14.25" customHeight="1">
      <c r="G72" s="4"/>
      <c r="H72" s="4"/>
      <c r="I72" s="4"/>
      <c r="J72" s="4"/>
      <c r="K72" s="4"/>
      <c r="L72" s="4"/>
      <c r="M72" s="4"/>
      <c r="N72" s="4"/>
    </row>
    <row r="73" spans="7:14" ht="14.25" customHeight="1">
      <c r="G73" s="4"/>
      <c r="H73" s="4"/>
      <c r="I73" s="4"/>
      <c r="J73" s="4"/>
      <c r="K73" s="4"/>
      <c r="L73" s="4"/>
      <c r="M73" s="4"/>
      <c r="N73" s="4"/>
    </row>
    <row r="74" spans="7:14" ht="14.25" customHeight="1">
      <c r="G74" s="4"/>
      <c r="H74" s="4"/>
      <c r="I74" s="4"/>
      <c r="J74" s="4"/>
      <c r="K74" s="4"/>
      <c r="L74" s="4"/>
      <c r="M74" s="4"/>
      <c r="N74" s="4"/>
    </row>
    <row r="75" spans="7:14" ht="14.25" customHeight="1">
      <c r="G75" s="4"/>
      <c r="H75" s="4"/>
      <c r="I75" s="4"/>
      <c r="J75" s="4"/>
      <c r="K75" s="4"/>
      <c r="L75" s="4"/>
      <c r="M75" s="4"/>
      <c r="N75" s="4"/>
    </row>
    <row r="76" spans="7:14" ht="14.25" customHeight="1">
      <c r="G76" s="4"/>
      <c r="H76" s="4"/>
      <c r="I76" s="4"/>
      <c r="J76" s="4"/>
      <c r="K76" s="4"/>
      <c r="L76" s="4"/>
      <c r="M76" s="4"/>
      <c r="N76" s="4"/>
    </row>
    <row r="77" spans="7:14" ht="14.25" customHeight="1">
      <c r="G77" s="4"/>
      <c r="H77" s="4"/>
      <c r="I77" s="4"/>
      <c r="J77" s="4"/>
      <c r="K77" s="4"/>
      <c r="L77" s="4"/>
      <c r="M77" s="4"/>
      <c r="N77" s="4"/>
    </row>
    <row r="78" spans="7:14" ht="14.25" customHeight="1">
      <c r="G78" s="4"/>
      <c r="H78" s="4"/>
      <c r="I78" s="4"/>
      <c r="J78" s="4"/>
      <c r="K78" s="4"/>
      <c r="L78" s="4"/>
      <c r="M78" s="4"/>
      <c r="N78" s="4"/>
    </row>
  </sheetData>
  <autoFilter ref="B2:AE36" xr:uid="{00000000-0009-0000-0000-000002000000}"/>
  <mergeCells count="2">
    <mergeCell ref="D1:I1"/>
    <mergeCell ref="K1:M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5"/>
  <sheetViews>
    <sheetView rightToLeft="1" topLeftCell="C1" zoomScale="95" zoomScaleNormal="95" workbookViewId="0">
      <pane xSplit="2" ySplit="1" topLeftCell="E2" activePane="bottomRight" state="frozen"/>
      <selection activeCell="C1" sqref="C1"/>
      <selection pane="topRight" activeCell="E1" sqref="E1"/>
      <selection pane="bottomLeft" activeCell="C2" sqref="C2"/>
      <selection pane="bottomRight" activeCell="C6" sqref="C6"/>
    </sheetView>
  </sheetViews>
  <sheetFormatPr defaultColWidth="11.75" defaultRowHeight="18"/>
  <cols>
    <col min="1" max="1" width="3.25" style="130" hidden="1" customWidth="1"/>
    <col min="2" max="2" width="13.125" style="131" hidden="1" customWidth="1"/>
    <col min="3" max="3" width="19.5" style="132" customWidth="1"/>
    <col min="4" max="4" width="35.125" style="132" customWidth="1"/>
    <col min="5" max="5" width="15.625" style="132" customWidth="1"/>
    <col min="6" max="6" width="10.875" style="132" hidden="1" customWidth="1"/>
    <col min="7" max="7" width="8.875" style="132" customWidth="1"/>
    <col min="8" max="19" width="6.875" style="133" customWidth="1"/>
    <col min="20" max="16384" width="11.75" style="133"/>
  </cols>
  <sheetData>
    <row r="1" spans="1:19" s="136" customFormat="1" ht="16.5" customHeight="1">
      <c r="A1" s="134"/>
      <c r="B1" s="135" t="s">
        <v>214</v>
      </c>
      <c r="C1" s="135" t="s">
        <v>215</v>
      </c>
      <c r="D1" s="135" t="s">
        <v>216</v>
      </c>
      <c r="E1" s="135" t="s">
        <v>217</v>
      </c>
      <c r="F1" s="135" t="s">
        <v>218</v>
      </c>
      <c r="G1" s="135"/>
      <c r="H1" s="135" t="s">
        <v>219</v>
      </c>
      <c r="I1" s="135" t="s">
        <v>220</v>
      </c>
      <c r="J1" s="135" t="s">
        <v>221</v>
      </c>
      <c r="K1" s="135" t="s">
        <v>222</v>
      </c>
      <c r="L1" s="135" t="s">
        <v>223</v>
      </c>
      <c r="M1" s="135" t="s">
        <v>224</v>
      </c>
      <c r="N1" s="135" t="s">
        <v>225</v>
      </c>
      <c r="O1" s="135" t="s">
        <v>226</v>
      </c>
      <c r="P1" s="135" t="s">
        <v>227</v>
      </c>
      <c r="Q1" s="135" t="s">
        <v>228</v>
      </c>
      <c r="R1" s="135" t="s">
        <v>229</v>
      </c>
      <c r="S1" s="135" t="s">
        <v>230</v>
      </c>
    </row>
    <row r="2" spans="1:19" ht="25.5" customHeight="1">
      <c r="C2" s="137">
        <v>56</v>
      </c>
      <c r="D2" s="138" t="s">
        <v>231</v>
      </c>
      <c r="E2" s="138" t="s">
        <v>232</v>
      </c>
      <c r="F2" s="138" t="s">
        <v>233</v>
      </c>
      <c r="G2" s="139" t="s">
        <v>234</v>
      </c>
      <c r="H2" s="140"/>
      <c r="I2" s="140" t="s">
        <v>235</v>
      </c>
      <c r="J2" s="139"/>
      <c r="K2" s="139"/>
      <c r="L2" s="139"/>
      <c r="M2" s="139"/>
      <c r="N2" s="139"/>
      <c r="O2" s="139"/>
      <c r="P2" s="139"/>
      <c r="Q2" s="139"/>
      <c r="R2" s="139"/>
      <c r="S2" s="139"/>
    </row>
    <row r="3" spans="1:19" ht="25.5" customHeight="1">
      <c r="A3" s="141"/>
      <c r="B3" s="142"/>
      <c r="C3" s="137">
        <v>202</v>
      </c>
      <c r="D3" s="138" t="s">
        <v>231</v>
      </c>
      <c r="E3" s="138" t="s">
        <v>232</v>
      </c>
      <c r="F3" s="138" t="s">
        <v>236</v>
      </c>
      <c r="G3" s="139" t="s">
        <v>234</v>
      </c>
      <c r="H3" s="140"/>
      <c r="I3" s="140" t="s">
        <v>235</v>
      </c>
      <c r="J3" s="139"/>
      <c r="K3" s="139"/>
      <c r="L3" s="139"/>
      <c r="M3" s="139"/>
      <c r="N3" s="139"/>
      <c r="O3" s="139"/>
      <c r="P3" s="139"/>
      <c r="Q3" s="139"/>
      <c r="R3" s="139"/>
      <c r="S3" s="139"/>
    </row>
    <row r="4" spans="1:19" ht="18" customHeight="1">
      <c r="A4" s="141">
        <v>12</v>
      </c>
      <c r="B4" s="142"/>
      <c r="C4" s="137">
        <v>376</v>
      </c>
      <c r="D4" s="138" t="s">
        <v>237</v>
      </c>
      <c r="E4" s="138" t="s">
        <v>198</v>
      </c>
      <c r="F4" s="138"/>
      <c r="G4" s="138"/>
      <c r="H4" s="140"/>
      <c r="I4" s="140"/>
      <c r="J4" s="140"/>
      <c r="K4" s="139"/>
      <c r="L4" s="139"/>
      <c r="M4" s="139"/>
      <c r="N4" s="139"/>
      <c r="O4" s="139"/>
      <c r="P4" s="139"/>
      <c r="Q4" s="139"/>
      <c r="R4" s="139"/>
      <c r="S4" s="139"/>
    </row>
    <row r="5" spans="1:19" ht="15" customHeight="1">
      <c r="A5" s="141">
        <v>13</v>
      </c>
      <c r="B5" s="142"/>
      <c r="C5" s="137">
        <v>305</v>
      </c>
      <c r="D5" s="138" t="s">
        <v>238</v>
      </c>
      <c r="E5" s="138" t="s">
        <v>232</v>
      </c>
      <c r="F5" s="138"/>
      <c r="G5" s="138"/>
      <c r="H5" s="140"/>
      <c r="I5" s="140"/>
      <c r="J5" s="140"/>
      <c r="K5" s="140"/>
      <c r="L5" s="140"/>
      <c r="M5" s="139"/>
      <c r="N5" s="139"/>
      <c r="O5" s="139"/>
      <c r="P5" s="139"/>
      <c r="Q5" s="139"/>
      <c r="R5" s="139"/>
      <c r="S5" s="139"/>
    </row>
    <row r="6" spans="1:19" ht="15.75" customHeight="1">
      <c r="A6" s="141"/>
      <c r="B6" s="142"/>
      <c r="C6" s="137" t="s">
        <v>239</v>
      </c>
      <c r="D6" s="138" t="s">
        <v>240</v>
      </c>
      <c r="E6" s="138"/>
      <c r="F6" s="138"/>
      <c r="G6" s="138"/>
      <c r="H6" s="140"/>
      <c r="I6" s="140"/>
      <c r="J6" s="140"/>
      <c r="K6" s="140"/>
      <c r="L6" s="140"/>
      <c r="M6" s="139"/>
      <c r="N6" s="139"/>
      <c r="O6" s="139"/>
      <c r="P6" s="139"/>
      <c r="Q6" s="139"/>
      <c r="R6" s="139"/>
      <c r="S6" s="139"/>
    </row>
    <row r="7" spans="1:19" ht="16.5" customHeight="1">
      <c r="A7" s="141">
        <v>17</v>
      </c>
      <c r="B7" s="143"/>
      <c r="C7" s="144" t="s">
        <v>241</v>
      </c>
      <c r="D7" s="145" t="s">
        <v>242</v>
      </c>
      <c r="E7" s="145" t="s">
        <v>158</v>
      </c>
      <c r="F7" s="145"/>
      <c r="G7" s="145"/>
      <c r="H7" s="140"/>
      <c r="I7" s="140"/>
      <c r="J7" s="140"/>
      <c r="K7" s="140"/>
      <c r="L7" s="140"/>
      <c r="M7" s="139"/>
      <c r="N7" s="139"/>
      <c r="O7" s="139"/>
      <c r="P7" s="139"/>
      <c r="Q7" s="139"/>
      <c r="R7" s="139"/>
      <c r="S7" s="139"/>
    </row>
    <row r="8" spans="1:19" ht="15.75" customHeight="1">
      <c r="A8" s="141">
        <v>18</v>
      </c>
      <c r="B8" s="143"/>
      <c r="C8" s="144" t="s">
        <v>243</v>
      </c>
      <c r="D8" s="146" t="s">
        <v>244</v>
      </c>
      <c r="E8" s="145" t="s">
        <v>158</v>
      </c>
      <c r="F8" s="146"/>
      <c r="G8" s="146"/>
      <c r="H8" s="140"/>
      <c r="I8" s="140"/>
      <c r="J8" s="140"/>
      <c r="K8" s="140"/>
      <c r="L8" s="140"/>
      <c r="M8" s="139"/>
      <c r="N8" s="139"/>
      <c r="O8" s="139"/>
      <c r="P8" s="139"/>
      <c r="Q8" s="139"/>
      <c r="R8" s="139"/>
      <c r="S8" s="139"/>
    </row>
    <row r="9" spans="1:19" ht="16.5" customHeight="1">
      <c r="A9" s="141">
        <v>20</v>
      </c>
      <c r="B9" s="147"/>
      <c r="C9" s="144" t="s">
        <v>245</v>
      </c>
      <c r="D9" s="146" t="s">
        <v>244</v>
      </c>
      <c r="E9" s="145" t="s">
        <v>158</v>
      </c>
      <c r="F9" s="146"/>
      <c r="G9" s="146"/>
      <c r="H9" s="140"/>
      <c r="I9" s="140"/>
      <c r="J9" s="140"/>
      <c r="K9" s="140"/>
      <c r="L9" s="140"/>
      <c r="M9" s="139"/>
      <c r="N9" s="139"/>
      <c r="O9" s="139"/>
      <c r="P9" s="139"/>
      <c r="Q9" s="139"/>
      <c r="R9" s="139"/>
      <c r="S9" s="139"/>
    </row>
    <row r="10" spans="1:19" ht="15" customHeight="1">
      <c r="A10" s="148">
        <v>27</v>
      </c>
      <c r="B10" s="142"/>
      <c r="C10" s="144" t="s">
        <v>193</v>
      </c>
      <c r="D10" s="146" t="s">
        <v>246</v>
      </c>
      <c r="E10" s="145" t="s">
        <v>158</v>
      </c>
      <c r="F10" s="146"/>
      <c r="G10" s="146"/>
      <c r="H10" s="140"/>
      <c r="I10" s="140"/>
      <c r="J10" s="140"/>
      <c r="K10" s="140"/>
      <c r="L10" s="140"/>
      <c r="M10" s="140"/>
      <c r="N10" s="140"/>
      <c r="O10" s="139"/>
      <c r="P10" s="139"/>
      <c r="Q10" s="139"/>
      <c r="R10" s="139"/>
      <c r="S10" s="139"/>
    </row>
    <row r="11" spans="1:19" ht="16.5" customHeight="1">
      <c r="A11" s="130">
        <v>28</v>
      </c>
      <c r="B11" s="142"/>
      <c r="C11" s="144" t="s">
        <v>194</v>
      </c>
      <c r="D11" s="146" t="s">
        <v>246</v>
      </c>
      <c r="E11" s="145" t="s">
        <v>158</v>
      </c>
      <c r="F11" s="146"/>
      <c r="G11" s="146"/>
      <c r="H11" s="140"/>
      <c r="I11" s="140"/>
      <c r="J11" s="140"/>
      <c r="K11" s="140"/>
      <c r="L11" s="140"/>
      <c r="M11" s="140"/>
      <c r="N11" s="140"/>
      <c r="O11" s="139"/>
      <c r="P11" s="139"/>
      <c r="Q11" s="139"/>
      <c r="R11" s="139"/>
      <c r="S11" s="139"/>
    </row>
    <row r="12" spans="1:19" ht="18.75" customHeight="1">
      <c r="A12" s="130">
        <v>29</v>
      </c>
      <c r="B12" s="142"/>
      <c r="C12" s="144" t="s">
        <v>195</v>
      </c>
      <c r="D12" s="146" t="s">
        <v>247</v>
      </c>
      <c r="E12" s="145" t="s">
        <v>158</v>
      </c>
      <c r="F12" s="146"/>
      <c r="G12" s="146"/>
      <c r="H12" s="140"/>
      <c r="I12" s="140"/>
      <c r="J12" s="140"/>
      <c r="K12" s="140"/>
      <c r="L12" s="140"/>
      <c r="M12" s="139"/>
      <c r="N12" s="139"/>
      <c r="O12" s="139"/>
      <c r="P12" s="139"/>
      <c r="Q12" s="139"/>
      <c r="R12" s="139"/>
      <c r="S12" s="139"/>
    </row>
    <row r="13" spans="1:19" ht="15" customHeight="1">
      <c r="B13" s="142"/>
      <c r="C13" s="144" t="s">
        <v>196</v>
      </c>
      <c r="D13" s="146" t="s">
        <v>248</v>
      </c>
      <c r="E13" s="145" t="s">
        <v>158</v>
      </c>
      <c r="F13" s="146"/>
      <c r="G13" s="146"/>
      <c r="H13" s="140"/>
      <c r="I13" s="140"/>
      <c r="J13" s="140"/>
      <c r="K13" s="140"/>
      <c r="L13" s="140"/>
      <c r="M13" s="139"/>
      <c r="N13" s="139"/>
      <c r="O13" s="139"/>
      <c r="P13" s="139"/>
      <c r="Q13" s="139"/>
      <c r="R13" s="139"/>
      <c r="S13" s="139"/>
    </row>
    <row r="14" spans="1:19" ht="15" customHeight="1">
      <c r="B14" s="142"/>
      <c r="C14" s="137" t="s">
        <v>197</v>
      </c>
      <c r="D14" s="146" t="s">
        <v>249</v>
      </c>
      <c r="E14" s="145" t="s">
        <v>158</v>
      </c>
      <c r="F14" s="146"/>
      <c r="G14" s="146"/>
      <c r="H14" s="140"/>
      <c r="I14" s="140"/>
      <c r="J14" s="140"/>
      <c r="K14" s="140"/>
      <c r="L14" s="140"/>
      <c r="M14" s="139"/>
      <c r="N14" s="139"/>
      <c r="O14" s="139"/>
      <c r="P14" s="139"/>
      <c r="Q14" s="139"/>
      <c r="R14" s="139"/>
      <c r="S14" s="139"/>
    </row>
    <row r="15" spans="1:19" ht="15" customHeight="1">
      <c r="B15" s="142"/>
      <c r="C15" s="137" t="s">
        <v>201</v>
      </c>
      <c r="D15" s="146" t="s">
        <v>250</v>
      </c>
      <c r="E15" s="145" t="s">
        <v>158</v>
      </c>
      <c r="F15" s="146"/>
      <c r="G15" s="146"/>
      <c r="H15" s="140"/>
      <c r="I15" s="140"/>
      <c r="J15" s="140"/>
      <c r="K15" s="140"/>
      <c r="L15" s="140"/>
      <c r="M15" s="140"/>
      <c r="N15" s="140"/>
      <c r="O15" s="139"/>
      <c r="P15" s="139"/>
      <c r="Q15" s="139"/>
      <c r="R15" s="139"/>
      <c r="S15" s="139"/>
    </row>
    <row r="16" spans="1:19" ht="21.75" customHeight="1">
      <c r="B16" s="142"/>
      <c r="C16" s="149" t="s">
        <v>202</v>
      </c>
      <c r="D16" s="150" t="s">
        <v>251</v>
      </c>
      <c r="E16" s="150" t="s">
        <v>158</v>
      </c>
      <c r="F16" s="150"/>
      <c r="G16" s="150"/>
      <c r="H16" s="140"/>
      <c r="I16" s="140"/>
      <c r="J16" s="140"/>
      <c r="K16" s="140"/>
      <c r="L16" s="140"/>
      <c r="M16" s="140"/>
      <c r="N16" s="139"/>
      <c r="O16" s="139"/>
      <c r="P16" s="139"/>
      <c r="Q16" s="139"/>
      <c r="R16" s="139"/>
      <c r="S16" s="139"/>
    </row>
    <row r="17" spans="1:19" ht="15.75" customHeight="1">
      <c r="A17" s="141"/>
      <c r="B17" s="142"/>
      <c r="C17" s="144" t="s">
        <v>203</v>
      </c>
      <c r="D17" s="138" t="s">
        <v>252</v>
      </c>
      <c r="E17" s="138" t="s">
        <v>158</v>
      </c>
      <c r="F17" s="138"/>
      <c r="G17" s="138"/>
      <c r="H17" s="139"/>
      <c r="I17" s="139"/>
      <c r="J17" s="140"/>
      <c r="K17" s="140"/>
      <c r="L17" s="140"/>
      <c r="M17" s="140"/>
      <c r="N17" s="140"/>
      <c r="O17" s="140"/>
      <c r="P17" s="140"/>
      <c r="Q17" s="139"/>
      <c r="R17" s="139"/>
      <c r="S17" s="139"/>
    </row>
    <row r="18" spans="1:19" ht="15" customHeight="1">
      <c r="B18" s="142"/>
      <c r="C18" s="151" t="s">
        <v>204</v>
      </c>
      <c r="D18" s="146" t="s">
        <v>253</v>
      </c>
      <c r="E18" s="146" t="s">
        <v>254</v>
      </c>
      <c r="F18" s="146"/>
      <c r="G18" s="146"/>
      <c r="H18" s="140"/>
      <c r="I18" s="140"/>
      <c r="J18" s="140"/>
      <c r="K18" s="140"/>
      <c r="L18" s="140"/>
      <c r="M18" s="140"/>
      <c r="N18" s="139"/>
      <c r="O18" s="139"/>
      <c r="P18" s="139"/>
      <c r="Q18" s="139"/>
      <c r="R18" s="139"/>
      <c r="S18" s="139"/>
    </row>
    <row r="19" spans="1:19" ht="30" customHeight="1">
      <c r="B19" s="142"/>
      <c r="C19" s="137" t="s">
        <v>205</v>
      </c>
      <c r="D19" s="146" t="s">
        <v>255</v>
      </c>
      <c r="E19" s="146"/>
      <c r="F19" s="146"/>
      <c r="G19" s="146"/>
      <c r="H19" s="139"/>
      <c r="I19" s="139"/>
      <c r="J19" s="140"/>
      <c r="K19" s="140"/>
      <c r="L19" s="140"/>
      <c r="M19" s="140"/>
      <c r="N19" s="140"/>
      <c r="O19" s="140"/>
      <c r="P19" s="139"/>
      <c r="Q19" s="139"/>
      <c r="R19" s="139"/>
      <c r="S19" s="139"/>
    </row>
    <row r="20" spans="1:19" ht="30" customHeight="1">
      <c r="B20" s="142"/>
      <c r="C20" s="137" t="s">
        <v>206</v>
      </c>
      <c r="D20" s="146" t="s">
        <v>256</v>
      </c>
      <c r="E20" s="146"/>
      <c r="F20" s="146"/>
      <c r="G20" s="146"/>
      <c r="H20" s="140"/>
      <c r="I20" s="140"/>
      <c r="J20" s="140"/>
      <c r="K20" s="139"/>
      <c r="L20" s="139"/>
      <c r="M20" s="139"/>
      <c r="N20" s="139"/>
      <c r="O20" s="139"/>
      <c r="P20" s="139"/>
      <c r="Q20" s="139"/>
      <c r="R20" s="139"/>
      <c r="S20" s="139"/>
    </row>
    <row r="21" spans="1:19" ht="30" customHeight="1">
      <c r="B21" s="142"/>
      <c r="C21" s="137" t="s">
        <v>257</v>
      </c>
      <c r="D21" s="146" t="s">
        <v>258</v>
      </c>
      <c r="E21" s="146"/>
      <c r="F21" s="146"/>
      <c r="G21" s="146"/>
      <c r="H21" s="140"/>
      <c r="I21" s="140"/>
      <c r="J21" s="140"/>
      <c r="K21" s="139"/>
      <c r="L21" s="139"/>
      <c r="M21" s="139"/>
      <c r="N21" s="139"/>
      <c r="O21" s="139"/>
      <c r="P21" s="139"/>
      <c r="Q21" s="139"/>
      <c r="R21" s="139"/>
      <c r="S21" s="139"/>
    </row>
    <row r="22" spans="1:19" ht="30" customHeight="1">
      <c r="B22" s="142"/>
      <c r="C22" s="137" t="s">
        <v>211</v>
      </c>
      <c r="D22" s="146" t="s">
        <v>259</v>
      </c>
      <c r="E22" s="146" t="s">
        <v>198</v>
      </c>
      <c r="F22" s="146"/>
      <c r="G22" s="146"/>
      <c r="H22" s="140"/>
      <c r="I22" s="140"/>
      <c r="J22" s="140"/>
      <c r="K22" s="140"/>
      <c r="L22" s="140"/>
      <c r="M22" s="140"/>
      <c r="N22" s="140"/>
      <c r="O22" s="140"/>
      <c r="P22" s="140"/>
      <c r="Q22" s="140"/>
      <c r="R22" s="140"/>
      <c r="S22" s="140"/>
    </row>
    <row r="23" spans="1:19" ht="30" customHeight="1">
      <c r="B23" s="142"/>
      <c r="C23" s="137" t="s">
        <v>212</v>
      </c>
      <c r="D23" s="146" t="s">
        <v>260</v>
      </c>
      <c r="E23" s="146" t="s">
        <v>198</v>
      </c>
      <c r="F23" s="146"/>
      <c r="G23" s="146"/>
      <c r="H23" s="140"/>
      <c r="I23" s="140"/>
      <c r="J23" s="140"/>
      <c r="K23" s="140"/>
      <c r="L23" s="139"/>
      <c r="M23" s="139"/>
      <c r="N23" s="139"/>
      <c r="O23" s="139"/>
      <c r="P23" s="139"/>
      <c r="Q23" s="139"/>
      <c r="R23" s="139"/>
      <c r="S23" s="139"/>
    </row>
    <row r="24" spans="1:19" ht="30" customHeight="1">
      <c r="B24" s="142"/>
      <c r="C24" s="137" t="s">
        <v>213</v>
      </c>
      <c r="D24" s="146" t="s">
        <v>261</v>
      </c>
      <c r="E24" s="146" t="s">
        <v>198</v>
      </c>
      <c r="F24" s="146"/>
      <c r="G24" s="146"/>
      <c r="H24" s="140"/>
      <c r="I24" s="140"/>
      <c r="J24" s="140"/>
      <c r="K24" s="139"/>
      <c r="L24" s="139"/>
      <c r="M24" s="139"/>
      <c r="N24" s="139"/>
      <c r="O24" s="139"/>
      <c r="P24" s="139"/>
      <c r="Q24" s="139"/>
      <c r="R24" s="139"/>
      <c r="S24" s="139"/>
    </row>
    <row r="25" spans="1:19" ht="15" customHeight="1">
      <c r="B25" s="142"/>
      <c r="C25" s="137" t="s">
        <v>262</v>
      </c>
      <c r="D25" s="146" t="s">
        <v>263</v>
      </c>
      <c r="E25" s="132" t="s">
        <v>264</v>
      </c>
      <c r="J25" s="140"/>
      <c r="K25" s="140"/>
      <c r="L25" s="140"/>
      <c r="M25" s="140"/>
      <c r="N25" s="140"/>
      <c r="O25" s="140"/>
      <c r="P25" s="140"/>
      <c r="Q25" s="139"/>
      <c r="R25" s="139"/>
      <c r="S25" s="139"/>
    </row>
    <row r="26" spans="1:19" ht="15" customHeight="1">
      <c r="B26" s="142"/>
      <c r="C26" s="137" t="s">
        <v>265</v>
      </c>
      <c r="D26" s="146" t="s">
        <v>266</v>
      </c>
      <c r="E26" s="146" t="s">
        <v>158</v>
      </c>
      <c r="F26" s="146"/>
      <c r="G26" s="146"/>
      <c r="H26" s="140"/>
      <c r="I26" s="140"/>
      <c r="J26" s="140"/>
      <c r="K26" s="140"/>
      <c r="L26" s="140"/>
      <c r="M26" s="139"/>
      <c r="N26" s="139"/>
      <c r="O26" s="139"/>
      <c r="P26" s="139"/>
      <c r="Q26" s="139"/>
      <c r="R26" s="139"/>
      <c r="S26" s="139"/>
    </row>
    <row r="27" spans="1:19" ht="15" customHeight="1">
      <c r="B27" s="142"/>
      <c r="C27" s="152" t="s">
        <v>267</v>
      </c>
      <c r="D27" s="153" t="s">
        <v>268</v>
      </c>
      <c r="E27" s="153"/>
      <c r="F27" s="153"/>
      <c r="G27" s="153"/>
      <c r="H27" s="139"/>
      <c r="I27" s="139"/>
      <c r="J27" s="139"/>
      <c r="K27" s="139"/>
      <c r="L27" s="139"/>
      <c r="M27" s="139"/>
      <c r="N27" s="139"/>
      <c r="O27" s="139"/>
      <c r="P27" s="139"/>
      <c r="Q27" s="139"/>
      <c r="R27" s="139"/>
      <c r="S27" s="139"/>
    </row>
    <row r="28" spans="1:19" ht="15" customHeight="1">
      <c r="A28" s="141">
        <v>4</v>
      </c>
      <c r="B28" s="142"/>
      <c r="C28" s="154" t="s">
        <v>269</v>
      </c>
      <c r="D28" s="153" t="s">
        <v>270</v>
      </c>
      <c r="E28" s="153"/>
      <c r="F28" s="153"/>
      <c r="G28" s="153"/>
      <c r="H28" s="139"/>
      <c r="I28" s="139"/>
      <c r="J28" s="139"/>
      <c r="K28" s="139"/>
      <c r="L28" s="139"/>
      <c r="M28" s="139"/>
      <c r="N28" s="139"/>
      <c r="O28" s="139"/>
      <c r="P28" s="139"/>
      <c r="Q28" s="139"/>
      <c r="R28" s="139"/>
      <c r="S28" s="139"/>
    </row>
    <row r="29" spans="1:19" ht="15" customHeight="1">
      <c r="B29" s="142"/>
      <c r="C29" s="154" t="s">
        <v>271</v>
      </c>
      <c r="D29" s="153" t="s">
        <v>272</v>
      </c>
      <c r="E29" s="153"/>
      <c r="F29" s="153"/>
      <c r="G29" s="153"/>
      <c r="H29" s="139"/>
      <c r="I29" s="139"/>
      <c r="J29" s="139"/>
      <c r="K29" s="139"/>
      <c r="L29" s="139"/>
      <c r="M29" s="139"/>
      <c r="N29" s="139"/>
      <c r="O29" s="139"/>
      <c r="P29" s="139"/>
      <c r="Q29" s="139"/>
      <c r="R29" s="139"/>
      <c r="S29" s="139"/>
    </row>
    <row r="30" spans="1:19" ht="15" customHeight="1">
      <c r="B30" s="142"/>
      <c r="C30" s="154" t="s">
        <v>273</v>
      </c>
      <c r="D30" s="153" t="s">
        <v>274</v>
      </c>
      <c r="E30" s="153"/>
      <c r="F30" s="153"/>
      <c r="G30" s="153"/>
      <c r="H30" s="139"/>
      <c r="I30" s="139"/>
      <c r="J30" s="139"/>
      <c r="K30" s="139"/>
      <c r="L30" s="139"/>
      <c r="M30" s="139"/>
      <c r="N30" s="139"/>
      <c r="O30" s="139"/>
      <c r="P30" s="139"/>
      <c r="Q30" s="139"/>
      <c r="R30" s="139"/>
      <c r="S30" s="139"/>
    </row>
    <row r="31" spans="1:19" ht="15" customHeight="1">
      <c r="B31" s="142"/>
      <c r="C31" s="154" t="s">
        <v>275</v>
      </c>
      <c r="D31" s="153" t="s">
        <v>276</v>
      </c>
      <c r="E31" s="153"/>
      <c r="F31" s="153"/>
      <c r="G31" s="153"/>
      <c r="H31" s="139"/>
      <c r="I31" s="139"/>
      <c r="J31" s="139"/>
      <c r="K31" s="139"/>
      <c r="L31" s="139"/>
      <c r="M31" s="139"/>
      <c r="N31" s="139"/>
      <c r="O31" s="139"/>
      <c r="P31" s="139"/>
      <c r="Q31" s="139"/>
      <c r="R31" s="139"/>
      <c r="S31" s="139"/>
    </row>
    <row r="32" spans="1:19" ht="18" customHeight="1">
      <c r="B32" s="155"/>
      <c r="C32" s="153" t="s">
        <v>277</v>
      </c>
      <c r="D32" s="153" t="s">
        <v>278</v>
      </c>
      <c r="E32" s="153"/>
      <c r="F32" s="153"/>
      <c r="G32" s="153"/>
      <c r="H32" s="139"/>
      <c r="I32" s="139"/>
      <c r="J32" s="139"/>
      <c r="K32" s="139"/>
      <c r="L32" s="139"/>
      <c r="M32" s="139"/>
      <c r="N32" s="139"/>
      <c r="O32" s="139"/>
      <c r="P32" s="139"/>
      <c r="Q32" s="139"/>
      <c r="R32" s="139"/>
      <c r="S32" s="139"/>
    </row>
    <row r="34" spans="3:3" ht="18" customHeight="1">
      <c r="C34" s="132" t="s">
        <v>183</v>
      </c>
    </row>
    <row r="35" spans="3:3" ht="18" customHeight="1">
      <c r="C35" s="132" t="s">
        <v>279</v>
      </c>
    </row>
  </sheetData>
  <autoFilter ref="A1:D1" xr:uid="{00000000-0009-0000-0000-000003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6</vt:i4>
      </vt:variant>
    </vt:vector>
  </HeadingPairs>
  <TitlesOfParts>
    <vt:vector size="6" baseType="lpstr">
      <vt:lpstr>תקציב  </vt:lpstr>
      <vt:lpstr>שנים</vt:lpstr>
      <vt:lpstr>שנים 2</vt:lpstr>
      <vt:lpstr>השקות 2026 מעודכן </vt:lpstr>
      <vt:lpstr>השקות 2026</vt:lpstr>
      <vt:lpstr>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Eyal Sadot</dc:creator>
  <dc:description/>
  <cp:lastModifiedBy>Eyal Sadot</cp:lastModifiedBy>
  <cp:revision>0</cp:revision>
  <dcterms:created xsi:type="dcterms:W3CDTF">2026-09-20T06:57:56Z</dcterms:created>
  <dcterms:modified xsi:type="dcterms:W3CDTF">2026-09-24T15:20:06Z</dcterms:modified>
  <dc:language>en-US</dc:language>
</cp:coreProperties>
</file>