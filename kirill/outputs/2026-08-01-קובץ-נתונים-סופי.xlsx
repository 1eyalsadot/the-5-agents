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FreeSans"/>
            <family val="2"/>
          </rPr>
          <t xml:space="preserve">תאריך ביצוע החישוב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עדכון נוסחאות והרצת </t>
        </r>
        <r>
          <rPr>
            <sz val="10"/>
            <rFont val="Arial"/>
            <family val="2"/>
          </rPr>
          <t xml:space="preserve">recalc)</t>
        </r>
      </text>
    </comment>
    <comment ref="C2" authorId="0">
      <text>
        <r>
          <rPr>
            <sz val="10"/>
            <rFont val="Arial"/>
            <family val="2"/>
          </rPr>
          <t xml:space="preserve">C = SUMIF(Pplay1 F:H </t>
        </r>
        <r>
          <rPr>
            <sz val="10"/>
            <rFont val="FreeSans"/>
            <family val="2"/>
          </rPr>
          <t xml:space="preserve">לפי לקוח </t>
        </r>
        <r>
          <rPr>
            <sz val="10"/>
            <rFont val="Arial"/>
            <family val="2"/>
          </rPr>
          <t xml:space="preserve">#) + SUMIF(</t>
        </r>
        <r>
          <rPr>
            <sz val="10"/>
            <rFont val="FreeSans"/>
            <family val="2"/>
          </rPr>
          <t xml:space="preserve">ריכוז </t>
        </r>
        <r>
          <rPr>
            <sz val="10"/>
            <rFont val="Arial"/>
            <family val="2"/>
          </rPr>
          <t xml:space="preserve">B:C </t>
        </r>
        <r>
          <rPr>
            <sz val="10"/>
            <rFont val="FreeSans"/>
            <family val="2"/>
          </rPr>
          <t xml:space="preserve">לפי לקוח </t>
        </r>
        <r>
          <rPr>
            <sz val="10"/>
            <rFont val="Arial"/>
            <family val="2"/>
          </rPr>
          <t xml:space="preserve">#). </t>
        </r>
        <r>
          <rPr>
            <sz val="10"/>
            <rFont val="FreeSans"/>
            <family val="2"/>
          </rPr>
          <t xml:space="preserve">אם ללקוח אין נתונים באף אחד משני המקורות — התא נשאר ריק (לא </t>
        </r>
        <r>
          <rPr>
            <sz val="10"/>
            <rFont val="Arial"/>
            <family val="2"/>
          </rPr>
          <t xml:space="preserve">0).</t>
        </r>
      </text>
    </comment>
    <comment ref="C20" authorId="0">
      <text>
        <r>
          <rPr>
            <sz val="10"/>
            <rFont val="Arial"/>
            <family val="2"/>
          </rPr>
          <t xml:space="preserve">AMAZON (#50): </t>
        </r>
        <r>
          <rPr>
            <sz val="10"/>
            <rFont val="FreeSans"/>
            <family val="2"/>
          </rPr>
          <t xml:space="preserve">מקור ידני </t>
        </r>
        <r>
          <rPr>
            <sz val="10"/>
            <rFont val="Arial"/>
            <family val="2"/>
          </rPr>
          <t xml:space="preserve">(Amazon_</t>
        </r>
        <r>
          <rPr>
            <sz val="10"/>
            <rFont val="FreeSans"/>
            <family val="2"/>
          </rPr>
          <t xml:space="preserve">מקור</t>
        </r>
        <r>
          <rPr>
            <sz val="10"/>
            <rFont val="Arial"/>
            <family val="2"/>
          </rPr>
          <t xml:space="preserve">), </t>
        </r>
        <r>
          <rPr>
            <sz val="10"/>
            <rFont val="FreeSans"/>
            <family val="2"/>
          </rPr>
          <t xml:space="preserve">לא ממופה ב</t>
        </r>
        <r>
          <rPr>
            <sz val="10"/>
            <rFont val="Arial"/>
            <family val="2"/>
          </rPr>
          <t xml:space="preserve">-Pplay1/</t>
        </r>
        <r>
          <rPr>
            <sz val="10"/>
            <rFont val="FreeSans"/>
            <family val="2"/>
          </rPr>
          <t xml:space="preserve">ריכוז. נוסחה </t>
        </r>
        <r>
          <rPr>
            <sz val="10"/>
            <rFont val="Arial"/>
            <family val="2"/>
          </rPr>
          <t xml:space="preserve">= (Sales + Refund cost) × 3, </t>
        </r>
        <r>
          <rPr>
            <sz val="10"/>
            <rFont val="FreeSans"/>
            <family val="2"/>
          </rPr>
          <t xml:space="preserve">לפי הנחיית המשתמש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F = </t>
        </r>
        <r>
          <rPr>
            <sz val="10"/>
            <rFont val="FreeSans"/>
            <family val="2"/>
          </rPr>
          <t xml:space="preserve">לקוח </t>
        </r>
        <r>
          <rPr>
            <sz val="10"/>
            <rFont val="Arial"/>
            <family val="2"/>
          </rPr>
          <t xml:space="preserve"># (</t>
        </r>
        <r>
          <rPr>
            <sz val="10"/>
            <rFont val="FreeSans"/>
            <family val="2"/>
          </rPr>
          <t xml:space="preserve">מאוחד מעמודות </t>
        </r>
        <r>
          <rPr>
            <sz val="10"/>
            <rFont val="Arial"/>
            <family val="2"/>
          </rPr>
          <t xml:space="preserve">B:E, </t>
        </r>
        <r>
          <rPr>
            <sz val="10"/>
            <rFont val="FreeSans"/>
            <family val="2"/>
          </rPr>
          <t xml:space="preserve">שבכל שורה מלאה רק אחת מהן</t>
        </r>
        <r>
          <rPr>
            <sz val="10"/>
            <rFont val="Arial"/>
            <family val="2"/>
          </rPr>
          <t xml:space="preserve">). G = </t>
        </r>
        <r>
          <rPr>
            <sz val="10"/>
            <rFont val="FreeSans"/>
            <family val="2"/>
          </rPr>
          <t xml:space="preserve">סכום גולמי, מיובא מגיליון </t>
        </r>
        <r>
          <rPr>
            <sz val="10"/>
            <rFont val="Arial"/>
            <family val="2"/>
          </rPr>
          <t xml:space="preserve">PPLAY1_</t>
        </r>
        <r>
          <rPr>
            <sz val="10"/>
            <rFont val="FreeSans"/>
            <family val="2"/>
          </rPr>
          <t xml:space="preserve">מקור לפי שם התיאור בעמודה </t>
        </r>
        <r>
          <rPr>
            <sz val="10"/>
            <rFont val="Arial"/>
            <family val="2"/>
          </rPr>
          <t xml:space="preserve">A. H = </t>
        </r>
        <r>
          <rPr>
            <sz val="10"/>
            <rFont val="FreeSans"/>
            <family val="2"/>
          </rPr>
          <t xml:space="preserve">מכר נטו </t>
        </r>
        <r>
          <rPr>
            <sz val="10"/>
            <rFont val="Arial"/>
            <family val="2"/>
          </rPr>
          <t xml:space="preserve">= G × 0.89. </t>
        </r>
        <r>
          <rPr>
            <sz val="10"/>
            <rFont val="FreeSans"/>
            <family val="2"/>
          </rPr>
          <t xml:space="preserve">שורת "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FreeSans"/>
            <family val="2"/>
          </rPr>
          <t xml:space="preserve">פארמים</t>
        </r>
        <r>
          <rPr>
            <sz val="10"/>
            <rFont val="Arial"/>
            <family val="2"/>
          </rPr>
          <t xml:space="preserve">" (A5) </t>
        </r>
        <r>
          <rPr>
            <sz val="10"/>
            <rFont val="FreeSans"/>
            <family val="2"/>
          </rPr>
          <t xml:space="preserve">נשארת ללא מיפוי לקוח בכוונה — היא רק סכום-ביניים של </t>
        </r>
        <r>
          <rPr>
            <sz val="10"/>
            <rFont val="Arial"/>
            <family val="2"/>
          </rPr>
          <t xml:space="preserve">6 שורות-הבת מתחתיה שכן ממופות בנפרד, ולכן לא נכללת (כדי לא לספור כפול).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FreeSans"/>
            <family val="2"/>
          </rPr>
          <t xml:space="preserve">מיובא מגיליון </t>
        </r>
        <r>
          <rPr>
            <sz val="10"/>
            <rFont val="Arial"/>
            <family val="2"/>
          </rPr>
          <t xml:space="preserve">NetSuite_</t>
        </r>
        <r>
          <rPr>
            <sz val="10"/>
            <rFont val="FreeSans"/>
            <family val="2"/>
          </rPr>
          <t xml:space="preserve">מקור, עמודת </t>
        </r>
        <r>
          <rPr>
            <sz val="10"/>
            <rFont val="Arial"/>
            <family val="2"/>
          </rPr>
          <t xml:space="preserve">Sales (D), </t>
        </r>
        <r>
          <rPr>
            <sz val="10"/>
            <rFont val="FreeSans"/>
            <family val="2"/>
          </rPr>
          <t xml:space="preserve">לפי התאמה מדויקת של שם הקטגוריה בעמודה </t>
        </r>
        <r>
          <rPr>
            <sz val="10"/>
            <rFont val="Arial"/>
            <family val="2"/>
          </rPr>
          <t xml:space="preserve">A </t>
        </r>
        <r>
          <rPr>
            <sz val="10"/>
            <rFont val="FreeSans"/>
            <family val="2"/>
          </rPr>
          <t xml:space="preserve">מול עמודת </t>
        </r>
        <r>
          <rPr>
            <sz val="10"/>
            <rFont val="Arial"/>
            <family val="2"/>
          </rPr>
          <t xml:space="preserve">Customer </t>
        </r>
        <r>
          <rPr>
            <sz val="10"/>
            <rFont val="FreeSans"/>
            <family val="2"/>
          </rPr>
          <t xml:space="preserve">בדוח </t>
        </r>
        <r>
          <rPr>
            <sz val="10"/>
            <rFont val="Arial"/>
            <family val="2"/>
          </rPr>
          <t xml:space="preserve">NetSuite. </t>
        </r>
        <r>
          <rPr>
            <sz val="10"/>
            <rFont val="FreeSans"/>
            <family val="2"/>
          </rPr>
          <t xml:space="preserve">שורות אלה הן שורות "כותרת קטגוריה" בדוח, שכבר מכילות את סך הקטגוריה כולה (לא נדרש חיבור שורות-בת)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FreeSans"/>
            <family val="2"/>
          </rPr>
          <t xml:space="preserve">צילום מסך שסופק על ידי המשתמש, לוח בקרה </t>
        </r>
        <r>
          <rPr>
            <sz val="10"/>
            <rFont val="Arial"/>
            <family val="2"/>
          </rPr>
          <t xml:space="preserve">Amazon, 01/08/2026</t>
        </r>
      </text>
    </comment>
    <comment ref="B4" authorId="0">
      <text>
        <r>
          <rPr>
            <sz val="10"/>
            <rFont val="FreeSans"/>
            <family val="2"/>
          </rPr>
          <t xml:space="preserve">צילום מסך שסופק על ידי המשתמש, לוח בקרה </t>
        </r>
        <r>
          <rPr>
            <sz val="10"/>
            <rFont val="Arial"/>
            <family val="2"/>
          </rPr>
          <t xml:space="preserve">Amazon, 01/08/2026 (</t>
        </r>
        <r>
          <rPr>
            <sz val="10"/>
            <rFont val="FreeSans"/>
            <family val="2"/>
          </rPr>
          <t xml:space="preserve">שלילי כפי שמופיע במקור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<sst xmlns="http://schemas.openxmlformats.org/spreadsheetml/2006/main" count="121" uniqueCount="88">
  <si>
    <t xml:space="preserve">דוח מכירות יולי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</si>
  <si>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</si>
  <si>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</si>
  <si>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</si>
  <si>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</si>
  <si>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</si>
  <si>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</si>
  <si>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</si>
  <si>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</si>
  <si>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</si>
  <si>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</si>
  <si>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</si>
  <si>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</si>
  <si>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</si>
  <si>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</si>
  <si>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</si>
  <si>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</si>
  <si>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</si>
  <si>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</si>
  <si>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</si>
  <si>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</si>
  <si>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</si>
  <si>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</si>
  <si>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</si>
  <si>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</si>
  <si>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</si>
  <si>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</si>
  <si>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</si>
  <si>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</si>
  <si>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</si>
  <si>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</si>
  <si>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</si>
  <si>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</si>
  <si>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</si>
  <si>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</si>
  <si>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</si>
  <si>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</si>
  <si>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</si>
  <si>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</si>
  <si>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</si>
  <si>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</si>
  <si>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</si>
  <si>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</si>
  <si>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</si>
  <si>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</si>
  <si>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</si>
  <si>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</si>
  <si>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</si>
  <si>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</si>
  <si>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</si>
  <si>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</si>
  <si>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</si>
  <si>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</si>
  <si>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</si>
  <si>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</si>
  <si>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</si>
  <si>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</si>
  <si>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</si>
  <si>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</si>
  <si>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</si>
  <si>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</si>
  <si>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</si>
  <si>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</si>
  <si>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</si>
  <si>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</si>
  <si>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</si>
  <si>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</si>
  <si>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</si>
  <si>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</si>
  <si>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</si>
  <si>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</si>
  <si>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</si>
  <si>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</si>
  <si>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</si>
  <si>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</si>
  <si>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תיאור</t>
  </si>
  <si>
    <t xml:space="preserve">2026/Jul (סכום גולמי)</t>
  </si>
  <si>
    <t xml:space="preserve">הערה</t>
  </si>
  <si>
    <t xml:space="preserve">Customers</t>
  </si>
  <si>
    <t xml:space="preserve">Source: PPLAY1 - שוחזר מהמקור.xlsx (גיליון Pplay1). מכר נטו = עמודה B × 0.89 (מקדם לפי הנחיית המשתמש).</t>
  </si>
  <si>
    <t xml:space="preserve">Source: CustomSalesbyCustomerSummary159.xlsx (Meditex Group IL, Custom Sales by Customer Summary, 01 July 2026 - 31 July 2026) — נשלפו רק 14 שורות הסיכום (קטגוריה) התואמות Exact Match למקרא בגיליון "ריכוז". לא יובאו שורות פירוט חשבוניות/לקוחות-בת מהדוח הגולמי, לפי מוסכמת עבודה.</t>
  </si>
  <si>
    <t xml:space="preserve">Customer</t>
  </si>
  <si>
    <t xml:space="preserve">Sales</t>
  </si>
  <si>
    <t xml:space="preserve">Source: צילום מסך שסופק על ידי המשתמש, לוח בקרה Amazon Seller Central (Sales / Refund cost), נמסר 01/08/2026. אין קובץ מקור — נתון ידני מתועד.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</si>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</sst>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23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name val="FreeSans"/>
      <family val="2"/>
    </font>
    <font>
      <sz val="10"/>
      <name val="Arial"/>
      <family val="2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theme="7" tint="0.5999"/>
        <bgColor rgb="FFC1E5F5"/>
      </patternFill>
    </fill>
    <fill>
      <patternFill patternType="solid">
        <fgColor theme="9" tint="0.5999"/>
        <bgColor rgb="FFC1E5F5"/>
      </patternFill>
    </fill>
    <fill>
      <patternFill patternType="solid">
        <fgColor rgb="FF92D050"/>
        <bgColor rgb="FFB4E5A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2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false" showOutlineSymbols="true" defaultGridColor="true" view="normal" topLeftCell="A6" colorId="64" zoomScale="100" zoomScaleNormal="100" zoomScalePageLayoutView="100" workbookViewId="0">
      <selection pane="topLeft" activeCell="B43" activeCellId="0" sqref="B43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46235</v>
      </c>
      <c r="C2" s="6" t="n">
        <v>7.2026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IF(COUNTIF(Pplay1!$F$3:$F$14,A3)+COUNTIF(ריכוז!$B$3:$B$16,A3)=0,"",SUMIF(Pplay1!$F$3:$F$14,A3,Pplay1!$H$3:$H$14)+SUMIF(ריכוז!$B$3:$B$16,A3,ריכוז!$C$3:$C$16))</f>
        <v>73969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IF(COUNTIF(Pplay1!$F$3:$F$14,A4)+COUNTIF(ריכוז!$B$3:$B$16,A4)=0,"",SUMIF(Pplay1!$F$3:$F$14,A4,Pplay1!$H$3:$H$14)+SUMIF(ריכוז!$B$3:$B$16,A4,ריכוז!$C$3:$C$16))</f>
        <v>443876.464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IF(COUNTIF(Pplay1!$F$3:$F$14,A5)+COUNTIF(ריכוז!$B$3:$B$16,A5)=0,"",SUMIF(Pplay1!$F$3:$F$14,A5,Pplay1!$H$3:$H$14)+SUMIF(ריכוז!$B$3:$B$16,A5,ריכוז!$C$3:$C$16))</f>
        <v>70877.464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IF(COUNTIF(Pplay1!$F$3:$F$14,A6)+COUNTIF(ריכוז!$B$3:$B$16,A6)=0,"",SUMIF(Pplay1!$F$3:$F$14,A6,Pplay1!$H$3:$H$14)+SUMIF(ריכוז!$B$3:$B$16,A6,ריכוז!$C$3:$C$16))</f>
        <v>149138.682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IF(COUNTIF(Pplay1!$F$3:$F$14,A7)+COUNTIF(ריכוז!$B$3:$B$16,A7)=0,"",SUMIF(Pplay1!$F$3:$F$14,A7,Pplay1!$H$3:$H$14)+SUMIF(ריכוז!$B$3:$B$16,A7,ריכוז!$C$3:$C$16))</f>
        <v>392888.3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IF(COUNTIF(Pplay1!$F$3:$F$14,A8)+COUNTIF(ריכוז!$B$3:$B$16,A8)=0,"",SUMIF(Pplay1!$F$3:$F$14,A8,Pplay1!$H$3:$H$14)+SUMIF(ריכוז!$B$3:$B$16,A8,ריכוז!$C$3:$C$16))</f>
        <v>47990.774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IF(COUNTIF(Pplay1!$F$3:$F$14,A9)+COUNTIF(ריכוז!$B$3:$B$16,A9)=0,"",SUMIF(Pplay1!$F$3:$F$14,A9,Pplay1!$H$3:$H$14)+SUMIF(ריכוז!$B$3:$B$16,A9,ריכוז!$C$3:$C$16))</f>
        <v>65635.87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IF(COUNTIF(Pplay1!$F$3:$F$14,A10)+COUNTIF(ריכוז!$B$3:$B$16,A10)=0,"",SUMIF(Pplay1!$F$3:$F$14,A10,Pplay1!$H$3:$H$14)+SUMIF(ריכוז!$B$3:$B$16,A10,ריכוז!$C$3:$C$16))</f>
        <v>5105.8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IF(COUNTIF(Pplay1!$F$3:$F$14,A11)+COUNTIF(ריכוז!$B$3:$B$16,A11)=0,"",SUMIF(Pplay1!$F$3:$F$14,A11,Pplay1!$H$3:$H$14)+SUMIF(ריכוז!$B$3:$B$16,A11,ריכוז!$C$3:$C$16))</f>
        <v>3863.17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str">
        <f aca="false">IF(COUNTIF(Pplay1!$F$3:$F$14,A12)+COUNTIF(ריכוז!$B$3:$B$16,A12)=0,"",SUMIF(Pplay1!$F$3:$F$14,A12,Pplay1!$H$3:$H$14)+SUMIF(ריכוז!$B$3:$B$16,A12,ריכוז!$C$3:$C$16))</f>
        <v/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str">
        <f aca="false">IF(COUNTIF(Pplay1!$F$3:$F$14,A13)+COUNTIF(ריכוז!$B$3:$B$16,A13)=0,"",SUMIF(Pplay1!$F$3:$F$14,A13,Pplay1!$H$3:$H$14)+SUMIF(ריכוז!$B$3:$B$16,A13,ריכוז!$C$3:$C$16))</f>
        <v/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IF(COUNTIF(Pplay1!$F$3:$F$14,A14)+COUNTIF(ריכוז!$B$3:$B$16,A14)=0,"",SUMIF(Pplay1!$F$3:$F$14,A14,Pplay1!$H$3:$H$14)+SUMIF(ריכוז!$B$3:$B$16,A14,ריכוז!$C$3:$C$16))</f>
        <v>478.2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IF(COUNTIF(Pplay1!$F$3:$F$14,A15)+COUNTIF(ריכוז!$B$3:$B$16,A15)=0,"",SUMIF(Pplay1!$F$3:$F$14,A15,Pplay1!$H$3:$H$14)+SUMIF(ריכוז!$B$3:$B$16,A15,ריכוז!$C$3:$C$16))</f>
        <v>10025.73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1263849.454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IF(COUNTIF(Pplay1!$F$3:$F$14,A17)+COUNTIF(ריכוז!$B$3:$B$16,A17)=0,"",SUMIF(Pplay1!$F$3:$F$14,A17,Pplay1!$H$3:$H$14)+SUMIF(ריכוז!$B$3:$B$16,A17,ריכוז!$C$3:$C$16))</f>
        <v>398018.329999997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IF(COUNTIF(Pplay1!$F$3:$F$14,A18)+COUNTIF(ריכוז!$B$3:$B$16,A18)=0,"",SUMIF(Pplay1!$F$3:$F$14,A18,Pplay1!$H$3:$H$14)+SUMIF(ריכוז!$B$3:$B$16,A18,ריכוז!$C$3:$C$16))</f>
        <v>1741.74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1663609.524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223709.49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str">
        <f aca="false">IF(COUNTIF(Pplay1!$F$3:$F$14,A21)+COUNTIF(ריכוז!$B$3:$B$16,A21)=0,"",SUMIF(Pplay1!$F$3:$F$14,A21,Pplay1!$H$3:$H$14)+SUMIF(ריכוז!$B$3:$B$16,A21,ריכוז!$C$3:$C$16))</f>
        <v/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str">
        <f aca="false">IF(COUNTIF(Pplay1!$F$3:$F$14,A22)+COUNTIF(ריכוז!$B$3:$B$16,A22)=0,"",SUMIF(Pplay1!$F$3:$F$14,A22,Pplay1!$H$3:$H$14)+SUMIF(ריכוז!$B$3:$B$16,A22,ריכוז!$C$3:$C$16))</f>
        <v/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str">
        <f aca="false">IF(COUNTIF(Pplay1!$F$3:$F$14,A23)+COUNTIF(ריכוז!$B$3:$B$16,A23)=0,"",SUMIF(Pplay1!$F$3:$F$14,A23,Pplay1!$H$3:$H$14)+SUMIF(ריכוז!$B$3:$B$16,A23,ריכוז!$C$3:$C$16))</f>
        <v/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IF(COUNTIF(Pplay1!$F$3:$F$14,A24)+COUNTIF(ריכוז!$B$3:$B$16,A24)=0,"",SUMIF(Pplay1!$F$3:$F$14,A24,Pplay1!$H$3:$H$14)+SUMIF(ריכוז!$B$3:$B$16,A24,ריכוז!$C$3:$C$16))</f>
        <v>19451.36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str">
        <f aca="false">IF(COUNTIF(Pplay1!$F$3:$F$14,A25)+COUNTIF(ריכוז!$B$3:$B$16,A25)=0,"",SUMIF(Pplay1!$F$3:$F$14,A25,Pplay1!$H$3:$H$14)+SUMIF(ריכוז!$B$3:$B$16,A25,ריכוז!$C$3:$C$16))</f>
        <v/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IF(COUNTIF(Pplay1!$F$3:$F$14,A26)+COUNTIF(ריכוז!$B$3:$B$16,A26)=0,"",SUMIF(Pplay1!$F$3:$F$14,A26,Pplay1!$H$3:$H$14)+SUMIF(ריכוז!$B$3:$B$16,A26,ריכוז!$C$3:$C$16))</f>
        <v>221407.78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str">
        <f aca="false">IF(COUNTIF(Pplay1!$F$3:$F$14,A27)+COUNTIF(ריכוז!$B$3:$B$16,A27)=0,"",SUMIF(Pplay1!$F$3:$F$14,A27,Pplay1!$H$3:$H$14)+SUMIF(ריכוז!$B$3:$B$16,A27,ריכוז!$C$3:$C$16))</f>
        <v/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str">
        <f aca="false">IF(COUNTIF(Pplay1!$F$3:$F$14,A28)+COUNTIF(ריכוז!$B$3:$B$16,A28)=0,"",SUMIF(Pplay1!$F$3:$F$14,A28,Pplay1!$H$3:$H$14)+SUMIF(ריכוז!$B$3:$B$16,A28,ריכוז!$C$3:$C$16))</f>
        <v/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IF(COUNTIF(Pplay1!$F$3:$F$14,A29)+COUNTIF(ריכוז!$B$3:$B$16,A29)=0,"",SUMIF(Pplay1!$F$3:$F$14,A29,Pplay1!$H$3:$H$14)+SUMIF(ריכוז!$B$3:$B$16,A29,ריכוז!$C$3:$C$16))</f>
        <v>41960.14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str">
        <f aca="false">IF(COUNTIF(Pplay1!$F$3:$F$14,A30)+COUNTIF(ריכוז!$B$3:$B$16,A30)=0,"",SUMIF(Pplay1!$F$3:$F$14,A30,Pplay1!$H$3:$H$14)+SUMIF(ריכוז!$B$3:$B$16,A30,ריכוז!$C$3:$C$16))</f>
        <v/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str">
        <f aca="false">IF(COUNTIF(Pplay1!$F$3:$F$14,A31)+COUNTIF(ריכוז!$B$3:$B$16,A31)=0,"",SUMIF(Pplay1!$F$3:$F$14,A31,Pplay1!$H$3:$H$14)+SUMIF(ריכוז!$B$3:$B$16,A31,ריכוז!$C$3:$C$16))</f>
        <v/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str">
        <f aca="false">IF(COUNTIF(Pplay1!$F$3:$F$14,A32)+COUNTIF(ריכוז!$B$3:$B$16,A32)=0,"",SUMIF(Pplay1!$F$3:$F$14,A32,Pplay1!$H$3:$H$14)+SUMIF(ריכוז!$B$3:$B$16,A32,ריכוז!$C$3:$C$16))</f>
        <v/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str">
        <f aca="false">IF(COUNTIF(Pplay1!$F$3:$F$14,A33)+COUNTIF(ריכוז!$B$3:$B$16,A33)=0,"",SUMIF(Pplay1!$F$3:$F$14,A33,Pplay1!$H$3:$H$14)+SUMIF(ריכוז!$B$3:$B$16,A33,ריכוז!$C$3:$C$16))</f>
        <v/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str">
        <f aca="false">IF(COUNTIF(Pplay1!$F$3:$F$14,A34)+COUNTIF(ריכוז!$B$3:$B$16,A34)=0,"",SUMIF(Pplay1!$F$3:$F$14,A34,Pplay1!$H$3:$H$14)+SUMIF(ריכוז!$B$3:$B$16,A34,ריכוז!$C$3:$C$16))</f>
        <v/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str">
        <f aca="false">IF(COUNTIF(Pplay1!$F$3:$F$14,A35)+COUNTIF(ריכוז!$B$3:$B$16,A35)=0,"",SUMIF(Pplay1!$F$3:$F$14,A35,Pplay1!$H$3:$H$14)+SUMIF(ריכוז!$B$3:$B$16,A35,ריכוז!$C$3:$C$16))</f>
        <v/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str">
        <f aca="false">IF(COUNTIF(Pplay1!$F$3:$F$14,A36)+COUNTIF(ריכוז!$B$3:$B$16,A36)=0,"",SUMIF(Pplay1!$F$3:$F$14,A36,Pplay1!$H$3:$H$14)+SUMIF(ריכוז!$B$3:$B$16,A36,ריכוז!$C$3:$C$16))</f>
        <v/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str">
        <f aca="false">IF(COUNTIF(Pplay1!$F$3:$F$14,A37)+COUNTIF(ריכוז!$B$3:$B$16,A37)=0,"",SUMIF(Pplay1!$F$3:$F$14,A37,Pplay1!$H$3:$H$14)+SUMIF(ריכוז!$B$3:$B$16,A37,ריכוז!$C$3:$C$16))</f>
        <v/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str">
        <f aca="false">IF(COUNTIF(Pplay1!$F$3:$F$14,A38)+COUNTIF(ריכוז!$B$3:$B$16,A38)=0,"",SUMIF(Pplay1!$F$3:$F$14,A38,Pplay1!$H$3:$H$14)+SUMIF(ריכוז!$B$3:$B$16,A38,ריכוז!$C$3:$C$16))</f>
        <v/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str">
        <f aca="false">IF(COUNTIF(Pplay1!$F$3:$F$14,A39)+COUNTIF(ריכוז!$B$3:$B$16,A39)=0,"",SUMIF(Pplay1!$F$3:$F$14,A39,Pplay1!$H$3:$H$14)+SUMIF(ריכוז!$B$3:$B$16,A39,ריכוז!$C$3:$C$16))</f>
        <v/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506528.77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2170138.294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  <col collapsed="false" customWidth="true" hidden="false" outlineLevel="0" max="6" min="6" style="1" width="10"/>
    <col collapsed="false" customWidth="true" hidden="false" outlineLevel="0" max="7" min="7" style="1" width="18"/>
    <col collapsed="false" customWidth="true" hidden="false" outlineLevel="0" max="8" min="8" style="1" width="14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149239.8</v>
      </c>
      <c r="H3" s="27" t="n">
        <f aca="false">IF(G3="","",G3*0.89)</f>
        <v>132823.422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703.1</v>
      </c>
      <c r="H4" s="27" t="n">
        <f aca="false">IF(G4="","",G4*0.89)</f>
        <v>625.759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579463.6</v>
      </c>
      <c r="H5" s="27" t="n">
        <f aca="false">IF(G5="","",G5*0.89)</f>
        <v>515722.604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7133</v>
      </c>
      <c r="H6" s="27" t="n">
        <f aca="false">IF(G6="","",G6*0.89)</f>
        <v>6348.37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IFERROR(INDEX(PPLAY1_מקור!$B:$B,MATCH(A7,PPLAY1_מקור!$A:$A,0)),"")</f>
        <v>895.1</v>
      </c>
      <c r="H7" s="27" t="n">
        <f aca="false">IF(G7="","",G7*0.89)</f>
        <v>796.639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n">
        <f aca="false">IFERROR(INDEX(PPLAY1_מקור!$B:$B,MATCH(A8,PPLAY1_מקור!$A:$A,0)),"")</f>
        <v>193.3</v>
      </c>
      <c r="H8" s="27" t="n">
        <f aca="false">IF(G8="","",G8*0.89)</f>
        <v>172.037</v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612.2</v>
      </c>
      <c r="H9" s="27" t="n">
        <f aca="false">IF(G9="","",G9*0.89)</f>
        <v>544.858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498737.6</v>
      </c>
      <c r="H10" s="27" t="n">
        <f aca="false">IF(G10="","",G10*0.89)</f>
        <v>443876.464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71892.4</v>
      </c>
      <c r="H11" s="27" t="n">
        <f aca="false">IF(G11="","",G11*0.89)</f>
        <v>63984.236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n">
        <f aca="false">IFERROR(INDEX(PPLAY1_מקור!$B:$B,MATCH(A12,PPLAY1_מקור!$A:$A,0)),"")</f>
        <v>74.3</v>
      </c>
      <c r="H12" s="27" t="n">
        <f aca="false">IF(G12="","",G12*0.89)</f>
        <v>66.127</v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58724.6</v>
      </c>
      <c r="H13" s="27" t="n">
        <f aca="false">IF(G13="","",G13*0.89)</f>
        <v>52264.894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n">
        <f aca="false">IFERROR(INDEX(PPLAY1_מקור!$B:$B,MATCH(A14,PPLAY1_מקור!$A:$A,0)),"")</f>
        <v>-823.8</v>
      </c>
      <c r="H14" s="27" t="n">
        <f aca="false">IF(G14="","",G14*0.89)</f>
        <v>-733.182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8.617187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59</v>
      </c>
      <c r="C1" s="24" t="s">
        <v>60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61</v>
      </c>
      <c r="B3" s="1" t="n">
        <v>6</v>
      </c>
      <c r="C3" s="27" t="n">
        <f aca="false">IFERROR(INDEX(NetSuite_מקור!$D:$D,MATCH(A3,NetSuite_מקור!$A:$A,0)),"")</f>
        <v>65635.87</v>
      </c>
    </row>
    <row r="4" customFormat="false" ht="14.25" hidden="false" customHeight="true" outlineLevel="0" collapsed="false">
      <c r="A4" s="28" t="s">
        <v>62</v>
      </c>
      <c r="B4" s="1" t="n">
        <v>5</v>
      </c>
      <c r="C4" s="27" t="n">
        <f aca="false">IFERROR(INDEX(NetSuite_מקור!$D:$D,MATCH(A4,NetSuite_מקור!$A:$A,0)),"")</f>
        <v>73969</v>
      </c>
    </row>
    <row r="5" customFormat="false" ht="14.25" hidden="false" customHeight="true" outlineLevel="0" collapsed="false">
      <c r="A5" s="28" t="s">
        <v>63</v>
      </c>
      <c r="B5" s="1" t="n">
        <v>9</v>
      </c>
      <c r="C5" s="27" t="n">
        <f aca="false">IFERROR(INDEX(NetSuite_מקור!$D:$D,MATCH(A5,NetSuite_מקור!$A:$A,0)),"")</f>
        <v>10025.73</v>
      </c>
    </row>
    <row r="6" customFormat="false" ht="14.25" hidden="false" customHeight="true" outlineLevel="0" collapsed="false">
      <c r="A6" s="28" t="s">
        <v>64</v>
      </c>
      <c r="B6" s="1" t="n">
        <v>11</v>
      </c>
      <c r="C6" s="27" t="n">
        <f aca="false">IFERROR(INDEX(NetSuite_מקור!$D:$D,MATCH(A6,NetSuite_מקור!$A:$A,0)),"")</f>
        <v>3863.17</v>
      </c>
    </row>
    <row r="7" customFormat="false" ht="14.25" hidden="false" customHeight="true" outlineLevel="0" collapsed="false">
      <c r="A7" s="28" t="s">
        <v>65</v>
      </c>
      <c r="B7" s="1" t="n">
        <v>10</v>
      </c>
      <c r="C7" s="27" t="n">
        <f aca="false">IFERROR(INDEX(NetSuite_מקור!$D:$D,MATCH(A7,NetSuite_מקור!$A:$A,0)),"")</f>
        <v>5105.8</v>
      </c>
    </row>
    <row r="8" customFormat="false" ht="14.25" hidden="false" customHeight="true" outlineLevel="0" collapsed="false">
      <c r="A8" s="28" t="s">
        <v>66</v>
      </c>
      <c r="B8" s="1" t="n">
        <v>4</v>
      </c>
      <c r="C8" s="27" t="n">
        <f aca="false">IFERROR(INDEX(NetSuite_מקור!$D:$D,MATCH(A8,NetSuite_מקור!$A:$A,0)),"")</f>
        <v>15387.88</v>
      </c>
    </row>
    <row r="9" customFormat="false" ht="14.25" hidden="false" customHeight="true" outlineLevel="0" collapsed="false">
      <c r="A9" s="28" t="s">
        <v>67</v>
      </c>
      <c r="B9" s="1" t="n">
        <v>13</v>
      </c>
      <c r="C9" s="27" t="n">
        <f aca="false">IFERROR(INDEX(NetSuite_מקור!$D:$D,MATCH(A9,NetSuite_מקור!$A:$A,0)),"")</f>
        <v>478.2</v>
      </c>
    </row>
    <row r="10" customFormat="false" ht="14.25" hidden="false" customHeight="true" outlineLevel="0" collapsed="false">
      <c r="A10" s="28" t="s">
        <v>68</v>
      </c>
      <c r="B10" s="1" t="n">
        <v>8</v>
      </c>
      <c r="C10" s="27" t="n">
        <f aca="false">IFERROR(INDEX(NetSuite_מקור!$D:$D,MATCH(A10,NetSuite_מקור!$A:$A,0)),"")</f>
        <v>-4274.12</v>
      </c>
    </row>
    <row r="11" customFormat="false" ht="14.25" hidden="false" customHeight="true" outlineLevel="0" collapsed="false">
      <c r="A11" s="28" t="s">
        <v>69</v>
      </c>
      <c r="B11" s="1" t="n">
        <v>3</v>
      </c>
      <c r="C11" s="27" t="n">
        <f aca="false">IFERROR(INDEX(NetSuite_מקור!$D:$D,MATCH(A11,NetSuite_מקור!$A:$A,0)),"")</f>
        <v>392888.3</v>
      </c>
    </row>
    <row r="12" customFormat="false" ht="14.25" hidden="false" customHeight="true" outlineLevel="0" collapsed="false">
      <c r="A12" s="28" t="s">
        <v>70</v>
      </c>
      <c r="B12" s="1" t="n">
        <v>2</v>
      </c>
      <c r="C12" s="27" t="n">
        <f aca="false">IFERROR(INDEX(NetSuite_מקור!$D:$D,MATCH(A12,NetSuite_מקור!$A:$A,0)),"")</f>
        <v>398018.329999997</v>
      </c>
    </row>
    <row r="13" customFormat="false" ht="14.25" hidden="false" customHeight="true" outlineLevel="0" collapsed="false">
      <c r="A13" s="28" t="s">
        <v>71</v>
      </c>
      <c r="B13" s="1" t="n">
        <v>12</v>
      </c>
      <c r="C13" s="27" t="n">
        <f aca="false">IFERROR(INDEX(NetSuite_מקור!$D:$D,MATCH(A13,NetSuite_מקור!$A:$A,0)),"")</f>
        <v>1741.74</v>
      </c>
    </row>
    <row r="14" customFormat="false" ht="14.25" hidden="false" customHeight="true" outlineLevel="0" collapsed="false">
      <c r="A14" s="28" t="s">
        <v>72</v>
      </c>
      <c r="B14" s="1" t="n">
        <v>23</v>
      </c>
      <c r="C14" s="27" t="n">
        <f aca="false">IFERROR(INDEX(NetSuite_מקור!$D:$D,MATCH(A14,NetSuite_מקור!$A:$A,0)),"")</f>
        <v>19451.36</v>
      </c>
    </row>
    <row r="15" customFormat="false" ht="14.25" hidden="false" customHeight="true" outlineLevel="0" collapsed="false">
      <c r="A15" s="28" t="s">
        <v>73</v>
      </c>
      <c r="B15" s="1" t="n">
        <v>25</v>
      </c>
      <c r="C15" s="27" t="n">
        <f aca="false">IFERROR(INDEX(NetSuite_מקור!$D:$D,MATCH(A15,NetSuite_מקור!$A:$A,0)),"")</f>
        <v>221407.78</v>
      </c>
    </row>
    <row r="16" customFormat="false" ht="14.25" hidden="false" customHeight="true" outlineLevel="0" collapsed="false">
      <c r="A16" s="28" t="s">
        <v>74</v>
      </c>
      <c r="B16" s="1" t="n">
        <v>28</v>
      </c>
      <c r="C16" s="27" t="n">
        <f aca="false">IFERROR(INDEX(NetSuite_מקור!$D:$D,MATCH(A16,NetSuite_מקור!$A:$A,0)),"")</f>
        <v>41960.14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24" t="s">
        <v>75</v>
      </c>
      <c r="B1" s="24" t="s">
        <v>76</v>
      </c>
      <c r="C1" s="24" t="s">
        <v>47</v>
      </c>
      <c r="D1" s="24" t="s">
        <v>77</v>
      </c>
    </row>
    <row r="2" customFormat="false" ht="15" hidden="false" customHeight="true" outlineLevel="0" collapsed="false">
      <c r="A2" s="26" t="s">
        <v>78</v>
      </c>
      <c r="B2" s="29" t="n">
        <v>787381.7</v>
      </c>
      <c r="C2" s="27" t="n">
        <f aca="false">B2*0.89</f>
        <v>700769.713</v>
      </c>
      <c r="D2" s="22" t="s">
        <v>79</v>
      </c>
    </row>
    <row r="3" customFormat="false" ht="15" hidden="false" customHeight="true" outlineLevel="0" collapsed="false">
      <c r="A3" s="26" t="s">
        <v>48</v>
      </c>
      <c r="B3" s="29" t="n">
        <v>149239.8</v>
      </c>
      <c r="C3" s="27" t="n">
        <f aca="false">B3*0.89</f>
        <v>132823.422</v>
      </c>
    </row>
    <row r="4" customFormat="false" ht="15" hidden="false" customHeight="true" outlineLevel="0" collapsed="false">
      <c r="A4" s="26" t="s">
        <v>49</v>
      </c>
      <c r="B4" s="29" t="n">
        <v>703.1</v>
      </c>
      <c r="C4" s="27" t="n">
        <f aca="false">B4*0.89</f>
        <v>625.759</v>
      </c>
    </row>
    <row r="5" customFormat="false" ht="15" hidden="false" customHeight="true" outlineLevel="0" collapsed="false">
      <c r="A5" s="26" t="s">
        <v>50</v>
      </c>
      <c r="B5" s="29" t="n">
        <v>579463.6</v>
      </c>
      <c r="C5" s="27" t="n">
        <f aca="false">B5*0.89</f>
        <v>515722.604</v>
      </c>
    </row>
    <row r="6" customFormat="false" ht="15" hidden="false" customHeight="true" outlineLevel="0" collapsed="false">
      <c r="A6" s="26" t="s">
        <v>51</v>
      </c>
      <c r="B6" s="29" t="n">
        <v>7133</v>
      </c>
      <c r="C6" s="27" t="n">
        <f aca="false">B6*0.89</f>
        <v>6348.37</v>
      </c>
    </row>
    <row r="7" customFormat="false" ht="15" hidden="false" customHeight="true" outlineLevel="0" collapsed="false">
      <c r="A7" s="26" t="s">
        <v>52</v>
      </c>
      <c r="B7" s="29" t="n">
        <v>895.1</v>
      </c>
      <c r="C7" s="27" t="n">
        <f aca="false">B7*0.89</f>
        <v>796.639</v>
      </c>
    </row>
    <row r="8" customFormat="false" ht="15" hidden="false" customHeight="true" outlineLevel="0" collapsed="false">
      <c r="A8" s="26" t="s">
        <v>53</v>
      </c>
      <c r="B8" s="29" t="n">
        <v>193.3</v>
      </c>
      <c r="C8" s="27" t="n">
        <f aca="false">B8*0.89</f>
        <v>172.037</v>
      </c>
    </row>
    <row r="9" customFormat="false" ht="15" hidden="false" customHeight="true" outlineLevel="0" collapsed="false">
      <c r="A9" s="26" t="s">
        <v>54</v>
      </c>
      <c r="B9" s="29" t="n">
        <v>612.2</v>
      </c>
      <c r="C9" s="27" t="n">
        <f aca="false">B9*0.89</f>
        <v>544.858</v>
      </c>
    </row>
    <row r="10" customFormat="false" ht="15" hidden="false" customHeight="true" outlineLevel="0" collapsed="false">
      <c r="A10" s="26" t="s">
        <v>3</v>
      </c>
      <c r="B10" s="29" t="n">
        <v>498737.6</v>
      </c>
      <c r="C10" s="27" t="n">
        <f aca="false">B10*0.89</f>
        <v>443876.464</v>
      </c>
    </row>
    <row r="11" customFormat="false" ht="15" hidden="false" customHeight="true" outlineLevel="0" collapsed="false">
      <c r="A11" s="26" t="s">
        <v>55</v>
      </c>
      <c r="B11" s="29" t="n">
        <v>71892.4</v>
      </c>
      <c r="C11" s="27" t="n">
        <f aca="false">B11*0.89</f>
        <v>63984.236</v>
      </c>
    </row>
    <row r="12" customFormat="false" ht="15" hidden="false" customHeight="true" outlineLevel="0" collapsed="false">
      <c r="A12" s="26" t="s">
        <v>56</v>
      </c>
      <c r="B12" s="29" t="n">
        <v>74.3</v>
      </c>
      <c r="C12" s="27" t="n">
        <f aca="false">B12*0.89</f>
        <v>66.127</v>
      </c>
    </row>
    <row r="13" customFormat="false" ht="15" hidden="false" customHeight="true" outlineLevel="0" collapsed="false">
      <c r="A13" s="26" t="s">
        <v>57</v>
      </c>
      <c r="B13" s="29" t="n">
        <v>58724.6</v>
      </c>
      <c r="C13" s="27" t="n">
        <f aca="false">B13*0.89</f>
        <v>52264.894</v>
      </c>
    </row>
    <row r="14" customFormat="false" ht="15" hidden="false" customHeight="true" outlineLevel="0" collapsed="false">
      <c r="A14" s="26" t="s">
        <v>58</v>
      </c>
      <c r="B14" s="29" t="n">
        <v>-823.8</v>
      </c>
      <c r="C14" s="27" t="n">
        <f aca="false">B14*0.89</f>
        <v>-733.182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22" t="s">
        <v>80</v>
      </c>
    </row>
    <row r="2" customFormat="false" ht="15" hidden="false" customHeight="true" outlineLevel="0" collapsed="false">
      <c r="A2" s="24" t="s">
        <v>81</v>
      </c>
      <c r="D2" s="24" t="s">
        <v>82</v>
      </c>
    </row>
    <row r="3" customFormat="false" ht="15" hidden="false" customHeight="true" outlineLevel="0" collapsed="false">
      <c r="A3" s="30" t="s">
        <v>61</v>
      </c>
      <c r="D3" s="29" t="n">
        <v>65635.87</v>
      </c>
    </row>
    <row r="4" customFormat="false" ht="15" hidden="false" customHeight="true" outlineLevel="0" collapsed="false">
      <c r="A4" s="30" t="s">
        <v>62</v>
      </c>
      <c r="D4" s="29" t="n">
        <v>73969</v>
      </c>
    </row>
    <row r="5" customFormat="false" ht="15" hidden="false" customHeight="true" outlineLevel="0" collapsed="false">
      <c r="A5" s="30" t="s">
        <v>63</v>
      </c>
      <c r="D5" s="29" t="n">
        <v>10025.73</v>
      </c>
    </row>
    <row r="6" customFormat="false" ht="15" hidden="false" customHeight="true" outlineLevel="0" collapsed="false">
      <c r="A6" s="30" t="s">
        <v>64</v>
      </c>
      <c r="D6" s="29" t="n">
        <v>3863.17</v>
      </c>
    </row>
    <row r="7" customFormat="false" ht="15" hidden="false" customHeight="true" outlineLevel="0" collapsed="false">
      <c r="A7" s="30" t="s">
        <v>65</v>
      </c>
      <c r="D7" s="29" t="n">
        <v>5105.8</v>
      </c>
    </row>
    <row r="8" customFormat="false" ht="15" hidden="false" customHeight="true" outlineLevel="0" collapsed="false">
      <c r="A8" s="30" t="s">
        <v>66</v>
      </c>
      <c r="D8" s="29" t="n">
        <v>15387.88</v>
      </c>
    </row>
    <row r="9" customFormat="false" ht="15" hidden="false" customHeight="true" outlineLevel="0" collapsed="false">
      <c r="A9" s="30" t="s">
        <v>67</v>
      </c>
      <c r="D9" s="29" t="n">
        <v>478.2</v>
      </c>
    </row>
    <row r="10" customFormat="false" ht="15" hidden="false" customHeight="true" outlineLevel="0" collapsed="false">
      <c r="A10" s="30" t="s">
        <v>68</v>
      </c>
      <c r="D10" s="29" t="n">
        <v>-4274.12</v>
      </c>
    </row>
    <row r="11" customFormat="false" ht="15" hidden="false" customHeight="true" outlineLevel="0" collapsed="false">
      <c r="A11" s="30" t="s">
        <v>69</v>
      </c>
      <c r="D11" s="29" t="n">
        <v>392888.3</v>
      </c>
    </row>
    <row r="12" customFormat="false" ht="15" hidden="false" customHeight="true" outlineLevel="0" collapsed="false">
      <c r="A12" s="30" t="s">
        <v>70</v>
      </c>
      <c r="D12" s="29" t="n">
        <v>398018.329999997</v>
      </c>
    </row>
    <row r="13" customFormat="false" ht="15" hidden="false" customHeight="true" outlineLevel="0" collapsed="false">
      <c r="A13" s="30" t="s">
        <v>71</v>
      </c>
      <c r="D13" s="29" t="n">
        <v>1741.74</v>
      </c>
    </row>
    <row r="14" customFormat="false" ht="15" hidden="false" customHeight="true" outlineLevel="0" collapsed="false">
      <c r="A14" s="30" t="s">
        <v>72</v>
      </c>
      <c r="D14" s="29" t="n">
        <v>19451.36</v>
      </c>
    </row>
    <row r="15" customFormat="false" ht="15" hidden="false" customHeight="true" outlineLevel="0" collapsed="false">
      <c r="A15" s="30" t="s">
        <v>73</v>
      </c>
      <c r="D15" s="29" t="n">
        <v>221407.78</v>
      </c>
    </row>
    <row r="16" customFormat="false" ht="15" hidden="false" customHeight="true" outlineLevel="0" collapsed="false">
      <c r="A16" s="30" t="s">
        <v>74</v>
      </c>
      <c r="D16" s="29" t="n">
        <v>41960.14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48"/>
  </cols>
  <sheetData>
    <row r="1" customFormat="false" ht="15" hidden="false" customHeight="false" outlineLevel="0" collapsed="false">
      <c r="A1" s="31" t="s">
        <v>83</v>
      </c>
    </row>
    <row r="2" customFormat="false" ht="15" hidden="false" customHeight="false" outlineLevel="0" collapsed="false">
      <c r="A2" s="32" t="s">
        <v>75</v>
      </c>
      <c r="B2" s="32" t="s">
        <v>84</v>
      </c>
      <c r="C2" s="32" t="s">
        <v>77</v>
      </c>
    </row>
    <row r="3" customFormat="false" ht="15" hidden="false" customHeight="false" outlineLevel="0" collapsed="false">
      <c r="A3" s="33" t="s">
        <v>82</v>
      </c>
      <c r="B3" s="34" t="n">
        <v>79639.6</v>
      </c>
      <c r="C3" s="35" t="s">
        <v>85</v>
      </c>
    </row>
    <row r="4" customFormat="false" ht="15" hidden="false" customHeight="false" outlineLevel="0" collapsed="false">
      <c r="A4" s="33" t="s">
        <v>86</v>
      </c>
      <c r="B4" s="34" t="n">
        <v>-5069.77</v>
      </c>
      <c r="C4" s="35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2026-08-01T13:28:43Z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