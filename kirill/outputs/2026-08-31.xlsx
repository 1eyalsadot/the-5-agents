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אוגוסט 2026</t>
        </is>
      </c>
      <c r="C1" s="38" t="n"/>
    </row>
    <row r="2" ht="14.25" customHeight="1" s="36">
      <c r="A2" s="39" t="inlineStr">
        <is>
          <t>#</t>
        </is>
      </c>
      <c r="B2" s="40" t="n">
        <v>46265</v>
      </c>
      <c r="C2" s="41" t="n">
        <v>8.2026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SUMIF(Pplay1!$F$3:$F$14,A3,Pplay1!$H$3:$H$14)+SUMIF(ריכוז!$B$3:$B$30,A3,ריכוז!$C$3:$C$30)</f>
        <v/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SUMIF(Pplay1!$F$3:$F$14,A4,Pplay1!$H$3:$H$14)+SUMIF(ריכוז!$B$3:$B$30,A4,ריכוז!$C$3:$C$30)</f>
        <v/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SUMIF(Pplay1!$F$3:$F$14,A5,Pplay1!$H$3:$H$14)+SUMIF(ריכוז!$B$3:$B$30,A5,ריכוז!$C$3:$C$30)</f>
        <v/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SUMIF(Pplay1!$F$3:$F$14,A6,Pplay1!$H$3:$H$14)+SUMIF(ריכוז!$B$3:$B$30,A6,ריכוז!$C$3:$C$30)</f>
        <v/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SUMIF(Pplay1!$F$3:$F$14,A7,Pplay1!$H$3:$H$14)+SUMIF(ריכוז!$B$3:$B$30,A7,ריכוז!$C$3:$C$30)</f>
        <v/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SUMIF(Pplay1!$F$3:$F$14,A8,Pplay1!$H$3:$H$14)+SUMIF(ריכוז!$B$3:$B$30,A8,ריכוז!$C$3:$C$30)</f>
        <v/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SUMIF(Pplay1!$F$3:$F$14,A9,Pplay1!$H$3:$H$14)+SUMIF(ריכוז!$B$3:$B$30,A9,ריכוז!$C$3:$C$30)</f>
        <v/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SUMIF(Pplay1!$F$3:$F$14,A10,Pplay1!$H$3:$H$14)+SUMIF(ריכוז!$B$3:$B$30,A10,ריכוז!$C$3:$C$30)</f>
        <v/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SUMIF(Pplay1!$F$3:$F$14,A11,Pplay1!$H$3:$H$14)+SUMIF(ריכוז!$B$3:$B$30,A11,ריכוז!$C$3:$C$30)</f>
        <v/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SUMIF(Pplay1!$F$3:$F$14,A12,Pplay1!$H$3:$H$14)+SUMIF(ריכוז!$B$3:$B$30,A12,ריכוז!$C$3:$C$30)</f>
        <v/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SUMIF(Pplay1!$F$3:$F$14,A13,Pplay1!$H$3:$H$14)+SUMIF(ריכוז!$B$3:$B$30,A13,ריכוז!$C$3:$C$30)</f>
        <v/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SUMIF(Pplay1!$F$3:$F$14,A14,Pplay1!$H$3:$H$14)+SUMIF(ריכוז!$B$3:$B$30,A14,ריכוז!$C$3:$C$30)</f>
        <v/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SUMIF(Pplay1!$F$3:$F$14,A15,Pplay1!$H$3:$H$14)+SUMIF(ריכוז!$B$3:$B$30,A15,ריכוז!$C$3:$C$30)</f>
        <v/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/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SUMIF(Pplay1!$F$3:$F$14,A17,Pplay1!$H$3:$H$14)+SUMIF(ריכוז!$B$3:$B$30,A17,ריכוז!$C$3:$C$30)</f>
        <v/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SUMIF(Pplay1!$F$3:$F$14,A18,Pplay1!$H$3:$H$14)+SUMIF(ריכוז!$B$3:$B$30,A18,ריכוז!$C$3:$C$30)</f>
        <v/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/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/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SUMIF(Pplay1!$F$3:$F$14,A21,Pplay1!$H$3:$H$14)+SUMIF(ריכוז!$B$3:$B$30,A21,ריכוז!$C$3:$C$30)</f>
        <v/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SUMIF(Pplay1!$F$3:$F$14,A22,Pplay1!$H$3:$H$14)+SUMIF(ריכוז!$B$3:$B$30,A22,ריכוז!$C$3:$C$30)</f>
        <v/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SUMIF(Pplay1!$F$3:$F$14,A23,Pplay1!$H$3:$H$14)+SUMIF(ריכוז!$B$3:$B$30,A23,ריכוז!$C$3:$C$30)</f>
        <v/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SUMIF(Pplay1!$F$3:$F$14,A24,Pplay1!$H$3:$H$14)+SUMIF(ריכוז!$B$3:$B$30,A24,ריכוז!$C$3:$C$30)</f>
        <v/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SUMIF(Pplay1!$F$3:$F$14,A25,Pplay1!$H$3:$H$14)+SUMIF(ריכוז!$B$3:$B$30,A25,ריכוז!$C$3:$C$30)</f>
        <v/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SUMIF(Pplay1!$F$3:$F$14,A26,Pplay1!$H$3:$H$14)+SUMIF(ריכוז!$B$3:$B$30,A26,ריכוז!$C$3:$C$30)</f>
        <v/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SUMIF(Pplay1!$F$3:$F$14,A27,Pplay1!$H$3:$H$14)+SUMIF(ריכוז!$B$3:$B$30,A27,ריכוז!$C$3:$C$30)</f>
        <v/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SUMIF(Pplay1!$F$3:$F$14,A28,Pplay1!$H$3:$H$14)+SUMIF(ריכוז!$B$3:$B$30,A28,ריכוז!$C$3:$C$30)</f>
        <v/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SUMIF(Pplay1!$F$3:$F$14,A29,Pplay1!$H$3:$H$14)+SUMIF(ריכוז!$B$3:$B$30,A29,ריכוז!$C$3:$C$30)</f>
        <v/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SUMIF(Pplay1!$F$3:$F$14,A30,Pplay1!$H$3:$H$14)+SUMIF(ריכוז!$B$3:$B$30,A30,ריכוז!$C$3:$C$30)</f>
        <v/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SUMIF(Pplay1!$F$3:$F$14,A31,Pplay1!$H$3:$H$14)+SUMIF(ריכוז!$B$3:$B$30,A31,ריכוז!$C$3:$C$30)</f>
        <v/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SUMIF(Pplay1!$F$3:$F$14,A32,Pplay1!$H$3:$H$14)+SUMIF(ריכוז!$B$3:$B$30,A32,ריכוז!$C$3:$C$30)</f>
        <v/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SUMIF(Pplay1!$F$3:$F$14,A33,Pplay1!$H$3:$H$14)+SUMIF(ריכוז!$B$3:$B$30,A33,ריכוז!$C$3:$C$30)</f>
        <v/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SUMIF(Pplay1!$F$3:$F$14,A34,Pplay1!$H$3:$H$14)+SUMIF(ריכוז!$B$3:$B$30,A34,ריכוז!$C$3:$C$30)</f>
        <v/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SUMIF(Pplay1!$F$3:$F$14,A35,Pplay1!$H$3:$H$14)+SUMIF(ריכוז!$B$3:$B$30,A35,ריכוז!$C$3:$C$30)</f>
        <v/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SUMIF(Pplay1!$F$3:$F$14,A36,Pplay1!$H$3:$H$14)+SUMIF(ריכוז!$B$3:$B$30,A36,ריכוז!$C$3:$C$30)</f>
        <v/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SUMIF(Pplay1!$F$3:$F$14,A37,Pplay1!$H$3:$H$14)+SUMIF(ריכוז!$B$3:$B$30,A37,ריכוז!$C$3:$C$30)</f>
        <v/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SUMIF(Pplay1!$F$3:$F$14,A38,Pplay1!$H$3:$H$14)+SUMIF(ריכוז!$B$3:$B$30,A38,ריכוז!$C$3:$C$30)</f>
        <v/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SUMIF(Pplay1!$F$3:$F$14,A39,Pplay1!$H$3:$H$14)+SUMIF(ריכוז!$B$3:$B$30,A39,ריכוז!$C$3:$C$30)</f>
        <v/>
      </c>
    </row>
    <row r="40" ht="15" customHeight="1" s="36">
      <c r="A40" s="46" t="n"/>
      <c r="B40" s="52" t="inlineStr">
        <is>
          <t>סה"כ חו"ל</t>
        </is>
      </c>
      <c r="C40" s="53">
        <f>SUM(C20:C39)</f>
        <v/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/>
      </c>
      <c r="G3" s="62">
        <f>IFERROR(INDEX(PPLAY1_מקור!$B:$B,MATCH(A3,PPLAY1_מקור!$A:$A,0)),"")</f>
        <v/>
      </c>
      <c r="H3" s="62">
        <f>IF(G3="","",G3*0.91)</f>
        <v/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/>
      </c>
      <c r="G4" s="62">
        <f>IFERROR(INDEX(PPLAY1_מקור!$B:$B,MATCH(A4,PPLAY1_מקור!$A:$A,0)),"")</f>
        <v/>
      </c>
      <c r="H4" s="62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>
        <f>IF(B5&lt;&gt;"",B5,IF(C5&lt;&gt;"",C5,IF(D5&lt;&gt;"",D5,IF(E5&lt;&gt;"",E5,""))))</f>
        <v/>
      </c>
      <c r="G5" s="62">
        <f>IFERROR(INDEX(PPLAY1_מקור!$B:$B,MATCH(A5,PPLAY1_מקור!$A:$A,0)),"")</f>
        <v/>
      </c>
      <c r="H5" s="62">
        <f>IF(G5="","",G5*0.91)</f>
        <v/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/>
      </c>
      <c r="G6" s="62">
        <f>IFERROR(INDEX(PPLAY1_מקור!$B:$B,MATCH(A6,PPLAY1_מקור!$A:$A,0)),"")</f>
        <v/>
      </c>
      <c r="H6" s="62">
        <f>IF(G6="","",G6*0.91)</f>
        <v/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/>
      </c>
      <c r="G7" s="62">
        <f>IFERROR(INDEX(PPLAY1_מקור!$B:$B,MATCH(A7,PPLAY1_מקור!$A:$A,0)),"")</f>
        <v/>
      </c>
      <c r="H7" s="62">
        <f>IF(G7="","",G7*0.91)</f>
        <v/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/>
      </c>
      <c r="G8" s="62">
        <f>IFERROR(INDEX(PPLAY1_מקור!$B:$B,MATCH(A8,PPLAY1_מקור!$A:$A,0)),"")</f>
        <v/>
      </c>
      <c r="H8" s="62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/>
      </c>
      <c r="G9" s="62">
        <f>IFERROR(INDEX(PPLAY1_מקור!$B:$B,MATCH(A9,PPLAY1_מקור!$A:$A,0)),"")</f>
        <v/>
      </c>
      <c r="H9" s="62">
        <f>IF(G9="","",G9*0.91)</f>
        <v/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/>
      </c>
      <c r="G10" s="62">
        <f>IFERROR(INDEX(PPLAY1_מקור!$B:$B,MATCH(A10,PPLAY1_מקור!$A:$A,0)),"")</f>
        <v/>
      </c>
      <c r="H10" s="62">
        <f>IF(G10="","",G10*0.91)</f>
        <v/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/>
      </c>
      <c r="G11" s="62">
        <f>IFERROR(INDEX(PPLAY1_מקור!$B:$B,MATCH(A11,PPLAY1_מקור!$A:$A,0)),"")</f>
        <v/>
      </c>
      <c r="H11" s="62">
        <f>IF(G11="","",G11*0.91)</f>
        <v/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/>
      </c>
      <c r="G12" s="62">
        <f>IFERROR(INDEX(PPLAY1_מקור!$B:$B,MATCH(A12,PPLAY1_מקור!$A:$A,0)),"")</f>
        <v/>
      </c>
      <c r="H12" s="62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/>
      </c>
      <c r="G13" s="62">
        <f>IFERROR(INDEX(PPLAY1_מקור!$B:$B,MATCH(A13,PPLAY1_מקור!$A:$A,0)),"")</f>
        <v/>
      </c>
      <c r="H13" s="62">
        <f>IF(G13="","",G13*0.91)</f>
        <v/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/>
      </c>
      <c r="G14" s="62">
        <f>IFERROR(INDEX(PPLAY1_מקור!$B:$B,MATCH(A14,PPLAY1_מקור!$A:$A,0)),"")</f>
        <v/>
      </c>
      <c r="H14" s="62">
        <f>IF(G14="","",G14*0.91)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/>
      </c>
    </row>
    <row r="4" ht="14.25" customHeight="1" s="36">
      <c r="A4" s="63" t="inlineStr">
        <is>
          <t>111 - Superpharm Life</t>
        </is>
      </c>
      <c r="B4" s="35" t="n">
        <v>5</v>
      </c>
      <c r="C4" s="62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/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/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/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/>
      </c>
    </row>
    <row r="9" ht="14.25" customHeight="1" s="36">
      <c r="A9" s="63" t="inlineStr">
        <is>
          <t>106 - Hospitals</t>
        </is>
      </c>
      <c r="B9" s="35" t="n">
        <v>13</v>
      </c>
      <c r="C9" s="62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r="C10" s="62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/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/>
      </c>
    </row>
    <row r="13" ht="14.25" customHeight="1" s="36">
      <c r="A13" s="63" t="inlineStr">
        <is>
          <t>115-SuperPharm Online</t>
        </is>
      </c>
      <c r="B13" s="35" t="n">
        <v>12</v>
      </c>
      <c r="C13" s="62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/>
      </c>
    </row>
    <row r="17" ht="14.25" customHeight="1" s="36">
      <c r="A17" s="63" t="inlineStr">
        <is>
          <t>202 - Super-Pharm POLAND</t>
        </is>
      </c>
      <c r="B17" s="35" t="n">
        <v>20</v>
      </c>
      <c r="C17" s="64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(3479c89b), "PPlay1 of uriel (Reporter)", נוצר 01/09/2026 07:55:23, תקופה 2026/Aug (סגירת אוגוסט מלאה — MTD 1-31 באוגוסט). חותמת הזמן אומתה מול תאריך ההכנה שנמסר (01/09/2026) — תואמת במדויק, אין אי-התאמה. תוכן זה הוא סגירת אוגוסט 2026 — לכן הקובץ נשמר בתור 2026-08-31.xlsx (תאריך התוכן בפועל, לפי הבהרת המשתמש), ו-B1 בגיליון סה"כ נשאר "דוח מכירות אוגוסט 2026" (אושר במפורש ע"י המשתמש/ראובן); מהדוח הבא (ברגע שמקורות הדאטה יראו נתוני ספטמבר בפועל) B1 יעבור ל"ספטמבר 2026" וה-C41 יתחיל להצטבר כמעט מאפס — זו התחלת חודש רגילה, לא שגיאה.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30/08, אותן 10 קטגוריות בדיוק, ללא קטגוריה חדשה — עלייה טבעית בסכומים המצטברים (MTD, כעת סגורים לכל החודש) בכל השורות. שורת "Customers" בדוח המקור (₪903,136.0) היא שורת סה"כ-אב ואינה שווה לסכום שורות הקטגוריה — כפי שהיה גם בדוחות הקודמים, זו שורת מטה-דוח שאינה תואמת אף ערך במקרא ולכן לא יובאה. שורה נוספת בדוח המקור, "זיכויים BE" (₪-17,252.0, ללא שינוי מ-27/08 ואילך), שוב אינה תואמת אף ערך במקרא הקבוע (12 הקטגוריות) — הוחרגה לפי מוסכמת "שם תואם בדיוק למקרא". מכר נטו = עמודה B × 0.91 (מקדם קבוע, מאושר ב-kirill.md). הערת שקיפות טכנית: LibreOffice שבור בסביבה ברמת תשתית (נכשל גם על קובץ ריק לגמרי) — הקובץ הגולמי נקרא ישירות ע"י תיקון ידני של ערך צבע לא-תקני (rgb="auto") בתוך xl/styles.xml, ללא שימוש ב-LibreOffice. recalc.py לא ניתן היה להריץ מאותה סיבה (timeout/כשל מיידי) — כל הערכים אומתו ידנית ב-Python לפי הנוסחאות המדויקות בקובץ; הנוסחאות עצמן חיות ותקינות ויחושבו אוטומטית בפתיחה ראשונה ב-Excel/LibreOffice תקין.</t>
        </is>
      </c>
      <c r="B1" s="59" t="inlineStr">
        <is>
          <t>2026/Aug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148904.6</v>
      </c>
      <c r="C2" s="62">
        <f>B2*0.91</f>
        <v/>
      </c>
      <c r="D2" s="65" t="n"/>
    </row>
    <row r="3" ht="14.25" customHeight="1" s="36">
      <c r="A3" s="61" t="inlineStr">
        <is>
          <t>0מפיצי משנה</t>
        </is>
      </c>
      <c r="B3" s="62" t="n">
        <v>687.8</v>
      </c>
      <c r="C3" s="62">
        <f>B3*0.91</f>
        <v/>
      </c>
    </row>
    <row r="4" ht="14.25" customHeight="1" s="36">
      <c r="A4" s="61" t="inlineStr">
        <is>
          <t>0פארמים</t>
        </is>
      </c>
      <c r="B4" s="62" t="n">
        <v>678024.3</v>
      </c>
      <c r="C4" s="62">
        <f>B4*0.91</f>
        <v/>
      </c>
    </row>
    <row r="5" ht="14.25" customHeight="1" s="36">
      <c r="A5" s="61" t="inlineStr">
        <is>
          <t>אילת BE</t>
        </is>
      </c>
      <c r="B5" s="62" t="n">
        <v>3583.7</v>
      </c>
      <c r="C5" s="62">
        <f>B5*0.91</f>
        <v/>
      </c>
    </row>
    <row r="6" ht="14.25" customHeight="1" s="36">
      <c r="A6" s="61" t="inlineStr">
        <is>
          <t>גוד פארם</t>
        </is>
      </c>
      <c r="B6" s="62" t="n">
        <v>58.9</v>
      </c>
      <c r="C6" s="62">
        <f>B6*0.91</f>
        <v/>
      </c>
    </row>
    <row r="7" ht="14.25" customHeight="1" s="36">
      <c r="A7" s="61" t="inlineStr">
        <is>
          <t>גוד פארם מרכז</t>
        </is>
      </c>
      <c r="B7" s="62" t="n">
        <v>3566.8</v>
      </c>
      <c r="C7" s="62">
        <f>B7*0.91</f>
        <v/>
      </c>
    </row>
    <row r="8" ht="14.25" customHeight="1" s="36">
      <c r="A8" s="61" t="inlineStr">
        <is>
          <t>הפרכל הפרפארם</t>
        </is>
      </c>
      <c r="B8" s="62" t="n">
        <v>526.9</v>
      </c>
      <c r="C8" s="62">
        <f>B8*0.91</f>
        <v/>
      </c>
    </row>
    <row r="9" ht="14.25" customHeight="1" s="36">
      <c r="A9" s="61" t="inlineStr">
        <is>
          <t>סופרפארם</t>
        </is>
      </c>
      <c r="B9" s="62" t="n">
        <v>600564.3</v>
      </c>
      <c r="C9" s="62">
        <f>B9*0.91</f>
        <v/>
      </c>
    </row>
    <row r="10" ht="14.25" customHeight="1" s="36">
      <c r="A10" s="61" t="inlineStr">
        <is>
          <t>שופרסל BE</t>
        </is>
      </c>
      <c r="B10" s="62" t="n">
        <v>86975.8</v>
      </c>
      <c r="C10" s="62">
        <f>B10*0.91</f>
        <v/>
      </c>
    </row>
    <row r="11" ht="14.25" customHeight="1" s="36">
      <c r="A11" s="35" t="inlineStr">
        <is>
          <t>0קופות חולים</t>
        </is>
      </c>
      <c r="B11" s="35" t="n">
        <v>75519.3</v>
      </c>
      <c r="C11" s="35">
        <f>B11*0.91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CustomSalesbyCustomerSummary736.xls (e9fe2585), Meditex Group IL, Custom Sales by Customer Summary, 01 August 2026 - 31 August 2026 (סגירת אוגוסט מלאה), נמסר בבוקר שלמחרת (01/09/2026) ונשמר תחת תאריך התוכן 31/08/2026, לפי הבהרת המשתמש. הקובץ הוא בפועל SpreadsheetML XML עם סיומת .xls (לא בינארי) — נפרס ישירות עם xml.etree.ElementTree ללא צורך ב-LibreOffice (שבור בסביבה ברמת תשתית). נשלפו 16 שורות הסיכום (קטגוריה) שיש להן מכירות עד כה החודש, מתוך 28 הקטגוריות במקרא "ריכוז" (12 הקטגוריות הנותרות אין להן מכירות עדיין החודש — תקין ל-MTD, לא נתון חסר). לעומת 30/08, אותן 16 קטגוריות בדיוק — עלייה טבעית בסכומים המצטברים בכל השורות (כעת סגורים לכל החודש). לא יובאו שורות פירוט חשבוניות/לקוחות-בת מהדוח הגולמי (2,380 שורות בקובץ המקור), לפי מוסכמת עבודה. סה"כ שורת "Total" בדוח הגולמי המלא: ₪1,325,699.70 — תואם בדיוק לסכום 16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76847.55</v>
      </c>
    </row>
    <row r="4" ht="15" customHeight="1" s="36">
      <c r="A4" s="61" t="inlineStr">
        <is>
          <t>111 - Superpharm Life</t>
        </is>
      </c>
      <c r="D4" s="64" t="n">
        <v>299421.55</v>
      </c>
    </row>
    <row r="5" ht="15" customHeight="1" s="36">
      <c r="A5" s="61" t="inlineStr">
        <is>
          <t>103 - Physiotherapy institutes</t>
        </is>
      </c>
      <c r="D5" s="64" t="n">
        <v>10118.69</v>
      </c>
    </row>
    <row r="6" ht="15" customHeight="1" s="36">
      <c r="A6" s="61" t="inlineStr">
        <is>
          <t>101 - Factory customers</t>
        </is>
      </c>
      <c r="D6" s="64" t="n">
        <v>4321.85</v>
      </c>
    </row>
    <row r="7" ht="15" customHeight="1" s="36">
      <c r="A7" s="61" t="inlineStr">
        <is>
          <t>107 - Pharmacies</t>
        </is>
      </c>
      <c r="D7" s="64" t="n">
        <v>16310.32</v>
      </c>
    </row>
    <row r="8" ht="15" customHeight="1" s="36">
      <c r="A8" s="61" t="inlineStr">
        <is>
          <t>112 - Kupat Holim Clalit</t>
        </is>
      </c>
      <c r="D8" s="64" t="n">
        <v>295436</v>
      </c>
    </row>
    <row r="9" ht="15" customHeight="1" s="36">
      <c r="A9" s="61" t="inlineStr">
        <is>
          <t>114 - IL online</t>
        </is>
      </c>
      <c r="D9" s="64" t="n">
        <v>391167.74</v>
      </c>
    </row>
    <row r="10" ht="14.25" customHeight="1" s="36">
      <c r="A10" s="61" t="inlineStr">
        <is>
          <t>115-SuperPharm Online</t>
        </is>
      </c>
      <c r="D10" s="64" t="n">
        <v>1484.7</v>
      </c>
    </row>
    <row r="11" ht="14.25" customHeight="1" s="36">
      <c r="A11" s="61" t="inlineStr">
        <is>
          <t>202 - Super-Pharm POLAND</t>
        </is>
      </c>
      <c r="D11" s="64" t="n">
        <v>132101.57</v>
      </c>
    </row>
    <row r="12" ht="14.25" customHeight="1" s="36">
      <c r="A12" s="66" t="inlineStr">
        <is>
          <t>214 - Alfred Gera&amp; Sons Ltd. MALTA</t>
        </is>
      </c>
      <c r="B12" s="67" t="n"/>
      <c r="C12" s="67" t="n"/>
      <c r="D12" s="68" t="n">
        <v>26105.72</v>
      </c>
      <c r="E12" s="69" t="n"/>
    </row>
    <row r="13" ht="14.25" customHeight="1" s="36">
      <c r="A13" s="66" t="inlineStr">
        <is>
          <t>213 - E.f.m.o. SPAIN</t>
        </is>
      </c>
      <c r="B13" s="67" t="n"/>
      <c r="C13" s="67" t="n"/>
      <c r="D13" s="68" t="n">
        <v>18350.05</v>
      </c>
      <c r="E13" s="69" t="n"/>
    </row>
    <row r="14" ht="14.25" customHeight="1" s="36">
      <c r="A14" s="61" t="inlineStr">
        <is>
          <t>209 - Ortoprofil Prod ROMANIA</t>
        </is>
      </c>
      <c r="D14" s="62" t="n">
        <v>30237.69</v>
      </c>
    </row>
    <row r="15" ht="14.25" customHeight="1" s="36">
      <c r="A15" s="61" t="inlineStr">
        <is>
          <t>109 - Private Shops</t>
        </is>
      </c>
      <c r="D15" s="62" t="n">
        <v>2043.68</v>
      </c>
    </row>
    <row r="16" ht="14.25" customHeight="1" s="36">
      <c r="A16" s="35" t="inlineStr">
        <is>
          <t>203 - Ortho- Partner ag SWITZERLAND</t>
        </is>
      </c>
      <c r="D16" s="35" t="n">
        <v>10986.57</v>
      </c>
    </row>
    <row r="17" ht="14.25" customHeight="1" s="36">
      <c r="A17" s="35" t="inlineStr">
        <is>
          <t>105 - Pedicure Salons</t>
        </is>
      </c>
      <c r="D17" s="35" t="n">
        <v>728.87</v>
      </c>
    </row>
    <row r="18" ht="14.25" customHeight="1" s="36">
      <c r="A18" s="35" t="inlineStr">
        <is>
          <t>211 - Pharmag Lachmair Ges. Mbh AUSTRIA</t>
        </is>
      </c>
      <c r="D18" s="35" t="n">
        <v>10037.15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1-31 August 2026" (סגירת אוגוסט מלאה — נלקח בבוקר שלמחרת, 01/09/2026, ונשמר תחת תאריך התוכן 31/08/2026 לפי הבהרת המשתמש).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-8.2% מול תקופה קודמת, Orders/Units 2,333/2,396, Refunds 182, Est. payout $25,150.65, Gross profit $11,915.79, Net profit $11,915.79 (-2.8%)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72936.42999999999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-5405.68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2026-09-01T05:40:16Z</dcterms:modified>
  <cp:lastModifiedBy>Eyal Sadot</cp:lastModifiedBy>
  <cp:revision>0</cp:revision>
</cp:coreProperties>
</file>