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ספטמבר 2026</t>
        </is>
      </c>
      <c r="C1" s="38" t="n"/>
    </row>
    <row r="2" ht="14.25" customHeight="1" s="36">
      <c r="A2" s="39" t="inlineStr">
        <is>
          <t>#</t>
        </is>
      </c>
      <c r="B2" s="40" t="n">
        <v>46272</v>
      </c>
      <c r="C2" s="41" t="n">
        <v>9.2026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SUMIF(Pplay1!$F$3:$F$15,A3,Pplay1!$H$3:$H$15)+SUMIF(ריכוז!$B$3:$B$30,A3,ריכוז!$C$3:$C$30)</f>
        <v>0</v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SUMIF(Pplay1!$F$3:$F$15,A4,Pplay1!$H$3:$H$15)+SUMIF(ריכוז!$B$3:$B$30,A4,ריכוז!$C$3:$C$30)</f>
        <v>47011.055</v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SUMIF(Pplay1!$F$3:$F$15,A5,Pplay1!$H$3:$H$15)+SUMIF(ריכוז!$B$3:$B$30,A5,ריכוז!$C$3:$C$30)</f>
        <v>6953.765</v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SUMIF(Pplay1!$F$3:$F$15,A6,Pplay1!$H$3:$H$15)+SUMIF(ריכוז!$B$3:$B$30,A6,ריכוז!$C$3:$C$30)</f>
        <v>20827.075</v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SUMIF(Pplay1!$F$3:$F$15,A7,Pplay1!$H$3:$H$15)+SUMIF(ריכוז!$B$3:$B$30,A7,ריכוז!$C$3:$C$30)</f>
        <v>67697.40000000001</v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SUMIF(Pplay1!$F$3:$F$15,A8,Pplay1!$H$3:$H$15)+SUMIF(ריכוז!$B$3:$B$30,A8,ריכוז!$C$3:$C$30)</f>
        <v>11597.404</v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SUMIF(Pplay1!$F$3:$F$15,A9,Pplay1!$H$3:$H$15)+SUMIF(ריכוז!$B$3:$B$30,A9,ריכוז!$C$3:$C$30)</f>
        <v>11103.57</v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SUMIF(Pplay1!$F$3:$F$15,A10,Pplay1!$H$3:$H$15)+SUMIF(ריכוז!$B$3:$B$30,A10,ריכוז!$C$3:$C$30)</f>
        <v>1916.38</v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SUMIF(Pplay1!$F$3:$F$15,A11,Pplay1!$H$3:$H$15)+SUMIF(ריכוז!$B$3:$B$30,A11,ריכוז!$C$3:$C$30)</f>
        <v>4763.620000000001</v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SUMIF(Pplay1!$F$3:$F$15,A12,Pplay1!$H$3:$H$15)+SUMIF(ריכוז!$B$3:$B$30,A12,ריכוז!$C$3:$C$30)</f>
        <v>0</v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SUMIF(Pplay1!$F$3:$F$15,A13,Pplay1!$H$3:$H$15)+SUMIF(ריכוז!$B$3:$B$30,A13,ריכוז!$C$3:$C$30)</f>
        <v>0</v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SUMIF(Pplay1!$F$3:$F$15,A14,Pplay1!$H$3:$H$15)+SUMIF(ריכוז!$B$3:$B$30,A14,ריכוז!$C$3:$C$30)</f>
        <v>0</v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SUMIF(Pplay1!$F$3:$F$15,A15,Pplay1!$H$3:$H$15)+SUMIF(ריכוז!$B$3:$B$30,A15,ריכוז!$C$3:$C$30)</f>
        <v>4753.73</v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>176623.99900000004</v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SUMIF(Pplay1!$F$3:$F$15,A17,Pplay1!$H$3:$H$15)+SUMIF(ריכוז!$B$3:$B$30,A17,ריכוז!$C$3:$C$30)</f>
        <v>65553.70999999988</v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SUMIF(Pplay1!$F$3:$F$15,A18,Pplay1!$H$3:$H$15)+SUMIF(ריכוז!$B$3:$B$30,A18,ריכוז!$C$3:$C$30)</f>
        <v>0</v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>242177.70899999992</v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>39107.58</v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SUMIF(Pplay1!$F$3:$F$15,A21,Pplay1!$H$3:$H$15)+SUMIF(ריכוז!$B$3:$B$30,A21,ריכוז!$C$3:$C$30)</f>
        <v>0</v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SUMIF(Pplay1!$F$3:$F$15,A22,Pplay1!$H$3:$H$15)+SUMIF(ריכוז!$B$3:$B$30,A22,ריכוז!$C$3:$C$30)</f>
        <v>0</v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SUMIF(Pplay1!$F$3:$F$15,A23,Pplay1!$H$3:$H$15)+SUMIF(ריכוז!$B$3:$B$30,A23,ריכוז!$C$3:$C$30)</f>
        <v>0</v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SUMIF(Pplay1!$F$3:$F$15,A24,Pplay1!$H$3:$H$15)+SUMIF(ריכוז!$B$3:$B$30,A24,ריכוז!$C$3:$C$30)</f>
        <v>0</v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SUMIF(Pplay1!$F$3:$F$15,A25,Pplay1!$H$3:$H$15)+SUMIF(ריכוז!$B$3:$B$30,A25,ריכוז!$C$3:$C$30)</f>
        <v>0</v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SUMIF(Pplay1!$F$3:$F$15,A26,Pplay1!$H$3:$H$15)+SUMIF(ריכוז!$B$3:$B$30,A26,ריכוז!$C$3:$C$30)</f>
        <v>0</v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SUMIF(Pplay1!$F$3:$F$15,A27,Pplay1!$H$3:$H$15)+SUMIF(ריכוז!$B$3:$B$30,A27,ריכוז!$C$3:$C$30)</f>
        <v>0</v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SUMIF(Pplay1!$F$3:$F$15,A28,Pplay1!$H$3:$H$15)+SUMIF(ריכוז!$B$3:$B$30,A28,ריכוז!$C$3:$C$30)</f>
        <v>0</v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SUMIF(Pplay1!$F$3:$F$15,A29,Pplay1!$H$3:$H$15)+SUMIF(ריכוז!$B$3:$B$30,A29,ריכוז!$C$3:$C$30)</f>
        <v>25430.19</v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SUMIF(Pplay1!$F$3:$F$15,A30,Pplay1!$H$3:$H$15)+SUMIF(ריכוז!$B$3:$B$30,A30,ריכוז!$C$3:$C$30)</f>
        <v>0</v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SUMIF(Pplay1!$F$3:$F$15,A31,Pplay1!$H$3:$H$15)+SUMIF(ריכוז!$B$3:$B$30,A31,ריכוז!$C$3:$C$30)</f>
        <v>0</v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SUMIF(Pplay1!$F$3:$F$15,A32,Pplay1!$H$3:$H$15)+SUMIF(ריכוז!$B$3:$B$30,A32,ריכוז!$C$3:$C$30)</f>
        <v>0</v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SUMIF(Pplay1!$F$3:$F$15,A33,Pplay1!$H$3:$H$15)+SUMIF(ריכוז!$B$3:$B$30,A33,ריכוז!$C$3:$C$30)</f>
        <v>0</v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SUMIF(Pplay1!$F$3:$F$15,A34,Pplay1!$H$3:$H$15)+SUMIF(ריכוז!$B$3:$B$30,A34,ריכוז!$C$3:$C$30)</f>
        <v>0</v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SUMIF(Pplay1!$F$3:$F$15,A35,Pplay1!$H$3:$H$15)+SUMIF(ריכוז!$B$3:$B$30,A35,ריכוז!$C$3:$C$30)</f>
        <v>0</v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SUMIF(Pplay1!$F$3:$F$15,A36,Pplay1!$H$3:$H$15)+SUMIF(ריכוז!$B$3:$B$30,A36,ריכוז!$C$3:$C$30)</f>
        <v>0</v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SUMIF(Pplay1!$F$3:$F$15,A37,Pplay1!$H$3:$H$15)+SUMIF(ריכוז!$B$3:$B$30,A37,ריכוז!$C$3:$C$30)</f>
        <v>0</v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SUMIF(Pplay1!$F$3:$F$15,A38,Pplay1!$H$3:$H$15)+SUMIF(ריכוז!$B$3:$B$30,A38,ריכוז!$C$3:$C$30)</f>
        <v>0</v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SUMIF(Pplay1!$F$3:$F$15,A39,Pplay1!$H$3:$H$15)+SUMIF(ריכוז!$B$3:$B$30,A39,ריכוז!$C$3:$C$30)</f>
        <v>0</v>
      </c>
    </row>
    <row r="40" ht="15" customHeight="1" s="36">
      <c r="A40" s="46" t="n"/>
      <c r="B40" s="52" t="inlineStr">
        <is>
          <t>סה"כ חו"ל</t>
        </is>
      </c>
      <c r="C40" s="53">
        <f>SUM(C20:C39)</f>
        <v>64537.770000000004</v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>306715.47899999993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>4</v>
      </c>
      <c r="G3" s="62">
        <f>IFERROR(INDEX(PPLAY1_מקור!$B:$B,MATCH(A3,PPLAY1_מקור!$A:$A,0)),"")</f>
        <v>20950.1</v>
      </c>
      <c r="H3" s="62">
        <f>IF(G3="","",G3*0.91)</f>
        <v>19064.591</v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>4</v>
      </c>
      <c r="G4" s="62" t="str">
        <f>IFERROR(INDEX(PPLAY1_מקור!$B:$B,MATCH(A4,PPLAY1_מקור!$A:$A,0)),"")</f>
        <v/>
      </c>
      <c r="H4" s="62" t="str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r="F5" s="61" t="str">
        <f>IF(B5&lt;&gt;"",B5,IF(C5&lt;&gt;"",C5,IF(D5&lt;&gt;"",D5,IF(E5&lt;&gt;"",E5,""))))</f>
        <v/>
      </c>
      <c r="G5" s="62">
        <f>IFERROR(INDEX(PPLAY1_מקור!$B:$B,MATCH(A5,PPLAY1_מקור!$A:$A,0)),"")</f>
        <v>59501.3</v>
      </c>
      <c r="H5" s="62">
        <f>IF(G5="","",G5*0.91)</f>
        <v>54146.183000000005</v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>7</v>
      </c>
      <c r="G6" s="62">
        <f>IFERROR(INDEX(PPLAY1_מקור!$B:$B,MATCH(A6,PPLAY1_מקור!$A:$A,0)),"")</f>
        <v>332.2</v>
      </c>
      <c r="H6" s="62">
        <f>IF(G6="","",G6*0.91)</f>
        <v>302.302</v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>4</v>
      </c>
      <c r="G7" s="62">
        <f>IFERROR(INDEX(PPLAY1_מקור!$B:$B,MATCH(A7,PPLAY1_מקור!$A:$A,0)),"")</f>
        <v>199.4</v>
      </c>
      <c r="H7" s="62">
        <f>IF(G7="","",G7*0.91)</f>
        <v>181.454</v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>4</v>
      </c>
      <c r="G8" s="62" t="str">
        <f>IFERROR(INDEX(PPLAY1_מקור!$B:$B,MATCH(A8,PPLAY1_מקור!$A:$A,0)),"")</f>
        <v/>
      </c>
      <c r="H8" s="62" t="str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>7</v>
      </c>
      <c r="G9" s="62">
        <f>IFERROR(INDEX(PPLAY1_מקור!$B:$B,MATCH(A9,PPLAY1_מקור!$A:$A,0)),"")</f>
        <v>104</v>
      </c>
      <c r="H9" s="62">
        <f>IF(G9="","",G9*0.91)</f>
        <v>94.64</v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>1</v>
      </c>
      <c r="G10" s="62">
        <f>IFERROR(INDEX(PPLAY1_מקור!$B:$B,MATCH(A10,PPLAY1_מקור!$A:$A,0)),"")</f>
        <v>51660.5</v>
      </c>
      <c r="H10" s="62">
        <f>IF(G10="","",G10*0.91)</f>
        <v>47011.055</v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>7</v>
      </c>
      <c r="G11" s="62">
        <f>IFERROR(INDEX(PPLAY1_מקור!$B:$B,MATCH(A11,PPLAY1_מקור!$A:$A,0)),"")</f>
        <v>7205.3</v>
      </c>
      <c r="H11" s="62">
        <f>IF(G11="","",G11*0.91)</f>
        <v>6556.823</v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>4</v>
      </c>
      <c r="G12" s="62" t="str">
        <f>IFERROR(INDEX(PPLAY1_מקור!$B:$B,MATCH(A12,PPLAY1_מקור!$A:$A,0)),"")</f>
        <v/>
      </c>
      <c r="H12" s="62" t="str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>8</v>
      </c>
      <c r="G13" s="62">
        <f>IFERROR(INDEX(PPLAY1_מקור!$B:$B,MATCH(A13,PPLAY1_מקור!$A:$A,0)),"")</f>
        <v>12744.4</v>
      </c>
      <c r="H13" s="62">
        <f>IF(G13="","",G13*0.91)</f>
        <v>11597.404</v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>4</v>
      </c>
      <c r="G14" s="62" t="str">
        <f>IFERROR(INDEX(PPLAY1_מקור!$B:$B,MATCH(A14,PPLAY1_מקור!$A:$A,0)),"")</f>
        <v/>
      </c>
      <c r="H14" s="62" t="str">
        <f>IF(G14="","",G14*0.91)</f>
        <v/>
      </c>
    </row>
    <row r="15">
      <c r="A15" s="60" t="inlineStr">
        <is>
          <t>זיכויים BE</t>
        </is>
      </c>
      <c r="B15" s="58" t="n"/>
      <c r="C15" s="58" t="n">
        <v>7</v>
      </c>
      <c r="D15" s="58" t="n"/>
      <c r="E15" s="58" t="n"/>
      <c r="F15" s="61">
        <f>IF(B15&lt;&gt;"",B15,IF(C15&lt;&gt;"",C15,IF(D15&lt;&gt;"",D15,IF(E15&lt;&gt;"",E15,""))))</f>
        <v>7</v>
      </c>
      <c r="G15" s="62" t="str">
        <f>IFERROR(INDEX(PPLAY1_מקור!$B:$B,MATCH(A15,PPLAY1_מקור!$A:$A,0)),"")</f>
        <v/>
      </c>
      <c r="H15" s="62" t="str">
        <f>IF(G15="","",G15*0.91)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>11103.57</v>
      </c>
    </row>
    <row r="4" ht="14.25" customHeight="1" s="36">
      <c r="A4" s="63" t="inlineStr">
        <is>
          <t>111 - Superpharm Life</t>
        </is>
      </c>
      <c r="B4" s="35" t="n">
        <v>5</v>
      </c>
      <c r="C4" s="62" t="str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>4753.73</v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>4763.620000000001</v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>1916.38</v>
      </c>
    </row>
    <row r="8" ht="14.25" customHeight="1" s="36">
      <c r="A8" s="63" t="inlineStr">
        <is>
          <t>107 - Pharmacies</t>
        </is>
      </c>
      <c r="B8" s="35" t="n">
        <v>4</v>
      </c>
      <c r="C8" s="62">
        <f>IFERROR(INDEX(NetSuite_מקור!$D:$D,MATCH(A8,NetSuite_מקור!$A:$A,0)),"")</f>
        <v>1581.03</v>
      </c>
    </row>
    <row r="9" ht="14.25" customHeight="1" s="36">
      <c r="A9" s="63" t="inlineStr">
        <is>
          <t>106 - Hospitals</t>
        </is>
      </c>
      <c r="B9" s="35" t="n">
        <v>13</v>
      </c>
      <c r="C9" s="62" t="str">
        <f>IFERROR(INDEX(NetSuite_מקור!$D:$D,MATCH(A9,NetSuite_מקור!$A:$A,0)),"")</f>
        <v/>
      </c>
    </row>
    <row r="10" ht="14.25" customHeight="1" s="36">
      <c r="A10" s="63" t="inlineStr">
        <is>
          <t>113 - Kupat Holim Meuhedet</t>
        </is>
      </c>
      <c r="B10" s="35" t="n">
        <v>8</v>
      </c>
      <c r="C10" s="62" t="str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>67697.40000000001</v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>65553.70999999988</v>
      </c>
    </row>
    <row r="13" ht="14.25" customHeight="1" s="36">
      <c r="A13" s="63" t="inlineStr">
        <is>
          <t>115-SuperPharm Online</t>
        </is>
      </c>
      <c r="B13" s="35" t="n">
        <v>12</v>
      </c>
      <c r="C13" s="62" t="str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r="C14" s="62" t="str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r="C15" s="62" t="str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>25430.19</v>
      </c>
    </row>
    <row r="17" ht="14.25" customHeight="1" s="36">
      <c r="A17" s="63" t="inlineStr">
        <is>
          <t>202 - Super-Pharm POLAND</t>
        </is>
      </c>
      <c r="B17" s="35" t="n">
        <v>20</v>
      </c>
      <c r="C17" s="64" t="str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r="C18" s="64" t="str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r="C19" s="64" t="str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r="C20" s="64" t="str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r="C21" s="64" t="str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r="C22" s="64" t="str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r="C23" s="64" t="str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r="C24" s="64" t="str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r="C25" s="64" t="str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r="C26" s="64" t="str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r="C27" s="64" t="str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r="C28" s="64" t="str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r="C29" s="64" t="str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r="C30" s="64" t="str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(3ff7cf1c), "PPlay1 of uriel (Reporter)", נוצר 07/09/2026 09:47:44, תקופה 2026/Sep (המשך MTD ספטמבר). חותמת הזמן אומתה מול תאריך ההכנה שנמסר (07/09/2026) — תואמת במדויק. נשלפו 8 שורות קטגוריה שיש להן נתונים עד כה החודש, מתוך 13 הקטגוריות במקרא גיליון Pplay1 (12 המקוריות + "זיכויים BE"). 5 קטגוריות נותרות ללא נתונים עדיין החודש (0מפיצי משנה, גוד פארם מרכז, 0צרכנים פרטיים, 0שונות, ו"זיכויים BE" שחזרה להיות לא-נמצאת בדוח הגולמי השבוע — לעומת 06/09 אז הופיעה עם ₪0.0; שני המצבים תקינים ל-MTD ואין להם השפעה על הסה"כ. המיפוי הקבוע ל-BE/לקוח #7 נשאר מוכן בגיליון Pplay1 לפי הכלל הקבוע ב-kirill.md, לשימוש כשתופיע שוב עם ערך). לעומת 06/09, אותן 7 קטגוריות ותיקות עם עלייה טבעית (MTD מצטבר לחודש חדש), פלוס "גוד פארם" (₪199.4). שורת "Customers" בדוח המקור (₪93,195.7) היא שורת סה"כ-אב ואינה שווה לסכום שורות הקטגוריה (תקין וצפוי, כרגיל) — לא יובאה. מכר נטו = עמודה B × 0.91 (מקדם קבוע, מאושר ב-kirill.md). הערת שקיפות טכנית: LibreOffice עדיין שבור בסביבה — הקובץ הגולמי נקרא ישירות ע"י פענוח קידוד windows-1255 ותיקון rgb="auto" ב-xl/styles.xml, ללא LibreOffice.</t>
        </is>
      </c>
      <c r="B1" s="59" t="inlineStr">
        <is>
          <t>2026/Sep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20950.1</v>
      </c>
      <c r="C2" s="62">
        <f>B2*0.91</f>
        <v>19064.591</v>
      </c>
      <c r="D2" s="65" t="n"/>
    </row>
    <row r="3" ht="14.25" customHeight="1" s="36">
      <c r="A3" s="61" t="inlineStr">
        <is>
          <t>0פארמים</t>
        </is>
      </c>
      <c r="B3" s="62" t="n">
        <v>59501.3</v>
      </c>
      <c r="C3" s="62">
        <f>B3*0.91</f>
        <v>54146.183000000005</v>
      </c>
      <c r="D3" s="65" t="n"/>
    </row>
    <row r="4" ht="14.25" customHeight="1" s="36">
      <c r="A4" s="61" t="inlineStr">
        <is>
          <t>אילת BE</t>
        </is>
      </c>
      <c r="B4" s="62" t="n">
        <v>332.2</v>
      </c>
      <c r="C4" s="62">
        <f>B4*0.91</f>
        <v>302.302</v>
      </c>
      <c r="D4" s="65" t="n"/>
    </row>
    <row r="5" ht="14.25" customHeight="1" s="36">
      <c r="A5" s="61" t="inlineStr">
        <is>
          <t>הפרכל הפרפארם</t>
        </is>
      </c>
      <c r="B5" s="62" t="n">
        <v>104</v>
      </c>
      <c r="C5" s="62">
        <f>B5*0.91</f>
        <v>94.64</v>
      </c>
      <c r="D5" s="65" t="n"/>
    </row>
    <row r="6" ht="14.25" customHeight="1" s="36">
      <c r="A6" s="61" t="inlineStr">
        <is>
          <t>סופרפארם</t>
        </is>
      </c>
      <c r="B6" s="62" t="n">
        <v>51660.5</v>
      </c>
      <c r="C6" s="62">
        <f>B6*0.91</f>
        <v>47011.055</v>
      </c>
      <c r="D6" s="65" t="n"/>
    </row>
    <row r="7" ht="14.25" customHeight="1" s="36">
      <c r="A7" s="61" t="inlineStr">
        <is>
          <t>שופרסל BE</t>
        </is>
      </c>
      <c r="B7" s="62" t="n">
        <v>7205.3</v>
      </c>
      <c r="C7" s="62">
        <f>B7*0.91</f>
        <v>6556.823</v>
      </c>
      <c r="D7" s="65" t="n"/>
    </row>
    <row r="8" ht="14.25" customHeight="1" s="36">
      <c r="A8" s="61" t="inlineStr">
        <is>
          <t>0קופות חולים</t>
        </is>
      </c>
      <c r="B8" s="62" t="n">
        <v>12744.4</v>
      </c>
      <c r="C8" s="62">
        <f>B8*0.91</f>
        <v>11597.404</v>
      </c>
      <c r="D8" s="65" t="n"/>
    </row>
    <row r="9" ht="14.25" customHeight="1" s="36">
      <c r="A9" s="61" t="inlineStr">
        <is>
          <t>גוד פארם</t>
        </is>
      </c>
      <c r="B9" s="62" t="n">
        <v>199.4</v>
      </c>
      <c r="C9" s="62">
        <f>B9*0.91</f>
        <v>181.454</v>
      </c>
      <c r="D9" s="35" t="n"/>
    </row>
    <row r="10" ht="14.25" customHeight="1" s="36">
      <c r="A10" s="61" t="n"/>
      <c r="B10" s="62" t="n"/>
      <c r="C10" s="62" t="n"/>
    </row>
    <row r="11" ht="14.25" customHeight="1" s="36">
      <c r="A11" s="35" t="n"/>
      <c r="B11" s="35" t="n"/>
      <c r="C11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CustomSalesbyCustomerSummary673.xls (6b05abee), Meditex Group IL, Custom Sales by Customer Summary, 01 September 2026 - 30 September 2026, נמסר 07/09/2026. הקובץ הוא SpreadsheetML XML עם סיומת .xls — נפרס ישירות עם xml.etree.ElementTree ללא LibreOffice (שבור בסביבה). נשלפו 8 שורות הסיכום (קטגוריה) שיש להן מכירות עד כה החודש, מתוך 28 הקטגוריות במקרא "ריכוז" (20 הקטגוריות הנותרות אין להן מכירות עדיין החודש — תקין ל-MTD, לא נתון חסר). לעומת 06/09, אותן 7 קטגוריות ותיקות עם עלייה טבעית, פלוס "107 - Pharmacies" (₪1,581.03) שהופיעה לראשונה החודש. לא יובאו שורות פירוט חשבוניות/לקוחות-בת מהדוח הגולמי (446 שורות בקובץ המקור), לפי מוסכמת עבודה. סה"כ שורת "Total" בדוח הגולמי המלא: ₪182,799.63 — תואם בדיוק לסכום 8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11103.57</v>
      </c>
    </row>
    <row r="4" ht="15" customHeight="1" s="36">
      <c r="A4" s="61" t="inlineStr">
        <is>
          <t>103 - Physiotherapy institutes</t>
        </is>
      </c>
      <c r="D4" s="64" t="n">
        <v>4753.73</v>
      </c>
    </row>
    <row r="5" ht="15" customHeight="1" s="36">
      <c r="A5" s="61" t="inlineStr">
        <is>
          <t>109 - Private Shops</t>
        </is>
      </c>
      <c r="D5" s="64" t="n">
        <v>4763.620000000001</v>
      </c>
    </row>
    <row r="6" ht="15" customHeight="1" s="36">
      <c r="A6" s="61" t="inlineStr">
        <is>
          <t>101 - Factory customers</t>
        </is>
      </c>
      <c r="D6" s="64" t="n">
        <v>1916.38</v>
      </c>
    </row>
    <row r="7" ht="15" customHeight="1" s="36">
      <c r="A7" s="61" t="inlineStr">
        <is>
          <t>107 - Pharmacies</t>
        </is>
      </c>
      <c r="D7" s="64" t="n">
        <v>1581.03</v>
      </c>
    </row>
    <row r="8" ht="15" customHeight="1" s="36">
      <c r="A8" s="61" t="inlineStr">
        <is>
          <t>112 - Kupat Holim Clalit</t>
        </is>
      </c>
      <c r="D8" s="64" t="n">
        <v>67697.40000000001</v>
      </c>
    </row>
    <row r="9" ht="15" customHeight="1" s="36">
      <c r="A9" s="61" t="inlineStr">
        <is>
          <t>114 - IL online</t>
        </is>
      </c>
      <c r="D9" s="64" t="n">
        <v>65553.70999999988</v>
      </c>
    </row>
    <row r="10" ht="14.25" customHeight="1" s="36">
      <c r="A10" s="61" t="inlineStr">
        <is>
          <t>209 - Ortoprofil Prod ROMANIA</t>
        </is>
      </c>
      <c r="D10" s="64" t="n">
        <v>25430.19</v>
      </c>
    </row>
    <row r="11" ht="14.25" customHeight="1" s="36">
      <c r="A11" s="61" t="n"/>
      <c r="D11" s="64" t="n"/>
    </row>
    <row r="12" ht="14.25" customHeight="1" s="36">
      <c r="A12" s="66" t="n"/>
      <c r="B12" s="67" t="n"/>
      <c r="C12" s="67" t="n"/>
      <c r="D12" s="68" t="n"/>
      <c r="E12" s="69" t="n"/>
    </row>
    <row r="13" ht="14.25" customHeight="1" s="36">
      <c r="A13" s="66" t="n"/>
      <c r="B13" s="67" t="n"/>
      <c r="C13" s="67" t="n"/>
      <c r="D13" s="68" t="n"/>
      <c r="E13" s="69" t="n"/>
    </row>
    <row r="14" ht="14.25" customHeight="1" s="36">
      <c r="A14" s="61" t="n"/>
      <c r="D14" s="62" t="n"/>
    </row>
    <row r="15" ht="14.25" customHeight="1" s="36">
      <c r="A15" s="61" t="n"/>
      <c r="D15" s="62" t="n"/>
    </row>
    <row r="16" ht="14.25" customHeight="1" s="36">
      <c r="A16" s="35" t="n"/>
      <c r="D16" s="35" t="n"/>
    </row>
    <row r="17" ht="14.25" customHeight="1" s="36">
      <c r="A17" s="35" t="n"/>
      <c r="D17" s="35" t="n"/>
    </row>
    <row r="18" ht="14.25" customHeight="1" s="36">
      <c r="A18" s="35" t="n"/>
      <c r="D18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1-6 September 2026", נמסר 07/09/2026.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-5.6% מול תקופה קודמת, Orders/Units 438/446, Refunds 48, Est. payout $4,955.20, Gross profit $2,204.49, Net profit $2,204.49 (-12.4%) — כפי שמוצג בצילום המקור (Net profit זהה ל-Gross profit בתמונה, תמלול מדויק).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14249.34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-1213.48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2026-09-07T06:55:38Z</dcterms:modified>
  <cp:lastModifiedBy>Eyal Sadot</cp:lastModifiedBy>
  <cp:revision>0</cp:revision>
</cp:coreProperties>
</file>