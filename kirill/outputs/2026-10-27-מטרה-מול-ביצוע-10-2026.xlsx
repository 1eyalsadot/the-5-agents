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דאטה" sheetId="1" state="visible" r:id="rId3"/>
    <sheet name="גרף" sheetId="2" state="visible" r:id="rId4"/>
  </sheets>
  <definedNames>
    <definedName function="false" hidden="false" localSheetId="1" name="_xlnm.Print_Area" vbProcedure="false">גרף!$A$1:$N$45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<sst xmlns="http://schemas.openxmlformats.org/spreadsheetml/2006/main" count="26" uniqueCount="22">
  <si>
    <t xml:space="preserve">מטרה מול ביצוע בפועל לפי לקוח - אוקטובר 2026</t>
  </si>
  <si>
    <t xml:space="preserve">תאריך הכנה:</t>
  </si>
  <si>
    <t xml:space="preserve">27/10/26</t>
  </si>
  <si>
    <t xml:space="preserve">לקוח</t>
  </si>
  <si>
    <t xml:space="preserve">10.2026 (בפועל)</t>
  </si>
  <si>
    <t xml:space="preserve">מטרה</t>
  </si>
  <si>
    <t xml:space="preserve">ביצוע %</t>
  </si>
  <si>
    <t xml:space="preserve">סופר פארם לייף</t>
  </si>
  <si>
    <t xml:space="preserve">סופרפארם</t>
  </si>
  <si>
    <t xml:space="preserve">BE</t>
  </si>
  <si>
    <t xml:space="preserve">בתי מרקחת</t>
  </si>
  <si>
    <t xml:space="preserve">כללית</t>
  </si>
  <si>
    <t xml:space="preserve">מאוחדת</t>
  </si>
  <si>
    <t xml:space="preserve">מכוני אורטופדיה</t>
  </si>
  <si>
    <t xml:space="preserve">מכוני פיזיותרפיה</t>
  </si>
  <si>
    <t xml:space="preserve">אתר אוריאל</t>
  </si>
  <si>
    <t xml:space="preserve">אמזון</t>
  </si>
  <si>
    <t xml:space="preserve">מפיצים</t>
  </si>
  <si>
    <t xml:space="preserve">אחרים</t>
  </si>
  <si>
    <t xml:space="preserve">סה"כ</t>
  </si>
  <si>
    <t xml:space="preserve">מקור: צילום מסך טבלת "מטרה מול ביצוע בפועל" לחודש 10.2026 לפי לקוח, שסופק ע"י המשתמש. אין קובץ נתונים גולמי מקושר - עמודות "בפועל" ו"מטרה" הוזנו כערכים קשיחים לפי התמונה; עמודת "ביצוע %" מחושבת בנוסחה חיה (בפועל/מטרה).</t>
  </si>
  <si>
    <t xml:space="preserve">נתוני גרף - ממוין לפי מטרה (מהגבוה לנמוך)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</si>
</sst>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8"/>
      <color rgb="FF0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FreeSans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4472C4"/>
      </patternFill>
    </fill>
    <fill>
      <patternFill patternType="solid">
        <fgColor rgb="FFC6E0B4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66699"/>
      <rgbColor rgb="FF878787"/>
      <rgbColor rgb="FF003366"/>
      <rgbColor rgb="FF70AD47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מטרה מול ביצוע בפועל - אוקטובר 2026 לפי לקוח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גרף!B3</c:f>
              <c:strCache>
                <c:ptCount val="1"/>
                <c:pt idx="0">
                  <c:v>10.2026 (בפועל)</c:v>
                </c:pt>
              </c:strCache>
            </c:strRef>
          </c:tx>
          <c:spPr>
            <a:solidFill>
              <a:srgbClr val="4472c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גרף!$A$4:$A$15</c:f>
              <c:strCache>
                <c:ptCount val="12"/>
                <c:pt idx="0">
                  <c:v>אתר אוריאל</c:v>
                </c:pt>
                <c:pt idx="1">
                  <c:v>סופרפארם</c:v>
                </c:pt>
                <c:pt idx="2">
                  <c:v>מפיצים</c:v>
                </c:pt>
                <c:pt idx="3">
                  <c:v>כללית</c:v>
                </c:pt>
                <c:pt idx="4">
                  <c:v>אמזון</c:v>
                </c:pt>
                <c:pt idx="5">
                  <c:v>סופר פארם לייף</c:v>
                </c:pt>
                <c:pt idx="6">
                  <c:v>בתי מרקחת</c:v>
                </c:pt>
                <c:pt idx="7">
                  <c:v>BE</c:v>
                </c:pt>
                <c:pt idx="8">
                  <c:v>מאוחדת</c:v>
                </c:pt>
                <c:pt idx="9">
                  <c:v>מכוני אורטופדיה</c:v>
                </c:pt>
                <c:pt idx="10">
                  <c:v>אחרים</c:v>
                </c:pt>
                <c:pt idx="11">
                  <c:v>מכוני פיזיותרפיה</c:v>
                </c:pt>
              </c:strCache>
            </c:strRef>
          </c:cat>
          <c:val>
            <c:numRef>
              <c:f>גרף!$B$4:$B$15</c:f>
              <c:numCache>
                <c:formatCode>#,##0</c:formatCode>
                <c:ptCount val="12"/>
                <c:pt idx="0">
                  <c:v>400000</c:v>
                </c:pt>
                <c:pt idx="1">
                  <c:v>500000</c:v>
                </c:pt>
                <c:pt idx="2">
                  <c:v>199455</c:v>
                </c:pt>
                <c:pt idx="3">
                  <c:v>220000</c:v>
                </c:pt>
                <c:pt idx="4">
                  <c:v>200000</c:v>
                </c:pt>
                <c:pt idx="5">
                  <c:v>155000</c:v>
                </c:pt>
                <c:pt idx="6">
                  <c:v>150000</c:v>
                </c:pt>
                <c:pt idx="7">
                  <c:v>100000</c:v>
                </c:pt>
                <c:pt idx="8">
                  <c:v>60000</c:v>
                </c:pt>
                <c:pt idx="9">
                  <c:v>80000</c:v>
                </c:pt>
                <c:pt idx="10">
                  <c:v>26666</c:v>
                </c:pt>
                <c:pt idx="11">
                  <c:v>30000</c:v>
                </c:pt>
              </c:numCache>
            </c:numRef>
          </c:val>
        </c:ser>
        <c:ser>
          <c:idx val="1"/>
          <c:order val="1"/>
          <c:tx>
            <c:strRef>
              <c:f>גרף!C3</c:f>
              <c:strCache>
                <c:ptCount val="1"/>
                <c:pt idx="0">
                  <c:v>מטרה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גרף!$A$4:$A$15</c:f>
              <c:strCache>
                <c:ptCount val="12"/>
                <c:pt idx="0">
                  <c:v>אתר אוריאל</c:v>
                </c:pt>
                <c:pt idx="1">
                  <c:v>סופרפארם</c:v>
                </c:pt>
                <c:pt idx="2">
                  <c:v>מפיצים</c:v>
                </c:pt>
                <c:pt idx="3">
                  <c:v>כללית</c:v>
                </c:pt>
                <c:pt idx="4">
                  <c:v>אמזון</c:v>
                </c:pt>
                <c:pt idx="5">
                  <c:v>סופר פארם לייף</c:v>
                </c:pt>
                <c:pt idx="6">
                  <c:v>בתי מרקחת</c:v>
                </c:pt>
                <c:pt idx="7">
                  <c:v>BE</c:v>
                </c:pt>
                <c:pt idx="8">
                  <c:v>מאוחדת</c:v>
                </c:pt>
                <c:pt idx="9">
                  <c:v>מכוני אורטופדיה</c:v>
                </c:pt>
                <c:pt idx="10">
                  <c:v>אחרים</c:v>
                </c:pt>
                <c:pt idx="11">
                  <c:v>מכוני פיזיותרפיה</c:v>
                </c:pt>
              </c:strCache>
            </c:strRef>
          </c:cat>
          <c:val>
            <c:numRef>
              <c:f>גרף!$C$4:$C$15</c:f>
              <c:numCache>
                <c:formatCode>#,##0</c:formatCode>
                <c:ptCount val="12"/>
                <c:pt idx="0">
                  <c:v>1159557</c:v>
                </c:pt>
                <c:pt idx="1">
                  <c:v>550000</c:v>
                </c:pt>
                <c:pt idx="2">
                  <c:v>550000</c:v>
                </c:pt>
                <c:pt idx="3">
                  <c:v>330000</c:v>
                </c:pt>
                <c:pt idx="4">
                  <c:v>321889</c:v>
                </c:pt>
                <c:pt idx="5">
                  <c:v>200000</c:v>
                </c:pt>
                <c:pt idx="6">
                  <c:v>200000</c:v>
                </c:pt>
                <c:pt idx="7">
                  <c:v>100000</c:v>
                </c:pt>
                <c:pt idx="8">
                  <c:v>100000</c:v>
                </c:pt>
                <c:pt idx="9">
                  <c:v>100000</c:v>
                </c:pt>
                <c:pt idx="10">
                  <c:v>45000</c:v>
                </c:pt>
                <c:pt idx="11">
                  <c:v>25000</c:v>
                </c:pt>
              </c:numCache>
            </c:numRef>
          </c:val>
        </c:ser>
        <c:gapWidth val="60"/>
        <c:overlap val="-10"/>
        <c:axId val="67439832"/>
        <c:axId val="34501792"/>
      </c:barChart>
      <c:lineChart>
        <c:grouping val="standard"/>
        <c:varyColors val="0"/>
        <c:ser>
          <c:idx val="2"/>
          <c:order val="2"/>
          <c:tx>
            <c:strRef>
              <c:f>גרף!D3</c:f>
              <c:strCache>
                <c:ptCount val="1"/>
                <c:pt idx="0">
                  <c:v>ביצוע %</c:v>
                </c:pt>
              </c:strCache>
            </c:strRef>
          </c:tx>
          <c:spPr>
            <a:solidFill>
              <a:srgbClr val="70ad47"/>
            </a:solidFill>
            <a:ln w="47520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</c:spPr>
          </c:marker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גרף!$A$4:$A$15</c:f>
              <c:strCache>
                <c:ptCount val="12"/>
                <c:pt idx="0">
                  <c:v>אתר אוריאל</c:v>
                </c:pt>
                <c:pt idx="1">
                  <c:v>סופרפארם</c:v>
                </c:pt>
                <c:pt idx="2">
                  <c:v>מפיצים</c:v>
                </c:pt>
                <c:pt idx="3">
                  <c:v>כללית</c:v>
                </c:pt>
                <c:pt idx="4">
                  <c:v>אמזון</c:v>
                </c:pt>
                <c:pt idx="5">
                  <c:v>סופר פארם לייף</c:v>
                </c:pt>
                <c:pt idx="6">
                  <c:v>בתי מרקחת</c:v>
                </c:pt>
                <c:pt idx="7">
                  <c:v>BE</c:v>
                </c:pt>
                <c:pt idx="8">
                  <c:v>מאוחדת</c:v>
                </c:pt>
                <c:pt idx="9">
                  <c:v>מכוני אורטופדיה</c:v>
                </c:pt>
                <c:pt idx="10">
                  <c:v>אחרים</c:v>
                </c:pt>
                <c:pt idx="11">
                  <c:v>מכוני פיזיותרפיה</c:v>
                </c:pt>
              </c:strCache>
            </c:strRef>
          </c:cat>
          <c:val>
            <c:numRef>
              <c:f>גרף!$D$4:$D$15</c:f>
              <c:numCache>
                <c:formatCode>0%</c:formatCode>
                <c:ptCount val="12"/>
                <c:pt idx="0">
                  <c:v>0.344959324983593</c:v>
                </c:pt>
                <c:pt idx="1">
                  <c:v>0.909090909090909</c:v>
                </c:pt>
                <c:pt idx="2">
                  <c:v>0.362645454545455</c:v>
                </c:pt>
                <c:pt idx="3">
                  <c:v>0.666666666666667</c:v>
                </c:pt>
                <c:pt idx="4">
                  <c:v>0.621332198366518</c:v>
                </c:pt>
                <c:pt idx="5">
                  <c:v>0.775</c:v>
                </c:pt>
                <c:pt idx="6">
                  <c:v>0.75</c:v>
                </c:pt>
                <c:pt idx="7">
                  <c:v>1</c:v>
                </c:pt>
                <c:pt idx="8">
                  <c:v>0.6</c:v>
                </c:pt>
                <c:pt idx="9">
                  <c:v>0.8</c:v>
                </c:pt>
                <c:pt idx="10">
                  <c:v>0.592577777777778</c:v>
                </c:pt>
                <c:pt idx="11">
                  <c:v>1.2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5232748"/>
        <c:axId val="16405268"/>
      </c:lineChart>
      <c:catAx>
        <c:axId val="6743983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לקוח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501792"/>
        <c:crosses val="autoZero"/>
        <c:auto val="1"/>
        <c:lblAlgn val="ctr"/>
        <c:lblOffset val="100"/>
        <c:noMultiLvlLbl val="0"/>
      </c:catAx>
      <c:valAx>
        <c:axId val="3450179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סכום (ש"ח)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439832"/>
        <c:crosses val="autoZero"/>
        <c:crossBetween val="between"/>
      </c:valAx>
      <c:catAx>
        <c:axId val="65232748"/>
        <c:scaling>
          <c:orientation val="minMax"/>
        </c:scaling>
        <c:delete val="0"/>
        <c:axPos val="t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לקוח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405268"/>
        <c:crosses val="autoZero"/>
        <c:auto val="1"/>
        <c:lblAlgn val="ctr"/>
        <c:lblOffset val="100"/>
        <c:noMultiLvlLbl val="0"/>
      </c:catAx>
      <c:valAx>
        <c:axId val="16405268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ביצוע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232748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16</xdr:row>
      <xdr:rowOff>163080</xdr:rowOff>
    </xdr:from>
    <xdr:to>
      <xdr:col>12</xdr:col>
      <xdr:colOff>535680</xdr:colOff>
      <xdr:row>39</xdr:row>
      <xdr:rowOff>101520</xdr:rowOff>
    </xdr:to>
    <xdr:graphicFrame>
      <xdr:nvGraphicFramePr>
        <xdr:cNvPr id="0" name="Chart 1"/>
        <xdr:cNvGraphicFramePr/>
      </xdr:nvGraphicFramePr>
      <xdr:xfrm>
        <a:off x="0" y="3238560"/>
        <a:ext cx="100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8"/>
    <col collapsed="false" customWidth="true" hidden="false" outlineLevel="0" max="4" min="4" style="0" width="12"/>
  </cols>
  <sheetData>
    <row r="1" customFormat="false" ht="17.1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3" t="s">
        <v>2</v>
      </c>
    </row>
    <row r="4" customFormat="false" ht="15" hidden="false" customHeight="false" outlineLevel="0" collapsed="false">
      <c r="A4" s="4" t="s">
        <v>3</v>
      </c>
      <c r="B4" s="4" t="s">
        <v>4</v>
      </c>
      <c r="C4" s="4" t="s">
        <v>5</v>
      </c>
      <c r="D4" s="4" t="s">
        <v>6</v>
      </c>
    </row>
    <row r="5" customFormat="false" ht="15" hidden="false" customHeight="false" outlineLevel="0" collapsed="false">
      <c r="A5" s="5" t="s">
        <v>7</v>
      </c>
      <c r="B5" s="6" t="n">
        <v>155000</v>
      </c>
      <c r="C5" s="6" t="n">
        <v>200000</v>
      </c>
      <c r="D5" s="7" t="n">
        <f aca="false">B5/C5</f>
        <v>0.775</v>
      </c>
    </row>
    <row r="6" customFormat="false" ht="15" hidden="false" customHeight="false" outlineLevel="0" collapsed="false">
      <c r="A6" s="5" t="s">
        <v>8</v>
      </c>
      <c r="B6" s="6" t="n">
        <v>500000</v>
      </c>
      <c r="C6" s="6" t="n">
        <v>550000</v>
      </c>
      <c r="D6" s="7" t="n">
        <f aca="false">B6/C6</f>
        <v>0.909090909090909</v>
      </c>
    </row>
    <row r="7" customFormat="false" ht="15" hidden="false" customHeight="false" outlineLevel="0" collapsed="false">
      <c r="A7" s="5" t="s">
        <v>9</v>
      </c>
      <c r="B7" s="6" t="n">
        <v>100000</v>
      </c>
      <c r="C7" s="6" t="n">
        <v>100000</v>
      </c>
      <c r="D7" s="7" t="n">
        <f aca="false">B7/C7</f>
        <v>1</v>
      </c>
    </row>
    <row r="8" customFormat="false" ht="15" hidden="false" customHeight="false" outlineLevel="0" collapsed="false">
      <c r="A8" s="5" t="s">
        <v>10</v>
      </c>
      <c r="B8" s="6" t="n">
        <v>150000</v>
      </c>
      <c r="C8" s="6" t="n">
        <v>200000</v>
      </c>
      <c r="D8" s="7" t="n">
        <f aca="false">B8/C8</f>
        <v>0.75</v>
      </c>
    </row>
    <row r="9" customFormat="false" ht="15" hidden="false" customHeight="false" outlineLevel="0" collapsed="false">
      <c r="A9" s="5" t="s">
        <v>11</v>
      </c>
      <c r="B9" s="6" t="n">
        <v>220000</v>
      </c>
      <c r="C9" s="6" t="n">
        <v>330000</v>
      </c>
      <c r="D9" s="7" t="n">
        <f aca="false">B9/C9</f>
        <v>0.666666666666667</v>
      </c>
    </row>
    <row r="10" customFormat="false" ht="15" hidden="false" customHeight="false" outlineLevel="0" collapsed="false">
      <c r="A10" s="5" t="s">
        <v>12</v>
      </c>
      <c r="B10" s="6" t="n">
        <v>60000</v>
      </c>
      <c r="C10" s="6" t="n">
        <v>100000</v>
      </c>
      <c r="D10" s="7" t="n">
        <f aca="false">B10/C10</f>
        <v>0.6</v>
      </c>
    </row>
    <row r="11" customFormat="false" ht="15" hidden="false" customHeight="false" outlineLevel="0" collapsed="false">
      <c r="A11" s="5" t="s">
        <v>13</v>
      </c>
      <c r="B11" s="6" t="n">
        <v>80000</v>
      </c>
      <c r="C11" s="6" t="n">
        <v>100000</v>
      </c>
      <c r="D11" s="7" t="n">
        <f aca="false">B11/C11</f>
        <v>0.8</v>
      </c>
    </row>
    <row r="12" customFormat="false" ht="15" hidden="false" customHeight="false" outlineLevel="0" collapsed="false">
      <c r="A12" s="5" t="s">
        <v>14</v>
      </c>
      <c r="B12" s="6" t="n">
        <v>30000</v>
      </c>
      <c r="C12" s="6" t="n">
        <v>25000</v>
      </c>
      <c r="D12" s="7" t="n">
        <f aca="false">B12/C12</f>
        <v>1.2</v>
      </c>
    </row>
    <row r="13" customFormat="false" ht="15" hidden="false" customHeight="false" outlineLevel="0" collapsed="false">
      <c r="A13" s="5" t="s">
        <v>15</v>
      </c>
      <c r="B13" s="6" t="n">
        <v>400000</v>
      </c>
      <c r="C13" s="6" t="n">
        <v>1159557</v>
      </c>
      <c r="D13" s="7" t="n">
        <f aca="false">B13/C13</f>
        <v>0.344959324983593</v>
      </c>
    </row>
    <row r="14" customFormat="false" ht="15" hidden="false" customHeight="false" outlineLevel="0" collapsed="false">
      <c r="A14" s="5" t="s">
        <v>16</v>
      </c>
      <c r="B14" s="6" t="n">
        <v>200000</v>
      </c>
      <c r="C14" s="6" t="n">
        <v>321889</v>
      </c>
      <c r="D14" s="7" t="n">
        <f aca="false">B14/C14</f>
        <v>0.621332198366518</v>
      </c>
    </row>
    <row r="15" customFormat="false" ht="15" hidden="false" customHeight="false" outlineLevel="0" collapsed="false">
      <c r="A15" s="5" t="s">
        <v>17</v>
      </c>
      <c r="B15" s="6" t="n">
        <v>199455</v>
      </c>
      <c r="C15" s="6" t="n">
        <v>550000</v>
      </c>
      <c r="D15" s="7" t="n">
        <f aca="false">B15/C15</f>
        <v>0.362645454545455</v>
      </c>
    </row>
    <row r="16" customFormat="false" ht="15" hidden="false" customHeight="false" outlineLevel="0" collapsed="false">
      <c r="A16" s="5" t="s">
        <v>18</v>
      </c>
      <c r="B16" s="6" t="n">
        <v>26666</v>
      </c>
      <c r="C16" s="6" t="n">
        <v>45000</v>
      </c>
      <c r="D16" s="7" t="n">
        <f aca="false">B16/C16</f>
        <v>0.592577777777778</v>
      </c>
    </row>
    <row r="17" customFormat="false" ht="15" hidden="false" customHeight="false" outlineLevel="0" collapsed="false">
      <c r="A17" s="8" t="s">
        <v>19</v>
      </c>
      <c r="B17" s="9" t="n">
        <f aca="false">SUM(B5:B16)</f>
        <v>2121121</v>
      </c>
      <c r="C17" s="9" t="n">
        <f aca="false">SUM(C5:C16)</f>
        <v>3681446</v>
      </c>
      <c r="D17" s="10" t="n">
        <f aca="false">B17/C17</f>
        <v>0.576165180746913</v>
      </c>
    </row>
    <row r="19" customFormat="false" ht="30" hidden="false" customHeight="true" outlineLevel="0" collapsed="false">
      <c r="A19" s="11" t="s">
        <v>20</v>
      </c>
      <c r="B19" s="11"/>
      <c r="C19" s="11"/>
      <c r="D19" s="11"/>
    </row>
  </sheetData>
  <mergeCells count="2">
    <mergeCell ref="A1:D1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6"/>
    <col collapsed="false" customWidth="true" hidden="false" outlineLevel="0" max="4" min="4" style="0" width="12"/>
  </cols>
  <sheetData>
    <row r="1" customFormat="false" ht="17.15" hidden="false" customHeight="false" outlineLevel="0" collapsed="false">
      <c r="A1" s="1" t="s">
        <v>21</v>
      </c>
      <c r="B1" s="1"/>
      <c r="C1" s="1"/>
      <c r="D1" s="1"/>
    </row>
    <row r="3" customFormat="false" ht="15" hidden="false" customHeight="false" outlineLevel="0" collapsed="false">
      <c r="A3" s="4" t="s">
        <v>3</v>
      </c>
      <c r="B3" s="4" t="s">
        <v>4</v>
      </c>
      <c r="C3" s="4" t="s">
        <v>5</v>
      </c>
      <c r="D3" s="4" t="s">
        <v>6</v>
      </c>
    </row>
    <row r="4" customFormat="false" ht="15" hidden="false" customHeight="false" outlineLevel="0" collapsed="false">
      <c r="A4" s="5" t="str">
        <f aca="false">דאטה!A13</f>
        <v>אתר אוריאל</v>
      </c>
      <c r="B4" s="6" t="n">
        <f aca="false">דאטה!B13</f>
        <v>400000</v>
      </c>
      <c r="C4" s="6" t="n">
        <f aca="false">דאטה!C13</f>
        <v>1159557</v>
      </c>
      <c r="D4" s="7" t="n">
        <f aca="false">דאטה!D13</f>
        <v>0.344959324983593</v>
      </c>
    </row>
    <row r="5" customFormat="false" ht="15" hidden="false" customHeight="false" outlineLevel="0" collapsed="false">
      <c r="A5" s="5" t="str">
        <f aca="false">דאטה!A6</f>
        <v>סופרפארם</v>
      </c>
      <c r="B5" s="6" t="n">
        <f aca="false">דאטה!B6</f>
        <v>500000</v>
      </c>
      <c r="C5" s="6" t="n">
        <f aca="false">דאטה!C6</f>
        <v>550000</v>
      </c>
      <c r="D5" s="7" t="n">
        <f aca="false">דאטה!D6</f>
        <v>0.909090909090909</v>
      </c>
    </row>
    <row r="6" customFormat="false" ht="15" hidden="false" customHeight="false" outlineLevel="0" collapsed="false">
      <c r="A6" s="5" t="str">
        <f aca="false">דאטה!A15</f>
        <v>מפיצים</v>
      </c>
      <c r="B6" s="6" t="n">
        <f aca="false">דאטה!B15</f>
        <v>199455</v>
      </c>
      <c r="C6" s="6" t="n">
        <f aca="false">דאטה!C15</f>
        <v>550000</v>
      </c>
      <c r="D6" s="7" t="n">
        <f aca="false">דאטה!D15</f>
        <v>0.362645454545455</v>
      </c>
    </row>
    <row r="7" customFormat="false" ht="15" hidden="false" customHeight="false" outlineLevel="0" collapsed="false">
      <c r="A7" s="5" t="str">
        <f aca="false">דאטה!A9</f>
        <v>כללית</v>
      </c>
      <c r="B7" s="6" t="n">
        <f aca="false">דאטה!B9</f>
        <v>220000</v>
      </c>
      <c r="C7" s="6" t="n">
        <f aca="false">דאטה!C9</f>
        <v>330000</v>
      </c>
      <c r="D7" s="7" t="n">
        <f aca="false">דאטה!D9</f>
        <v>0.666666666666667</v>
      </c>
    </row>
    <row r="8" customFormat="false" ht="15" hidden="false" customHeight="false" outlineLevel="0" collapsed="false">
      <c r="A8" s="5" t="str">
        <f aca="false">דאטה!A14</f>
        <v>אמזון</v>
      </c>
      <c r="B8" s="6" t="n">
        <f aca="false">דאטה!B14</f>
        <v>200000</v>
      </c>
      <c r="C8" s="6" t="n">
        <f aca="false">דאטה!C14</f>
        <v>321889</v>
      </c>
      <c r="D8" s="7" t="n">
        <f aca="false">דאטה!D14</f>
        <v>0.621332198366518</v>
      </c>
    </row>
    <row r="9" customFormat="false" ht="15" hidden="false" customHeight="false" outlineLevel="0" collapsed="false">
      <c r="A9" s="5" t="str">
        <f aca="false">דאטה!A5</f>
        <v>סופר פארם לייף</v>
      </c>
      <c r="B9" s="6" t="n">
        <f aca="false">דאטה!B5</f>
        <v>155000</v>
      </c>
      <c r="C9" s="6" t="n">
        <f aca="false">דאטה!C5</f>
        <v>200000</v>
      </c>
      <c r="D9" s="7" t="n">
        <f aca="false">דאטה!D5</f>
        <v>0.775</v>
      </c>
    </row>
    <row r="10" customFormat="false" ht="15" hidden="false" customHeight="false" outlineLevel="0" collapsed="false">
      <c r="A10" s="5" t="str">
        <f aca="false">דאטה!A8</f>
        <v>בתי מרקחת</v>
      </c>
      <c r="B10" s="6" t="n">
        <f aca="false">דאטה!B8</f>
        <v>150000</v>
      </c>
      <c r="C10" s="6" t="n">
        <f aca="false">דאטה!C8</f>
        <v>200000</v>
      </c>
      <c r="D10" s="7" t="n">
        <f aca="false">דאטה!D8</f>
        <v>0.75</v>
      </c>
    </row>
    <row r="11" customFormat="false" ht="15" hidden="false" customHeight="false" outlineLevel="0" collapsed="false">
      <c r="A11" s="5" t="str">
        <f aca="false">דאטה!A7</f>
        <v>BE</v>
      </c>
      <c r="B11" s="6" t="n">
        <f aca="false">דאטה!B7</f>
        <v>100000</v>
      </c>
      <c r="C11" s="6" t="n">
        <f aca="false">דאטה!C7</f>
        <v>100000</v>
      </c>
      <c r="D11" s="7" t="n">
        <f aca="false">דאטה!D7</f>
        <v>1</v>
      </c>
    </row>
    <row r="12" customFormat="false" ht="15" hidden="false" customHeight="false" outlineLevel="0" collapsed="false">
      <c r="A12" s="5" t="str">
        <f aca="false">דאטה!A10</f>
        <v>מאוחדת</v>
      </c>
      <c r="B12" s="6" t="n">
        <f aca="false">דאטה!B10</f>
        <v>60000</v>
      </c>
      <c r="C12" s="6" t="n">
        <f aca="false">דאטה!C10</f>
        <v>100000</v>
      </c>
      <c r="D12" s="7" t="n">
        <f aca="false">דאטה!D10</f>
        <v>0.6</v>
      </c>
    </row>
    <row r="13" customFormat="false" ht="15" hidden="false" customHeight="false" outlineLevel="0" collapsed="false">
      <c r="A13" s="5" t="str">
        <f aca="false">דאטה!A11</f>
        <v>מכוני אורטופדיה</v>
      </c>
      <c r="B13" s="6" t="n">
        <f aca="false">דאטה!B11</f>
        <v>80000</v>
      </c>
      <c r="C13" s="6" t="n">
        <f aca="false">דאטה!C11</f>
        <v>100000</v>
      </c>
      <c r="D13" s="7" t="n">
        <f aca="false">דאטה!D11</f>
        <v>0.8</v>
      </c>
    </row>
    <row r="14" customFormat="false" ht="15" hidden="false" customHeight="false" outlineLevel="0" collapsed="false">
      <c r="A14" s="5" t="str">
        <f aca="false">דאטה!A16</f>
        <v>אחרים</v>
      </c>
      <c r="B14" s="6" t="n">
        <f aca="false">דאטה!B16</f>
        <v>26666</v>
      </c>
      <c r="C14" s="6" t="n">
        <f aca="false">דאטה!C16</f>
        <v>45000</v>
      </c>
      <c r="D14" s="7" t="n">
        <f aca="false">דאטה!D16</f>
        <v>0.592577777777778</v>
      </c>
    </row>
    <row r="15" customFormat="false" ht="15" hidden="false" customHeight="false" outlineLevel="0" collapsed="false">
      <c r="A15" s="5" t="str">
        <f aca="false">דאטה!A12</f>
        <v>מכוני פיזיותרפיה</v>
      </c>
      <c r="B15" s="6" t="n">
        <f aca="false">דאטה!B12</f>
        <v>30000</v>
      </c>
      <c r="C15" s="6" t="n">
        <f aca="false">דאטה!C12</f>
        <v>25000</v>
      </c>
      <c r="D15" s="7" t="n">
        <f aca="false">דאטה!D12</f>
        <v>1.2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2026-10-27T08:54:31Z</dcterms:created>
  <dc:creator>openpyxl</dc:creator>
  <dc:description/>
  <dc:language>en-US</dc:language>
  <cp:lastModifiedBy/>
  <dcterms:modified xsi:type="dcterms:W3CDTF">2026-10-27T08:54:32Z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