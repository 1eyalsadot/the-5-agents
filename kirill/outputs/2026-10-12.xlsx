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<sst xmlns="http://schemas.openxmlformats.org/spreadsheetml/2006/main" count="132" uniqueCount="102">
  <si>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</si>
  <si>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</si>
  <si>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</si>
  <si>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</si>
  <si>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</si>
  <si>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</si>
  <si>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</si>
  <si>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</si>
  <si>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</si>
  <si>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</si>
  <si>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</si>
  <si>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</si>
  <si>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</si>
  <si>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</si>
  <si>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</si>
  <si>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</si>
  <si>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</si>
  <si>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</si>
  <si>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</si>
  <si>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</si>
  <si>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</si>
  <si>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</si>
  <si>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</si>
  <si>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</si>
  <si>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</si>
  <si>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</si>
  <si>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</si>
  <si>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</si>
  <si>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</si>
  <si>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</si>
  <si>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</si>
  <si>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</si>
  <si>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</si>
  <si>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</si>
  <si>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</si>
  <si>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</si>
  <si>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</si>
  <si>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</si>
  <si>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</si>
  <si>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</si>
  <si>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</si>
  <si>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</si>
  <si>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</si>
  <si>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</si>
  <si>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</si>
  <si>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</si>
  <si>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</si>
  <si>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</si>
  <si>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</si>
  <si>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</si>
  <si>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</si>
  <si>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</si>
  <si>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</si>
  <si>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</si>
  <si>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</si>
  <si>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</si>
  <si>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</si>
  <si>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</si>
  <si>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</si>
  <si>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</si>
  <si>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</si>
  <si>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</si>
  <si>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</si>
  <si>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</si>
  <si>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</si>
  <si>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</si>
  <si>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</si>
  <si>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</si>
  <si>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</si>
  <si>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</si>
  <si>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</si>
  <si>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</si>
  <si>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</si>
  <si>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</si>
  <si>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</si>
  <si>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</si>
  <si>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</si>
  <si>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</si>
  <si>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</si>
  <si>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</si>
  <si>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</si>
  <si>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</si>
  <si>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</si>
  <si>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</si>
  <si>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</si>
  <si>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</si>
  <si>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</si>
  <si>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</si>
  <si>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</si>
  <si>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</si>
  <si>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753d4750-PPlay1.xls), "PPlay1 of uriel (Reporter)", נוצר 12/10/2026 21:14:15, תקופה 2026/Oct (ממשיך MTD אוקטובר 2026, אין מעבר חודש - B1 נשאר "אוקטובר 2026"). קובץ הגיע כ-MHTML ("Excel Web Page", MIME multipart) ולא כ-XLSX/ZIP רגיל - פוענח לפי שיטת email.message_from_binary_file + BeautifulSoup (part עם Content-Location שמסתיים ב-sheet001.htm, windows-1255), כמתועד ב-kirill.md; לא הופעל תיקון rgb="auto" (זה לא שייך לפורמט הזה). נשלפו 10 שורות קטגוריה שיש להן נתונים עד כה החודש (0בתי מרקחת, 0מפיצי משנה, 0פארמים, גוד פארם מרכז, סופרפארם, שופרסל BE, 0קופות חולים, אילת BE, הפרכל הפרפארם, 0צרכנים פרטיים), מתוך 13 הקטגוריות במקרא גיליון Pplay1 - עלייה מ-9 קטגוריות ב-07/10 ל-10 היום: 0צרכנים פרטיים (209.7) הופיעה לראשונה החודש. 3 קטגוריות נותרות ללא נתונים עדיין החודש (זיכויים BE, גוד פארם, 0שונות) - תקין, לא נתון חסר. כל שאר הערכים עלו מול 07/10 (הצטברות MTD על פני 5 ימים נוספים) - למשל 0פארמים 76,186.4-&gt;162,323.2, 0בתי מרקחת 21,784.0-&gt;39,645.9, סופרפארם 62,994.8-&gt;141,810.1, שופרסל BE 11,753.1-&gt;18,655.7; גוד פארם מרכז נשארה ללא שינוי (-284.7, אין תנועה נוספת). שורת "Customers" (226,185.8) היא שורת-אב/סכום-ביניים של שדה הפיבוט ואינה שווה לסכום 10 שורות הקטגוריה (388,509.0) - הוחרגה מהייבוא כמקובל לשורות-אב (אותה התנהגות שתועדה כתקינה ב-07/10, כשהפער היה בכיוון ההפוך).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</si>
  <si>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</si>
  <si>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</si>
  <si>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</si>
  <si>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</si>
  <si>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CustomSalesbyCustomerSummary794.xlsx (uploaded as 0f609c95-...), Meditex Group IL, Custom Sales by Customer Summary, 01 October 2026 - 31 October 2026 (MTD, אוקטובר), נמסר 12/10/2026 עבור דוח 12/10/2026.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12 שורות קטגוריה (לא שורות פירוט/לקוחות-בת), שיש להן מכירות בחודש עד כה (102 - Orthopedic institutes, 111 - Superpharm Life, 103 - Physiotherapy institutes, 109 - Private Shops, 101 - Factory customers, 107 - Pharmacies, 106 - Hospitals, 112 - Kupat Holim Clalit, 114 - IL online, 115-SuperPharm Online, 209 - Ortoprofil Prod ROMANIA, 216 - Max Konnaris CYPRUS), מתוך 28 הקטגוריות במקרא "ריכוז" - עלייה מ-9 קטגוריות ב-07/10 ל-12 היום: 111 - Superpharm Life (79,677.0), 103 - Physiotherapy institutes (719.9) ו-209 - Ortoprofil Prod ROMANIA (30,489.94) הופיעו לראשונה החודש. סה"כ שורת "Total" בדוח הגולמי המלא: ₪388,910.89 - תואם בדיוק לסכום 12 שורות הקטגוריה שנשלפו (אומת ידנית: 29,871.96+79,677.00+719.90+2,342.42+11,831.26+9,208.93+5,323.62+77,494.90+117,340.74+801.08+30,489.94+23,809.14 = 388,910.89).</t>
  </si>
  <si>
    <t xml:space="preserve">Source: צילום מסך/נתונים שסופקו על ידי המשתמש (ראובן), לוח בקרה Sellerboard/Amazon Seller "Month to date, 1-12 October 2026", נמסר 12/10/2026 עבור דוח 12/10/2026, מאומת בטקסט (לא תמלול תמונה). נתונים נוספים שסופקו במקור (לא בשימוש בנוסחה): Sales -1.1% מול תקופה קודמת, Orders/Units 938/973, Refunds 73, Est. payout $8,420.16, Gross profit $3,198.58, Net profit $3,198.58 -39.9%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</si>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</sst>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46307</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129047.191</v>
      </c>
    </row>
    <row r="5" customFormat="false" ht="14.25" hidden="false" customHeight="true" outlineLevel="0" collapsed="false">
      <c r="A5" s="10" t="n">
        <v>7</v>
      </c>
      <c r="B5" s="8" t="s">
        <v>4</v>
      </c>
      <c r="C5" s="9" t="n">
        <f aca="false">SUMIF(Pplay1!$F$3:$F$15,A5,Pplay1!$H$3:$H$15)+SUMIF(ריכוז!$B$3:$B$30,A5,ריכוז!$C$3:$C$30)</f>
        <v>18925.998</v>
      </c>
    </row>
    <row r="6" customFormat="false" ht="14.25" hidden="false" customHeight="true" outlineLevel="0" collapsed="false">
      <c r="A6" s="10" t="n">
        <v>4</v>
      </c>
      <c r="B6" s="8" t="s">
        <v>5</v>
      </c>
      <c r="C6" s="9" t="n">
        <f aca="false">SUMIF(Pplay1!$F$3:$F$15,A6,Pplay1!$H$3:$H$15)+SUMIF(ריכוז!$B$3:$B$30,A6,ריכוז!$C$3:$C$30)</f>
        <v>45440.58</v>
      </c>
    </row>
    <row r="7" customFormat="false" ht="14.25" hidden="false" customHeight="true" outlineLevel="0" collapsed="false">
      <c r="A7" s="10" t="n">
        <v>3</v>
      </c>
      <c r="B7" s="8" t="s">
        <v>6</v>
      </c>
      <c r="C7" s="9" t="n">
        <f aca="false">SUMIF(Pplay1!$F$3:$F$15,A7,Pplay1!$H$3:$H$15)+SUMIF(ריכוז!$B$3:$B$30,A7,ריכוז!$C$3:$C$30)</f>
        <v>77494.9</v>
      </c>
    </row>
    <row r="8" customFormat="false" ht="14.25" hidden="false" customHeight="true" outlineLevel="0" collapsed="false">
      <c r="A8" s="10" t="n">
        <v>8</v>
      </c>
      <c r="B8" s="8" t="s">
        <v>7</v>
      </c>
      <c r="C8" s="9" t="n">
        <f aca="false">SUMIF(Pplay1!$F$3:$F$15,A8,Pplay1!$H$3:$H$15)+SUMIF(ריכוז!$B$3:$B$30,A8,ריכוז!$C$3:$C$30)</f>
        <v>21624.239</v>
      </c>
    </row>
    <row r="9" customFormat="false" ht="14.25" hidden="false" customHeight="true" outlineLevel="0" collapsed="false">
      <c r="A9" s="10" t="n">
        <v>6</v>
      </c>
      <c r="B9" s="8" t="s">
        <v>8</v>
      </c>
      <c r="C9" s="9" t="n">
        <f aca="false">SUMIF(Pplay1!$F$3:$F$15,A9,Pplay1!$H$3:$H$15)+SUMIF(ריכוז!$B$3:$B$30,A9,ריכוז!$C$3:$C$30)</f>
        <v>29871.96</v>
      </c>
    </row>
    <row r="10" customFormat="false" ht="14.25" hidden="false" customHeight="true" outlineLevel="0" collapsed="false">
      <c r="A10" s="11" t="n">
        <v>10</v>
      </c>
      <c r="B10" s="12" t="s">
        <v>9</v>
      </c>
      <c r="C10" s="9" t="n">
        <f aca="false">SUMIF(Pplay1!$F$3:$F$15,A10,Pplay1!$H$3:$H$15)+SUMIF(ריכוז!$B$3:$B$30,A10,ריכוז!$C$3:$C$30)</f>
        <v>11831.26</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719.9</v>
      </c>
    </row>
    <row r="16" customFormat="false" ht="15" hidden="false" customHeight="true" outlineLevel="0" collapsed="false">
      <c r="A16" s="13"/>
      <c r="B16" s="14" t="s">
        <v>15</v>
      </c>
      <c r="C16" s="15" t="n">
        <f aca="false">SUM(C3:C15)</f>
        <v>422299.068</v>
      </c>
    </row>
    <row r="17" customFormat="false" ht="14.25" hidden="false" customHeight="true" outlineLevel="0" collapsed="false">
      <c r="A17" s="10" t="n">
        <v>2</v>
      </c>
      <c r="B17" s="8" t="s">
        <v>16</v>
      </c>
      <c r="C17" s="9" t="n">
        <f aca="false">SUMIF(Pplay1!$F$3:$F$15,A17,Pplay1!$H$3:$H$15)+SUMIF(ריכוז!$B$3:$B$30,A17,ריכוז!$C$3:$C$30)</f>
        <v>117340.74</v>
      </c>
    </row>
    <row r="18" customFormat="false" ht="14.25" hidden="false" customHeight="true" outlineLevel="0" collapsed="false">
      <c r="A18" s="10" t="n">
        <v>12</v>
      </c>
      <c r="B18" s="8" t="s">
        <v>17</v>
      </c>
      <c r="C18" s="9" t="n">
        <f aca="false">SUMIF(Pplay1!$F$3:$F$15,A18,Pplay1!$H$3:$H$15)+SUMIF(ריכוז!$B$3:$B$30,A18,ריכוז!$C$3:$C$30)</f>
        <v>801.08</v>
      </c>
    </row>
    <row r="19" customFormat="false" ht="15" hidden="false" customHeight="true" outlineLevel="0" collapsed="false">
      <c r="A19" s="11"/>
      <c r="B19" s="16" t="s">
        <v>18</v>
      </c>
      <c r="C19" s="15" t="n">
        <f aca="false">C18+C17+C16</f>
        <v>540440.888</v>
      </c>
    </row>
    <row r="20" customFormat="false" ht="14.25" hidden="false" customHeight="true" outlineLevel="0" collapsed="false">
      <c r="A20" s="11" t="n">
        <v>50</v>
      </c>
      <c r="B20" s="12" t="s">
        <v>19</v>
      </c>
      <c r="C20" s="9" t="n">
        <f aca="false">(Amazon_מקור!B3+Amazon_מקור!B4)*3</f>
        <v>80159.91</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134458.99</v>
      </c>
    </row>
    <row r="41" customFormat="false" ht="15" hidden="false" customHeight="true" outlineLevel="0" collapsed="false">
      <c r="A41" s="11"/>
      <c r="B41" s="19" t="s">
        <v>40</v>
      </c>
      <c r="C41" s="20" t="n">
        <f aca="false">C40+C19</f>
        <v>674899.878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39645.9</v>
      </c>
      <c r="H3" s="27" t="n">
        <f aca="false">IF(G3="","",G3*0.91)</f>
        <v>36077.769</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244.1</v>
      </c>
      <c r="H4" s="27" t="n">
        <f aca="false">IF(G4="","",G4*0.91)</f>
        <v>222.131</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162323.2</v>
      </c>
      <c r="H5" s="27" t="n">
        <f aca="false">IF(G5="","",G5*0.91)</f>
        <v>147714.112</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1966.8</v>
      </c>
      <c r="H6" s="27" t="n">
        <f aca="false">IF(G6="","",G6*0.91)</f>
        <v>1789.788</v>
      </c>
    </row>
    <row r="7" customFormat="false" ht="14.25" hidden="false" customHeight="true" outlineLevel="0" collapsed="false">
      <c r="A7" s="25" t="s">
        <v>52</v>
      </c>
      <c r="B7" s="23" t="n">
        <v>4</v>
      </c>
      <c r="C7" s="23"/>
      <c r="D7" s="23"/>
      <c r="E7" s="23"/>
      <c r="F7" s="26" t="n">
        <f aca="false">IF(B7&lt;&gt;"",B7,IF(C7&lt;&gt;"",C7,IF(D7&lt;&gt;"",D7,IF(E7&lt;&gt;"",E7,""))))</f>
        <v>4</v>
      </c>
      <c r="G7" s="27" t="str">
        <f aca="false">IFERROR(INDEX(PPLAY1_מקור!$B:$B,MATCH(A7,PPLAY1_מקור!$A:$A,0)),"")</f>
        <v/>
      </c>
      <c r="H7" s="27" t="str">
        <f aca="false">IF(G7="","",G7*0.91)</f>
        <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175.3</v>
      </c>
      <c r="H9" s="27" t="n">
        <f aca="false">IF(G9="","",G9*0.91)</f>
        <v>159.523</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141810.1</v>
      </c>
      <c r="H10" s="27" t="n">
        <f aca="false">IF(G10="","",G10*0.91)</f>
        <v>129047.191</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18655.7</v>
      </c>
      <c r="H11" s="27" t="n">
        <f aca="false">IF(G11="","",G11*0.91)</f>
        <v>16976.687</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23762.9</v>
      </c>
      <c r="H13" s="27" t="n">
        <f aca="false">IF(G13="","",G13*0.91)</f>
        <v>21624.239</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str">
        <f aca="false">IFERROR(INDEX(PPLAY1_מקור!$B:$B,MATCH(A15,PPLAY1_מקור!$A:$A,0)),"")</f>
        <v/>
      </c>
      <c r="H15" s="27" t="str">
        <f aca="false">IF(G15="","",G15*0.91)</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29871.96</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719.9</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11831.26</v>
      </c>
    </row>
    <row r="8" customFormat="false" ht="14.25" hidden="false" customHeight="true" outlineLevel="0" collapsed="false">
      <c r="A8" s="28" t="s">
        <v>67</v>
      </c>
      <c r="B8" s="1" t="n">
        <v>4</v>
      </c>
      <c r="C8" s="27" t="n">
        <f aca="false">IFERROR(INDEX(NetSuite_מקור!$D:$D,MATCH(A8,NetSuite_מקור!$A:$A,0)),"")</f>
        <v>9208.93</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77494.9</v>
      </c>
    </row>
    <row r="12" customFormat="false" ht="14.25" hidden="false" customHeight="true" outlineLevel="0" collapsed="false">
      <c r="A12" s="28" t="s">
        <v>71</v>
      </c>
      <c r="B12" s="1" t="n">
        <v>2</v>
      </c>
      <c r="C12" s="27" t="n">
        <f aca="false">IFERROR(INDEX(NetSuite_מקור!$D:$D,MATCH(A12,NetSuite_מקור!$A:$A,0)),"")</f>
        <v>117340.74</v>
      </c>
    </row>
    <row r="13" customFormat="false" ht="14.25" hidden="false" customHeight="true" outlineLevel="0" collapsed="false">
      <c r="A13" s="28" t="s">
        <v>72</v>
      </c>
      <c r="B13" s="1" t="n">
        <v>12</v>
      </c>
      <c r="C13" s="27" t="n">
        <f aca="false">IFERROR(INDEX(NetSuite_מקור!$D:$D,MATCH(A13,NetSuite_מקור!$A:$A,0)),"")</f>
        <v>801.08</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39645.9</v>
      </c>
      <c r="C3" s="27" t="n">
        <f aca="false">B3*0.91</f>
        <v>36077.769</v>
      </c>
      <c r="D3" s="30"/>
    </row>
    <row r="4" customFormat="false" ht="14.25" hidden="false" customHeight="true" outlineLevel="0" collapsed="false">
      <c r="A4" s="26" t="s">
        <v>49</v>
      </c>
      <c r="B4" s="27" t="n">
        <v>244.1</v>
      </c>
      <c r="C4" s="27" t="n">
        <f aca="false">B4*0.91</f>
        <v>222.131</v>
      </c>
      <c r="D4" s="30"/>
    </row>
    <row r="5" customFormat="false" ht="14.25" hidden="false" customHeight="true" outlineLevel="0" collapsed="false">
      <c r="A5" s="26" t="s">
        <v>50</v>
      </c>
      <c r="B5" s="27" t="n">
        <v>162323.2</v>
      </c>
      <c r="C5" s="27" t="n">
        <f aca="false">B5*0.91</f>
        <v>147714.112</v>
      </c>
      <c r="D5" s="30"/>
    </row>
    <row r="6" customFormat="false" ht="14.25" hidden="false" customHeight="true" outlineLevel="0" collapsed="false">
      <c r="A6" s="26" t="s">
        <v>53</v>
      </c>
      <c r="B6" s="27" t="n">
        <v>-284.7</v>
      </c>
      <c r="C6" s="27" t="n">
        <f aca="false">B6*0.91</f>
        <v>-259.077</v>
      </c>
      <c r="D6" s="30"/>
    </row>
    <row r="7" customFormat="false" ht="14.25" hidden="false" customHeight="true" outlineLevel="0" collapsed="false">
      <c r="A7" s="26" t="s">
        <v>3</v>
      </c>
      <c r="B7" s="27" t="n">
        <v>141810.1</v>
      </c>
      <c r="C7" s="27" t="n">
        <f aca="false">B7*0.91</f>
        <v>129047.191</v>
      </c>
      <c r="D7" s="30"/>
    </row>
    <row r="8" customFormat="false" ht="14.25" hidden="false" customHeight="true" outlineLevel="0" collapsed="false">
      <c r="A8" s="26" t="s">
        <v>55</v>
      </c>
      <c r="B8" s="27" t="n">
        <v>18655.7</v>
      </c>
      <c r="C8" s="27" t="n">
        <f aca="false">B8*0.91</f>
        <v>16976.687</v>
      </c>
      <c r="D8" s="30"/>
    </row>
    <row r="9" customFormat="false" ht="14.25" hidden="false" customHeight="true" outlineLevel="0" collapsed="false">
      <c r="A9" s="26" t="s">
        <v>57</v>
      </c>
      <c r="B9" s="27" t="n">
        <v>23762.9</v>
      </c>
      <c r="C9" s="27" t="n">
        <f aca="false">B9*0.91</f>
        <v>21624.239</v>
      </c>
    </row>
    <row r="10" customFormat="false" ht="14.25" hidden="false" customHeight="true" outlineLevel="0" collapsed="false">
      <c r="A10" s="26" t="s">
        <v>51</v>
      </c>
      <c r="B10" s="27" t="n">
        <v>1966.8</v>
      </c>
      <c r="C10" s="27" t="n">
        <f aca="false">B10*0.91</f>
        <v>1789.788</v>
      </c>
    </row>
    <row r="11" customFormat="false" ht="14.25" hidden="false" customHeight="true" outlineLevel="0" collapsed="false">
      <c r="A11" s="1" t="s">
        <v>54</v>
      </c>
      <c r="B11" s="1" t="n">
        <v>175.3</v>
      </c>
      <c r="C11" s="1" t="n">
        <f aca="false">B11*0.91</f>
        <v>159.523</v>
      </c>
    </row>
    <row r="12" customFormat="false" ht="14.25" hidden="false" customHeight="false" outlineLevel="0" collapsed="false">
      <c r="A12" s="1" t="s">
        <v>56</v>
      </c>
      <c r="B12" s="1" t="n">
        <v>209.7</v>
      </c>
      <c r="C12" s="1" t="n">
        <f aca="false">B12*0.91</f>
        <v>190.827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29871.96</v>
      </c>
    </row>
    <row r="4" customFormat="false" ht="15" hidden="false" customHeight="true" outlineLevel="0" collapsed="false">
      <c r="A4" s="26" t="s">
        <v>63</v>
      </c>
      <c r="D4" s="29" t="n">
        <v>79677</v>
      </c>
    </row>
    <row r="5" customFormat="false" ht="15" hidden="false" customHeight="true" outlineLevel="0" collapsed="false">
      <c r="A5" s="26" t="s">
        <v>64</v>
      </c>
      <c r="D5" s="29" t="n">
        <v>719.9</v>
      </c>
    </row>
    <row r="6" customFormat="false" ht="15" hidden="false" customHeight="true" outlineLevel="0" collapsed="false">
      <c r="A6" s="26" t="s">
        <v>65</v>
      </c>
      <c r="D6" s="29" t="n">
        <v>2342.42</v>
      </c>
    </row>
    <row r="7" customFormat="false" ht="15" hidden="false" customHeight="true" outlineLevel="0" collapsed="false">
      <c r="A7" s="26" t="s">
        <v>66</v>
      </c>
      <c r="D7" s="29" t="n">
        <v>11831.26</v>
      </c>
    </row>
    <row r="8" customFormat="false" ht="15" hidden="false" customHeight="true" outlineLevel="0" collapsed="false">
      <c r="A8" s="26" t="s">
        <v>67</v>
      </c>
      <c r="D8" s="29" t="n">
        <v>9208.93</v>
      </c>
    </row>
    <row r="9" customFormat="false" ht="15" hidden="false" customHeight="true" outlineLevel="0" collapsed="false">
      <c r="A9" s="26" t="s">
        <v>68</v>
      </c>
      <c r="D9" s="29" t="n">
        <v>5323.62</v>
      </c>
    </row>
    <row r="10" customFormat="false" ht="14.25" hidden="false" customHeight="true" outlineLevel="0" collapsed="false">
      <c r="A10" s="26" t="s">
        <v>70</v>
      </c>
      <c r="D10" s="29" t="n">
        <v>77494.9</v>
      </c>
    </row>
    <row r="11" customFormat="false" ht="14.25" hidden="false" customHeight="true" outlineLevel="0" collapsed="false">
      <c r="A11" s="26" t="s">
        <v>71</v>
      </c>
      <c r="D11" s="29" t="n">
        <v>117340.74</v>
      </c>
    </row>
    <row r="12" customFormat="false" ht="14.25" hidden="false" customHeight="true" outlineLevel="0" collapsed="false">
      <c r="A12" s="26" t="s">
        <v>72</v>
      </c>
      <c r="B12" s="31"/>
      <c r="C12" s="31"/>
      <c r="D12" s="29" t="n">
        <v>801.08</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c r="D15" s="27"/>
    </row>
    <row r="16" customFormat="false" ht="14.25" hidden="false" customHeight="true" outlineLevel="0" collapsed="false">
      <c r="A16" s="26"/>
      <c r="D16" s="27"/>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28451.74</v>
      </c>
      <c r="C3" s="30" t="s">
        <v>99</v>
      </c>
    </row>
    <row r="4" customFormat="false" ht="15" hidden="false" customHeight="true" outlineLevel="0" collapsed="false">
      <c r="A4" s="26" t="s">
        <v>100</v>
      </c>
      <c r="B4" s="27" t="n">
        <v>-1731.77</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2026-10-12T18:19:04Z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