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השוואה כוללת" sheetId="1" state="visible" r:id="rId3"/>
    <sheet name="הכי נמכרים 2025" sheetId="2" state="visible" r:id="rId4"/>
    <sheet name="הכי נמכרים 2026" sheetId="3" state="visible" r:id="rId5"/>
    <sheet name="עליות הכי גדולות" sheetId="4" state="visible" r:id="rId6"/>
    <sheet name="ירידות הכי גדולות" sheetId="5" state="visible" r:id="rId7"/>
    <sheet name="סיכום ומסקנות" sheetId="6" state="visible" r:id="rId8"/>
    <sheet name="מקור-01" sheetId="7" state="visible" r:id="rId9"/>
    <sheet name="מקור-02" sheetId="8" state="visible" r:id="rId10"/>
    <sheet name="מקור-03" sheetId="9" state="visible" r:id="rId11"/>
    <sheet name="מקור-04" sheetId="10" state="visible" r:id="rId12"/>
    <sheet name="מקור-05" sheetId="11" state="visible" r:id="rId13"/>
    <sheet name="מקור-06" sheetId="12" state="visible" r:id="rId14"/>
    <sheet name="מקור-07"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<sst xmlns="http://schemas.openxmlformats.org/spreadsheetml/2006/main" count="1639" uniqueCount="291">
  <si>
    <t xml:space="preserve">השוואה כוללת - מכירות ינואר-יולי, 2025 מול 2026</t>
  </si>
  <si>
    <t xml:space="preserve">תאריך חישוב:</t>
  </si>
  <si>
    <t xml:space="preserve">מקורות: month-01.xlsx עד month-07.xlsx (ינואר-יולי 2026 מול אותם חודשים ב-2025), kirill/reference/2026-sales-comparison/</t>
  </si>
  <si>
    <t xml:space="preserve">קוד SKU</t>
  </si>
  <si>
    <t xml:space="preserve">שם מוצר</t>
  </si>
  <si>
    <t xml:space="preserve">יחידות ינואר-יולי 2025</t>
  </si>
  <si>
    <t xml:space="preserve">יחידות ינואר-יולי 2026</t>
  </si>
  <si>
    <t xml:space="preserve">הפרש (יחידות)</t>
  </si>
  <si>
    <t xml:space="preserve">שינוי %</t>
  </si>
  <si>
    <t xml:space="preserve">URI 3623 1 כרית ליישור אצבע</t>
  </si>
  <si>
    <t xml:space="preserve">URI 311         1 מדבקת ג'ל</t>
  </si>
  <si>
    <t xml:space="preserve">URI 307 M 1 זוג עקב סיל+נ כ</t>
  </si>
  <si>
    <t xml:space="preserve">URI 307 L 1 זוג עקב סיל+נ כ</t>
  </si>
  <si>
    <t xml:space="preserve">394B-35-381 גרבי קיץ לסוכרת</t>
  </si>
  <si>
    <t xml:space="preserve">394B-39-421 גרבי קיץ לסוכרת</t>
  </si>
  <si>
    <t xml:space="preserve">394B-43-461 גרבי קיץ לסוכרת</t>
  </si>
  <si>
    <t xml:space="preserve">394-G-35-31 גרבי קיץ לסוכרת</t>
  </si>
  <si>
    <t xml:space="preserve">394G-39-421 גרבי קיץ לסוכרת</t>
  </si>
  <si>
    <t xml:space="preserve">394G-43-461 גרבי קיץ לסוכרת</t>
  </si>
  <si>
    <t xml:space="preserve">394W-35-381 גרבי קיץ לסוכרת</t>
  </si>
  <si>
    <t xml:space="preserve">394W-39-421 גרבי קיץ לסוכרת</t>
  </si>
  <si>
    <t xml:space="preserve">394W-43-461 גרבי קיץ לסוכרת</t>
  </si>
  <si>
    <t xml:space="preserve">URI 8200    1 כרית חום וקור</t>
  </si>
  <si>
    <t xml:space="preserve">URI 34 S 1 מגן קרסול ס בעקב</t>
  </si>
  <si>
    <t xml:space="preserve">URI 40    1 רצועת פיקה לברך</t>
  </si>
  <si>
    <t xml:space="preserve">URI 35 XST 1 מגן קרסול פתוח</t>
  </si>
  <si>
    <t xml:space="preserve">URI 07AU XXL 1</t>
  </si>
  <si>
    <t xml:space="preserve">URI 11 XXL  1 ח.בטן אורירית</t>
  </si>
  <si>
    <t xml:space="preserve">URI 45 XXL        1 מגן ברך</t>
  </si>
  <si>
    <t xml:space="preserve">URI 45E XXL  1 מגן ברך ארוך</t>
  </si>
  <si>
    <t xml:space="preserve">URI 388L    1 סד לילה לבוהן</t>
  </si>
  <si>
    <t xml:space="preserve">URI 388R    1 סד לילה לבוהן</t>
  </si>
  <si>
    <t xml:space="preserve">URI 364 XL 1</t>
  </si>
  <si>
    <t xml:space="preserve">URI AC28        1 סד לאגודל</t>
  </si>
  <si>
    <t xml:space="preserve">URI 3666  1 מפריד הלקס+כרית</t>
  </si>
  <si>
    <t xml:space="preserve">URI 13 XL1 חגורה ללשבר טבור</t>
  </si>
  <si>
    <t xml:space="preserve">URI 34+XXL1 מ קרסול+עכב סגו</t>
  </si>
  <si>
    <t xml:space="preserve">URI T33 XXL     1 סד לקרסול</t>
  </si>
  <si>
    <t xml:space="preserve">URI T78 XXL 1 תומך זרוע כתף</t>
  </si>
  <si>
    <t xml:space="preserve">URI 11STO L1 חגורה אחר ניתו</t>
  </si>
  <si>
    <t xml:space="preserve">URI 11STO S1 חגורה אחר ניתו</t>
  </si>
  <si>
    <t xml:space="preserve">URI 11STO XL1 חגורה אחר נית</t>
  </si>
  <si>
    <t xml:space="preserve">URI 11STO XXL1 חגורה א ניתו</t>
  </si>
  <si>
    <t xml:space="preserve">URI 34 XXL 1 מגן קרסול סגור</t>
  </si>
  <si>
    <t xml:space="preserve">URI 11TO XXL    1 חגורת בטן</t>
  </si>
  <si>
    <t xml:space="preserve">URI 35 XXL  1 מגן קרסול לבן</t>
  </si>
  <si>
    <t xml:space="preserve">URI 95 XS        1 מגן מרפק</t>
  </si>
  <si>
    <t xml:space="preserve">URI 370       1 רפידת נוחות</t>
  </si>
  <si>
    <t xml:space="preserve">URI 372    1 רפידת אנטי ריח</t>
  </si>
  <si>
    <t xml:space="preserve">URI 374 1 רפידה בולמת זעזוע</t>
  </si>
  <si>
    <t xml:space="preserve">URI 333         1 סד לקרסול</t>
  </si>
  <si>
    <t xml:space="preserve">URI 307 S 1 זוג עקב סיל+נ כ</t>
  </si>
  <si>
    <t xml:space="preserve">URI 45E  1 מגן ברך ארוך לבן</t>
  </si>
  <si>
    <t xml:space="preserve">397A-39-42      1 גרבי טיסה</t>
  </si>
  <si>
    <t xml:space="preserve">397A-43-46      1 גרבי טיסה</t>
  </si>
  <si>
    <t xml:space="preserve">URI 07AU  1 חגור.גב איטלקית</t>
  </si>
  <si>
    <t xml:space="preserve">URI 34+        1 מגן לקרסול</t>
  </si>
  <si>
    <t xml:space="preserve">STRAP4U 239B S-M 1</t>
  </si>
  <si>
    <t xml:space="preserve">STRAP4U 239B L-XL 1</t>
  </si>
  <si>
    <t xml:space="preserve">STRAP4U 239TR L-XL 1</t>
  </si>
  <si>
    <t xml:space="preserve">URI 21        1 חבק יד ארוך</t>
  </si>
  <si>
    <t xml:space="preserve">THERMOFLEX 33   1 סד לקרסול</t>
  </si>
  <si>
    <t xml:space="preserve">THERMOFLEX 78        1 תומך</t>
  </si>
  <si>
    <t xml:space="preserve">THERMOFLEX 90  1 רצועת טניס</t>
  </si>
  <si>
    <t xml:space="preserve">URI 38  1 חבישת הלוקס ולגוס</t>
  </si>
  <si>
    <t xml:space="preserve">URI 74    1 רצועה לשבר בעצם</t>
  </si>
  <si>
    <t xml:space="preserve">URI 76          1 מיישר כתף</t>
  </si>
  <si>
    <t xml:space="preserve">URI 87 S 1 חגו.קיבוע תמ.אמה</t>
  </si>
  <si>
    <t xml:space="preserve">                                   1 סד יד דו צדדי</t>
  </si>
  <si>
    <t xml:space="preserve">                                       1 סד לאגודל</t>
  </si>
  <si>
    <t xml:space="preserve">URI FC321  1 מלח אמבט לכף ר</t>
  </si>
  <si>
    <t xml:space="preserve">URI 078G L 1 חגורת גב אפורה</t>
  </si>
  <si>
    <t xml:space="preserve">URI 078G M 1 חגורת גב אפורה</t>
  </si>
  <si>
    <t xml:space="preserve">URI 078G S 1 חגורת גב אפורה</t>
  </si>
  <si>
    <t xml:space="preserve">URI 078G XL 1 חגורת גב אפור</t>
  </si>
  <si>
    <t xml:space="preserve">URI 397-35-38   1 גרבי טיסה</t>
  </si>
  <si>
    <t xml:space="preserve">URI 397-39-42   1 גרבי טיסה</t>
  </si>
  <si>
    <t xml:space="preserve">URI 397-43-46  1 גרבי טיסה</t>
  </si>
  <si>
    <t xml:space="preserve">URI 422EN M .1 מ.ברך+כר.סיל</t>
  </si>
  <si>
    <t xml:space="preserve">URI 078G XXL1 חגורת גב אפור</t>
  </si>
  <si>
    <t xml:space="preserve">808KT-P   1 טייפ קינזיולוגי</t>
  </si>
  <si>
    <t xml:space="preserve">808KT-BL  1 טייפ קינזיולוגי</t>
  </si>
  <si>
    <t xml:space="preserve">808KT-C   1 טייפ קינזיולוגי</t>
  </si>
  <si>
    <t xml:space="preserve">808KT-B   1 טייפ קינזיולוגי</t>
  </si>
  <si>
    <t xml:space="preserve">URI 362 L R 1</t>
  </si>
  <si>
    <t xml:space="preserve">URI 363 L R 1</t>
  </si>
  <si>
    <t xml:space="preserve">URI 369 S-L 1</t>
  </si>
  <si>
    <t xml:space="preserve">URI 364 S M 1</t>
  </si>
  <si>
    <t xml:space="preserve">URI 365 S-L   1 טבעת אלסטית</t>
  </si>
  <si>
    <t xml:space="preserve">URI 365 XL    1 טבעת אלסטית</t>
  </si>
  <si>
    <t xml:space="preserve">URI PD340  1 קוצץ ציפורניים</t>
  </si>
  <si>
    <t xml:space="preserve">URI PD341 1 מקצוע להסרת עור</t>
  </si>
  <si>
    <t xml:space="preserve">URI PD3421 פומפיה להסרת עור</t>
  </si>
  <si>
    <t xml:space="preserve">URI PD344       1 אבן טבעית</t>
  </si>
  <si>
    <t xml:space="preserve">URI PD3461 10 סכינים למקצוע</t>
  </si>
  <si>
    <t xml:space="preserve">URI 3641 1</t>
  </si>
  <si>
    <t xml:space="preserve">URI 369 XL 1</t>
  </si>
  <si>
    <t xml:space="preserve">URI 312 9*5   1 מדבקה גדולה</t>
  </si>
  <si>
    <t xml:space="preserve">URI 366S 1 מדבקה לשחרור לחץ</t>
  </si>
  <si>
    <t xml:space="preserve">URI 3677 1 מדבקה לשחרור לחץ</t>
  </si>
  <si>
    <t xml:space="preserve">URI 45 M          1 מגן ברך</t>
  </si>
  <si>
    <t xml:space="preserve">URI 45 L          1 מגן ברךBOX</t>
  </si>
  <si>
    <t xml:space="preserve">URI 45 XL         1 מגן ברך</t>
  </si>
  <si>
    <t xml:space="preserve">URI 34 M 1 מגן קרסול ס.בעקב</t>
  </si>
  <si>
    <t xml:space="preserve">URI 34 L 1 מגן קרסול ס.בעקב</t>
  </si>
  <si>
    <t xml:space="preserve">URI 34 XL1 מגן קרסול ס.בעקב</t>
  </si>
  <si>
    <t xml:space="preserve">URI 11U S 1 ח בטן אחר ניתוח</t>
  </si>
  <si>
    <t xml:space="preserve">URI 11U M 1 ח בטן אחר ניתוח</t>
  </si>
  <si>
    <t xml:space="preserve">URI 11U L 1 ח בטן אחר ניתוח</t>
  </si>
  <si>
    <t xml:space="preserve">URI 11U XL1 ח בטן אחר ניתוח</t>
  </si>
  <si>
    <t xml:space="preserve">URI 85 M         1 מתלה ליד</t>
  </si>
  <si>
    <t xml:space="preserve">URI 85 L         1 מתלה ליד</t>
  </si>
  <si>
    <t xml:space="preserve">URI 85 XL        1 מתלה ליד</t>
  </si>
  <si>
    <t xml:space="preserve">URI 87 M1 חגו.לקיבוע תמ.אמה</t>
  </si>
  <si>
    <t xml:space="preserve">URI 87 L1 חגו.לקיבוע תמ.אמה</t>
  </si>
  <si>
    <t xml:space="preserve">URI 87 XL1 חגו.קיבוע תמ.אמה</t>
  </si>
  <si>
    <t xml:space="preserve">URI 95 M         1 מגן מרפק</t>
  </si>
  <si>
    <t xml:space="preserve">URI 95 L         1 מגן מרפק</t>
  </si>
  <si>
    <t xml:space="preserve">URI 95 XL        1 מגן מרפק</t>
  </si>
  <si>
    <t xml:space="preserve">URI 40221 רצועה לפיקה +כרית</t>
  </si>
  <si>
    <t xml:space="preserve">URI 390W 35-38   1 גרבי כסף</t>
  </si>
  <si>
    <t xml:space="preserve">URI 390W 39-42   1 גרבי כסף</t>
  </si>
  <si>
    <t xml:space="preserve">URI 390W 43-46   1 גרבי כסף</t>
  </si>
  <si>
    <t xml:space="preserve">URI 390B 35-38   1 גרבי כסף</t>
  </si>
  <si>
    <t xml:space="preserve">URI 390B 39-42   1 גרבי כסף</t>
  </si>
  <si>
    <t xml:space="preserve">URI 390B 43-46   1 גרבי כסף</t>
  </si>
  <si>
    <t xml:space="preserve">URI 390G 35-38   1 גרבי כסף</t>
  </si>
  <si>
    <t xml:space="preserve">URI 390G 39-42   1 גרבי כסף</t>
  </si>
  <si>
    <t xml:space="preserve">URI 390G 43-46   1 גרבי כסף</t>
  </si>
  <si>
    <t xml:space="preserve">URI M35     1 מגן קרסול לבן</t>
  </si>
  <si>
    <t xml:space="preserve">URI L35     1 מגן קרסול לבן</t>
  </si>
  <si>
    <t xml:space="preserve">URI XL35    1 מגן קרסול לבן</t>
  </si>
  <si>
    <t xml:space="preserve">URI LF 360   1 מדרס מטטרזלי</t>
  </si>
  <si>
    <t xml:space="preserve">URI 801 ICE GO  1 תחבושת אל</t>
  </si>
  <si>
    <t xml:space="preserve">                       1 תרסיס דיאו.אנטי בקטר.לנעל</t>
  </si>
  <si>
    <t xml:space="preserve">URI 34 XS  1 מגן קרסול סגור</t>
  </si>
  <si>
    <t xml:space="preserve">URI 49 XXL        1 מגן ירך</t>
  </si>
  <si>
    <t xml:space="preserve">URI 95 XXL       1 מגן מרפק</t>
  </si>
  <si>
    <t xml:space="preserve">URI 302M 0  1 מדרס ג'ל לגבר</t>
  </si>
  <si>
    <t xml:space="preserve">URI 11      1 ח בטן אורירית</t>
  </si>
  <si>
    <t xml:space="preserve">חגורה למנותחי בית חזה</t>
  </si>
  <si>
    <t xml:space="preserve">URI 35  S   1 מגן קרסול לבן</t>
  </si>
  <si>
    <t xml:space="preserve">URI 45 S          1 מגן ברך</t>
  </si>
  <si>
    <t xml:space="preserve">URI 49            1 מגן ירך</t>
  </si>
  <si>
    <t xml:space="preserve">URI 59D S1 חגורת שבר דו צדד</t>
  </si>
  <si>
    <t xml:space="preserve">URI 95 S         1 מגן מרפק</t>
  </si>
  <si>
    <t xml:space="preserve">URI 85 S        1 מיתלה ליד</t>
  </si>
  <si>
    <t xml:space="preserve">388B L 1 סד לילה שחור לבוהן</t>
  </si>
  <si>
    <t xml:space="preserve">388B R 1 סד לילה שחור לבוהן</t>
  </si>
  <si>
    <t xml:space="preserve">URI 078S 1</t>
  </si>
  <si>
    <t xml:space="preserve">URI 078M 1</t>
  </si>
  <si>
    <t xml:space="preserve">URI 078L 1</t>
  </si>
  <si>
    <t xml:space="preserve">URI 078XL 1</t>
  </si>
  <si>
    <t xml:space="preserve">URI 3655   1 שרוול מסיליקון</t>
  </si>
  <si>
    <t xml:space="preserve">URI S 3622 1 מדבקה לשחרור ל</t>
  </si>
  <si>
    <t xml:space="preserve">URI 07AU L   1 ח.גב איטלקית</t>
  </si>
  <si>
    <t xml:space="preserve">URI 07AU M   1 ח גב איטלקית</t>
  </si>
  <si>
    <t xml:space="preserve">URI 07AU XL  1 ח.גב איטלקית</t>
  </si>
  <si>
    <t xml:space="preserve">URI 11 L    1 ח.בטן אורירית</t>
  </si>
  <si>
    <t xml:space="preserve">URI 11 M    1 ח.בטן אורירית</t>
  </si>
  <si>
    <t xml:space="preserve">URI 11 XL   1 ח.בטן אורירית</t>
  </si>
  <si>
    <t xml:space="preserve">URI 11 TO M         1 ח בטן</t>
  </si>
  <si>
    <t xml:space="preserve">URI 11 TO L         1 ח בטן</t>
  </si>
  <si>
    <t xml:space="preserve">URI 11 TO XL        1 ח בטן</t>
  </si>
  <si>
    <t xml:space="preserve">URI 21 L      1 חבק יד ארוך</t>
  </si>
  <si>
    <t xml:space="preserve">URI 21 M      1 חבק יד ארוך</t>
  </si>
  <si>
    <t xml:space="preserve">URI 21 XL     1 חבק יד ארוך</t>
  </si>
  <si>
    <t xml:space="preserve">URI 34+ L      1 מגן לקרסול</t>
  </si>
  <si>
    <t xml:space="preserve">URI 34+ M       1 מגן קרסול</t>
  </si>
  <si>
    <t xml:space="preserve">URI 34+ XL      1 מגן קרסול</t>
  </si>
  <si>
    <t xml:space="preserve">URI 45E L1 מגן ברך ארוך לבן</t>
  </si>
  <si>
    <t xml:space="preserve">URI 45E M    1 מגן ברך ארוך</t>
  </si>
  <si>
    <t xml:space="preserve">URI 45E XL   1 מגן ברך ארוך</t>
  </si>
  <si>
    <t xml:space="preserve">URI 49 L          1 מגן ירך</t>
  </si>
  <si>
    <t xml:space="preserve">URI 49 M          1 מגן ירך</t>
  </si>
  <si>
    <t xml:space="preserve">URI 49 XL         1 מגן ירך</t>
  </si>
  <si>
    <t xml:space="preserve">URI 59R L.1 חגורת שבר לצד י</t>
  </si>
  <si>
    <t xml:space="preserve">URI 59R  M.1 חגורת שבר צד י</t>
  </si>
  <si>
    <t xml:space="preserve">URI 59R  XL1 חגורת שבר צד י</t>
  </si>
  <si>
    <t xml:space="preserve">URI 59L L 1 חגורת שבר לשמאל</t>
  </si>
  <si>
    <t xml:space="preserve">URI 59 L M 1 חגורת שבר צד ש</t>
  </si>
  <si>
    <t xml:space="preserve">URI 59L XL 1 חגורת שבר צד ש</t>
  </si>
  <si>
    <t xml:space="preserve">URI 59D L1 חגורת שבר דו צדד</t>
  </si>
  <si>
    <t xml:space="preserve">URI 59D M 1 חגורת שבר דו צד</t>
  </si>
  <si>
    <t xml:space="preserve">URI 59D XL1 חגורת שבר דו צד</t>
  </si>
  <si>
    <t xml:space="preserve">URI 74-L-XL    1 רצועה לשבר</t>
  </si>
  <si>
    <t xml:space="preserve">URI 76 L        1 מיישר כתף</t>
  </si>
  <si>
    <t xml:space="preserve">URI 76 M        1 מיישר כתף</t>
  </si>
  <si>
    <t xml:space="preserve">URI 76 XL       1 מיישר כתף</t>
  </si>
  <si>
    <t xml:space="preserve">URI T33 L       1 סד לקרסול</t>
  </si>
  <si>
    <t xml:space="preserve">URI T33 M       1 סד לקרסול</t>
  </si>
  <si>
    <t xml:space="preserve">URI T33 XL      1 סד לקרסול</t>
  </si>
  <si>
    <t xml:space="preserve">URI T39 L         1 מגן שוק</t>
  </si>
  <si>
    <t xml:space="preserve">URI T39 M         1 מגן שוק</t>
  </si>
  <si>
    <t xml:space="preserve">URI T39 XL        1 מגן שוק</t>
  </si>
  <si>
    <t xml:space="preserve">URI T78 L            1 תומך</t>
  </si>
  <si>
    <t xml:space="preserve">URI T78 M            1 תומך</t>
  </si>
  <si>
    <t xml:space="preserve">URI T78 XL           1 תומך</t>
  </si>
  <si>
    <t xml:space="preserve">URI 16 L-XL   1 חגורת הריון</t>
  </si>
  <si>
    <t xml:space="preserve">URI 16 S-M    1 חגורת הריון</t>
  </si>
  <si>
    <t xml:space="preserve">URI 16 XXL    1 חגורת הריון</t>
  </si>
  <si>
    <t xml:space="preserve">URI 078C L   '1 חגורת גב בז</t>
  </si>
  <si>
    <t xml:space="preserve">URI 078C XL  '1 חגורת גב בז</t>
  </si>
  <si>
    <t xml:space="preserve">URI 078C XXL '1 חגורת גב בז</t>
  </si>
  <si>
    <t xml:space="preserve">                             1 מ.בוניון+מפריד אצבע</t>
  </si>
  <si>
    <t xml:space="preserve">URI 3675 1 מגן זרת מסיליקון</t>
  </si>
  <si>
    <t xml:space="preserve">URI 3611       '1 כרית בנדג</t>
  </si>
  <si>
    <t xml:space="preserve">URI 3667        1 מגן בונין</t>
  </si>
  <si>
    <t xml:space="preserve">URI 320 BLISTER PLASTER 1</t>
  </si>
  <si>
    <t xml:space="preserve">ST91       1 מגן מרפק לטניס</t>
  </si>
  <si>
    <t xml:space="preserve">ST25     1 חבק לשורש כף היד</t>
  </si>
  <si>
    <t xml:space="preserve">ST20               1 חבק יד</t>
  </si>
  <si>
    <t xml:space="preserve">URI ST37      1 חבק לקרסול</t>
  </si>
  <si>
    <t xml:space="preserve">ST28  1 סט אגודלי+מוט תמיכה</t>
  </si>
  <si>
    <t xml:space="preserve">URI ST11        1 חגורת בטן</t>
  </si>
  <si>
    <t xml:space="preserve">URI ST4221 מגן ברך +כ סיליק</t>
  </si>
  <si>
    <t xml:space="preserve">URI FC335    1 טלק לכף הרגל</t>
  </si>
  <si>
    <t xml:space="preserve">URI 307 XL  1 כרית סיל.לעקב</t>
  </si>
  <si>
    <t xml:space="preserve">URI 302W 0     1 מדרס לאישה</t>
  </si>
  <si>
    <t xml:space="preserve">URI 87 XXL   1 מקבע כתף ויד</t>
  </si>
  <si>
    <t xml:space="preserve">ST433    H 1 מגן ברך עם ציר</t>
  </si>
  <si>
    <t xml:space="preserve">ST49              1 מגן ירך</t>
  </si>
  <si>
    <t xml:space="preserve">URI LF370 0 1 ריפוד סיליקון</t>
  </si>
  <si>
    <t xml:space="preserve">URI LF371 0 1 ריפוד סיליקון</t>
  </si>
  <si>
    <t xml:space="preserve">URI LF373 0 1 ריפוד סיליקון</t>
  </si>
  <si>
    <t xml:space="preserve">URI LF374 0 1 ריפוד סיליקון</t>
  </si>
  <si>
    <t xml:space="preserve">URI LF377 M  1 מדרס סיליקון</t>
  </si>
  <si>
    <t xml:space="preserve">URI LF377 S  1 מדרס סיליקון</t>
  </si>
  <si>
    <t xml:space="preserve">URI 70N XS   1 חגורת פאבליק</t>
  </si>
  <si>
    <t xml:space="preserve">URI 59 L  1 חגורת שבר לשמאל</t>
  </si>
  <si>
    <t xml:space="preserve">URI  59R  1 חגורת שבר לצד י</t>
  </si>
  <si>
    <t xml:space="preserve">URI SH333      1 מקבע קרסול</t>
  </si>
  <si>
    <t xml:space="preserve">397A-35-38      1 גרבי טיסה</t>
  </si>
  <si>
    <t xml:space="preserve">SH422 5  1 תומך ברך גנושילד</t>
  </si>
  <si>
    <t xml:space="preserve">STRAP4U 239P S-M 1</t>
  </si>
  <si>
    <t xml:space="preserve">URI 41            1 מגן ברך</t>
  </si>
  <si>
    <t xml:space="preserve">URI LF377 L  1 מדרס סיליקון</t>
  </si>
  <si>
    <t xml:space="preserve">סה"כ כללי</t>
  </si>
  <si>
    <t xml:space="preserve">הכי נמכרים 2025 - Top 20 לפי יחידות ינואר-יולי 2025 (עם השוואה ל-2026)</t>
  </si>
  <si>
    <t xml:space="preserve">#</t>
  </si>
  <si>
    <t xml:space="preserve">הכי נמכרים 2026 - Top 20 לפי יחידות ינואר-יולי 2026 (עם השוואה ל-2025)</t>
  </si>
  <si>
    <t xml:space="preserve">עליות הכי גדולות - Top 20 לפי אחוז עלייה מ-2025 ל-2026</t>
  </si>
  <si>
    <t xml:space="preserve">סף מינימלי: רק מוצרים עם לפחות 5 יחידות שנמכרו בינואר-יולי 2025 (מוצאים מוצרים חדשים/שוליים עם בסיס נמוך שמעוותים אחוזים).</t>
  </si>
  <si>
    <t xml:space="preserve">ירידות הכי גדולות - Top 20 לפי אחוז ירידה מ-2025 ל-2026</t>
  </si>
  <si>
    <t xml:space="preserve">סיכום ומסקנות - השוואת מכירות ינואר-יולי 2025 מול 2026</t>
  </si>
  <si>
    <t xml:space="preserve">נתונים כלליים:</t>
  </si>
  <si>
    <t xml:space="preserve">  - סה"כ יחידות שנמכרו בינואר-יולי 2025: 14,701 (נוסחה: ='השוואה כוללת'!C234)</t>
  </si>
  <si>
    <t xml:space="preserve">  - סה"כ יחידות שנמכרו בינואר-יולי 2026: 15,115 (נוסחה: ='השוואה כוללת'!D234)</t>
  </si>
  <si>
    <t xml:space="preserve">  - שינוי כולל: +414 יחידות, +2.8%</t>
  </si>
  <si>
    <t xml:space="preserve">המגמה הכללית: המכירות עברו למגמה חיובית - עלייה של כ-2.8% בסך היחידות על פני שבעת החודשים הראשונים של 2026 לעומת אותה תקופה ב-2025. זה שינוי מהותי לעומת התמונה שעלתה מינואר-מאי בלבד (שם נראתה ירידה קלה של כ-0.9%): חודש יוני היה חזק במיוחד ל-2026 (1,924 יחידות ב-2025 מול 2,374 ב-2026, כ-+23.4%), ויולי הראה עלייה מתונה יותר (2,261 מול 2,315, כ-+2.4%). שני החודשים הנוספים הפכו את המגמה המצטברת מירידה קלה לעלייה נטו.</t>
  </si>
  <si>
    <t xml:space="preserve">סה"כ נבדקו 228 SKU-ים ייחודיים על פני 7 החודשים (219 מתוך ינואר-מאי, ועוד 9 SKU-ים חדשים שהופיעו לראשונה ביוני/יולי). מתוכם 163 עומדים בסף המינימלי של 5 יחידות ב-2025 (ינואר-יולי) ונכללים בטבלאות העליות/ירידות למטה - זה מסנן מוצרים שוליים עם בסיס נמוך שמעוותים אחוזי שינוי.</t>
  </si>
  <si>
    <t xml:space="preserve">העליות הבולטות ביותר:</t>
  </si>
  <si>
    <t xml:space="preserve">  1. ST20               1 חבק יד (SKU 82207): 17 -&gt; 101 יחידות (+494%)</t>
  </si>
  <si>
    <t xml:space="preserve">  2. URI ST4221 מגן ברך +כ סיליק (SKU 83420): 18 -&gt; 92 יחידות (+411%)</t>
  </si>
  <si>
    <t xml:space="preserve">  3. 808KT-P   1 טייפ קינזיולוגי (SKU 57662): 10 -&gt; 50 יחידות (+400%)</t>
  </si>
  <si>
    <t xml:space="preserve">  4. 808KT-B   1 טייפ קינזיולוגי (SKU 57696): 13 -&gt; 65 יחידות (+400%)</t>
  </si>
  <si>
    <t xml:space="preserve">  5. ST25     1 חבק לשורש כף היד (SKU 82206): 93 -&gt; 438 יחידות (+371%)</t>
  </si>
  <si>
    <t xml:space="preserve">התמונה בעליות השתנתה משמעותית לעומת ינואר-מאי: אז ST25 (82206) הוביל עם קפיצה דרמטית של +2660% מבסיס זעיר (10 יחידות). עכשיו, עם עוד חודשיים, הבסיס שלו גדל (93 יחידות) והוא ירד לדירוג 5 עם +371% - עדיין עלייה גדולה, אבל פחות "מנופחת". במקומו עלו לצמרת מוצרי חבק/תמיכה חדשים (ST20, ST4221) וסדרת טייפ קינזיולוגי (808KT) שלא הופיעו בטופ-5 הקודם כלל - קו מוצרים שכנראה יצא לשוק או הואץ בהפצה במהלך יוני-יולי.</t>
  </si>
  <si>
    <t xml:space="preserve">הירידות הבולטות ביותר:</t>
  </si>
  <si>
    <t xml:space="preserve">  1. URI 388R    1 סד לילה לבוהן (SKU 21897): 9 -&gt; 1 יחידות (-89%)</t>
  </si>
  <si>
    <t xml:space="preserve">  2. URI 95 XS        1 מגן מרפק (SKU 29984): 24 -&gt; 6 יחידות (-75%)</t>
  </si>
  <si>
    <t xml:space="preserve">  3. 394G-43-461 גרבי קיץ לסוכרת (SKU 16237): 36 -&gt; 10 יחידות (-72%)</t>
  </si>
  <si>
    <t xml:space="preserve">  4. URI 76          1 מיישר כתף (SKU 50057): 9 -&gt; 3 יחידות (-67%)</t>
  </si>
  <si>
    <t xml:space="preserve">  5. URI 11      1 ח בטן אורירית (SKU 67895): 15 -&gt; 5 יחידות (-67%)</t>
  </si>
  <si>
    <t xml:space="preserve">הירידות יציבות יחסית מול ינואר-מאי - אותם 4 מוצרים מהטופ-5 הקודם (21897, 16237, 67895 ועוד) עדיין בטופ-5, רק בסדר מעט שונה, עם תוספת של מיישר כתף (50057) שנכנס לדירוג. גם כאן, כמו קודם, בולטים פריטי "גרבי קיץ לסוכרת" (16237, וגם 16212, 16217 בהמשך הרשימה) ומדרס ג'ל לגבר (67385) שירד מ-231 ל-105 יחידות (-55%) - ירידה עקבית שנמשכת גם בחודשים הנוספים.</t>
  </si>
  <si>
    <t xml:space="preserve">המוצר הנמכר ביותר בשני התקופות (2025 ו-2026 כאחד) הוא "סד יד דו צדדי" (SKU 51567) - 972 יחידות ב-2025 מול 953 ב-2026, יציב וללא שינוי מהותי (-2%). המקומות 2-3 (URI FC335 טלק לכף הרגל, ו-URI 3655 שרוול מסיליקון) התחלפו בין 2025 ל-2026: טלק לכף הרגל היה #2 ב-2025 (773 יחידות) אך ירד ל-462 ב-2026 (-40%), ושרוול מסיליקון עלה למקום #2 ב-2026.</t>
  </si>
  <si>
    <t xml:space="preserve">הערות מתודולוגיות:</t>
  </si>
  <si>
    <t xml:space="preserve">  - כל הנתונים נשלפו חי מגיליונות המקור (מקור-01 עד מקור-07) באמצעות SUMIF - שינוי בקבצי המקור יתעדכן אוטומטית בקובץ הזה.</t>
  </si>
  <si>
    <t xml:space="preserve">  - מוצר שמופיע בחלק מהחודשים בלבד נספר כ-0 בחודשים החסרים (לא כשגיאה).</t>
  </si>
  <si>
    <t xml:space="preserve">  - מוצרים עם 0 יחידות ב-2025 וסכום חיובי ב-2026 מסומנים בגיליון "השוואה כוללת" כ-"מוצר חדש" (במקום חלוקה באפס). 9 SKU-ים חדשים שלא הופיעו כלל בינואר-מאי נוספו לטבלת ה"השוואה כוללת" (שורות 225-233) עם נתוני יוני/יולי בלבד.</t>
  </si>
  <si>
    <t xml:space="preserve">נתוני מקור - ינואר (2025 מול 2026) - מקור: month-01.xlsx</t>
  </si>
  <si>
    <t xml:space="preserve">יחידות ינואר 2025</t>
  </si>
  <si>
    <t xml:space="preserve">יחידות ינואר 2026</t>
  </si>
  <si>
    <t xml:space="preserve">נתוני מקור - פברואר (2025 מול 2026) - מקור: month-02.xlsx</t>
  </si>
  <si>
    <t xml:space="preserve">יחידות פברואר 2025</t>
  </si>
  <si>
    <t xml:space="preserve">יחידות פברואר 2026</t>
  </si>
  <si>
    <t xml:space="preserve">נתוני מקור - מרץ (2025 מול 2026) - מקור: month-03.xlsx</t>
  </si>
  <si>
    <t xml:space="preserve">יחידות מרץ 2025</t>
  </si>
  <si>
    <t xml:space="preserve">יחידות מרץ 2026</t>
  </si>
  <si>
    <t xml:space="preserve">נתוני מקור - אפריל (2025 מול 2026) - מקור: month-04.xlsx</t>
  </si>
  <si>
    <t xml:space="preserve">יחידות אפריל 2025</t>
  </si>
  <si>
    <t xml:space="preserve">יחידות אפריל 2026</t>
  </si>
  <si>
    <t xml:space="preserve">נתוני מקור - מאי (2025 מול 2026) - מקור: month-05.xlsx</t>
  </si>
  <si>
    <t xml:space="preserve">יחידות מאי 2025</t>
  </si>
  <si>
    <t xml:space="preserve">יחידות מאי 2026</t>
  </si>
  <si>
    <t xml:space="preserve">נתוני מקור - יוני (2025 מול 2026) - מקור: month-06.xlsx</t>
  </si>
  <si>
    <t xml:space="preserve">יחידות יוני 2025</t>
  </si>
  <si>
    <t xml:space="preserve">יחידות יוני 2026</t>
  </si>
  <si>
    <t xml:space="preserve">נתוני מקור - יולי (2025 מול 2026) - מקור: month-07.xlsx</t>
  </si>
  <si>
    <t xml:space="preserve">יחידות יולי 2025</t>
  </si>
  <si>
    <t xml:space="preserve">יחידות יולי 2026</t>
  </si>
</sst>
</file>

<file path=xl/styles.xml><?xml version="1.0" encoding="utf-8"?>
<styleSheet xmlns="http://schemas.openxmlformats.org/spreadsheetml/2006/main">
  <numFmts count="5">
    <numFmt numFmtId="164" formatCode="General"/>
    <numFmt numFmtId="165" formatCode="dd/mm/yy"/>
    <numFmt numFmtId="166" formatCode="#,##0"/>
    <numFmt numFmtId="167" formatCode="#,##0;\-#,##0"/>
    <numFmt numFmtId="168"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i val="true"/>
      <sz val="9"/>
      <name val="Arial"/>
      <family val="0"/>
      <charset val="1"/>
    </font>
    <font>
      <b val="true"/>
      <sz val="11"/>
      <color rgb="FFFFFFFF"/>
      <name val="Arial"/>
      <family val="0"/>
      <charset val="1"/>
    </font>
    <font>
      <b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C6E0B4"/>
        <bgColor rgb="FFCCCC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6" fontId="8" fillId="3" borderId="1" xfId="0" applyFont="true" applyBorder="true" applyAlignment="true" applyProtection="true">
      <alignment horizontal="general" vertical="bottom" textRotation="0" wrapText="false" indent="0" shrinkToFit="false"/>
      <protection locked="true" hidden="false"/>
    </xf>
    <xf numFmtId="167" fontId="8" fillId="3" borderId="1" xfId="0" applyFont="true" applyBorder="true" applyAlignment="true" applyProtection="true">
      <alignment horizontal="general" vertical="bottom" textRotation="0" wrapText="false" indent="0" shrinkToFit="false"/>
      <protection locked="true" hidden="false"/>
    </xf>
    <xf numFmtId="168" fontId="8" fillId="3" borderId="1"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4" min="3" style="1" width="16"/>
    <col collapsed="false" customWidth="true" hidden="false" outlineLevel="0" max="5" min="5" style="1" width="14"/>
    <col collapsed="false" customWidth="true" hidden="false" outlineLevel="0" max="6" min="6" style="1" width="12"/>
  </cols>
  <sheetData>
    <row r="1" customFormat="false" ht="16.5" hidden="false" customHeight="true" outlineLevel="0" collapsed="false">
      <c r="A1" s="2" t="s">
        <v>0</v>
      </c>
    </row>
    <row r="2" customFormat="false" ht="15" hidden="false" customHeight="true" outlineLevel="0" collapsed="false">
      <c r="A2" s="3" t="s">
        <v>1</v>
      </c>
      <c r="B2" s="4" t="n">
        <v>46243</v>
      </c>
    </row>
    <row r="3" customFormat="false" ht="15" hidden="false" customHeight="true" outlineLevel="0" collapsed="false">
      <c r="A3" s="5" t="s">
        <v>2</v>
      </c>
    </row>
    <row r="5" customFormat="false" ht="26.25" hidden="false" customHeight="true" outlineLevel="0" collapsed="false">
      <c r="A5" s="6" t="s">
        <v>3</v>
      </c>
      <c r="B5" s="6" t="s">
        <v>4</v>
      </c>
      <c r="C5" s="6" t="s">
        <v>5</v>
      </c>
      <c r="D5" s="6" t="s">
        <v>6</v>
      </c>
      <c r="E5" s="6" t="s">
        <v>7</v>
      </c>
      <c r="F5" s="6" t="s">
        <v>8</v>
      </c>
    </row>
    <row r="6" customFormat="false" ht="15" hidden="false" customHeight="true" outlineLevel="0" collapsed="false">
      <c r="A6" s="7" t="n">
        <v>8616</v>
      </c>
      <c r="B6" s="7" t="s">
        <v>9</v>
      </c>
      <c r="C6" s="8" t="n">
        <f aca="false">SUMIF('מקור-01'!$A:$A,$A6,'מקור-01'!$C:$C)+SUMIF('מקור-02'!$A:$A,$A6,'מקור-02'!$C:$C)+SUMIF('מקור-03'!$A:$A,$A6,'מקור-03'!$C:$C)+SUMIF('מקור-04'!$A:$A,$A6,'מקור-04'!$C:$C)+SUMIF('מקור-05'!$A:$A,$A6,'מקור-05'!$C:$C)+SUMIF('מקור-06'!$A:$A,$A6,'מקור-06'!$C:$C)+SUMIF('מקור-07'!$A:$A,$A6,'מקור-07'!$C:$C)</f>
        <v>88</v>
      </c>
      <c r="D6" s="8" t="n">
        <f aca="false">SUMIF('מקור-01'!$A:$A,$A6,'מקור-01'!$D:$D)+SUMIF('מקור-02'!$A:$A,$A6,'מקור-02'!$D:$D)+SUMIF('מקור-03'!$A:$A,$A6,'מקור-03'!$D:$D)+SUMIF('מקור-04'!$A:$A,$A6,'מקור-04'!$D:$D)+SUMIF('מקור-05'!$A:$A,$A6,'מקור-05'!$D:$D)+SUMIF('מקור-06'!$A:$A,$A6,'מקור-06'!$D:$D)+SUMIF('מקור-07'!$A:$A,$A6,'מקור-07'!$D:$D)</f>
        <v>97</v>
      </c>
      <c r="E6" s="9" t="n">
        <f aca="false">D6-C6</f>
        <v>9</v>
      </c>
      <c r="F6" s="10" t="n">
        <f aca="false">IF(C6=0,"מוצר חדש",(D6-C6)/C6)</f>
        <v>0.102272727272727</v>
      </c>
    </row>
    <row r="7" customFormat="false" ht="15" hidden="false" customHeight="true" outlineLevel="0" collapsed="false">
      <c r="A7" s="7" t="n">
        <v>8618</v>
      </c>
      <c r="B7" s="7" t="s">
        <v>10</v>
      </c>
      <c r="C7" s="8" t="n">
        <f aca="false">SUMIF('מקור-01'!$A:$A,$A7,'מקור-01'!$C:$C)+SUMIF('מקור-02'!$A:$A,$A7,'מקור-02'!$C:$C)+SUMIF('מקור-03'!$A:$A,$A7,'מקור-03'!$C:$C)+SUMIF('מקור-04'!$A:$A,$A7,'מקור-04'!$C:$C)+SUMIF('מקור-05'!$A:$A,$A7,'מקור-05'!$C:$C)+SUMIF('מקור-06'!$A:$A,$A7,'מקור-06'!$C:$C)+SUMIF('מקור-07'!$A:$A,$A7,'מקור-07'!$C:$C)</f>
        <v>133</v>
      </c>
      <c r="D7" s="8" t="n">
        <f aca="false">SUMIF('מקור-01'!$A:$A,$A7,'מקור-01'!$D:$D)+SUMIF('מקור-02'!$A:$A,$A7,'מקור-02'!$D:$D)+SUMIF('מקור-03'!$A:$A,$A7,'מקור-03'!$D:$D)+SUMIF('מקור-04'!$A:$A,$A7,'מקור-04'!$D:$D)+SUMIF('מקור-05'!$A:$A,$A7,'מקור-05'!$D:$D)+SUMIF('מקור-06'!$A:$A,$A7,'מקור-06'!$D:$D)+SUMIF('מקור-07'!$A:$A,$A7,'מקור-07'!$D:$D)</f>
        <v>122</v>
      </c>
      <c r="E7" s="9" t="n">
        <f aca="false">D7-C7</f>
        <v>-11</v>
      </c>
      <c r="F7" s="10" t="n">
        <f aca="false">IF(C7=0,"מוצר חדש",(D7-C7)/C7)</f>
        <v>-0.0827067669172932</v>
      </c>
    </row>
    <row r="8" customFormat="false" ht="15" hidden="false" customHeight="true" outlineLevel="0" collapsed="false">
      <c r="A8" s="7" t="n">
        <v>9771</v>
      </c>
      <c r="B8" s="7" t="s">
        <v>11</v>
      </c>
      <c r="C8" s="8" t="n">
        <f aca="false">SUMIF('מקור-01'!$A:$A,$A8,'מקור-01'!$C:$C)+SUMIF('מקור-02'!$A:$A,$A8,'מקור-02'!$C:$C)+SUMIF('מקור-03'!$A:$A,$A8,'מקור-03'!$C:$C)+SUMIF('מקור-04'!$A:$A,$A8,'מקור-04'!$C:$C)+SUMIF('מקור-05'!$A:$A,$A8,'מקור-05'!$C:$C)+SUMIF('מקור-06'!$A:$A,$A8,'מקור-06'!$C:$C)+SUMIF('מקור-07'!$A:$A,$A8,'מקור-07'!$C:$C)</f>
        <v>143</v>
      </c>
      <c r="D8" s="8" t="n">
        <f aca="false">SUMIF('מקור-01'!$A:$A,$A8,'מקור-01'!$D:$D)+SUMIF('מקור-02'!$A:$A,$A8,'מקור-02'!$D:$D)+SUMIF('מקור-03'!$A:$A,$A8,'מקור-03'!$D:$D)+SUMIF('מקור-04'!$A:$A,$A8,'מקור-04'!$D:$D)+SUMIF('מקור-05'!$A:$A,$A8,'מקור-05'!$D:$D)+SUMIF('מקור-06'!$A:$A,$A8,'מקור-06'!$D:$D)+SUMIF('מקור-07'!$A:$A,$A8,'מקור-07'!$D:$D)</f>
        <v>132</v>
      </c>
      <c r="E8" s="9" t="n">
        <f aca="false">D8-C8</f>
        <v>-11</v>
      </c>
      <c r="F8" s="10" t="n">
        <f aca="false">IF(C8=0,"מוצר חדש",(D8-C8)/C8)</f>
        <v>-0.0769230769230769</v>
      </c>
    </row>
    <row r="9" customFormat="false" ht="15" hidden="false" customHeight="true" outlineLevel="0" collapsed="false">
      <c r="A9" s="7" t="n">
        <v>9772</v>
      </c>
      <c r="B9" s="7" t="s">
        <v>12</v>
      </c>
      <c r="C9" s="8" t="n">
        <f aca="false">SUMIF('מקור-01'!$A:$A,$A9,'מקור-01'!$C:$C)+SUMIF('מקור-02'!$A:$A,$A9,'מקור-02'!$C:$C)+SUMIF('מקור-03'!$A:$A,$A9,'מקור-03'!$C:$C)+SUMIF('מקור-04'!$A:$A,$A9,'מקור-04'!$C:$C)+SUMIF('מקור-05'!$A:$A,$A9,'מקור-05'!$C:$C)+SUMIF('מקור-06'!$A:$A,$A9,'מקור-06'!$C:$C)+SUMIF('מקור-07'!$A:$A,$A9,'מקור-07'!$C:$C)</f>
        <v>141</v>
      </c>
      <c r="D9" s="8" t="n">
        <f aca="false">SUMIF('מקור-01'!$A:$A,$A9,'מקור-01'!$D:$D)+SUMIF('מקור-02'!$A:$A,$A9,'מקור-02'!$D:$D)+SUMIF('מקור-03'!$A:$A,$A9,'מקור-03'!$D:$D)+SUMIF('מקור-04'!$A:$A,$A9,'מקור-04'!$D:$D)+SUMIF('מקור-05'!$A:$A,$A9,'מקור-05'!$D:$D)+SUMIF('מקור-06'!$A:$A,$A9,'מקור-06'!$D:$D)+SUMIF('מקור-07'!$A:$A,$A9,'מקור-07'!$D:$D)</f>
        <v>141</v>
      </c>
      <c r="E9" s="9" t="n">
        <f aca="false">D9-C9</f>
        <v>0</v>
      </c>
      <c r="F9" s="10" t="n">
        <f aca="false">IF(C9=0,"מוצר חדש",(D9-C9)/C9)</f>
        <v>0</v>
      </c>
    </row>
    <row r="10" customFormat="false" ht="15" hidden="false" customHeight="true" outlineLevel="0" collapsed="false">
      <c r="A10" s="7" t="n">
        <v>16211</v>
      </c>
      <c r="B10" s="7" t="s">
        <v>13</v>
      </c>
      <c r="C10" s="8" t="n">
        <f aca="false">SUMIF('מקור-01'!$A:$A,$A10,'מקור-01'!$C:$C)+SUMIF('מקור-02'!$A:$A,$A10,'מקור-02'!$C:$C)+SUMIF('מקור-03'!$A:$A,$A10,'מקור-03'!$C:$C)+SUMIF('מקור-04'!$A:$A,$A10,'מקור-04'!$C:$C)+SUMIF('מקור-05'!$A:$A,$A10,'מקור-05'!$C:$C)+SUMIF('מקור-06'!$A:$A,$A10,'מקור-06'!$C:$C)+SUMIF('מקור-07'!$A:$A,$A10,'מקור-07'!$C:$C)</f>
        <v>41</v>
      </c>
      <c r="D10" s="8" t="n">
        <f aca="false">SUMIF('מקור-01'!$A:$A,$A10,'מקור-01'!$D:$D)+SUMIF('מקור-02'!$A:$A,$A10,'מקור-02'!$D:$D)+SUMIF('מקור-03'!$A:$A,$A10,'מקור-03'!$D:$D)+SUMIF('מקור-04'!$A:$A,$A10,'מקור-04'!$D:$D)+SUMIF('מקור-05'!$A:$A,$A10,'מקור-05'!$D:$D)+SUMIF('מקור-06'!$A:$A,$A10,'מקור-06'!$D:$D)+SUMIF('מקור-07'!$A:$A,$A10,'מקור-07'!$D:$D)</f>
        <v>30</v>
      </c>
      <c r="E10" s="9" t="n">
        <f aca="false">D10-C10</f>
        <v>-11</v>
      </c>
      <c r="F10" s="10" t="n">
        <f aca="false">IF(C10=0,"מוצר חדש",(D10-C10)/C10)</f>
        <v>-0.268292682926829</v>
      </c>
    </row>
    <row r="11" customFormat="false" ht="15" hidden="false" customHeight="true" outlineLevel="0" collapsed="false">
      <c r="A11" s="7" t="n">
        <v>16212</v>
      </c>
      <c r="B11" s="7" t="s">
        <v>14</v>
      </c>
      <c r="C11" s="8" t="n">
        <f aca="false">SUMIF('מקור-01'!$A:$A,$A11,'מקור-01'!$C:$C)+SUMIF('מקור-02'!$A:$A,$A11,'מקור-02'!$C:$C)+SUMIF('מקור-03'!$A:$A,$A11,'מקור-03'!$C:$C)+SUMIF('מקור-04'!$A:$A,$A11,'מקור-04'!$C:$C)+SUMIF('מקור-05'!$A:$A,$A11,'מקור-05'!$C:$C)+SUMIF('מקור-06'!$A:$A,$A11,'מקור-06'!$C:$C)+SUMIF('מקור-07'!$A:$A,$A11,'מקור-07'!$C:$C)</f>
        <v>107</v>
      </c>
      <c r="D11" s="8" t="n">
        <f aca="false">SUMIF('מקור-01'!$A:$A,$A11,'מקור-01'!$D:$D)+SUMIF('מקור-02'!$A:$A,$A11,'מקור-02'!$D:$D)+SUMIF('מקור-03'!$A:$A,$A11,'מקור-03'!$D:$D)+SUMIF('מקור-04'!$A:$A,$A11,'מקור-04'!$D:$D)+SUMIF('מקור-05'!$A:$A,$A11,'מקור-05'!$D:$D)+SUMIF('מקור-06'!$A:$A,$A11,'מקור-06'!$D:$D)+SUMIF('מקור-07'!$A:$A,$A11,'מקור-07'!$D:$D)</f>
        <v>55</v>
      </c>
      <c r="E11" s="9" t="n">
        <f aca="false">D11-C11</f>
        <v>-52</v>
      </c>
      <c r="F11" s="10" t="n">
        <f aca="false">IF(C11=0,"מוצר חדש",(D11-C11)/C11)</f>
        <v>-0.485981308411215</v>
      </c>
    </row>
    <row r="12" customFormat="false" ht="15" hidden="false" customHeight="true" outlineLevel="0" collapsed="false">
      <c r="A12" s="7" t="n">
        <v>16213</v>
      </c>
      <c r="B12" s="7" t="s">
        <v>15</v>
      </c>
      <c r="C12" s="8" t="n">
        <f aca="false">SUMIF('מקור-01'!$A:$A,$A12,'מקור-01'!$C:$C)+SUMIF('מקור-02'!$A:$A,$A12,'מקור-02'!$C:$C)+SUMIF('מקור-03'!$A:$A,$A12,'מקור-03'!$C:$C)+SUMIF('מקור-04'!$A:$A,$A12,'מקור-04'!$C:$C)+SUMIF('מקור-05'!$A:$A,$A12,'מקור-05'!$C:$C)+SUMIF('מקור-06'!$A:$A,$A12,'מקור-06'!$C:$C)+SUMIF('מקור-07'!$A:$A,$A12,'מקור-07'!$C:$C)</f>
        <v>131</v>
      </c>
      <c r="D12" s="8" t="n">
        <f aca="false">SUMIF('מקור-01'!$A:$A,$A12,'מקור-01'!$D:$D)+SUMIF('מקור-02'!$A:$A,$A12,'מקור-02'!$D:$D)+SUMIF('מקור-03'!$A:$A,$A12,'מקור-03'!$D:$D)+SUMIF('מקור-04'!$A:$A,$A12,'מקור-04'!$D:$D)+SUMIF('מקור-05'!$A:$A,$A12,'מקור-05'!$D:$D)+SUMIF('מקור-06'!$A:$A,$A12,'מקור-06'!$D:$D)+SUMIF('מקור-07'!$A:$A,$A12,'מקור-07'!$D:$D)</f>
        <v>87</v>
      </c>
      <c r="E12" s="9" t="n">
        <f aca="false">D12-C12</f>
        <v>-44</v>
      </c>
      <c r="F12" s="10" t="n">
        <f aca="false">IF(C12=0,"מוצר חדש",(D12-C12)/C12)</f>
        <v>-0.33587786259542</v>
      </c>
    </row>
    <row r="13" customFormat="false" ht="15" hidden="false" customHeight="true" outlineLevel="0" collapsed="false">
      <c r="A13" s="7" t="n">
        <v>16214</v>
      </c>
      <c r="B13" s="7" t="s">
        <v>16</v>
      </c>
      <c r="C13" s="8" t="n">
        <f aca="false">SUMIF('מקור-01'!$A:$A,$A13,'מקור-01'!$C:$C)+SUMIF('מקור-02'!$A:$A,$A13,'מקור-02'!$C:$C)+SUMIF('מקור-03'!$A:$A,$A13,'מקור-03'!$C:$C)+SUMIF('מקור-04'!$A:$A,$A13,'מקור-04'!$C:$C)+SUMIF('מקור-05'!$A:$A,$A13,'מקור-05'!$C:$C)+SUMIF('מקור-06'!$A:$A,$A13,'מקור-06'!$C:$C)+SUMIF('מקור-07'!$A:$A,$A13,'מקור-07'!$C:$C)</f>
        <v>20</v>
      </c>
      <c r="D13" s="8" t="n">
        <f aca="false">SUMIF('מקור-01'!$A:$A,$A13,'מקור-01'!$D:$D)+SUMIF('מקור-02'!$A:$A,$A13,'מקור-02'!$D:$D)+SUMIF('מקור-03'!$A:$A,$A13,'מקור-03'!$D:$D)+SUMIF('מקור-04'!$A:$A,$A13,'מקור-04'!$D:$D)+SUMIF('מקור-05'!$A:$A,$A13,'מקור-05'!$D:$D)+SUMIF('מקור-06'!$A:$A,$A13,'מקור-06'!$D:$D)+SUMIF('מקור-07'!$A:$A,$A13,'מקור-07'!$D:$D)</f>
        <v>19</v>
      </c>
      <c r="E13" s="9" t="n">
        <f aca="false">D13-C13</f>
        <v>-1</v>
      </c>
      <c r="F13" s="10" t="n">
        <f aca="false">IF(C13=0,"מוצר חדש",(D13-C13)/C13)</f>
        <v>-0.05</v>
      </c>
    </row>
    <row r="14" customFormat="false" ht="15" hidden="false" customHeight="true" outlineLevel="0" collapsed="false">
      <c r="A14" s="7" t="n">
        <v>16217</v>
      </c>
      <c r="B14" s="7" t="s">
        <v>17</v>
      </c>
      <c r="C14" s="8" t="n">
        <f aca="false">SUMIF('מקור-01'!$A:$A,$A14,'מקור-01'!$C:$C)+SUMIF('מקור-02'!$A:$A,$A14,'מקור-02'!$C:$C)+SUMIF('מקור-03'!$A:$A,$A14,'מקור-03'!$C:$C)+SUMIF('מקור-04'!$A:$A,$A14,'מקור-04'!$C:$C)+SUMIF('מקור-05'!$A:$A,$A14,'מקור-05'!$C:$C)+SUMIF('מקור-06'!$A:$A,$A14,'מקור-06'!$C:$C)+SUMIF('מקור-07'!$A:$A,$A14,'מקור-07'!$C:$C)</f>
        <v>33</v>
      </c>
      <c r="D14" s="8" t="n">
        <f aca="false">SUMIF('מקור-01'!$A:$A,$A14,'מקור-01'!$D:$D)+SUMIF('מקור-02'!$A:$A,$A14,'מקור-02'!$D:$D)+SUMIF('מקור-03'!$A:$A,$A14,'מקור-03'!$D:$D)+SUMIF('מקור-04'!$A:$A,$A14,'מקור-04'!$D:$D)+SUMIF('מקור-05'!$A:$A,$A14,'מקור-05'!$D:$D)+SUMIF('מקור-06'!$A:$A,$A14,'מקור-06'!$D:$D)+SUMIF('מקור-07'!$A:$A,$A14,'מקור-07'!$D:$D)</f>
        <v>18</v>
      </c>
      <c r="E14" s="9" t="n">
        <f aca="false">D14-C14</f>
        <v>-15</v>
      </c>
      <c r="F14" s="10" t="n">
        <f aca="false">IF(C14=0,"מוצר חדש",(D14-C14)/C14)</f>
        <v>-0.454545454545455</v>
      </c>
    </row>
    <row r="15" customFormat="false" ht="15" hidden="false" customHeight="true" outlineLevel="0" collapsed="false">
      <c r="A15" s="7" t="n">
        <v>16237</v>
      </c>
      <c r="B15" s="7" t="s">
        <v>18</v>
      </c>
      <c r="C15" s="8" t="n">
        <f aca="false">SUMIF('מקור-01'!$A:$A,$A15,'מקור-01'!$C:$C)+SUMIF('מקור-02'!$A:$A,$A15,'מקור-02'!$C:$C)+SUMIF('מקור-03'!$A:$A,$A15,'מקור-03'!$C:$C)+SUMIF('מקור-04'!$A:$A,$A15,'מקור-04'!$C:$C)+SUMIF('מקור-05'!$A:$A,$A15,'מקור-05'!$C:$C)+SUMIF('מקור-06'!$A:$A,$A15,'מקור-06'!$C:$C)+SUMIF('מקור-07'!$A:$A,$A15,'מקור-07'!$C:$C)</f>
        <v>36</v>
      </c>
      <c r="D15" s="8" t="n">
        <f aca="false">SUMIF('מקור-01'!$A:$A,$A15,'מקור-01'!$D:$D)+SUMIF('מקור-02'!$A:$A,$A15,'מקור-02'!$D:$D)+SUMIF('מקור-03'!$A:$A,$A15,'מקור-03'!$D:$D)+SUMIF('מקור-04'!$A:$A,$A15,'מקור-04'!$D:$D)+SUMIF('מקור-05'!$A:$A,$A15,'מקור-05'!$D:$D)+SUMIF('מקור-06'!$A:$A,$A15,'מקור-06'!$D:$D)+SUMIF('מקור-07'!$A:$A,$A15,'מקור-07'!$D:$D)</f>
        <v>10</v>
      </c>
      <c r="E15" s="9" t="n">
        <f aca="false">D15-C15</f>
        <v>-26</v>
      </c>
      <c r="F15" s="10" t="n">
        <f aca="false">IF(C15=0,"מוצר חדש",(D15-C15)/C15)</f>
        <v>-0.722222222222222</v>
      </c>
    </row>
    <row r="16" customFormat="false" ht="15" hidden="false" customHeight="true" outlineLevel="0" collapsed="false">
      <c r="A16" s="7" t="n">
        <v>16239</v>
      </c>
      <c r="B16" s="7" t="s">
        <v>19</v>
      </c>
      <c r="C16" s="8" t="n">
        <f aca="false">SUMIF('מקור-01'!$A:$A,$A16,'מקור-01'!$C:$C)+SUMIF('מקור-02'!$A:$A,$A16,'מקור-02'!$C:$C)+SUMIF('מקור-03'!$A:$A,$A16,'מקור-03'!$C:$C)+SUMIF('מקור-04'!$A:$A,$A16,'מקור-04'!$C:$C)+SUMIF('מקור-05'!$A:$A,$A16,'מקור-05'!$C:$C)+SUMIF('מקור-06'!$A:$A,$A16,'מקור-06'!$C:$C)+SUMIF('מקור-07'!$A:$A,$A16,'מקור-07'!$C:$C)</f>
        <v>27</v>
      </c>
      <c r="D16" s="8" t="n">
        <f aca="false">SUMIF('מקור-01'!$A:$A,$A16,'מקור-01'!$D:$D)+SUMIF('מקור-02'!$A:$A,$A16,'מקור-02'!$D:$D)+SUMIF('מקור-03'!$A:$A,$A16,'מקור-03'!$D:$D)+SUMIF('מקור-04'!$A:$A,$A16,'מקור-04'!$D:$D)+SUMIF('מקור-05'!$A:$A,$A16,'מקור-05'!$D:$D)+SUMIF('מקור-06'!$A:$A,$A16,'מקור-06'!$D:$D)+SUMIF('מקור-07'!$A:$A,$A16,'מקור-07'!$D:$D)</f>
        <v>17</v>
      </c>
      <c r="E16" s="9" t="n">
        <f aca="false">D16-C16</f>
        <v>-10</v>
      </c>
      <c r="F16" s="10" t="n">
        <f aca="false">IF(C16=0,"מוצר חדש",(D16-C16)/C16)</f>
        <v>-0.37037037037037</v>
      </c>
    </row>
    <row r="17" customFormat="false" ht="15" hidden="false" customHeight="true" outlineLevel="0" collapsed="false">
      <c r="A17" s="7" t="n">
        <v>16244</v>
      </c>
      <c r="B17" s="7" t="s">
        <v>20</v>
      </c>
      <c r="C17" s="8" t="n">
        <f aca="false">SUMIF('מקור-01'!$A:$A,$A17,'מקור-01'!$C:$C)+SUMIF('מקור-02'!$A:$A,$A17,'מקור-02'!$C:$C)+SUMIF('מקור-03'!$A:$A,$A17,'מקור-03'!$C:$C)+SUMIF('מקור-04'!$A:$A,$A17,'מקור-04'!$C:$C)+SUMIF('מקור-05'!$A:$A,$A17,'מקור-05'!$C:$C)+SUMIF('מקור-06'!$A:$A,$A17,'מקור-06'!$C:$C)+SUMIF('מקור-07'!$A:$A,$A17,'מקור-07'!$C:$C)</f>
        <v>27</v>
      </c>
      <c r="D17" s="8" t="n">
        <f aca="false">SUMIF('מקור-01'!$A:$A,$A17,'מקור-01'!$D:$D)+SUMIF('מקור-02'!$A:$A,$A17,'מקור-02'!$D:$D)+SUMIF('מקור-03'!$A:$A,$A17,'מקור-03'!$D:$D)+SUMIF('מקור-04'!$A:$A,$A17,'מקור-04'!$D:$D)+SUMIF('מקור-05'!$A:$A,$A17,'מקור-05'!$D:$D)+SUMIF('מקור-06'!$A:$A,$A17,'מקור-06'!$D:$D)+SUMIF('מקור-07'!$A:$A,$A17,'מקור-07'!$D:$D)</f>
        <v>24</v>
      </c>
      <c r="E17" s="9" t="n">
        <f aca="false">D17-C17</f>
        <v>-3</v>
      </c>
      <c r="F17" s="10" t="n">
        <f aca="false">IF(C17=0,"מוצר חדש",(D17-C17)/C17)</f>
        <v>-0.111111111111111</v>
      </c>
    </row>
    <row r="18" customFormat="false" ht="15" hidden="false" customHeight="true" outlineLevel="0" collapsed="false">
      <c r="A18" s="7" t="n">
        <v>16245</v>
      </c>
      <c r="B18" s="7" t="s">
        <v>21</v>
      </c>
      <c r="C18" s="8" t="n">
        <f aca="false">SUMIF('מקור-01'!$A:$A,$A18,'מקור-01'!$C:$C)+SUMIF('מקור-02'!$A:$A,$A18,'מקור-02'!$C:$C)+SUMIF('מקור-03'!$A:$A,$A18,'מקור-03'!$C:$C)+SUMIF('מקור-04'!$A:$A,$A18,'מקור-04'!$C:$C)+SUMIF('מקור-05'!$A:$A,$A18,'מקור-05'!$C:$C)+SUMIF('מקור-06'!$A:$A,$A18,'מקור-06'!$C:$C)+SUMIF('מקור-07'!$A:$A,$A18,'מקור-07'!$C:$C)</f>
        <v>29</v>
      </c>
      <c r="D18" s="8" t="n">
        <f aca="false">SUMIF('מקור-01'!$A:$A,$A18,'מקור-01'!$D:$D)+SUMIF('מקור-02'!$A:$A,$A18,'מקור-02'!$D:$D)+SUMIF('מקור-03'!$A:$A,$A18,'מקור-03'!$D:$D)+SUMIF('מקור-04'!$A:$A,$A18,'מקור-04'!$D:$D)+SUMIF('מקור-05'!$A:$A,$A18,'מקור-05'!$D:$D)+SUMIF('מקור-06'!$A:$A,$A18,'מקור-06'!$D:$D)+SUMIF('מקור-07'!$A:$A,$A18,'מקור-07'!$D:$D)</f>
        <v>24</v>
      </c>
      <c r="E18" s="9" t="n">
        <f aca="false">D18-C18</f>
        <v>-5</v>
      </c>
      <c r="F18" s="10" t="n">
        <f aca="false">IF(C18=0,"מוצר חדש",(D18-C18)/C18)</f>
        <v>-0.172413793103448</v>
      </c>
    </row>
    <row r="19" customFormat="false" ht="15" hidden="false" customHeight="true" outlineLevel="0" collapsed="false">
      <c r="A19" s="7" t="n">
        <v>18559</v>
      </c>
      <c r="B19" s="7" t="s">
        <v>22</v>
      </c>
      <c r="C19" s="8" t="n">
        <f aca="false">SUMIF('מקור-01'!$A:$A,$A19,'מקור-01'!$C:$C)+SUMIF('מקור-02'!$A:$A,$A19,'מקור-02'!$C:$C)+SUMIF('מקור-03'!$A:$A,$A19,'מקור-03'!$C:$C)+SUMIF('מקור-04'!$A:$A,$A19,'מקור-04'!$C:$C)+SUMIF('מקור-05'!$A:$A,$A19,'מקור-05'!$C:$C)+SUMIF('מקור-06'!$A:$A,$A19,'מקור-06'!$C:$C)+SUMIF('מקור-07'!$A:$A,$A19,'מקור-07'!$C:$C)</f>
        <v>41</v>
      </c>
      <c r="D19" s="8" t="n">
        <f aca="false">SUMIF('מקור-01'!$A:$A,$A19,'מקור-01'!$D:$D)+SUMIF('מקור-02'!$A:$A,$A19,'מקור-02'!$D:$D)+SUMIF('מקור-03'!$A:$A,$A19,'מקור-03'!$D:$D)+SUMIF('מקור-04'!$A:$A,$A19,'מקור-04'!$D:$D)+SUMIF('מקור-05'!$A:$A,$A19,'מקור-05'!$D:$D)+SUMIF('מקור-06'!$A:$A,$A19,'מקור-06'!$D:$D)+SUMIF('מקור-07'!$A:$A,$A19,'מקור-07'!$D:$D)</f>
        <v>32</v>
      </c>
      <c r="E19" s="9" t="n">
        <f aca="false">D19-C19</f>
        <v>-9</v>
      </c>
      <c r="F19" s="10" t="n">
        <f aca="false">IF(C19=0,"מוצר חדש",(D19-C19)/C19)</f>
        <v>-0.219512195121951</v>
      </c>
    </row>
    <row r="20" customFormat="false" ht="15" hidden="false" customHeight="true" outlineLevel="0" collapsed="false">
      <c r="A20" s="7" t="n">
        <v>19082</v>
      </c>
      <c r="B20" s="7" t="s">
        <v>23</v>
      </c>
      <c r="C20" s="8" t="n">
        <f aca="false">SUMIF('מקור-01'!$A:$A,$A20,'מקור-01'!$C:$C)+SUMIF('מקור-02'!$A:$A,$A20,'מקור-02'!$C:$C)+SUMIF('מקור-03'!$A:$A,$A20,'מקור-03'!$C:$C)+SUMIF('מקור-04'!$A:$A,$A20,'מקור-04'!$C:$C)+SUMIF('מקור-05'!$A:$A,$A20,'מקור-05'!$C:$C)+SUMIF('מקור-06'!$A:$A,$A20,'מקור-06'!$C:$C)+SUMIF('מקור-07'!$A:$A,$A20,'מקור-07'!$C:$C)</f>
        <v>54</v>
      </c>
      <c r="D20" s="8" t="n">
        <f aca="false">SUMIF('מקור-01'!$A:$A,$A20,'מקור-01'!$D:$D)+SUMIF('מקור-02'!$A:$A,$A20,'מקור-02'!$D:$D)+SUMIF('מקור-03'!$A:$A,$A20,'מקור-03'!$D:$D)+SUMIF('מקור-04'!$A:$A,$A20,'מקור-04'!$D:$D)+SUMIF('מקור-05'!$A:$A,$A20,'מקור-05'!$D:$D)+SUMIF('מקור-06'!$A:$A,$A20,'מקור-06'!$D:$D)+SUMIF('מקור-07'!$A:$A,$A20,'מקור-07'!$D:$D)</f>
        <v>56</v>
      </c>
      <c r="E20" s="9" t="n">
        <f aca="false">D20-C20</f>
        <v>2</v>
      </c>
      <c r="F20" s="10" t="n">
        <f aca="false">IF(C20=0,"מוצר חדש",(D20-C20)/C20)</f>
        <v>0.037037037037037</v>
      </c>
    </row>
    <row r="21" customFormat="false" ht="15" hidden="false" customHeight="true" outlineLevel="0" collapsed="false">
      <c r="A21" s="7" t="n">
        <v>19083</v>
      </c>
      <c r="B21" s="7" t="s">
        <v>24</v>
      </c>
      <c r="C21" s="8" t="n">
        <f aca="false">SUMIF('מקור-01'!$A:$A,$A21,'מקור-01'!$C:$C)+SUMIF('מקור-02'!$A:$A,$A21,'מקור-02'!$C:$C)+SUMIF('מקור-03'!$A:$A,$A21,'מקור-03'!$C:$C)+SUMIF('מקור-04'!$A:$A,$A21,'מקור-04'!$C:$C)+SUMIF('מקור-05'!$A:$A,$A21,'מקור-05'!$C:$C)+SUMIF('מקור-06'!$A:$A,$A21,'מקור-06'!$C:$C)+SUMIF('מקור-07'!$A:$A,$A21,'מקור-07'!$C:$C)</f>
        <v>22</v>
      </c>
      <c r="D21" s="8" t="n">
        <f aca="false">SUMIF('מקור-01'!$A:$A,$A21,'מקור-01'!$D:$D)+SUMIF('מקור-02'!$A:$A,$A21,'מקור-02'!$D:$D)+SUMIF('מקור-03'!$A:$A,$A21,'מקור-03'!$D:$D)+SUMIF('מקור-04'!$A:$A,$A21,'מקור-04'!$D:$D)+SUMIF('מקור-05'!$A:$A,$A21,'מקור-05'!$D:$D)+SUMIF('מקור-06'!$A:$A,$A21,'מקור-06'!$D:$D)+SUMIF('מקור-07'!$A:$A,$A21,'מקור-07'!$D:$D)</f>
        <v>24</v>
      </c>
      <c r="E21" s="9" t="n">
        <f aca="false">D21-C21</f>
        <v>2</v>
      </c>
      <c r="F21" s="10" t="n">
        <f aca="false">IF(C21=0,"מוצר חדש",(D21-C21)/C21)</f>
        <v>0.0909090909090909</v>
      </c>
    </row>
    <row r="22" customFormat="false" ht="15" hidden="false" customHeight="true" outlineLevel="0" collapsed="false">
      <c r="A22" s="7" t="n">
        <v>20948</v>
      </c>
      <c r="B22" s="7" t="s">
        <v>25</v>
      </c>
      <c r="C22" s="8" t="n">
        <f aca="false">SUMIF('מקור-01'!$A:$A,$A22,'מקור-01'!$C:$C)+SUMIF('מקור-02'!$A:$A,$A22,'מקור-02'!$C:$C)+SUMIF('מקור-03'!$A:$A,$A22,'מקור-03'!$C:$C)+SUMIF('מקור-04'!$A:$A,$A22,'מקור-04'!$C:$C)+SUMIF('מקור-05'!$A:$A,$A22,'מקור-05'!$C:$C)+SUMIF('מקור-06'!$A:$A,$A22,'מקור-06'!$C:$C)+SUMIF('מקור-07'!$A:$A,$A22,'מקור-07'!$C:$C)</f>
        <v>4</v>
      </c>
      <c r="D22" s="8" t="n">
        <f aca="false">SUMIF('מקור-01'!$A:$A,$A22,'מקור-01'!$D:$D)+SUMIF('מקור-02'!$A:$A,$A22,'מקור-02'!$D:$D)+SUMIF('מקור-03'!$A:$A,$A22,'מקור-03'!$D:$D)+SUMIF('מקור-04'!$A:$A,$A22,'מקור-04'!$D:$D)+SUMIF('מקור-05'!$A:$A,$A22,'מקור-05'!$D:$D)+SUMIF('מקור-06'!$A:$A,$A22,'מקור-06'!$D:$D)+SUMIF('מקור-07'!$A:$A,$A22,'מקור-07'!$D:$D)</f>
        <v>5</v>
      </c>
      <c r="E22" s="9" t="n">
        <f aca="false">D22-C22</f>
        <v>1</v>
      </c>
      <c r="F22" s="10" t="n">
        <f aca="false">IF(C22=0,"מוצר חדש",(D22-C22)/C22)</f>
        <v>0.25</v>
      </c>
    </row>
    <row r="23" customFormat="false" ht="15" hidden="false" customHeight="true" outlineLevel="0" collapsed="false">
      <c r="A23" s="7" t="n">
        <v>20996</v>
      </c>
      <c r="B23" s="7" t="s">
        <v>26</v>
      </c>
      <c r="C23" s="8" t="n">
        <f aca="false">SUMIF('מקור-01'!$A:$A,$A23,'מקור-01'!$C:$C)+SUMIF('מקור-02'!$A:$A,$A23,'מקור-02'!$C:$C)+SUMIF('מקור-03'!$A:$A,$A23,'מקור-03'!$C:$C)+SUMIF('מקור-04'!$A:$A,$A23,'מקור-04'!$C:$C)+SUMIF('מקור-05'!$A:$A,$A23,'מקור-05'!$C:$C)+SUMIF('מקור-06'!$A:$A,$A23,'מקור-06'!$C:$C)+SUMIF('מקור-07'!$A:$A,$A23,'מקור-07'!$C:$C)</f>
        <v>21</v>
      </c>
      <c r="D23" s="8" t="n">
        <f aca="false">SUMIF('מקור-01'!$A:$A,$A23,'מקור-01'!$D:$D)+SUMIF('מקור-02'!$A:$A,$A23,'מקור-02'!$D:$D)+SUMIF('מקור-03'!$A:$A,$A23,'מקור-03'!$D:$D)+SUMIF('מקור-04'!$A:$A,$A23,'מקור-04'!$D:$D)+SUMIF('מקור-05'!$A:$A,$A23,'מקור-05'!$D:$D)+SUMIF('מקור-06'!$A:$A,$A23,'מקור-06'!$D:$D)+SUMIF('מקור-07'!$A:$A,$A23,'מקור-07'!$D:$D)</f>
        <v>18</v>
      </c>
      <c r="E23" s="9" t="n">
        <f aca="false">D23-C23</f>
        <v>-3</v>
      </c>
      <c r="F23" s="10" t="n">
        <f aca="false">IF(C23=0,"מוצר חדש",(D23-C23)/C23)</f>
        <v>-0.142857142857143</v>
      </c>
    </row>
    <row r="24" customFormat="false" ht="15" hidden="false" customHeight="true" outlineLevel="0" collapsed="false">
      <c r="A24" s="7" t="n">
        <v>20998</v>
      </c>
      <c r="B24" s="7" t="s">
        <v>27</v>
      </c>
      <c r="C24" s="8" t="n">
        <f aca="false">SUMIF('מקור-01'!$A:$A,$A24,'מקור-01'!$C:$C)+SUMIF('מקור-02'!$A:$A,$A24,'מקור-02'!$C:$C)+SUMIF('מקור-03'!$A:$A,$A24,'מקור-03'!$C:$C)+SUMIF('מקור-04'!$A:$A,$A24,'מקור-04'!$C:$C)+SUMIF('מקור-05'!$A:$A,$A24,'מקור-05'!$C:$C)+SUMIF('מקור-06'!$A:$A,$A24,'מקור-06'!$C:$C)+SUMIF('מקור-07'!$A:$A,$A24,'מקור-07'!$C:$C)</f>
        <v>32</v>
      </c>
      <c r="D24" s="8" t="n">
        <f aca="false">SUMIF('מקור-01'!$A:$A,$A24,'מקור-01'!$D:$D)+SUMIF('מקור-02'!$A:$A,$A24,'מקור-02'!$D:$D)+SUMIF('מקור-03'!$A:$A,$A24,'מקור-03'!$D:$D)+SUMIF('מקור-04'!$A:$A,$A24,'מקור-04'!$D:$D)+SUMIF('מקור-05'!$A:$A,$A24,'מקור-05'!$D:$D)+SUMIF('מקור-06'!$A:$A,$A24,'מקור-06'!$D:$D)+SUMIF('מקור-07'!$A:$A,$A24,'מקור-07'!$D:$D)</f>
        <v>36</v>
      </c>
      <c r="E24" s="9" t="n">
        <f aca="false">D24-C24</f>
        <v>4</v>
      </c>
      <c r="F24" s="10" t="n">
        <f aca="false">IF(C24=0,"מוצר חדש",(D24-C24)/C24)</f>
        <v>0.125</v>
      </c>
    </row>
    <row r="25" customFormat="false" ht="15" hidden="false" customHeight="true" outlineLevel="0" collapsed="false">
      <c r="A25" s="7" t="n">
        <v>21003</v>
      </c>
      <c r="B25" s="7" t="s">
        <v>28</v>
      </c>
      <c r="C25" s="8" t="n">
        <f aca="false">SUMIF('מקור-01'!$A:$A,$A25,'מקור-01'!$C:$C)+SUMIF('מקור-02'!$A:$A,$A25,'מקור-02'!$C:$C)+SUMIF('מקור-03'!$A:$A,$A25,'מקור-03'!$C:$C)+SUMIF('מקור-04'!$A:$A,$A25,'מקור-04'!$C:$C)+SUMIF('מקור-05'!$A:$A,$A25,'מקור-05'!$C:$C)+SUMIF('מקור-06'!$A:$A,$A25,'מקור-06'!$C:$C)+SUMIF('מקור-07'!$A:$A,$A25,'מקור-07'!$C:$C)</f>
        <v>91</v>
      </c>
      <c r="D25" s="8" t="n">
        <f aca="false">SUMIF('מקור-01'!$A:$A,$A25,'מקור-01'!$D:$D)+SUMIF('מקור-02'!$A:$A,$A25,'מקור-02'!$D:$D)+SUMIF('מקור-03'!$A:$A,$A25,'מקור-03'!$D:$D)+SUMIF('מקור-04'!$A:$A,$A25,'מקור-04'!$D:$D)+SUMIF('מקור-05'!$A:$A,$A25,'מקור-05'!$D:$D)+SUMIF('מקור-06'!$A:$A,$A25,'מקור-06'!$D:$D)+SUMIF('מקור-07'!$A:$A,$A25,'מקור-07'!$D:$D)</f>
        <v>100</v>
      </c>
      <c r="E25" s="9" t="n">
        <f aca="false">D25-C25</f>
        <v>9</v>
      </c>
      <c r="F25" s="10" t="n">
        <f aca="false">IF(C25=0,"מוצר חדש",(D25-C25)/C25)</f>
        <v>0.0989010989010989</v>
      </c>
    </row>
    <row r="26" customFormat="false" ht="15" hidden="false" customHeight="true" outlineLevel="0" collapsed="false">
      <c r="A26" s="7" t="n">
        <v>21004</v>
      </c>
      <c r="B26" s="7" t="s">
        <v>29</v>
      </c>
      <c r="C26" s="8" t="n">
        <f aca="false">SUMIF('מקור-01'!$A:$A,$A26,'מקור-01'!$C:$C)+SUMIF('מקור-02'!$A:$A,$A26,'מקור-02'!$C:$C)+SUMIF('מקור-03'!$A:$A,$A26,'מקור-03'!$C:$C)+SUMIF('מקור-04'!$A:$A,$A26,'מקור-04'!$C:$C)+SUMIF('מקור-05'!$A:$A,$A26,'מקור-05'!$C:$C)+SUMIF('מקור-06'!$A:$A,$A26,'מקור-06'!$C:$C)+SUMIF('מקור-07'!$A:$A,$A26,'מקור-07'!$C:$C)</f>
        <v>57</v>
      </c>
      <c r="D26" s="8" t="n">
        <f aca="false">SUMIF('מקור-01'!$A:$A,$A26,'מקור-01'!$D:$D)+SUMIF('מקור-02'!$A:$A,$A26,'מקור-02'!$D:$D)+SUMIF('מקור-03'!$A:$A,$A26,'מקור-03'!$D:$D)+SUMIF('מקור-04'!$A:$A,$A26,'מקור-04'!$D:$D)+SUMIF('מקור-05'!$A:$A,$A26,'מקור-05'!$D:$D)+SUMIF('מקור-06'!$A:$A,$A26,'מקור-06'!$D:$D)+SUMIF('מקור-07'!$A:$A,$A26,'מקור-07'!$D:$D)</f>
        <v>65</v>
      </c>
      <c r="E26" s="9" t="n">
        <f aca="false">D26-C26</f>
        <v>8</v>
      </c>
      <c r="F26" s="10" t="n">
        <f aca="false">IF(C26=0,"מוצר חדש",(D26-C26)/C26)</f>
        <v>0.140350877192982</v>
      </c>
    </row>
    <row r="27" customFormat="false" ht="15" hidden="false" customHeight="true" outlineLevel="0" collapsed="false">
      <c r="A27" s="7" t="n">
        <v>21896</v>
      </c>
      <c r="B27" s="7" t="s">
        <v>30</v>
      </c>
      <c r="C27" s="8" t="n">
        <f aca="false">SUMIF('מקור-01'!$A:$A,$A27,'מקור-01'!$C:$C)+SUMIF('מקור-02'!$A:$A,$A27,'מקור-02'!$C:$C)+SUMIF('מקור-03'!$A:$A,$A27,'מקור-03'!$C:$C)+SUMIF('מקור-04'!$A:$A,$A27,'מקור-04'!$C:$C)+SUMIF('מקור-05'!$A:$A,$A27,'מקור-05'!$C:$C)+SUMIF('מקור-06'!$A:$A,$A27,'מקור-06'!$C:$C)+SUMIF('מקור-07'!$A:$A,$A27,'מקור-07'!$C:$C)</f>
        <v>8</v>
      </c>
      <c r="D27" s="8" t="n">
        <f aca="false">SUMIF('מקור-01'!$A:$A,$A27,'מקור-01'!$D:$D)+SUMIF('מקור-02'!$A:$A,$A27,'מקור-02'!$D:$D)+SUMIF('מקור-03'!$A:$A,$A27,'מקור-03'!$D:$D)+SUMIF('מקור-04'!$A:$A,$A27,'מקור-04'!$D:$D)+SUMIF('מקור-05'!$A:$A,$A27,'מקור-05'!$D:$D)+SUMIF('מקור-06'!$A:$A,$A27,'מקור-06'!$D:$D)+SUMIF('מקור-07'!$A:$A,$A27,'מקור-07'!$D:$D)</f>
        <v>3</v>
      </c>
      <c r="E27" s="9" t="n">
        <f aca="false">D27-C27</f>
        <v>-5</v>
      </c>
      <c r="F27" s="10" t="n">
        <f aca="false">IF(C27=0,"מוצר חדש",(D27-C27)/C27)</f>
        <v>-0.625</v>
      </c>
    </row>
    <row r="28" customFormat="false" ht="15" hidden="false" customHeight="true" outlineLevel="0" collapsed="false">
      <c r="A28" s="7" t="n">
        <v>21897</v>
      </c>
      <c r="B28" s="7" t="s">
        <v>31</v>
      </c>
      <c r="C28" s="8" t="n">
        <f aca="false">SUMIF('מקור-01'!$A:$A,$A28,'מקור-01'!$C:$C)+SUMIF('מקור-02'!$A:$A,$A28,'מקור-02'!$C:$C)+SUMIF('מקור-03'!$A:$A,$A28,'מקור-03'!$C:$C)+SUMIF('מקור-04'!$A:$A,$A28,'מקור-04'!$C:$C)+SUMIF('מקור-05'!$A:$A,$A28,'מקור-05'!$C:$C)+SUMIF('מקור-06'!$A:$A,$A28,'מקור-06'!$C:$C)+SUMIF('מקור-07'!$A:$A,$A28,'מקור-07'!$C:$C)</f>
        <v>9</v>
      </c>
      <c r="D28" s="8" t="n">
        <f aca="false">SUMIF('מקור-01'!$A:$A,$A28,'מקור-01'!$D:$D)+SUMIF('מקור-02'!$A:$A,$A28,'מקור-02'!$D:$D)+SUMIF('מקור-03'!$A:$A,$A28,'מקור-03'!$D:$D)+SUMIF('מקור-04'!$A:$A,$A28,'מקור-04'!$D:$D)+SUMIF('מקור-05'!$A:$A,$A28,'מקור-05'!$D:$D)+SUMIF('מקור-06'!$A:$A,$A28,'מקור-06'!$D:$D)+SUMIF('מקור-07'!$A:$A,$A28,'מקור-07'!$D:$D)</f>
        <v>1</v>
      </c>
      <c r="E28" s="9" t="n">
        <f aca="false">D28-C28</f>
        <v>-8</v>
      </c>
      <c r="F28" s="10" t="n">
        <f aca="false">IF(C28=0,"מוצר חדש",(D28-C28)/C28)</f>
        <v>-0.888888888888889</v>
      </c>
    </row>
    <row r="29" customFormat="false" ht="15" hidden="false" customHeight="true" outlineLevel="0" collapsed="false">
      <c r="A29" s="7" t="n">
        <v>23008</v>
      </c>
      <c r="B29" s="7" t="s">
        <v>32</v>
      </c>
      <c r="C29" s="8" t="n">
        <f aca="false">SUMIF('מקור-01'!$A:$A,$A29,'מקור-01'!$C:$C)+SUMIF('מקור-02'!$A:$A,$A29,'מקור-02'!$C:$C)+SUMIF('מקור-03'!$A:$A,$A29,'מקור-03'!$C:$C)+SUMIF('מקור-04'!$A:$A,$A29,'מקור-04'!$C:$C)+SUMIF('מקור-05'!$A:$A,$A29,'מקור-05'!$C:$C)+SUMIF('מקור-06'!$A:$A,$A29,'מקור-06'!$C:$C)+SUMIF('מקור-07'!$A:$A,$A29,'מקור-07'!$C:$C)</f>
        <v>183</v>
      </c>
      <c r="D29" s="8" t="n">
        <f aca="false">SUMIF('מקור-01'!$A:$A,$A29,'מקור-01'!$D:$D)+SUMIF('מקור-02'!$A:$A,$A29,'מקור-02'!$D:$D)+SUMIF('מקור-03'!$A:$A,$A29,'מקור-03'!$D:$D)+SUMIF('מקור-04'!$A:$A,$A29,'מקור-04'!$D:$D)+SUMIF('מקור-05'!$A:$A,$A29,'מקור-05'!$D:$D)+SUMIF('מקור-06'!$A:$A,$A29,'מקור-06'!$D:$D)+SUMIF('מקור-07'!$A:$A,$A29,'מקור-07'!$D:$D)</f>
        <v>218</v>
      </c>
      <c r="E29" s="9" t="n">
        <f aca="false">D29-C29</f>
        <v>35</v>
      </c>
      <c r="F29" s="10" t="n">
        <f aca="false">IF(C29=0,"מוצר חדש",(D29-C29)/C29)</f>
        <v>0.191256830601093</v>
      </c>
    </row>
    <row r="30" customFormat="false" ht="15" hidden="false" customHeight="true" outlineLevel="0" collapsed="false">
      <c r="A30" s="7" t="n">
        <v>24612</v>
      </c>
      <c r="B30" s="7" t="s">
        <v>33</v>
      </c>
      <c r="C30" s="8" t="n">
        <f aca="false">SUMIF('מקור-01'!$A:$A,$A30,'מקור-01'!$C:$C)+SUMIF('מקור-02'!$A:$A,$A30,'מקור-02'!$C:$C)+SUMIF('מקור-03'!$A:$A,$A30,'מקור-03'!$C:$C)+SUMIF('מקור-04'!$A:$A,$A30,'מקור-04'!$C:$C)+SUMIF('מקור-05'!$A:$A,$A30,'מקור-05'!$C:$C)+SUMIF('מקור-06'!$A:$A,$A30,'מקור-06'!$C:$C)+SUMIF('מקור-07'!$A:$A,$A30,'מקור-07'!$C:$C)</f>
        <v>328</v>
      </c>
      <c r="D30" s="8" t="n">
        <f aca="false">SUMIF('מקור-01'!$A:$A,$A30,'מקור-01'!$D:$D)+SUMIF('מקור-02'!$A:$A,$A30,'מקור-02'!$D:$D)+SUMIF('מקור-03'!$A:$A,$A30,'מקור-03'!$D:$D)+SUMIF('מקור-04'!$A:$A,$A30,'מקור-04'!$D:$D)+SUMIF('מקור-05'!$A:$A,$A30,'מקור-05'!$D:$D)+SUMIF('מקור-06'!$A:$A,$A30,'מקור-06'!$D:$D)+SUMIF('מקור-07'!$A:$A,$A30,'מקור-07'!$D:$D)</f>
        <v>255</v>
      </c>
      <c r="E30" s="9" t="n">
        <f aca="false">D30-C30</f>
        <v>-73</v>
      </c>
      <c r="F30" s="10" t="n">
        <f aca="false">IF(C30=0,"מוצר חדש",(D30-C30)/C30)</f>
        <v>-0.222560975609756</v>
      </c>
    </row>
    <row r="31" customFormat="false" ht="15" hidden="false" customHeight="true" outlineLevel="0" collapsed="false">
      <c r="A31" s="7" t="n">
        <v>25386</v>
      </c>
      <c r="B31" s="7" t="s">
        <v>34</v>
      </c>
      <c r="C31" s="8" t="n">
        <f aca="false">SUMIF('מקור-01'!$A:$A,$A31,'מקור-01'!$C:$C)+SUMIF('מקור-02'!$A:$A,$A31,'מקור-02'!$C:$C)+SUMIF('מקור-03'!$A:$A,$A31,'מקור-03'!$C:$C)+SUMIF('מקור-04'!$A:$A,$A31,'מקור-04'!$C:$C)+SUMIF('מקור-05'!$A:$A,$A31,'מקור-05'!$C:$C)+SUMIF('מקור-06'!$A:$A,$A31,'מקור-06'!$C:$C)+SUMIF('מקור-07'!$A:$A,$A31,'מקור-07'!$C:$C)</f>
        <v>29</v>
      </c>
      <c r="D31" s="8" t="n">
        <f aca="false">SUMIF('מקור-01'!$A:$A,$A31,'מקור-01'!$D:$D)+SUMIF('מקור-02'!$A:$A,$A31,'מקור-02'!$D:$D)+SUMIF('מקור-03'!$A:$A,$A31,'מקור-03'!$D:$D)+SUMIF('מקור-04'!$A:$A,$A31,'מקור-04'!$D:$D)+SUMIF('מקור-05'!$A:$A,$A31,'מקור-05'!$D:$D)+SUMIF('מקור-06'!$A:$A,$A31,'מקור-06'!$D:$D)+SUMIF('מקור-07'!$A:$A,$A31,'מקור-07'!$D:$D)</f>
        <v>33</v>
      </c>
      <c r="E31" s="9" t="n">
        <f aca="false">D31-C31</f>
        <v>4</v>
      </c>
      <c r="F31" s="10" t="n">
        <f aca="false">IF(C31=0,"מוצר חדש",(D31-C31)/C31)</f>
        <v>0.137931034482759</v>
      </c>
    </row>
    <row r="32" customFormat="false" ht="15" hidden="false" customHeight="true" outlineLevel="0" collapsed="false">
      <c r="A32" s="7" t="n">
        <v>28297</v>
      </c>
      <c r="B32" s="7" t="s">
        <v>35</v>
      </c>
      <c r="C32" s="8" t="n">
        <f aca="false">SUMIF('מקור-01'!$A:$A,$A32,'מקור-01'!$C:$C)+SUMIF('מקור-02'!$A:$A,$A32,'מקור-02'!$C:$C)+SUMIF('מקור-03'!$A:$A,$A32,'מקור-03'!$C:$C)+SUMIF('מקור-04'!$A:$A,$A32,'מקור-04'!$C:$C)+SUMIF('מקור-05'!$A:$A,$A32,'מקור-05'!$C:$C)+SUMIF('מקור-06'!$A:$A,$A32,'מקור-06'!$C:$C)+SUMIF('מקור-07'!$A:$A,$A32,'מקור-07'!$C:$C)</f>
        <v>4</v>
      </c>
      <c r="D32" s="8" t="n">
        <f aca="false">SUMIF('מקור-01'!$A:$A,$A32,'מקור-01'!$D:$D)+SUMIF('מקור-02'!$A:$A,$A32,'מקור-02'!$D:$D)+SUMIF('מקור-03'!$A:$A,$A32,'מקור-03'!$D:$D)+SUMIF('מקור-04'!$A:$A,$A32,'מקור-04'!$D:$D)+SUMIF('מקור-05'!$A:$A,$A32,'מקור-05'!$D:$D)+SUMIF('מקור-06'!$A:$A,$A32,'מקור-06'!$D:$D)+SUMIF('מקור-07'!$A:$A,$A32,'מקור-07'!$D:$D)</f>
        <v>2</v>
      </c>
      <c r="E32" s="9" t="n">
        <f aca="false">D32-C32</f>
        <v>-2</v>
      </c>
      <c r="F32" s="10" t="n">
        <f aca="false">IF(C32=0,"מוצר חדש",(D32-C32)/C32)</f>
        <v>-0.5</v>
      </c>
    </row>
    <row r="33" customFormat="false" ht="15" hidden="false" customHeight="true" outlineLevel="0" collapsed="false">
      <c r="A33" s="7" t="n">
        <v>28302</v>
      </c>
      <c r="B33" s="7" t="s">
        <v>36</v>
      </c>
      <c r="C33" s="8" t="n">
        <f aca="false">SUMIF('מקור-01'!$A:$A,$A33,'מקור-01'!$C:$C)+SUMIF('מקור-02'!$A:$A,$A33,'מקור-02'!$C:$C)+SUMIF('מקור-03'!$A:$A,$A33,'מקור-03'!$C:$C)+SUMIF('מקור-04'!$A:$A,$A33,'מקור-04'!$C:$C)+SUMIF('מקור-05'!$A:$A,$A33,'מקור-05'!$C:$C)+SUMIF('מקור-06'!$A:$A,$A33,'מקור-06'!$C:$C)+SUMIF('מקור-07'!$A:$A,$A33,'מקור-07'!$C:$C)</f>
        <v>13</v>
      </c>
      <c r="D33" s="8" t="n">
        <f aca="false">SUMIF('מקור-01'!$A:$A,$A33,'מקור-01'!$D:$D)+SUMIF('מקור-02'!$A:$A,$A33,'מקור-02'!$D:$D)+SUMIF('מקור-03'!$A:$A,$A33,'מקור-03'!$D:$D)+SUMIF('מקור-04'!$A:$A,$A33,'מקור-04'!$D:$D)+SUMIF('מקור-05'!$A:$A,$A33,'מקור-05'!$D:$D)+SUMIF('מקור-06'!$A:$A,$A33,'מקור-06'!$D:$D)+SUMIF('מקור-07'!$A:$A,$A33,'מקור-07'!$D:$D)</f>
        <v>6</v>
      </c>
      <c r="E33" s="9" t="n">
        <f aca="false">D33-C33</f>
        <v>-7</v>
      </c>
      <c r="F33" s="10" t="n">
        <f aca="false">IF(C33=0,"מוצר חדש",(D33-C33)/C33)</f>
        <v>-0.538461538461538</v>
      </c>
    </row>
    <row r="34" customFormat="false" ht="15" hidden="false" customHeight="true" outlineLevel="0" collapsed="false">
      <c r="A34" s="7" t="n">
        <v>28323</v>
      </c>
      <c r="B34" s="7" t="s">
        <v>37</v>
      </c>
      <c r="C34" s="8" t="n">
        <f aca="false">SUMIF('מקור-01'!$A:$A,$A34,'מקור-01'!$C:$C)+SUMIF('מקור-02'!$A:$A,$A34,'מקור-02'!$C:$C)+SUMIF('מקור-03'!$A:$A,$A34,'מקור-03'!$C:$C)+SUMIF('מקור-04'!$A:$A,$A34,'מקור-04'!$C:$C)+SUMIF('מקור-05'!$A:$A,$A34,'מקור-05'!$C:$C)+SUMIF('מקור-06'!$A:$A,$A34,'מקור-06'!$C:$C)+SUMIF('מקור-07'!$A:$A,$A34,'מקור-07'!$C:$C)</f>
        <v>2</v>
      </c>
      <c r="D34" s="8" t="n">
        <f aca="false">SUMIF('מקור-01'!$A:$A,$A34,'מקור-01'!$D:$D)+SUMIF('מקור-02'!$A:$A,$A34,'מקור-02'!$D:$D)+SUMIF('מקור-03'!$A:$A,$A34,'מקור-03'!$D:$D)+SUMIF('מקור-04'!$A:$A,$A34,'מקור-04'!$D:$D)+SUMIF('מקור-05'!$A:$A,$A34,'מקור-05'!$D:$D)+SUMIF('מקור-06'!$A:$A,$A34,'מקור-06'!$D:$D)+SUMIF('מקור-07'!$A:$A,$A34,'מקור-07'!$D:$D)</f>
        <v>2</v>
      </c>
      <c r="E34" s="9" t="n">
        <f aca="false">D34-C34</f>
        <v>0</v>
      </c>
      <c r="F34" s="10" t="n">
        <f aca="false">IF(C34=0,"מוצר חדש",(D34-C34)/C34)</f>
        <v>0</v>
      </c>
    </row>
    <row r="35" customFormat="false" ht="15" hidden="false" customHeight="true" outlineLevel="0" collapsed="false">
      <c r="A35" s="7" t="n">
        <v>28331</v>
      </c>
      <c r="B35" s="7" t="s">
        <v>38</v>
      </c>
      <c r="C35" s="8" t="n">
        <f aca="false">SUMIF('מקור-01'!$A:$A,$A35,'מקור-01'!$C:$C)+SUMIF('מקור-02'!$A:$A,$A35,'מקור-02'!$C:$C)+SUMIF('מקור-03'!$A:$A,$A35,'מקור-03'!$C:$C)+SUMIF('מקור-04'!$A:$A,$A35,'מקור-04'!$C:$C)+SUMIF('מקור-05'!$A:$A,$A35,'מקור-05'!$C:$C)+SUMIF('מקור-06'!$A:$A,$A35,'מקור-06'!$C:$C)+SUMIF('מקור-07'!$A:$A,$A35,'מקור-07'!$C:$C)</f>
        <v>2</v>
      </c>
      <c r="D35" s="8" t="n">
        <f aca="false">SUMIF('מקור-01'!$A:$A,$A35,'מקור-01'!$D:$D)+SUMIF('מקור-02'!$A:$A,$A35,'מקור-02'!$D:$D)+SUMIF('מקור-03'!$A:$A,$A35,'מקור-03'!$D:$D)+SUMIF('מקור-04'!$A:$A,$A35,'מקור-04'!$D:$D)+SUMIF('מקור-05'!$A:$A,$A35,'מקור-05'!$D:$D)+SUMIF('מקור-06'!$A:$A,$A35,'מקור-06'!$D:$D)+SUMIF('מקור-07'!$A:$A,$A35,'מקור-07'!$D:$D)</f>
        <v>2</v>
      </c>
      <c r="E35" s="9" t="n">
        <f aca="false">D35-C35</f>
        <v>0</v>
      </c>
      <c r="F35" s="10" t="n">
        <f aca="false">IF(C35=0,"מוצר חדש",(D35-C35)/C35)</f>
        <v>0</v>
      </c>
    </row>
    <row r="36" customFormat="false" ht="15" hidden="false" customHeight="true" outlineLevel="0" collapsed="false">
      <c r="A36" s="7" t="n">
        <v>29790</v>
      </c>
      <c r="B36" s="7" t="s">
        <v>39</v>
      </c>
      <c r="C36" s="8" t="n">
        <f aca="false">SUMIF('מקור-01'!$A:$A,$A36,'מקור-01'!$C:$C)+SUMIF('מקור-02'!$A:$A,$A36,'מקור-02'!$C:$C)+SUMIF('מקור-03'!$A:$A,$A36,'מקור-03'!$C:$C)+SUMIF('מקור-04'!$A:$A,$A36,'מקור-04'!$C:$C)+SUMIF('מקור-05'!$A:$A,$A36,'מקור-05'!$C:$C)+SUMIF('מקור-06'!$A:$A,$A36,'מקור-06'!$C:$C)+SUMIF('מקור-07'!$A:$A,$A36,'מקור-07'!$C:$C)</f>
        <v>1</v>
      </c>
      <c r="D36" s="8" t="n">
        <f aca="false">SUMIF('מקור-01'!$A:$A,$A36,'מקור-01'!$D:$D)+SUMIF('מקור-02'!$A:$A,$A36,'מקור-02'!$D:$D)+SUMIF('מקור-03'!$A:$A,$A36,'מקור-03'!$D:$D)+SUMIF('מקור-04'!$A:$A,$A36,'מקור-04'!$D:$D)+SUMIF('מקור-05'!$A:$A,$A36,'מקור-05'!$D:$D)+SUMIF('מקור-06'!$A:$A,$A36,'מקור-06'!$D:$D)+SUMIF('מקור-07'!$A:$A,$A36,'מקור-07'!$D:$D)</f>
        <v>2</v>
      </c>
      <c r="E36" s="9" t="n">
        <f aca="false">D36-C36</f>
        <v>1</v>
      </c>
      <c r="F36" s="10" t="n">
        <f aca="false">IF(C36=0,"מוצר חדש",(D36-C36)/C36)</f>
        <v>1</v>
      </c>
    </row>
    <row r="37" customFormat="false" ht="15" hidden="false" customHeight="true" outlineLevel="0" collapsed="false">
      <c r="A37" s="7" t="n">
        <v>29792</v>
      </c>
      <c r="B37" s="7" t="s">
        <v>40</v>
      </c>
      <c r="C37" s="8" t="n">
        <f aca="false">SUMIF('מקור-01'!$A:$A,$A37,'מקור-01'!$C:$C)+SUMIF('מקור-02'!$A:$A,$A37,'מקור-02'!$C:$C)+SUMIF('מקור-03'!$A:$A,$A37,'מקור-03'!$C:$C)+SUMIF('מקור-04'!$A:$A,$A37,'מקור-04'!$C:$C)+SUMIF('מקור-05'!$A:$A,$A37,'מקור-05'!$C:$C)+SUMIF('מקור-06'!$A:$A,$A37,'מקור-06'!$C:$C)+SUMIF('מקור-07'!$A:$A,$A37,'מקור-07'!$C:$C)</f>
        <v>0</v>
      </c>
      <c r="D37" s="8" t="n">
        <f aca="false">SUMIF('מקור-01'!$A:$A,$A37,'מקור-01'!$D:$D)+SUMIF('מקור-02'!$A:$A,$A37,'מקור-02'!$D:$D)+SUMIF('מקור-03'!$A:$A,$A37,'מקור-03'!$D:$D)+SUMIF('מקור-04'!$A:$A,$A37,'מקור-04'!$D:$D)+SUMIF('מקור-05'!$A:$A,$A37,'מקור-05'!$D:$D)+SUMIF('מקור-06'!$A:$A,$A37,'מקור-06'!$D:$D)+SUMIF('מקור-07'!$A:$A,$A37,'מקור-07'!$D:$D)</f>
        <v>1</v>
      </c>
      <c r="E37" s="9" t="n">
        <f aca="false">D37-C37</f>
        <v>1</v>
      </c>
      <c r="F37" s="10" t="str">
        <f aca="false">IF(C37=0,"מוצר חדש",(D37-C37)/C37)</f>
        <v>מוצר חדש</v>
      </c>
    </row>
    <row r="38" customFormat="false" ht="15" hidden="false" customHeight="true" outlineLevel="0" collapsed="false">
      <c r="A38" s="7" t="n">
        <v>29793</v>
      </c>
      <c r="B38" s="7" t="s">
        <v>41</v>
      </c>
      <c r="C38" s="8" t="n">
        <f aca="false">SUMIF('מקור-01'!$A:$A,$A38,'מקור-01'!$C:$C)+SUMIF('מקור-02'!$A:$A,$A38,'מקור-02'!$C:$C)+SUMIF('מקור-03'!$A:$A,$A38,'מקור-03'!$C:$C)+SUMIF('מקור-04'!$A:$A,$A38,'מקור-04'!$C:$C)+SUMIF('מקור-05'!$A:$A,$A38,'מקור-05'!$C:$C)+SUMIF('מקור-06'!$A:$A,$A38,'מקור-06'!$C:$C)+SUMIF('מקור-07'!$A:$A,$A38,'מקור-07'!$C:$C)</f>
        <v>2</v>
      </c>
      <c r="D38" s="8" t="n">
        <f aca="false">SUMIF('מקור-01'!$A:$A,$A38,'מקור-01'!$D:$D)+SUMIF('מקור-02'!$A:$A,$A38,'מקור-02'!$D:$D)+SUMIF('מקור-03'!$A:$A,$A38,'מקור-03'!$D:$D)+SUMIF('מקור-04'!$A:$A,$A38,'מקור-04'!$D:$D)+SUMIF('מקור-05'!$A:$A,$A38,'מקור-05'!$D:$D)+SUMIF('מקור-06'!$A:$A,$A38,'מקור-06'!$D:$D)+SUMIF('מקור-07'!$A:$A,$A38,'מקור-07'!$D:$D)</f>
        <v>1</v>
      </c>
      <c r="E38" s="9" t="n">
        <f aca="false">D38-C38</f>
        <v>-1</v>
      </c>
      <c r="F38" s="10" t="n">
        <f aca="false">IF(C38=0,"מוצר חדש",(D38-C38)/C38)</f>
        <v>-0.5</v>
      </c>
    </row>
    <row r="39" customFormat="false" ht="15" hidden="false" customHeight="true" outlineLevel="0" collapsed="false">
      <c r="A39" s="7" t="n">
        <v>29794</v>
      </c>
      <c r="B39" s="7" t="s">
        <v>42</v>
      </c>
      <c r="C39" s="8" t="n">
        <f aca="false">SUMIF('מקור-01'!$A:$A,$A39,'מקור-01'!$C:$C)+SUMIF('מקור-02'!$A:$A,$A39,'מקור-02'!$C:$C)+SUMIF('מקור-03'!$A:$A,$A39,'מקור-03'!$C:$C)+SUMIF('מקור-04'!$A:$A,$A39,'מקור-04'!$C:$C)+SUMIF('מקור-05'!$A:$A,$A39,'מקור-05'!$C:$C)+SUMIF('מקור-06'!$A:$A,$A39,'מקור-06'!$C:$C)+SUMIF('מקור-07'!$A:$A,$A39,'מקור-07'!$C:$C)</f>
        <v>2</v>
      </c>
      <c r="D39" s="8" t="n">
        <f aca="false">SUMIF('מקור-01'!$A:$A,$A39,'מקור-01'!$D:$D)+SUMIF('מקור-02'!$A:$A,$A39,'מקור-02'!$D:$D)+SUMIF('מקור-03'!$A:$A,$A39,'מקור-03'!$D:$D)+SUMIF('מקור-04'!$A:$A,$A39,'מקור-04'!$D:$D)+SUMIF('מקור-05'!$A:$A,$A39,'מקור-05'!$D:$D)+SUMIF('מקור-06'!$A:$A,$A39,'מקור-06'!$D:$D)+SUMIF('מקור-07'!$A:$A,$A39,'מקור-07'!$D:$D)</f>
        <v>0</v>
      </c>
      <c r="E39" s="9" t="n">
        <f aca="false">D39-C39</f>
        <v>-2</v>
      </c>
      <c r="F39" s="10" t="n">
        <f aca="false">IF(C39=0,"מוצר חדש",(D39-C39)/C39)</f>
        <v>-1</v>
      </c>
    </row>
    <row r="40" customFormat="false" ht="15" hidden="false" customHeight="true" outlineLevel="0" collapsed="false">
      <c r="A40" s="7" t="n">
        <v>29881</v>
      </c>
      <c r="B40" s="7" t="s">
        <v>43</v>
      </c>
      <c r="C40" s="8" t="n">
        <f aca="false">SUMIF('מקור-01'!$A:$A,$A40,'מקור-01'!$C:$C)+SUMIF('מקור-02'!$A:$A,$A40,'מקור-02'!$C:$C)+SUMIF('מקור-03'!$A:$A,$A40,'מקור-03'!$C:$C)+SUMIF('מקור-04'!$A:$A,$A40,'מקור-04'!$C:$C)+SUMIF('מקור-05'!$A:$A,$A40,'מקור-05'!$C:$C)+SUMIF('מקור-06'!$A:$A,$A40,'מקור-06'!$C:$C)+SUMIF('מקור-07'!$A:$A,$A40,'מקור-07'!$C:$C)</f>
        <v>33</v>
      </c>
      <c r="D40" s="8" t="n">
        <f aca="false">SUMIF('מקור-01'!$A:$A,$A40,'מקור-01'!$D:$D)+SUMIF('מקור-02'!$A:$A,$A40,'מקור-02'!$D:$D)+SUMIF('מקור-03'!$A:$A,$A40,'מקור-03'!$D:$D)+SUMIF('מקור-04'!$A:$A,$A40,'מקור-04'!$D:$D)+SUMIF('מקור-05'!$A:$A,$A40,'מקור-05'!$D:$D)+SUMIF('מקור-06'!$A:$A,$A40,'מקור-06'!$D:$D)+SUMIF('מקור-07'!$A:$A,$A40,'מקור-07'!$D:$D)</f>
        <v>36</v>
      </c>
      <c r="E40" s="9" t="n">
        <f aca="false">D40-C40</f>
        <v>3</v>
      </c>
      <c r="F40" s="10" t="n">
        <f aca="false">IF(C40=0,"מוצר חדש",(D40-C40)/C40)</f>
        <v>0.0909090909090909</v>
      </c>
    </row>
    <row r="41" customFormat="false" ht="15" hidden="false" customHeight="true" outlineLevel="0" collapsed="false">
      <c r="A41" s="7" t="n">
        <v>29977</v>
      </c>
      <c r="B41" s="7" t="s">
        <v>44</v>
      </c>
      <c r="C41" s="8" t="n">
        <f aca="false">SUMIF('מקור-01'!$A:$A,$A41,'מקור-01'!$C:$C)+SUMIF('מקור-02'!$A:$A,$A41,'מקור-02'!$C:$C)+SUMIF('מקור-03'!$A:$A,$A41,'מקור-03'!$C:$C)+SUMIF('מקור-04'!$A:$A,$A41,'מקור-04'!$C:$C)+SUMIF('מקור-05'!$A:$A,$A41,'מקור-05'!$C:$C)+SUMIF('מקור-06'!$A:$A,$A41,'מקור-06'!$C:$C)+SUMIF('מקור-07'!$A:$A,$A41,'מקור-07'!$C:$C)</f>
        <v>4</v>
      </c>
      <c r="D41" s="8" t="n">
        <f aca="false">SUMIF('מקור-01'!$A:$A,$A41,'מקור-01'!$D:$D)+SUMIF('מקור-02'!$A:$A,$A41,'מקור-02'!$D:$D)+SUMIF('מקור-03'!$A:$A,$A41,'מקור-03'!$D:$D)+SUMIF('מקור-04'!$A:$A,$A41,'מקור-04'!$D:$D)+SUMIF('מקור-05'!$A:$A,$A41,'מקור-05'!$D:$D)+SUMIF('מקור-06'!$A:$A,$A41,'מקור-06'!$D:$D)+SUMIF('מקור-07'!$A:$A,$A41,'מקור-07'!$D:$D)</f>
        <v>8</v>
      </c>
      <c r="E41" s="9" t="n">
        <f aca="false">D41-C41</f>
        <v>4</v>
      </c>
      <c r="F41" s="10" t="n">
        <f aca="false">IF(C41=0,"מוצר חדש",(D41-C41)/C41)</f>
        <v>1</v>
      </c>
    </row>
    <row r="42" customFormat="false" ht="15" hidden="false" customHeight="true" outlineLevel="0" collapsed="false">
      <c r="A42" s="7" t="n">
        <v>29981</v>
      </c>
      <c r="B42" s="7" t="s">
        <v>45</v>
      </c>
      <c r="C42" s="8" t="n">
        <f aca="false">SUMIF('מקור-01'!$A:$A,$A42,'מקור-01'!$C:$C)+SUMIF('מקור-02'!$A:$A,$A42,'מקור-02'!$C:$C)+SUMIF('מקור-03'!$A:$A,$A42,'מקור-03'!$C:$C)+SUMIF('מקור-04'!$A:$A,$A42,'מקור-04'!$C:$C)+SUMIF('מקור-05'!$A:$A,$A42,'מקור-05'!$C:$C)+SUMIF('מקור-06'!$A:$A,$A42,'מקור-06'!$C:$C)+SUMIF('מקור-07'!$A:$A,$A42,'מקור-07'!$C:$C)</f>
        <v>42</v>
      </c>
      <c r="D42" s="8" t="n">
        <f aca="false">SUMIF('מקור-01'!$A:$A,$A42,'מקור-01'!$D:$D)+SUMIF('מקור-02'!$A:$A,$A42,'מקור-02'!$D:$D)+SUMIF('מקור-03'!$A:$A,$A42,'מקור-03'!$D:$D)+SUMIF('מקור-04'!$A:$A,$A42,'מקור-04'!$D:$D)+SUMIF('מקור-05'!$A:$A,$A42,'מקור-05'!$D:$D)+SUMIF('מקור-06'!$A:$A,$A42,'מקור-06'!$D:$D)+SUMIF('מקור-07'!$A:$A,$A42,'מקור-07'!$D:$D)</f>
        <v>24</v>
      </c>
      <c r="E42" s="9" t="n">
        <f aca="false">D42-C42</f>
        <v>-18</v>
      </c>
      <c r="F42" s="10" t="n">
        <f aca="false">IF(C42=0,"מוצר חדש",(D42-C42)/C42)</f>
        <v>-0.428571428571429</v>
      </c>
    </row>
    <row r="43" customFormat="false" ht="15" hidden="false" customHeight="true" outlineLevel="0" collapsed="false">
      <c r="A43" s="7" t="n">
        <v>29984</v>
      </c>
      <c r="B43" s="7" t="s">
        <v>46</v>
      </c>
      <c r="C43" s="8" t="n">
        <f aca="false">SUMIF('מקור-01'!$A:$A,$A43,'מקור-01'!$C:$C)+SUMIF('מקור-02'!$A:$A,$A43,'מקור-02'!$C:$C)+SUMIF('מקור-03'!$A:$A,$A43,'מקור-03'!$C:$C)+SUMIF('מקור-04'!$A:$A,$A43,'מקור-04'!$C:$C)+SUMIF('מקור-05'!$A:$A,$A43,'מקור-05'!$C:$C)+SUMIF('מקור-06'!$A:$A,$A43,'מקור-06'!$C:$C)+SUMIF('מקור-07'!$A:$A,$A43,'מקור-07'!$C:$C)</f>
        <v>24</v>
      </c>
      <c r="D43" s="8" t="n">
        <f aca="false">SUMIF('מקור-01'!$A:$A,$A43,'מקור-01'!$D:$D)+SUMIF('מקור-02'!$A:$A,$A43,'מקור-02'!$D:$D)+SUMIF('מקור-03'!$A:$A,$A43,'מקור-03'!$D:$D)+SUMIF('מקור-04'!$A:$A,$A43,'מקור-04'!$D:$D)+SUMIF('מקור-05'!$A:$A,$A43,'מקור-05'!$D:$D)+SUMIF('מקור-06'!$A:$A,$A43,'מקור-06'!$D:$D)+SUMIF('מקור-07'!$A:$A,$A43,'מקור-07'!$D:$D)</f>
        <v>6</v>
      </c>
      <c r="E43" s="9" t="n">
        <f aca="false">D43-C43</f>
        <v>-18</v>
      </c>
      <c r="F43" s="10" t="n">
        <f aca="false">IF(C43=0,"מוצר חדש",(D43-C43)/C43)</f>
        <v>-0.75</v>
      </c>
    </row>
    <row r="44" customFormat="false" ht="15" hidden="false" customHeight="true" outlineLevel="0" collapsed="false">
      <c r="A44" s="7" t="n">
        <v>31183</v>
      </c>
      <c r="B44" s="7" t="s">
        <v>47</v>
      </c>
      <c r="C44" s="8" t="n">
        <f aca="false">SUMIF('מקור-01'!$A:$A,$A44,'מקור-01'!$C:$C)+SUMIF('מקור-02'!$A:$A,$A44,'מקור-02'!$C:$C)+SUMIF('מקור-03'!$A:$A,$A44,'מקור-03'!$C:$C)+SUMIF('מקור-04'!$A:$A,$A44,'מקור-04'!$C:$C)+SUMIF('מקור-05'!$A:$A,$A44,'מקור-05'!$C:$C)+SUMIF('מקור-06'!$A:$A,$A44,'מקור-06'!$C:$C)+SUMIF('מקור-07'!$A:$A,$A44,'מקור-07'!$C:$C)</f>
        <v>197</v>
      </c>
      <c r="D44" s="8" t="n">
        <f aca="false">SUMIF('מקור-01'!$A:$A,$A44,'מקור-01'!$D:$D)+SUMIF('מקור-02'!$A:$A,$A44,'מקור-02'!$D:$D)+SUMIF('מקור-03'!$A:$A,$A44,'מקור-03'!$D:$D)+SUMIF('מקור-04'!$A:$A,$A44,'מקור-04'!$D:$D)+SUMIF('מקור-05'!$A:$A,$A44,'מקור-05'!$D:$D)+SUMIF('מקור-06'!$A:$A,$A44,'מקור-06'!$D:$D)+SUMIF('מקור-07'!$A:$A,$A44,'מקור-07'!$D:$D)</f>
        <v>201</v>
      </c>
      <c r="E44" s="9" t="n">
        <f aca="false">D44-C44</f>
        <v>4</v>
      </c>
      <c r="F44" s="10" t="n">
        <f aca="false">IF(C44=0,"מוצר חדש",(D44-C44)/C44)</f>
        <v>0.0203045685279188</v>
      </c>
    </row>
    <row r="45" customFormat="false" ht="15" hidden="false" customHeight="true" outlineLevel="0" collapsed="false">
      <c r="A45" s="7" t="n">
        <v>31188</v>
      </c>
      <c r="B45" s="7" t="s">
        <v>48</v>
      </c>
      <c r="C45" s="8" t="n">
        <f aca="false">SUMIF('מקור-01'!$A:$A,$A45,'מקור-01'!$C:$C)+SUMIF('מקור-02'!$A:$A,$A45,'מקור-02'!$C:$C)+SUMIF('מקור-03'!$A:$A,$A45,'מקור-03'!$C:$C)+SUMIF('מקור-04'!$A:$A,$A45,'מקור-04'!$C:$C)+SUMIF('מקור-05'!$A:$A,$A45,'מקור-05'!$C:$C)+SUMIF('מקור-06'!$A:$A,$A45,'מקור-06'!$C:$C)+SUMIF('מקור-07'!$A:$A,$A45,'מקור-07'!$C:$C)</f>
        <v>326</v>
      </c>
      <c r="D45" s="8" t="n">
        <f aca="false">SUMIF('מקור-01'!$A:$A,$A45,'מקור-01'!$D:$D)+SUMIF('מקור-02'!$A:$A,$A45,'מקור-02'!$D:$D)+SUMIF('מקור-03'!$A:$A,$A45,'מקור-03'!$D:$D)+SUMIF('מקור-04'!$A:$A,$A45,'מקור-04'!$D:$D)+SUMIF('מקור-05'!$A:$A,$A45,'מקור-05'!$D:$D)+SUMIF('מקור-06'!$A:$A,$A45,'מקור-06'!$D:$D)+SUMIF('מקור-07'!$A:$A,$A45,'מקור-07'!$D:$D)</f>
        <v>311</v>
      </c>
      <c r="E45" s="9" t="n">
        <f aca="false">D45-C45</f>
        <v>-15</v>
      </c>
      <c r="F45" s="10" t="n">
        <f aca="false">IF(C45=0,"מוצר חדש",(D45-C45)/C45)</f>
        <v>-0.0460122699386503</v>
      </c>
    </row>
    <row r="46" customFormat="false" ht="15" hidden="false" customHeight="true" outlineLevel="0" collapsed="false">
      <c r="A46" s="7" t="n">
        <v>31190</v>
      </c>
      <c r="B46" s="7" t="s">
        <v>49</v>
      </c>
      <c r="C46" s="8" t="n">
        <f aca="false">SUMIF('מקור-01'!$A:$A,$A46,'מקור-01'!$C:$C)+SUMIF('מקור-02'!$A:$A,$A46,'מקור-02'!$C:$C)+SUMIF('מקור-03'!$A:$A,$A46,'מקור-03'!$C:$C)+SUMIF('מקור-04'!$A:$A,$A46,'מקור-04'!$C:$C)+SUMIF('מקור-05'!$A:$A,$A46,'מקור-05'!$C:$C)+SUMIF('מקור-06'!$A:$A,$A46,'מקור-06'!$C:$C)+SUMIF('מקור-07'!$A:$A,$A46,'מקור-07'!$C:$C)</f>
        <v>123</v>
      </c>
      <c r="D46" s="8" t="n">
        <f aca="false">SUMIF('מקור-01'!$A:$A,$A46,'מקור-01'!$D:$D)+SUMIF('מקור-02'!$A:$A,$A46,'מקור-02'!$D:$D)+SUMIF('מקור-03'!$A:$A,$A46,'מקור-03'!$D:$D)+SUMIF('מקור-04'!$A:$A,$A46,'מקור-04'!$D:$D)+SUMIF('מקור-05'!$A:$A,$A46,'מקור-05'!$D:$D)+SUMIF('מקור-06'!$A:$A,$A46,'מקור-06'!$D:$D)+SUMIF('מקור-07'!$A:$A,$A46,'מקור-07'!$D:$D)</f>
        <v>90</v>
      </c>
      <c r="E46" s="9" t="n">
        <f aca="false">D46-C46</f>
        <v>-33</v>
      </c>
      <c r="F46" s="10" t="n">
        <f aca="false">IF(C46=0,"מוצר חדש",(D46-C46)/C46)</f>
        <v>-0.268292682926829</v>
      </c>
    </row>
    <row r="47" customFormat="false" ht="15" hidden="false" customHeight="true" outlineLevel="0" collapsed="false">
      <c r="A47" s="7" t="n">
        <v>34874</v>
      </c>
      <c r="B47" s="7" t="s">
        <v>50</v>
      </c>
      <c r="C47" s="8" t="n">
        <f aca="false">SUMIF('מקור-01'!$A:$A,$A47,'מקור-01'!$C:$C)+SUMIF('מקור-02'!$A:$A,$A47,'מקור-02'!$C:$C)+SUMIF('מקור-03'!$A:$A,$A47,'מקור-03'!$C:$C)+SUMIF('מקור-04'!$A:$A,$A47,'מקור-04'!$C:$C)+SUMIF('מקור-05'!$A:$A,$A47,'מקור-05'!$C:$C)+SUMIF('מקור-06'!$A:$A,$A47,'מקור-06'!$C:$C)+SUMIF('מקור-07'!$A:$A,$A47,'מקור-07'!$C:$C)</f>
        <v>16</v>
      </c>
      <c r="D47" s="8" t="n">
        <f aca="false">SUMIF('מקור-01'!$A:$A,$A47,'מקור-01'!$D:$D)+SUMIF('מקור-02'!$A:$A,$A47,'מקור-02'!$D:$D)+SUMIF('מקור-03'!$A:$A,$A47,'מקור-03'!$D:$D)+SUMIF('מקור-04'!$A:$A,$A47,'מקור-04'!$D:$D)+SUMIF('מקור-05'!$A:$A,$A47,'מקור-05'!$D:$D)+SUMIF('מקור-06'!$A:$A,$A47,'מקור-06'!$D:$D)+SUMIF('מקור-07'!$A:$A,$A47,'מקור-07'!$D:$D)</f>
        <v>10</v>
      </c>
      <c r="E47" s="9" t="n">
        <f aca="false">D47-C47</f>
        <v>-6</v>
      </c>
      <c r="F47" s="10" t="n">
        <f aca="false">IF(C47=0,"מוצר חדש",(D47-C47)/C47)</f>
        <v>-0.375</v>
      </c>
    </row>
    <row r="48" customFormat="false" ht="15" hidden="false" customHeight="true" outlineLevel="0" collapsed="false">
      <c r="A48" s="7" t="n">
        <v>35339</v>
      </c>
      <c r="B48" s="7" t="s">
        <v>51</v>
      </c>
      <c r="C48" s="8" t="n">
        <f aca="false">SUMIF('מקור-01'!$A:$A,$A48,'מקור-01'!$C:$C)+SUMIF('מקור-02'!$A:$A,$A48,'מקור-02'!$C:$C)+SUMIF('מקור-03'!$A:$A,$A48,'מקור-03'!$C:$C)+SUMIF('מקור-04'!$A:$A,$A48,'מקור-04'!$C:$C)+SUMIF('מקור-05'!$A:$A,$A48,'מקור-05'!$C:$C)+SUMIF('מקור-06'!$A:$A,$A48,'מקור-06'!$C:$C)+SUMIF('מקור-07'!$A:$A,$A48,'מקור-07'!$C:$C)</f>
        <v>28</v>
      </c>
      <c r="D48" s="8" t="n">
        <f aca="false">SUMIF('מקור-01'!$A:$A,$A48,'מקור-01'!$D:$D)+SUMIF('מקור-02'!$A:$A,$A48,'מקור-02'!$D:$D)+SUMIF('מקור-03'!$A:$A,$A48,'מקור-03'!$D:$D)+SUMIF('מקור-04'!$A:$A,$A48,'מקור-04'!$D:$D)+SUMIF('מקור-05'!$A:$A,$A48,'מקור-05'!$D:$D)+SUMIF('מקור-06'!$A:$A,$A48,'מקור-06'!$D:$D)+SUMIF('מקור-07'!$A:$A,$A48,'מקור-07'!$D:$D)</f>
        <v>31</v>
      </c>
      <c r="E48" s="9" t="n">
        <f aca="false">D48-C48</f>
        <v>3</v>
      </c>
      <c r="F48" s="10" t="n">
        <f aca="false">IF(C48=0,"מוצר חדש",(D48-C48)/C48)</f>
        <v>0.107142857142857</v>
      </c>
    </row>
    <row r="49" customFormat="false" ht="15" hidden="false" customHeight="true" outlineLevel="0" collapsed="false">
      <c r="A49" s="7" t="n">
        <v>42964</v>
      </c>
      <c r="B49" s="7" t="s">
        <v>52</v>
      </c>
      <c r="C49" s="8" t="n">
        <f aca="false">SUMIF('מקור-01'!$A:$A,$A49,'מקור-01'!$C:$C)+SUMIF('מקור-02'!$A:$A,$A49,'מקור-02'!$C:$C)+SUMIF('מקור-03'!$A:$A,$A49,'מקור-03'!$C:$C)+SUMIF('מקור-04'!$A:$A,$A49,'מקור-04'!$C:$C)+SUMIF('מקור-05'!$A:$A,$A49,'מקור-05'!$C:$C)+SUMIF('מקור-06'!$A:$A,$A49,'מקור-06'!$C:$C)+SUMIF('מקור-07'!$A:$A,$A49,'מקור-07'!$C:$C)</f>
        <v>43</v>
      </c>
      <c r="D49" s="8" t="n">
        <f aca="false">SUMIF('מקור-01'!$A:$A,$A49,'מקור-01'!$D:$D)+SUMIF('מקור-02'!$A:$A,$A49,'מקור-02'!$D:$D)+SUMIF('מקור-03'!$A:$A,$A49,'מקור-03'!$D:$D)+SUMIF('מקור-04'!$A:$A,$A49,'מקור-04'!$D:$D)+SUMIF('מקור-05'!$A:$A,$A49,'מקור-05'!$D:$D)+SUMIF('מקור-06'!$A:$A,$A49,'מקור-06'!$D:$D)+SUMIF('מקור-07'!$A:$A,$A49,'מקור-07'!$D:$D)</f>
        <v>53</v>
      </c>
      <c r="E49" s="9" t="n">
        <f aca="false">D49-C49</f>
        <v>10</v>
      </c>
      <c r="F49" s="10" t="n">
        <f aca="false">IF(C49=0,"מוצר חדש",(D49-C49)/C49)</f>
        <v>0.232558139534884</v>
      </c>
    </row>
    <row r="50" customFormat="false" ht="15" hidden="false" customHeight="true" outlineLevel="0" collapsed="false">
      <c r="A50" s="7" t="n">
        <v>43277</v>
      </c>
      <c r="B50" s="7" t="s">
        <v>53</v>
      </c>
      <c r="C50" s="8" t="n">
        <f aca="false">SUMIF('מקור-01'!$A:$A,$A50,'מקור-01'!$C:$C)+SUMIF('מקור-02'!$A:$A,$A50,'מקור-02'!$C:$C)+SUMIF('מקור-03'!$A:$A,$A50,'מקור-03'!$C:$C)+SUMIF('מקור-04'!$A:$A,$A50,'מקור-04'!$C:$C)+SUMIF('מקור-05'!$A:$A,$A50,'מקור-05'!$C:$C)+SUMIF('מקור-06'!$A:$A,$A50,'מקור-06'!$C:$C)+SUMIF('מקור-07'!$A:$A,$A50,'מקור-07'!$C:$C)</f>
        <v>0</v>
      </c>
      <c r="D50" s="8" t="n">
        <f aca="false">SUMIF('מקור-01'!$A:$A,$A50,'מקור-01'!$D:$D)+SUMIF('מקור-02'!$A:$A,$A50,'מקור-02'!$D:$D)+SUMIF('מקור-03'!$A:$A,$A50,'מקור-03'!$D:$D)+SUMIF('מקור-04'!$A:$A,$A50,'מקור-04'!$D:$D)+SUMIF('מקור-05'!$A:$A,$A50,'מקור-05'!$D:$D)+SUMIF('מקור-06'!$A:$A,$A50,'מקור-06'!$D:$D)+SUMIF('מקור-07'!$A:$A,$A50,'מקור-07'!$D:$D)</f>
        <v>50</v>
      </c>
      <c r="E50" s="9" t="n">
        <f aca="false">D50-C50</f>
        <v>50</v>
      </c>
      <c r="F50" s="10" t="str">
        <f aca="false">IF(C50=0,"מוצר חדש",(D50-C50)/C50)</f>
        <v>מוצר חדש</v>
      </c>
    </row>
    <row r="51" customFormat="false" ht="15" hidden="false" customHeight="true" outlineLevel="0" collapsed="false">
      <c r="A51" s="7" t="n">
        <v>43283</v>
      </c>
      <c r="B51" s="7" t="s">
        <v>54</v>
      </c>
      <c r="C51" s="8" t="n">
        <f aca="false">SUMIF('מקור-01'!$A:$A,$A51,'מקור-01'!$C:$C)+SUMIF('מקור-02'!$A:$A,$A51,'מקור-02'!$C:$C)+SUMIF('מקור-03'!$A:$A,$A51,'מקור-03'!$C:$C)+SUMIF('מקור-04'!$A:$A,$A51,'מקור-04'!$C:$C)+SUMIF('מקור-05'!$A:$A,$A51,'מקור-05'!$C:$C)+SUMIF('מקור-06'!$A:$A,$A51,'מקור-06'!$C:$C)+SUMIF('מקור-07'!$A:$A,$A51,'מקור-07'!$C:$C)</f>
        <v>0</v>
      </c>
      <c r="D51" s="8" t="n">
        <f aca="false">SUMIF('מקור-01'!$A:$A,$A51,'מקור-01'!$D:$D)+SUMIF('מקור-02'!$A:$A,$A51,'מקור-02'!$D:$D)+SUMIF('מקור-03'!$A:$A,$A51,'מקור-03'!$D:$D)+SUMIF('מקור-04'!$A:$A,$A51,'מקור-04'!$D:$D)+SUMIF('מקור-05'!$A:$A,$A51,'מקור-05'!$D:$D)+SUMIF('מקור-06'!$A:$A,$A51,'מקור-06'!$D:$D)+SUMIF('מקור-07'!$A:$A,$A51,'מקור-07'!$D:$D)</f>
        <v>40</v>
      </c>
      <c r="E51" s="9" t="n">
        <f aca="false">D51-C51</f>
        <v>40</v>
      </c>
      <c r="F51" s="10" t="str">
        <f aca="false">IF(C51=0,"מוצר חדש",(D51-C51)/C51)</f>
        <v>מוצר חדש</v>
      </c>
    </row>
    <row r="52" customFormat="false" ht="15" hidden="false" customHeight="true" outlineLevel="0" collapsed="false">
      <c r="A52" s="7" t="n">
        <v>44007</v>
      </c>
      <c r="B52" s="7" t="s">
        <v>55</v>
      </c>
      <c r="C52" s="8" t="n">
        <f aca="false">SUMIF('מקור-01'!$A:$A,$A52,'מקור-01'!$C:$C)+SUMIF('מקור-02'!$A:$A,$A52,'מקור-02'!$C:$C)+SUMIF('מקור-03'!$A:$A,$A52,'מקור-03'!$C:$C)+SUMIF('מקור-04'!$A:$A,$A52,'מקור-04'!$C:$C)+SUMIF('מקור-05'!$A:$A,$A52,'מקור-05'!$C:$C)+SUMIF('מקור-06'!$A:$A,$A52,'מקור-06'!$C:$C)+SUMIF('מקור-07'!$A:$A,$A52,'מקור-07'!$C:$C)</f>
        <v>4</v>
      </c>
      <c r="D52" s="8" t="n">
        <f aca="false">SUMIF('מקור-01'!$A:$A,$A52,'מקור-01'!$D:$D)+SUMIF('מקור-02'!$A:$A,$A52,'מקור-02'!$D:$D)+SUMIF('מקור-03'!$A:$A,$A52,'מקור-03'!$D:$D)+SUMIF('מקור-04'!$A:$A,$A52,'מקור-04'!$D:$D)+SUMIF('מקור-05'!$A:$A,$A52,'מקור-05'!$D:$D)+SUMIF('מקור-06'!$A:$A,$A52,'מקור-06'!$D:$D)+SUMIF('מקור-07'!$A:$A,$A52,'מקור-07'!$D:$D)</f>
        <v>1</v>
      </c>
      <c r="E52" s="9" t="n">
        <f aca="false">D52-C52</f>
        <v>-3</v>
      </c>
      <c r="F52" s="10" t="n">
        <f aca="false">IF(C52=0,"מוצר חדש",(D52-C52)/C52)</f>
        <v>-0.75</v>
      </c>
    </row>
    <row r="53" customFormat="false" ht="15" hidden="false" customHeight="true" outlineLevel="0" collapsed="false">
      <c r="A53" s="7" t="n">
        <v>45264</v>
      </c>
      <c r="B53" s="7" t="s">
        <v>56</v>
      </c>
      <c r="C53" s="8" t="n">
        <f aca="false">SUMIF('מקור-01'!$A:$A,$A53,'מקור-01'!$C:$C)+SUMIF('מקור-02'!$A:$A,$A53,'מקור-02'!$C:$C)+SUMIF('מקור-03'!$A:$A,$A53,'מקור-03'!$C:$C)+SUMIF('מקור-04'!$A:$A,$A53,'מקור-04'!$C:$C)+SUMIF('מקור-05'!$A:$A,$A53,'מקור-05'!$C:$C)+SUMIF('מקור-06'!$A:$A,$A53,'מקור-06'!$C:$C)+SUMIF('מקור-07'!$A:$A,$A53,'מקור-07'!$C:$C)</f>
        <v>20</v>
      </c>
      <c r="D53" s="8" t="n">
        <f aca="false">SUMIF('מקור-01'!$A:$A,$A53,'מקור-01'!$D:$D)+SUMIF('מקור-02'!$A:$A,$A53,'מקור-02'!$D:$D)+SUMIF('מקור-03'!$A:$A,$A53,'מקור-03'!$D:$D)+SUMIF('מקור-04'!$A:$A,$A53,'מקור-04'!$D:$D)+SUMIF('מקור-05'!$A:$A,$A53,'מקור-05'!$D:$D)+SUMIF('מקור-06'!$A:$A,$A53,'מקור-06'!$D:$D)+SUMIF('מקור-07'!$A:$A,$A53,'מקור-07'!$D:$D)</f>
        <v>21</v>
      </c>
      <c r="E53" s="9" t="n">
        <f aca="false">D53-C53</f>
        <v>1</v>
      </c>
      <c r="F53" s="10" t="n">
        <f aca="false">IF(C53=0,"מוצר חדש",(D53-C53)/C53)</f>
        <v>0.05</v>
      </c>
    </row>
    <row r="54" customFormat="false" ht="15" hidden="false" customHeight="true" outlineLevel="0" collapsed="false">
      <c r="A54" s="7" t="n">
        <v>46306</v>
      </c>
      <c r="B54" s="7" t="s">
        <v>57</v>
      </c>
      <c r="C54" s="8" t="n">
        <f aca="false">SUMIF('מקור-01'!$A:$A,$A54,'מקור-01'!$C:$C)+SUMIF('מקור-02'!$A:$A,$A54,'מקור-02'!$C:$C)+SUMIF('מקור-03'!$A:$A,$A54,'מקור-03'!$C:$C)+SUMIF('מקור-04'!$A:$A,$A54,'מקור-04'!$C:$C)+SUMIF('מקור-05'!$A:$A,$A54,'מקור-05'!$C:$C)+SUMIF('מקור-06'!$A:$A,$A54,'מקור-06'!$C:$C)+SUMIF('מקור-07'!$A:$A,$A54,'מקור-07'!$C:$C)</f>
        <v>3</v>
      </c>
      <c r="D54" s="8" t="n">
        <f aca="false">SUMIF('מקור-01'!$A:$A,$A54,'מקור-01'!$D:$D)+SUMIF('מקור-02'!$A:$A,$A54,'מקור-02'!$D:$D)+SUMIF('מקור-03'!$A:$A,$A54,'מקור-03'!$D:$D)+SUMIF('מקור-04'!$A:$A,$A54,'מקור-04'!$D:$D)+SUMIF('מקור-05'!$A:$A,$A54,'מקור-05'!$D:$D)+SUMIF('מקור-06'!$A:$A,$A54,'מקור-06'!$D:$D)+SUMIF('מקור-07'!$A:$A,$A54,'מקור-07'!$D:$D)</f>
        <v>7</v>
      </c>
      <c r="E54" s="9" t="n">
        <f aca="false">D54-C54</f>
        <v>4</v>
      </c>
      <c r="F54" s="10" t="n">
        <f aca="false">IF(C54=0,"מוצר חדש",(D54-C54)/C54)</f>
        <v>1.33333333333333</v>
      </c>
    </row>
    <row r="55" customFormat="false" ht="15" hidden="false" customHeight="true" outlineLevel="0" collapsed="false">
      <c r="A55" s="7" t="n">
        <v>46309</v>
      </c>
      <c r="B55" s="7" t="s">
        <v>58</v>
      </c>
      <c r="C55" s="8" t="n">
        <f aca="false">SUMIF('מקור-01'!$A:$A,$A55,'מקור-01'!$C:$C)+SUMIF('מקור-02'!$A:$A,$A55,'מקור-02'!$C:$C)+SUMIF('מקור-03'!$A:$A,$A55,'מקור-03'!$C:$C)+SUMIF('מקור-04'!$A:$A,$A55,'מקור-04'!$C:$C)+SUMIF('מקור-05'!$A:$A,$A55,'מקור-05'!$C:$C)+SUMIF('מקור-06'!$A:$A,$A55,'מקור-06'!$C:$C)+SUMIF('מקור-07'!$A:$A,$A55,'מקור-07'!$C:$C)</f>
        <v>1</v>
      </c>
      <c r="D55" s="8" t="n">
        <f aca="false">SUMIF('מקור-01'!$A:$A,$A55,'מקור-01'!$D:$D)+SUMIF('מקור-02'!$A:$A,$A55,'מקור-02'!$D:$D)+SUMIF('מקור-03'!$A:$A,$A55,'מקור-03'!$D:$D)+SUMIF('מקור-04'!$A:$A,$A55,'מקור-04'!$D:$D)+SUMIF('מקור-05'!$A:$A,$A55,'מקור-05'!$D:$D)+SUMIF('מקור-06'!$A:$A,$A55,'מקור-06'!$D:$D)+SUMIF('מקור-07'!$A:$A,$A55,'מקור-07'!$D:$D)</f>
        <v>6</v>
      </c>
      <c r="E55" s="9" t="n">
        <f aca="false">D55-C55</f>
        <v>5</v>
      </c>
      <c r="F55" s="10" t="n">
        <f aca="false">IF(C55=0,"מוצר חדש",(D55-C55)/C55)</f>
        <v>5</v>
      </c>
    </row>
    <row r="56" customFormat="false" ht="15" hidden="false" customHeight="true" outlineLevel="0" collapsed="false">
      <c r="A56" s="7" t="n">
        <v>46310</v>
      </c>
      <c r="B56" s="7" t="s">
        <v>59</v>
      </c>
      <c r="C56" s="8" t="n">
        <f aca="false">SUMIF('מקור-01'!$A:$A,$A56,'מקור-01'!$C:$C)+SUMIF('מקור-02'!$A:$A,$A56,'מקור-02'!$C:$C)+SUMIF('מקור-03'!$A:$A,$A56,'מקור-03'!$C:$C)+SUMIF('מקור-04'!$A:$A,$A56,'מקור-04'!$C:$C)+SUMIF('מקור-05'!$A:$A,$A56,'מקור-05'!$C:$C)+SUMIF('מקור-06'!$A:$A,$A56,'מקור-06'!$C:$C)+SUMIF('מקור-07'!$A:$A,$A56,'מקור-07'!$C:$C)</f>
        <v>0</v>
      </c>
      <c r="D56" s="8" t="n">
        <f aca="false">SUMIF('מקור-01'!$A:$A,$A56,'מקור-01'!$D:$D)+SUMIF('מקור-02'!$A:$A,$A56,'מקור-02'!$D:$D)+SUMIF('מקור-03'!$A:$A,$A56,'מקור-03'!$D:$D)+SUMIF('מקור-04'!$A:$A,$A56,'מקור-04'!$D:$D)+SUMIF('מקור-05'!$A:$A,$A56,'מקור-05'!$D:$D)+SUMIF('מקור-06'!$A:$A,$A56,'מקור-06'!$D:$D)+SUMIF('מקור-07'!$A:$A,$A56,'מקור-07'!$D:$D)</f>
        <v>0</v>
      </c>
      <c r="E56" s="9" t="n">
        <f aca="false">D56-C56</f>
        <v>0</v>
      </c>
      <c r="F56" s="10" t="str">
        <f aca="false">IF(C56=0,"מוצר חדש",(D56-C56)/C56)</f>
        <v>מוצר חדש</v>
      </c>
    </row>
    <row r="57" customFormat="false" ht="15" hidden="false" customHeight="true" outlineLevel="0" collapsed="false">
      <c r="A57" s="7" t="n">
        <v>47877</v>
      </c>
      <c r="B57" s="7" t="s">
        <v>60</v>
      </c>
      <c r="C57" s="8" t="n">
        <f aca="false">SUMIF('מקור-01'!$A:$A,$A57,'מקור-01'!$C:$C)+SUMIF('מקור-02'!$A:$A,$A57,'מקור-02'!$C:$C)+SUMIF('מקור-03'!$A:$A,$A57,'מקור-03'!$C:$C)+SUMIF('מקור-04'!$A:$A,$A57,'מקור-04'!$C:$C)+SUMIF('מקור-05'!$A:$A,$A57,'מקור-05'!$C:$C)+SUMIF('מקור-06'!$A:$A,$A57,'מקור-06'!$C:$C)+SUMIF('מקור-07'!$A:$A,$A57,'מקור-07'!$C:$C)</f>
        <v>98</v>
      </c>
      <c r="D57" s="8" t="n">
        <f aca="false">SUMIF('מקור-01'!$A:$A,$A57,'מקור-01'!$D:$D)+SUMIF('מקור-02'!$A:$A,$A57,'מקור-02'!$D:$D)+SUMIF('מקור-03'!$A:$A,$A57,'מקור-03'!$D:$D)+SUMIF('מקור-04'!$A:$A,$A57,'מקור-04'!$D:$D)+SUMIF('מקור-05'!$A:$A,$A57,'מקור-05'!$D:$D)+SUMIF('מקור-06'!$A:$A,$A57,'מקור-06'!$D:$D)+SUMIF('מקור-07'!$A:$A,$A57,'מקור-07'!$D:$D)</f>
        <v>71</v>
      </c>
      <c r="E57" s="9" t="n">
        <f aca="false">D57-C57</f>
        <v>-27</v>
      </c>
      <c r="F57" s="10" t="n">
        <f aca="false">IF(C57=0,"מוצר חדש",(D57-C57)/C57)</f>
        <v>-0.275510204081633</v>
      </c>
    </row>
    <row r="58" customFormat="false" ht="15" hidden="false" customHeight="true" outlineLevel="0" collapsed="false">
      <c r="A58" s="7" t="n">
        <v>49718</v>
      </c>
      <c r="B58" s="7" t="s">
        <v>61</v>
      </c>
      <c r="C58" s="8" t="n">
        <f aca="false">SUMIF('מקור-01'!$A:$A,$A58,'מקור-01'!$C:$C)+SUMIF('מקור-02'!$A:$A,$A58,'מקור-02'!$C:$C)+SUMIF('מקור-03'!$A:$A,$A58,'מקור-03'!$C:$C)+SUMIF('מקור-04'!$A:$A,$A58,'מקור-04'!$C:$C)+SUMIF('מקור-05'!$A:$A,$A58,'מקור-05'!$C:$C)+SUMIF('מקור-06'!$A:$A,$A58,'מקור-06'!$C:$C)+SUMIF('מקור-07'!$A:$A,$A58,'מקור-07'!$C:$C)</f>
        <v>1</v>
      </c>
      <c r="D58" s="8" t="n">
        <f aca="false">SUMIF('מקור-01'!$A:$A,$A58,'מקור-01'!$D:$D)+SUMIF('מקור-02'!$A:$A,$A58,'מקור-02'!$D:$D)+SUMIF('מקור-03'!$A:$A,$A58,'מקור-03'!$D:$D)+SUMIF('מקור-04'!$A:$A,$A58,'מקור-04'!$D:$D)+SUMIF('מקור-05'!$A:$A,$A58,'מקור-05'!$D:$D)+SUMIF('מקור-06'!$A:$A,$A58,'מקור-06'!$D:$D)+SUMIF('מקור-07'!$A:$A,$A58,'מקור-07'!$D:$D)</f>
        <v>0</v>
      </c>
      <c r="E58" s="9" t="n">
        <f aca="false">D58-C58</f>
        <v>-1</v>
      </c>
      <c r="F58" s="10" t="n">
        <f aca="false">IF(C58=0,"מוצר חדש",(D58-C58)/C58)</f>
        <v>-1</v>
      </c>
    </row>
    <row r="59" customFormat="false" ht="15" hidden="false" customHeight="true" outlineLevel="0" collapsed="false">
      <c r="A59" s="7" t="n">
        <v>49770</v>
      </c>
      <c r="B59" s="7" t="s">
        <v>62</v>
      </c>
      <c r="C59" s="8" t="n">
        <f aca="false">SUMIF('מקור-01'!$A:$A,$A59,'מקור-01'!$C:$C)+SUMIF('מקור-02'!$A:$A,$A59,'מקור-02'!$C:$C)+SUMIF('מקור-03'!$A:$A,$A59,'מקור-03'!$C:$C)+SUMIF('מקור-04'!$A:$A,$A59,'מקור-04'!$C:$C)+SUMIF('מקור-05'!$A:$A,$A59,'מקור-05'!$C:$C)+SUMIF('מקור-06'!$A:$A,$A59,'מקור-06'!$C:$C)+SUMIF('מקור-07'!$A:$A,$A59,'מקור-07'!$C:$C)</f>
        <v>0</v>
      </c>
      <c r="D59" s="8" t="n">
        <f aca="false">SUMIF('מקור-01'!$A:$A,$A59,'מקור-01'!$D:$D)+SUMIF('מקור-02'!$A:$A,$A59,'מקור-02'!$D:$D)+SUMIF('מקור-03'!$A:$A,$A59,'מקור-03'!$D:$D)+SUMIF('מקור-04'!$A:$A,$A59,'מקור-04'!$D:$D)+SUMIF('מקור-05'!$A:$A,$A59,'מקור-05'!$D:$D)+SUMIF('מקור-06'!$A:$A,$A59,'מקור-06'!$D:$D)+SUMIF('מקור-07'!$A:$A,$A59,'מקור-07'!$D:$D)</f>
        <v>1</v>
      </c>
      <c r="E59" s="9" t="n">
        <f aca="false">D59-C59</f>
        <v>1</v>
      </c>
      <c r="F59" s="10" t="str">
        <f aca="false">IF(C59=0,"מוצר חדש",(D59-C59)/C59)</f>
        <v>מוצר חדש</v>
      </c>
    </row>
    <row r="60" customFormat="false" ht="15" hidden="false" customHeight="true" outlineLevel="0" collapsed="false">
      <c r="A60" s="7" t="n">
        <v>49772</v>
      </c>
      <c r="B60" s="7" t="s">
        <v>63</v>
      </c>
      <c r="C60" s="8" t="n">
        <f aca="false">SUMIF('מקור-01'!$A:$A,$A60,'מקור-01'!$C:$C)+SUMIF('מקור-02'!$A:$A,$A60,'מקור-02'!$C:$C)+SUMIF('מקור-03'!$A:$A,$A60,'מקור-03'!$C:$C)+SUMIF('מקור-04'!$A:$A,$A60,'מקור-04'!$C:$C)+SUMIF('מקור-05'!$A:$A,$A60,'מקור-05'!$C:$C)+SUMIF('מקור-06'!$A:$A,$A60,'מקור-06'!$C:$C)+SUMIF('מקור-07'!$A:$A,$A60,'מקור-07'!$C:$C)</f>
        <v>48</v>
      </c>
      <c r="D60" s="8" t="n">
        <f aca="false">SUMIF('מקור-01'!$A:$A,$A60,'מקור-01'!$D:$D)+SUMIF('מקור-02'!$A:$A,$A60,'מקור-02'!$D:$D)+SUMIF('מקור-03'!$A:$A,$A60,'מקור-03'!$D:$D)+SUMIF('מקור-04'!$A:$A,$A60,'מקור-04'!$D:$D)+SUMIF('מקור-05'!$A:$A,$A60,'מקור-05'!$D:$D)+SUMIF('מקור-06'!$A:$A,$A60,'מקור-06'!$D:$D)+SUMIF('מקור-07'!$A:$A,$A60,'מקור-07'!$D:$D)</f>
        <v>31</v>
      </c>
      <c r="E60" s="9" t="n">
        <f aca="false">D60-C60</f>
        <v>-17</v>
      </c>
      <c r="F60" s="10" t="n">
        <f aca="false">IF(C60=0,"מוצר חדש",(D60-C60)/C60)</f>
        <v>-0.354166666666667</v>
      </c>
    </row>
    <row r="61" customFormat="false" ht="15" hidden="false" customHeight="true" outlineLevel="0" collapsed="false">
      <c r="A61" s="7" t="n">
        <v>50022</v>
      </c>
      <c r="B61" s="7" t="s">
        <v>64</v>
      </c>
      <c r="C61" s="8" t="n">
        <f aca="false">SUMIF('מקור-01'!$A:$A,$A61,'מקור-01'!$C:$C)+SUMIF('מקור-02'!$A:$A,$A61,'מקור-02'!$C:$C)+SUMIF('מקור-03'!$A:$A,$A61,'מקור-03'!$C:$C)+SUMIF('מקור-04'!$A:$A,$A61,'מקור-04'!$C:$C)+SUMIF('מקור-05'!$A:$A,$A61,'מקור-05'!$C:$C)+SUMIF('מקור-06'!$A:$A,$A61,'מקור-06'!$C:$C)+SUMIF('מקור-07'!$A:$A,$A61,'מקור-07'!$C:$C)</f>
        <v>5</v>
      </c>
      <c r="D61" s="8" t="n">
        <f aca="false">SUMIF('מקור-01'!$A:$A,$A61,'מקור-01'!$D:$D)+SUMIF('מקור-02'!$A:$A,$A61,'מקור-02'!$D:$D)+SUMIF('מקור-03'!$A:$A,$A61,'מקור-03'!$D:$D)+SUMIF('מקור-04'!$A:$A,$A61,'מקור-04'!$D:$D)+SUMIF('מקור-05'!$A:$A,$A61,'מקור-05'!$D:$D)+SUMIF('מקור-06'!$A:$A,$A61,'מקור-06'!$D:$D)+SUMIF('מקור-07'!$A:$A,$A61,'מקור-07'!$D:$D)</f>
        <v>4</v>
      </c>
      <c r="E61" s="9" t="n">
        <f aca="false">D61-C61</f>
        <v>-1</v>
      </c>
      <c r="F61" s="10" t="n">
        <f aca="false">IF(C61=0,"מוצר חדש",(D61-C61)/C61)</f>
        <v>-0.2</v>
      </c>
    </row>
    <row r="62" customFormat="false" ht="15" hidden="false" customHeight="true" outlineLevel="0" collapsed="false">
      <c r="A62" s="7" t="n">
        <v>50055</v>
      </c>
      <c r="B62" s="7" t="s">
        <v>65</v>
      </c>
      <c r="C62" s="8" t="n">
        <f aca="false">SUMIF('מקור-01'!$A:$A,$A62,'מקור-01'!$C:$C)+SUMIF('מקור-02'!$A:$A,$A62,'מקור-02'!$C:$C)+SUMIF('מקור-03'!$A:$A,$A62,'מקור-03'!$C:$C)+SUMIF('מקור-04'!$A:$A,$A62,'מקור-04'!$C:$C)+SUMIF('מקור-05'!$A:$A,$A62,'מקור-05'!$C:$C)+SUMIF('מקור-06'!$A:$A,$A62,'מקור-06'!$C:$C)+SUMIF('מקור-07'!$A:$A,$A62,'מקור-07'!$C:$C)</f>
        <v>4</v>
      </c>
      <c r="D62" s="8" t="n">
        <f aca="false">SUMIF('מקור-01'!$A:$A,$A62,'מקור-01'!$D:$D)+SUMIF('מקור-02'!$A:$A,$A62,'מקור-02'!$D:$D)+SUMIF('מקור-03'!$A:$A,$A62,'מקור-03'!$D:$D)+SUMIF('מקור-04'!$A:$A,$A62,'מקור-04'!$D:$D)+SUMIF('מקור-05'!$A:$A,$A62,'מקור-05'!$D:$D)+SUMIF('מקור-06'!$A:$A,$A62,'מקור-06'!$D:$D)+SUMIF('מקור-07'!$A:$A,$A62,'מקור-07'!$D:$D)</f>
        <v>3</v>
      </c>
      <c r="E62" s="9" t="n">
        <f aca="false">D62-C62</f>
        <v>-1</v>
      </c>
      <c r="F62" s="10" t="n">
        <f aca="false">IF(C62=0,"מוצר חדש",(D62-C62)/C62)</f>
        <v>-0.25</v>
      </c>
    </row>
    <row r="63" customFormat="false" ht="15" hidden="false" customHeight="true" outlineLevel="0" collapsed="false">
      <c r="A63" s="7" t="n">
        <v>50057</v>
      </c>
      <c r="B63" s="7" t="s">
        <v>66</v>
      </c>
      <c r="C63" s="8" t="n">
        <f aca="false">SUMIF('מקור-01'!$A:$A,$A63,'מקור-01'!$C:$C)+SUMIF('מקור-02'!$A:$A,$A63,'מקור-02'!$C:$C)+SUMIF('מקור-03'!$A:$A,$A63,'מקור-03'!$C:$C)+SUMIF('מקור-04'!$A:$A,$A63,'מקור-04'!$C:$C)+SUMIF('מקור-05'!$A:$A,$A63,'מקור-05'!$C:$C)+SUMIF('מקור-06'!$A:$A,$A63,'מקור-06'!$C:$C)+SUMIF('מקור-07'!$A:$A,$A63,'מקור-07'!$C:$C)</f>
        <v>9</v>
      </c>
      <c r="D63" s="8" t="n">
        <f aca="false">SUMIF('מקור-01'!$A:$A,$A63,'מקור-01'!$D:$D)+SUMIF('מקור-02'!$A:$A,$A63,'מקור-02'!$D:$D)+SUMIF('מקור-03'!$A:$A,$A63,'מקור-03'!$D:$D)+SUMIF('מקור-04'!$A:$A,$A63,'מקור-04'!$D:$D)+SUMIF('מקור-05'!$A:$A,$A63,'מקור-05'!$D:$D)+SUMIF('מקור-06'!$A:$A,$A63,'מקור-06'!$D:$D)+SUMIF('מקור-07'!$A:$A,$A63,'מקור-07'!$D:$D)</f>
        <v>3</v>
      </c>
      <c r="E63" s="9" t="n">
        <f aca="false">D63-C63</f>
        <v>-6</v>
      </c>
      <c r="F63" s="10" t="n">
        <f aca="false">IF(C63=0,"מוצר חדש",(D63-C63)/C63)</f>
        <v>-0.666666666666667</v>
      </c>
    </row>
    <row r="64" customFormat="false" ht="15" hidden="false" customHeight="true" outlineLevel="0" collapsed="false">
      <c r="A64" s="7" t="n">
        <v>50061</v>
      </c>
      <c r="B64" s="7" t="s">
        <v>67</v>
      </c>
      <c r="C64" s="8" t="n">
        <f aca="false">SUMIF('מקור-01'!$A:$A,$A64,'מקור-01'!$C:$C)+SUMIF('מקור-02'!$A:$A,$A64,'מקור-02'!$C:$C)+SUMIF('מקור-03'!$A:$A,$A64,'מקור-03'!$C:$C)+SUMIF('מקור-04'!$A:$A,$A64,'מקור-04'!$C:$C)+SUMIF('מקור-05'!$A:$A,$A64,'מקור-05'!$C:$C)+SUMIF('מקור-06'!$A:$A,$A64,'מקור-06'!$C:$C)+SUMIF('מקור-07'!$A:$A,$A64,'מקור-07'!$C:$C)</f>
        <v>3</v>
      </c>
      <c r="D64" s="8" t="n">
        <f aca="false">SUMIF('מקור-01'!$A:$A,$A64,'מקור-01'!$D:$D)+SUMIF('מקור-02'!$A:$A,$A64,'מקור-02'!$D:$D)+SUMIF('מקור-03'!$A:$A,$A64,'מקור-03'!$D:$D)+SUMIF('מקור-04'!$A:$A,$A64,'מקור-04'!$D:$D)+SUMIF('מקור-05'!$A:$A,$A64,'מקור-05'!$D:$D)+SUMIF('מקור-06'!$A:$A,$A64,'מקור-06'!$D:$D)+SUMIF('מקור-07'!$A:$A,$A64,'מקור-07'!$D:$D)</f>
        <v>1</v>
      </c>
      <c r="E64" s="9" t="n">
        <f aca="false">D64-C64</f>
        <v>-2</v>
      </c>
      <c r="F64" s="10" t="n">
        <f aca="false">IF(C64=0,"מוצר חדש",(D64-C64)/C64)</f>
        <v>-0.666666666666667</v>
      </c>
    </row>
    <row r="65" customFormat="false" ht="15" hidden="false" customHeight="true" outlineLevel="0" collapsed="false">
      <c r="A65" s="7" t="n">
        <v>51567</v>
      </c>
      <c r="B65" s="7" t="s">
        <v>68</v>
      </c>
      <c r="C65" s="8" t="n">
        <f aca="false">SUMIF('מקור-01'!$A:$A,$A65,'מקור-01'!$C:$C)+SUMIF('מקור-02'!$A:$A,$A65,'מקור-02'!$C:$C)+SUMIF('מקור-03'!$A:$A,$A65,'מקור-03'!$C:$C)+SUMIF('מקור-04'!$A:$A,$A65,'מקור-04'!$C:$C)+SUMIF('מקור-05'!$A:$A,$A65,'מקור-05'!$C:$C)+SUMIF('מקור-06'!$A:$A,$A65,'מקור-06'!$C:$C)+SUMIF('מקור-07'!$A:$A,$A65,'מקור-07'!$C:$C)</f>
        <v>972</v>
      </c>
      <c r="D65" s="8" t="n">
        <f aca="false">SUMIF('מקור-01'!$A:$A,$A65,'מקור-01'!$D:$D)+SUMIF('מקור-02'!$A:$A,$A65,'מקור-02'!$D:$D)+SUMIF('מקור-03'!$A:$A,$A65,'מקור-03'!$D:$D)+SUMIF('מקור-04'!$A:$A,$A65,'מקור-04'!$D:$D)+SUMIF('מקור-05'!$A:$A,$A65,'מקור-05'!$D:$D)+SUMIF('מקור-06'!$A:$A,$A65,'מקור-06'!$D:$D)+SUMIF('מקור-07'!$A:$A,$A65,'מקור-07'!$D:$D)</f>
        <v>953</v>
      </c>
      <c r="E65" s="9" t="n">
        <f aca="false">D65-C65</f>
        <v>-19</v>
      </c>
      <c r="F65" s="10" t="n">
        <f aca="false">IF(C65=0,"מוצר חדש",(D65-C65)/C65)</f>
        <v>-0.0195473251028807</v>
      </c>
    </row>
    <row r="66" customFormat="false" ht="15" hidden="false" customHeight="true" outlineLevel="0" collapsed="false">
      <c r="A66" s="7" t="n">
        <v>51568</v>
      </c>
      <c r="B66" s="7" t="s">
        <v>69</v>
      </c>
      <c r="C66" s="8" t="n">
        <f aca="false">SUMIF('מקור-01'!$A:$A,$A66,'מקור-01'!$C:$C)+SUMIF('מקור-02'!$A:$A,$A66,'מקור-02'!$C:$C)+SUMIF('מקור-03'!$A:$A,$A66,'מקור-03'!$C:$C)+SUMIF('מקור-04'!$A:$A,$A66,'מקור-04'!$C:$C)+SUMIF('מקור-05'!$A:$A,$A66,'מקור-05'!$C:$C)+SUMIF('מקור-06'!$A:$A,$A66,'מקור-06'!$C:$C)+SUMIF('מקור-07'!$A:$A,$A66,'מקור-07'!$C:$C)</f>
        <v>316</v>
      </c>
      <c r="D66" s="8" t="n">
        <f aca="false">SUMIF('מקור-01'!$A:$A,$A66,'מקור-01'!$D:$D)+SUMIF('מקור-02'!$A:$A,$A66,'מקור-02'!$D:$D)+SUMIF('מקור-03'!$A:$A,$A66,'מקור-03'!$D:$D)+SUMIF('מקור-04'!$A:$A,$A66,'מקור-04'!$D:$D)+SUMIF('מקור-05'!$A:$A,$A66,'מקור-05'!$D:$D)+SUMIF('מקור-06'!$A:$A,$A66,'מקור-06'!$D:$D)+SUMIF('מקור-07'!$A:$A,$A66,'מקור-07'!$D:$D)</f>
        <v>415</v>
      </c>
      <c r="E66" s="9" t="n">
        <f aca="false">D66-C66</f>
        <v>99</v>
      </c>
      <c r="F66" s="10" t="n">
        <f aca="false">IF(C66=0,"מוצר חדש",(D66-C66)/C66)</f>
        <v>0.313291139240506</v>
      </c>
    </row>
    <row r="67" customFormat="false" ht="15" hidden="false" customHeight="true" outlineLevel="0" collapsed="false">
      <c r="A67" s="7" t="n">
        <v>52147</v>
      </c>
      <c r="B67" s="7" t="s">
        <v>70</v>
      </c>
      <c r="C67" s="8" t="n">
        <f aca="false">SUMIF('מקור-01'!$A:$A,$A67,'מקור-01'!$C:$C)+SUMIF('מקור-02'!$A:$A,$A67,'מקור-02'!$C:$C)+SUMIF('מקור-03'!$A:$A,$A67,'מקור-03'!$C:$C)+SUMIF('מקור-04'!$A:$A,$A67,'מקור-04'!$C:$C)+SUMIF('מקור-05'!$A:$A,$A67,'מקור-05'!$C:$C)+SUMIF('מקור-06'!$A:$A,$A67,'מקור-06'!$C:$C)+SUMIF('מקור-07'!$A:$A,$A67,'מקור-07'!$C:$C)</f>
        <v>70</v>
      </c>
      <c r="D67" s="8" t="n">
        <f aca="false">SUMIF('מקור-01'!$A:$A,$A67,'מקור-01'!$D:$D)+SUMIF('מקור-02'!$A:$A,$A67,'מקור-02'!$D:$D)+SUMIF('מקור-03'!$A:$A,$A67,'מקור-03'!$D:$D)+SUMIF('מקור-04'!$A:$A,$A67,'מקור-04'!$D:$D)+SUMIF('מקור-05'!$A:$A,$A67,'מקור-05'!$D:$D)+SUMIF('מקור-06'!$A:$A,$A67,'מקור-06'!$D:$D)+SUMIF('מקור-07'!$A:$A,$A67,'מקור-07'!$D:$D)</f>
        <v>134</v>
      </c>
      <c r="E67" s="9" t="n">
        <f aca="false">D67-C67</f>
        <v>64</v>
      </c>
      <c r="F67" s="10" t="n">
        <f aca="false">IF(C67=0,"מוצר חדש",(D67-C67)/C67)</f>
        <v>0.914285714285714</v>
      </c>
    </row>
    <row r="68" customFormat="false" ht="15" hidden="false" customHeight="true" outlineLevel="0" collapsed="false">
      <c r="A68" s="7" t="n">
        <v>52323</v>
      </c>
      <c r="B68" s="7" t="s">
        <v>71</v>
      </c>
      <c r="C68" s="8" t="n">
        <f aca="false">SUMIF('מקור-01'!$A:$A,$A68,'מקור-01'!$C:$C)+SUMIF('מקור-02'!$A:$A,$A68,'מקור-02'!$C:$C)+SUMIF('מקור-03'!$A:$A,$A68,'מקור-03'!$C:$C)+SUMIF('מקור-04'!$A:$A,$A68,'מקור-04'!$C:$C)+SUMIF('מקור-05'!$A:$A,$A68,'מקור-05'!$C:$C)+SUMIF('מקור-06'!$A:$A,$A68,'מקור-06'!$C:$C)+SUMIF('מקור-07'!$A:$A,$A68,'מקור-07'!$C:$C)</f>
        <v>188</v>
      </c>
      <c r="D68" s="8" t="n">
        <f aca="false">SUMIF('מקור-01'!$A:$A,$A68,'מקור-01'!$D:$D)+SUMIF('מקור-02'!$A:$A,$A68,'מקור-02'!$D:$D)+SUMIF('מקור-03'!$A:$A,$A68,'מקור-03'!$D:$D)+SUMIF('מקור-04'!$A:$A,$A68,'מקור-04'!$D:$D)+SUMIF('מקור-05'!$A:$A,$A68,'מקור-05'!$D:$D)+SUMIF('מקור-06'!$A:$A,$A68,'מקור-06'!$D:$D)+SUMIF('מקור-07'!$A:$A,$A68,'מקור-07'!$D:$D)</f>
        <v>183</v>
      </c>
      <c r="E68" s="9" t="n">
        <f aca="false">D68-C68</f>
        <v>-5</v>
      </c>
      <c r="F68" s="10" t="n">
        <f aca="false">IF(C68=0,"מוצר חדש",(D68-C68)/C68)</f>
        <v>-0.0265957446808511</v>
      </c>
    </row>
    <row r="69" customFormat="false" ht="15" hidden="false" customHeight="true" outlineLevel="0" collapsed="false">
      <c r="A69" s="7" t="n">
        <v>52324</v>
      </c>
      <c r="B69" s="7" t="s">
        <v>72</v>
      </c>
      <c r="C69" s="8" t="n">
        <f aca="false">SUMIF('מקור-01'!$A:$A,$A69,'מקור-01'!$C:$C)+SUMIF('מקור-02'!$A:$A,$A69,'מקור-02'!$C:$C)+SUMIF('מקור-03'!$A:$A,$A69,'מקור-03'!$C:$C)+SUMIF('מקור-04'!$A:$A,$A69,'מקור-04'!$C:$C)+SUMIF('מקור-05'!$A:$A,$A69,'מקור-05'!$C:$C)+SUMIF('מקור-06'!$A:$A,$A69,'מקור-06'!$C:$C)+SUMIF('מקור-07'!$A:$A,$A69,'מקור-07'!$C:$C)</f>
        <v>67</v>
      </c>
      <c r="D69" s="8" t="n">
        <f aca="false">SUMIF('מקור-01'!$A:$A,$A69,'מקור-01'!$D:$D)+SUMIF('מקור-02'!$A:$A,$A69,'מקור-02'!$D:$D)+SUMIF('מקור-03'!$A:$A,$A69,'מקור-03'!$D:$D)+SUMIF('מקור-04'!$A:$A,$A69,'מקור-04'!$D:$D)+SUMIF('מקור-05'!$A:$A,$A69,'מקור-05'!$D:$D)+SUMIF('מקור-06'!$A:$A,$A69,'מקור-06'!$D:$D)+SUMIF('מקור-07'!$A:$A,$A69,'מקור-07'!$D:$D)</f>
        <v>73</v>
      </c>
      <c r="E69" s="9" t="n">
        <f aca="false">D69-C69</f>
        <v>6</v>
      </c>
      <c r="F69" s="10" t="n">
        <f aca="false">IF(C69=0,"מוצר חדש",(D69-C69)/C69)</f>
        <v>0.0895522388059701</v>
      </c>
    </row>
    <row r="70" customFormat="false" ht="15" hidden="false" customHeight="true" outlineLevel="0" collapsed="false">
      <c r="A70" s="7" t="n">
        <v>52326</v>
      </c>
      <c r="B70" s="7" t="s">
        <v>73</v>
      </c>
      <c r="C70" s="8" t="n">
        <f aca="false">SUMIF('מקור-01'!$A:$A,$A70,'מקור-01'!$C:$C)+SUMIF('מקור-02'!$A:$A,$A70,'מקור-02'!$C:$C)+SUMIF('מקור-03'!$A:$A,$A70,'מקור-03'!$C:$C)+SUMIF('מקור-04'!$A:$A,$A70,'מקור-04'!$C:$C)+SUMIF('מקור-05'!$A:$A,$A70,'מקור-05'!$C:$C)+SUMIF('מקור-06'!$A:$A,$A70,'מקור-06'!$C:$C)+SUMIF('מקור-07'!$A:$A,$A70,'מקור-07'!$C:$C)</f>
        <v>6</v>
      </c>
      <c r="D70" s="8" t="n">
        <f aca="false">SUMIF('מקור-01'!$A:$A,$A70,'מקור-01'!$D:$D)+SUMIF('מקור-02'!$A:$A,$A70,'מקור-02'!$D:$D)+SUMIF('מקור-03'!$A:$A,$A70,'מקור-03'!$D:$D)+SUMIF('מקור-04'!$A:$A,$A70,'מקור-04'!$D:$D)+SUMIF('מקור-05'!$A:$A,$A70,'מקור-05'!$D:$D)+SUMIF('מקור-06'!$A:$A,$A70,'מקור-06'!$D:$D)+SUMIF('מקור-07'!$A:$A,$A70,'מקור-07'!$D:$D)</f>
        <v>9</v>
      </c>
      <c r="E70" s="9" t="n">
        <f aca="false">D70-C70</f>
        <v>3</v>
      </c>
      <c r="F70" s="10" t="n">
        <f aca="false">IF(C70=0,"מוצר חדש",(D70-C70)/C70)</f>
        <v>0.5</v>
      </c>
    </row>
    <row r="71" customFormat="false" ht="15" hidden="false" customHeight="true" outlineLevel="0" collapsed="false">
      <c r="A71" s="7" t="n">
        <v>52328</v>
      </c>
      <c r="B71" s="7" t="s">
        <v>74</v>
      </c>
      <c r="C71" s="8" t="n">
        <f aca="false">SUMIF('מקור-01'!$A:$A,$A71,'מקור-01'!$C:$C)+SUMIF('מקור-02'!$A:$A,$A71,'מקור-02'!$C:$C)+SUMIF('מקור-03'!$A:$A,$A71,'מקור-03'!$C:$C)+SUMIF('מקור-04'!$A:$A,$A71,'מקור-04'!$C:$C)+SUMIF('מקור-05'!$A:$A,$A71,'מקור-05'!$C:$C)+SUMIF('מקור-06'!$A:$A,$A71,'מקור-06'!$C:$C)+SUMIF('מקור-07'!$A:$A,$A71,'מקור-07'!$C:$C)</f>
        <v>130</v>
      </c>
      <c r="D71" s="8" t="n">
        <f aca="false">SUMIF('מקור-01'!$A:$A,$A71,'מקור-01'!$D:$D)+SUMIF('מקור-02'!$A:$A,$A71,'מקור-02'!$D:$D)+SUMIF('מקור-03'!$A:$A,$A71,'מקור-03'!$D:$D)+SUMIF('מקור-04'!$A:$A,$A71,'מקור-04'!$D:$D)+SUMIF('מקור-05'!$A:$A,$A71,'מקור-05'!$D:$D)+SUMIF('מקור-06'!$A:$A,$A71,'מקור-06'!$D:$D)+SUMIF('מקור-07'!$A:$A,$A71,'מקור-07'!$D:$D)</f>
        <v>109</v>
      </c>
      <c r="E71" s="9" t="n">
        <f aca="false">D71-C71</f>
        <v>-21</v>
      </c>
      <c r="F71" s="10" t="n">
        <f aca="false">IF(C71=0,"מוצר חדש",(D71-C71)/C71)</f>
        <v>-0.161538461538462</v>
      </c>
    </row>
    <row r="72" customFormat="false" ht="15" hidden="false" customHeight="true" outlineLevel="0" collapsed="false">
      <c r="A72" s="7" t="n">
        <v>53789</v>
      </c>
      <c r="B72" s="7" t="s">
        <v>75</v>
      </c>
      <c r="C72" s="8" t="n">
        <f aca="false">SUMIF('מקור-01'!$A:$A,$A72,'מקור-01'!$C:$C)+SUMIF('מקור-02'!$A:$A,$A72,'מקור-02'!$C:$C)+SUMIF('מקור-03'!$A:$A,$A72,'מקור-03'!$C:$C)+SUMIF('מקור-04'!$A:$A,$A72,'מקור-04'!$C:$C)+SUMIF('מקור-05'!$A:$A,$A72,'מקור-05'!$C:$C)+SUMIF('מקור-06'!$A:$A,$A72,'מקור-06'!$C:$C)+SUMIF('מקור-07'!$A:$A,$A72,'מקור-07'!$C:$C)</f>
        <v>20</v>
      </c>
      <c r="D72" s="8" t="n">
        <f aca="false">SUMIF('מקור-01'!$A:$A,$A72,'מקור-01'!$D:$D)+SUMIF('מקור-02'!$A:$A,$A72,'מקור-02'!$D:$D)+SUMIF('מקור-03'!$A:$A,$A72,'מקור-03'!$D:$D)+SUMIF('מקור-04'!$A:$A,$A72,'מקור-04'!$D:$D)+SUMIF('מקור-05'!$A:$A,$A72,'מקור-05'!$D:$D)+SUMIF('מקור-06'!$A:$A,$A72,'מקור-06'!$D:$D)+SUMIF('מקור-07'!$A:$A,$A72,'מקור-07'!$D:$D)</f>
        <v>24</v>
      </c>
      <c r="E72" s="9" t="n">
        <f aca="false">D72-C72</f>
        <v>4</v>
      </c>
      <c r="F72" s="10" t="n">
        <f aca="false">IF(C72=0,"מוצר חדש",(D72-C72)/C72)</f>
        <v>0.2</v>
      </c>
    </row>
    <row r="73" customFormat="false" ht="15" hidden="false" customHeight="true" outlineLevel="0" collapsed="false">
      <c r="A73" s="7" t="n">
        <v>53790</v>
      </c>
      <c r="B73" s="7" t="s">
        <v>76</v>
      </c>
      <c r="C73" s="8" t="n">
        <f aca="false">SUMIF('מקור-01'!$A:$A,$A73,'מקור-01'!$C:$C)+SUMIF('מקור-02'!$A:$A,$A73,'מקור-02'!$C:$C)+SUMIF('מקור-03'!$A:$A,$A73,'מקור-03'!$C:$C)+SUMIF('מקור-04'!$A:$A,$A73,'מקור-04'!$C:$C)+SUMIF('מקור-05'!$A:$A,$A73,'מקור-05'!$C:$C)+SUMIF('מקור-06'!$A:$A,$A73,'מקור-06'!$C:$C)+SUMIF('מקור-07'!$A:$A,$A73,'מקור-07'!$C:$C)</f>
        <v>43</v>
      </c>
      <c r="D73" s="8" t="n">
        <f aca="false">SUMIF('מקור-01'!$A:$A,$A73,'מקור-01'!$D:$D)+SUMIF('מקור-02'!$A:$A,$A73,'מקור-02'!$D:$D)+SUMIF('מקור-03'!$A:$A,$A73,'מקור-03'!$D:$D)+SUMIF('מקור-04'!$A:$A,$A73,'מקור-04'!$D:$D)+SUMIF('מקור-05'!$A:$A,$A73,'מקור-05'!$D:$D)+SUMIF('מקור-06'!$A:$A,$A73,'מקור-06'!$D:$D)+SUMIF('מקור-07'!$A:$A,$A73,'מקור-07'!$D:$D)</f>
        <v>42</v>
      </c>
      <c r="E73" s="9" t="n">
        <f aca="false">D73-C73</f>
        <v>-1</v>
      </c>
      <c r="F73" s="10" t="n">
        <f aca="false">IF(C73=0,"מוצר חדש",(D73-C73)/C73)</f>
        <v>-0.0232558139534884</v>
      </c>
    </row>
    <row r="74" customFormat="false" ht="15" hidden="false" customHeight="true" outlineLevel="0" collapsed="false">
      <c r="A74" s="7" t="n">
        <v>53791</v>
      </c>
      <c r="B74" s="7" t="s">
        <v>77</v>
      </c>
      <c r="C74" s="8" t="n">
        <f aca="false">SUMIF('מקור-01'!$A:$A,$A74,'מקור-01'!$C:$C)+SUMIF('מקור-02'!$A:$A,$A74,'מקור-02'!$C:$C)+SUMIF('מקור-03'!$A:$A,$A74,'מקור-03'!$C:$C)+SUMIF('מקור-04'!$A:$A,$A74,'מקור-04'!$C:$C)+SUMIF('מקור-05'!$A:$A,$A74,'מקור-05'!$C:$C)+SUMIF('מקור-06'!$A:$A,$A74,'מקור-06'!$C:$C)+SUMIF('מקור-07'!$A:$A,$A74,'מקור-07'!$C:$C)</f>
        <v>53</v>
      </c>
      <c r="D74" s="8" t="n">
        <f aca="false">SUMIF('מקור-01'!$A:$A,$A74,'מקור-01'!$D:$D)+SUMIF('מקור-02'!$A:$A,$A74,'מקור-02'!$D:$D)+SUMIF('מקור-03'!$A:$A,$A74,'מקור-03'!$D:$D)+SUMIF('מקור-04'!$A:$A,$A74,'מקור-04'!$D:$D)+SUMIF('מקור-05'!$A:$A,$A74,'מקור-05'!$D:$D)+SUMIF('מקור-06'!$A:$A,$A74,'מקור-06'!$D:$D)+SUMIF('מקור-07'!$A:$A,$A74,'מקור-07'!$D:$D)</f>
        <v>27</v>
      </c>
      <c r="E74" s="9" t="n">
        <f aca="false">D74-C74</f>
        <v>-26</v>
      </c>
      <c r="F74" s="10" t="n">
        <f aca="false">IF(C74=0,"מוצר חדש",(D74-C74)/C74)</f>
        <v>-0.490566037735849</v>
      </c>
    </row>
    <row r="75" customFormat="false" ht="15" hidden="false" customHeight="true" outlineLevel="0" collapsed="false">
      <c r="A75" s="7" t="n">
        <v>55066</v>
      </c>
      <c r="B75" s="7" t="s">
        <v>78</v>
      </c>
      <c r="C75" s="8" t="n">
        <f aca="false">SUMIF('מקור-01'!$A:$A,$A75,'מקור-01'!$C:$C)+SUMIF('מקור-02'!$A:$A,$A75,'מקור-02'!$C:$C)+SUMIF('מקור-03'!$A:$A,$A75,'מקור-03'!$C:$C)+SUMIF('מקור-04'!$A:$A,$A75,'מקור-04'!$C:$C)+SUMIF('מקור-05'!$A:$A,$A75,'מקור-05'!$C:$C)+SUMIF('מקור-06'!$A:$A,$A75,'מקור-06'!$C:$C)+SUMIF('מקור-07'!$A:$A,$A75,'מקור-07'!$C:$C)</f>
        <v>0</v>
      </c>
      <c r="D75" s="8" t="n">
        <f aca="false">SUMIF('מקור-01'!$A:$A,$A75,'מקור-01'!$D:$D)+SUMIF('מקור-02'!$A:$A,$A75,'מקור-02'!$D:$D)+SUMIF('מקור-03'!$A:$A,$A75,'מקור-03'!$D:$D)+SUMIF('מקור-04'!$A:$A,$A75,'מקור-04'!$D:$D)+SUMIF('מקור-05'!$A:$A,$A75,'מקור-05'!$D:$D)+SUMIF('מקור-06'!$A:$A,$A75,'מקור-06'!$D:$D)+SUMIF('מקור-07'!$A:$A,$A75,'מקור-07'!$D:$D)</f>
        <v>2</v>
      </c>
      <c r="E75" s="9" t="n">
        <f aca="false">D75-C75</f>
        <v>2</v>
      </c>
      <c r="F75" s="10" t="str">
        <f aca="false">IF(C75=0,"מוצר חדש",(D75-C75)/C75)</f>
        <v>מוצר חדש</v>
      </c>
    </row>
    <row r="76" customFormat="false" ht="15" hidden="false" customHeight="true" outlineLevel="0" collapsed="false">
      <c r="A76" s="7" t="n">
        <v>55868</v>
      </c>
      <c r="B76" s="7" t="s">
        <v>79</v>
      </c>
      <c r="C76" s="8" t="n">
        <f aca="false">SUMIF('מקור-01'!$A:$A,$A76,'מקור-01'!$C:$C)+SUMIF('מקור-02'!$A:$A,$A76,'מקור-02'!$C:$C)+SUMIF('מקור-03'!$A:$A,$A76,'מקור-03'!$C:$C)+SUMIF('מקור-04'!$A:$A,$A76,'מקור-04'!$C:$C)+SUMIF('מקור-05'!$A:$A,$A76,'מקור-05'!$C:$C)+SUMIF('מקור-06'!$A:$A,$A76,'מקור-06'!$C:$C)+SUMIF('מקור-07'!$A:$A,$A76,'מקור-07'!$C:$C)</f>
        <v>62</v>
      </c>
      <c r="D76" s="8" t="n">
        <f aca="false">SUMIF('מקור-01'!$A:$A,$A76,'מקור-01'!$D:$D)+SUMIF('מקור-02'!$A:$A,$A76,'מקור-02'!$D:$D)+SUMIF('מקור-03'!$A:$A,$A76,'מקור-03'!$D:$D)+SUMIF('מקור-04'!$A:$A,$A76,'מקור-04'!$D:$D)+SUMIF('מקור-05'!$A:$A,$A76,'מקור-05'!$D:$D)+SUMIF('מקור-06'!$A:$A,$A76,'מקור-06'!$D:$D)+SUMIF('מקור-07'!$A:$A,$A76,'מקור-07'!$D:$D)</f>
        <v>60</v>
      </c>
      <c r="E76" s="9" t="n">
        <f aca="false">D76-C76</f>
        <v>-2</v>
      </c>
      <c r="F76" s="10" t="n">
        <f aca="false">IF(C76=0,"מוצר חדש",(D76-C76)/C76)</f>
        <v>-0.032258064516129</v>
      </c>
    </row>
    <row r="77" customFormat="false" ht="15" hidden="false" customHeight="true" outlineLevel="0" collapsed="false">
      <c r="A77" s="7" t="n">
        <v>57662</v>
      </c>
      <c r="B77" s="7" t="s">
        <v>80</v>
      </c>
      <c r="C77" s="8" t="n">
        <f aca="false">SUMIF('מקור-01'!$A:$A,$A77,'מקור-01'!$C:$C)+SUMIF('מקור-02'!$A:$A,$A77,'מקור-02'!$C:$C)+SUMIF('מקור-03'!$A:$A,$A77,'מקור-03'!$C:$C)+SUMIF('מקור-04'!$A:$A,$A77,'מקור-04'!$C:$C)+SUMIF('מקור-05'!$A:$A,$A77,'מקור-05'!$C:$C)+SUMIF('מקור-06'!$A:$A,$A77,'מקור-06'!$C:$C)+SUMIF('מקור-07'!$A:$A,$A77,'מקור-07'!$C:$C)</f>
        <v>10</v>
      </c>
      <c r="D77" s="8" t="n">
        <f aca="false">SUMIF('מקור-01'!$A:$A,$A77,'מקור-01'!$D:$D)+SUMIF('מקור-02'!$A:$A,$A77,'מקור-02'!$D:$D)+SUMIF('מקור-03'!$A:$A,$A77,'מקור-03'!$D:$D)+SUMIF('מקור-04'!$A:$A,$A77,'מקור-04'!$D:$D)+SUMIF('מקור-05'!$A:$A,$A77,'מקור-05'!$D:$D)+SUMIF('מקור-06'!$A:$A,$A77,'מקור-06'!$D:$D)+SUMIF('מקור-07'!$A:$A,$A77,'מקור-07'!$D:$D)</f>
        <v>50</v>
      </c>
      <c r="E77" s="9" t="n">
        <f aca="false">D77-C77</f>
        <v>40</v>
      </c>
      <c r="F77" s="10" t="n">
        <f aca="false">IF(C77=0,"מוצר חדש",(D77-C77)/C77)</f>
        <v>4</v>
      </c>
    </row>
    <row r="78" customFormat="false" ht="15" hidden="false" customHeight="true" outlineLevel="0" collapsed="false">
      <c r="A78" s="7" t="n">
        <v>57664</v>
      </c>
      <c r="B78" s="7" t="s">
        <v>81</v>
      </c>
      <c r="C78" s="8" t="n">
        <f aca="false">SUMIF('מקור-01'!$A:$A,$A78,'מקור-01'!$C:$C)+SUMIF('מקור-02'!$A:$A,$A78,'מקור-02'!$C:$C)+SUMIF('מקור-03'!$A:$A,$A78,'מקור-03'!$C:$C)+SUMIF('מקור-04'!$A:$A,$A78,'מקור-04'!$C:$C)+SUMIF('מקור-05'!$A:$A,$A78,'מקור-05'!$C:$C)+SUMIF('מקור-06'!$A:$A,$A78,'מקור-06'!$C:$C)+SUMIF('מקור-07'!$A:$A,$A78,'מקור-07'!$C:$C)</f>
        <v>22</v>
      </c>
      <c r="D78" s="8" t="n">
        <f aca="false">SUMIF('מקור-01'!$A:$A,$A78,'מקור-01'!$D:$D)+SUMIF('מקור-02'!$A:$A,$A78,'מקור-02'!$D:$D)+SUMIF('מקור-03'!$A:$A,$A78,'מקור-03'!$D:$D)+SUMIF('מקור-04'!$A:$A,$A78,'מקור-04'!$D:$D)+SUMIF('מקור-05'!$A:$A,$A78,'מקור-05'!$D:$D)+SUMIF('מקור-06'!$A:$A,$A78,'מקור-06'!$D:$D)+SUMIF('מקור-07'!$A:$A,$A78,'מקור-07'!$D:$D)</f>
        <v>69</v>
      </c>
      <c r="E78" s="9" t="n">
        <f aca="false">D78-C78</f>
        <v>47</v>
      </c>
      <c r="F78" s="10" t="n">
        <f aca="false">IF(C78=0,"מוצר חדש",(D78-C78)/C78)</f>
        <v>2.13636363636364</v>
      </c>
    </row>
    <row r="79" customFormat="false" ht="15" hidden="false" customHeight="true" outlineLevel="0" collapsed="false">
      <c r="A79" s="7" t="n">
        <v>57690</v>
      </c>
      <c r="B79" s="7" t="s">
        <v>82</v>
      </c>
      <c r="C79" s="8" t="n">
        <f aca="false">SUMIF('מקור-01'!$A:$A,$A79,'מקור-01'!$C:$C)+SUMIF('מקור-02'!$A:$A,$A79,'מקור-02'!$C:$C)+SUMIF('מקור-03'!$A:$A,$A79,'מקור-03'!$C:$C)+SUMIF('מקור-04'!$A:$A,$A79,'מקור-04'!$C:$C)+SUMIF('מקור-05'!$A:$A,$A79,'מקור-05'!$C:$C)+SUMIF('מקור-06'!$A:$A,$A79,'מקור-06'!$C:$C)+SUMIF('מקור-07'!$A:$A,$A79,'מקור-07'!$C:$C)</f>
        <v>18</v>
      </c>
      <c r="D79" s="8" t="n">
        <f aca="false">SUMIF('מקור-01'!$A:$A,$A79,'מקור-01'!$D:$D)+SUMIF('מקור-02'!$A:$A,$A79,'מקור-02'!$D:$D)+SUMIF('מקור-03'!$A:$A,$A79,'מקור-03'!$D:$D)+SUMIF('מקור-04'!$A:$A,$A79,'מקור-04'!$D:$D)+SUMIF('מקור-05'!$A:$A,$A79,'מקור-05'!$D:$D)+SUMIF('מקור-06'!$A:$A,$A79,'מקור-06'!$D:$D)+SUMIF('מקור-07'!$A:$A,$A79,'מקור-07'!$D:$D)</f>
        <v>74</v>
      </c>
      <c r="E79" s="9" t="n">
        <f aca="false">D79-C79</f>
        <v>56</v>
      </c>
      <c r="F79" s="10" t="n">
        <f aca="false">IF(C79=0,"מוצר חדש",(D79-C79)/C79)</f>
        <v>3.11111111111111</v>
      </c>
    </row>
    <row r="80" customFormat="false" ht="15" hidden="false" customHeight="true" outlineLevel="0" collapsed="false">
      <c r="A80" s="7" t="n">
        <v>57696</v>
      </c>
      <c r="B80" s="7" t="s">
        <v>83</v>
      </c>
      <c r="C80" s="8" t="n">
        <f aca="false">SUMIF('מקור-01'!$A:$A,$A80,'מקור-01'!$C:$C)+SUMIF('מקור-02'!$A:$A,$A80,'מקור-02'!$C:$C)+SUMIF('מקור-03'!$A:$A,$A80,'מקור-03'!$C:$C)+SUMIF('מקור-04'!$A:$A,$A80,'מקור-04'!$C:$C)+SUMIF('מקור-05'!$A:$A,$A80,'מקור-05'!$C:$C)+SUMIF('מקור-06'!$A:$A,$A80,'מקור-06'!$C:$C)+SUMIF('מקור-07'!$A:$A,$A80,'מקור-07'!$C:$C)</f>
        <v>13</v>
      </c>
      <c r="D80" s="8" t="n">
        <f aca="false">SUMIF('מקור-01'!$A:$A,$A80,'מקור-01'!$D:$D)+SUMIF('מקור-02'!$A:$A,$A80,'מקור-02'!$D:$D)+SUMIF('מקור-03'!$A:$A,$A80,'מקור-03'!$D:$D)+SUMIF('מקור-04'!$A:$A,$A80,'מקור-04'!$D:$D)+SUMIF('מקור-05'!$A:$A,$A80,'מקור-05'!$D:$D)+SUMIF('מקור-06'!$A:$A,$A80,'מקור-06'!$D:$D)+SUMIF('מקור-07'!$A:$A,$A80,'מקור-07'!$D:$D)</f>
        <v>65</v>
      </c>
      <c r="E80" s="9" t="n">
        <f aca="false">D80-C80</f>
        <v>52</v>
      </c>
      <c r="F80" s="10" t="n">
        <f aca="false">IF(C80=0,"מוצר חדש",(D80-C80)/C80)</f>
        <v>4</v>
      </c>
    </row>
    <row r="81" customFormat="false" ht="15" hidden="false" customHeight="true" outlineLevel="0" collapsed="false">
      <c r="A81" s="7" t="n">
        <v>59656</v>
      </c>
      <c r="B81" s="7" t="s">
        <v>84</v>
      </c>
      <c r="C81" s="8" t="n">
        <f aca="false">SUMIF('מקור-01'!$A:$A,$A81,'מקור-01'!$C:$C)+SUMIF('מקור-02'!$A:$A,$A81,'מקור-02'!$C:$C)+SUMIF('מקור-03'!$A:$A,$A81,'מקור-03'!$C:$C)+SUMIF('מקור-04'!$A:$A,$A81,'מקור-04'!$C:$C)+SUMIF('מקור-05'!$A:$A,$A81,'מקור-05'!$C:$C)+SUMIF('מקור-06'!$A:$A,$A81,'מקור-06'!$C:$C)+SUMIF('מקור-07'!$A:$A,$A81,'מקור-07'!$C:$C)</f>
        <v>110</v>
      </c>
      <c r="D81" s="8" t="n">
        <f aca="false">SUMIF('מקור-01'!$A:$A,$A81,'מקור-01'!$D:$D)+SUMIF('מקור-02'!$A:$A,$A81,'מקור-02'!$D:$D)+SUMIF('מקור-03'!$A:$A,$A81,'מקור-03'!$D:$D)+SUMIF('מקור-04'!$A:$A,$A81,'מקור-04'!$D:$D)+SUMIF('מקור-05'!$A:$A,$A81,'מקור-05'!$D:$D)+SUMIF('מקור-06'!$A:$A,$A81,'מקור-06'!$D:$D)+SUMIF('מקור-07'!$A:$A,$A81,'מקור-07'!$D:$D)</f>
        <v>120</v>
      </c>
      <c r="E81" s="9" t="n">
        <f aca="false">D81-C81</f>
        <v>10</v>
      </c>
      <c r="F81" s="10" t="n">
        <f aca="false">IF(C81=0,"מוצר חדש",(D81-C81)/C81)</f>
        <v>0.0909090909090909</v>
      </c>
    </row>
    <row r="82" customFormat="false" ht="15" hidden="false" customHeight="true" outlineLevel="0" collapsed="false">
      <c r="A82" s="7" t="n">
        <v>59657</v>
      </c>
      <c r="B82" s="7" t="s">
        <v>85</v>
      </c>
      <c r="C82" s="8" t="n">
        <f aca="false">SUMIF('מקור-01'!$A:$A,$A82,'מקור-01'!$C:$C)+SUMIF('מקור-02'!$A:$A,$A82,'מקור-02'!$C:$C)+SUMIF('מקור-03'!$A:$A,$A82,'מקור-03'!$C:$C)+SUMIF('מקור-04'!$A:$A,$A82,'מקור-04'!$C:$C)+SUMIF('מקור-05'!$A:$A,$A82,'מקור-05'!$C:$C)+SUMIF('מקור-06'!$A:$A,$A82,'מקור-06'!$C:$C)+SUMIF('מקור-07'!$A:$A,$A82,'מקור-07'!$C:$C)</f>
        <v>78</v>
      </c>
      <c r="D82" s="8" t="n">
        <f aca="false">SUMIF('מקור-01'!$A:$A,$A82,'מקור-01'!$D:$D)+SUMIF('מקור-02'!$A:$A,$A82,'מקור-02'!$D:$D)+SUMIF('מקור-03'!$A:$A,$A82,'מקור-03'!$D:$D)+SUMIF('מקור-04'!$A:$A,$A82,'מקור-04'!$D:$D)+SUMIF('מקור-05'!$A:$A,$A82,'מקור-05'!$D:$D)+SUMIF('מקור-06'!$A:$A,$A82,'מקור-06'!$D:$D)+SUMIF('מקור-07'!$A:$A,$A82,'מקור-07'!$D:$D)</f>
        <v>66</v>
      </c>
      <c r="E82" s="9" t="n">
        <f aca="false">D82-C82</f>
        <v>-12</v>
      </c>
      <c r="F82" s="10" t="n">
        <f aca="false">IF(C82=0,"מוצר חדש",(D82-C82)/C82)</f>
        <v>-0.153846153846154</v>
      </c>
    </row>
    <row r="83" customFormat="false" ht="15" hidden="false" customHeight="true" outlineLevel="0" collapsed="false">
      <c r="A83" s="7" t="n">
        <v>59659</v>
      </c>
      <c r="B83" s="7" t="s">
        <v>86</v>
      </c>
      <c r="C83" s="8" t="n">
        <f aca="false">SUMIF('מקור-01'!$A:$A,$A83,'מקור-01'!$C:$C)+SUMIF('מקור-02'!$A:$A,$A83,'מקור-02'!$C:$C)+SUMIF('מקור-03'!$A:$A,$A83,'מקור-03'!$C:$C)+SUMIF('מקור-04'!$A:$A,$A83,'מקור-04'!$C:$C)+SUMIF('מקור-05'!$A:$A,$A83,'מקור-05'!$C:$C)+SUMIF('מקור-06'!$A:$A,$A83,'מקור-06'!$C:$C)+SUMIF('מקור-07'!$A:$A,$A83,'מקור-07'!$C:$C)</f>
        <v>105</v>
      </c>
      <c r="D83" s="8" t="n">
        <f aca="false">SUMIF('מקור-01'!$A:$A,$A83,'מקור-01'!$D:$D)+SUMIF('מקור-02'!$A:$A,$A83,'מקור-02'!$D:$D)+SUMIF('מקור-03'!$A:$A,$A83,'מקור-03'!$D:$D)+SUMIF('מקור-04'!$A:$A,$A83,'מקור-04'!$D:$D)+SUMIF('מקור-05'!$A:$A,$A83,'מקור-05'!$D:$D)+SUMIF('מקור-06'!$A:$A,$A83,'מקור-06'!$D:$D)+SUMIF('מקור-07'!$A:$A,$A83,'מקור-07'!$D:$D)</f>
        <v>111</v>
      </c>
      <c r="E83" s="9" t="n">
        <f aca="false">D83-C83</f>
        <v>6</v>
      </c>
      <c r="F83" s="10" t="n">
        <f aca="false">IF(C83=0,"מוצר חדש",(D83-C83)/C83)</f>
        <v>0.0571428571428571</v>
      </c>
    </row>
    <row r="84" customFormat="false" ht="15" hidden="false" customHeight="true" outlineLevel="0" collapsed="false">
      <c r="A84" s="7" t="n">
        <v>59679</v>
      </c>
      <c r="B84" s="7" t="s">
        <v>87</v>
      </c>
      <c r="C84" s="8" t="n">
        <f aca="false">SUMIF('מקור-01'!$A:$A,$A84,'מקור-01'!$C:$C)+SUMIF('מקור-02'!$A:$A,$A84,'מקור-02'!$C:$C)+SUMIF('מקור-03'!$A:$A,$A84,'מקור-03'!$C:$C)+SUMIF('מקור-04'!$A:$A,$A84,'מקור-04'!$C:$C)+SUMIF('מקור-05'!$A:$A,$A84,'מקור-05'!$C:$C)+SUMIF('מקור-06'!$A:$A,$A84,'מקור-06'!$C:$C)+SUMIF('מקור-07'!$A:$A,$A84,'מקור-07'!$C:$C)</f>
        <v>397</v>
      </c>
      <c r="D84" s="8" t="n">
        <f aca="false">SUMIF('מקור-01'!$A:$A,$A84,'מקור-01'!$D:$D)+SUMIF('מקור-02'!$A:$A,$A84,'מקור-02'!$D:$D)+SUMIF('מקור-03'!$A:$A,$A84,'מקור-03'!$D:$D)+SUMIF('מקור-04'!$A:$A,$A84,'מקור-04'!$D:$D)+SUMIF('מקור-05'!$A:$A,$A84,'מקור-05'!$D:$D)+SUMIF('מקור-06'!$A:$A,$A84,'מקור-06'!$D:$D)+SUMIF('מקור-07'!$A:$A,$A84,'מקור-07'!$D:$D)</f>
        <v>329</v>
      </c>
      <c r="E84" s="9" t="n">
        <f aca="false">D84-C84</f>
        <v>-68</v>
      </c>
      <c r="F84" s="10" t="n">
        <f aca="false">IF(C84=0,"מוצר חדש",(D84-C84)/C84)</f>
        <v>-0.171284634760705</v>
      </c>
    </row>
    <row r="85" customFormat="false" ht="15" hidden="false" customHeight="true" outlineLevel="0" collapsed="false">
      <c r="A85" s="7" t="n">
        <v>59694</v>
      </c>
      <c r="B85" s="7" t="s">
        <v>88</v>
      </c>
      <c r="C85" s="8" t="n">
        <f aca="false">SUMIF('מקור-01'!$A:$A,$A85,'מקור-01'!$C:$C)+SUMIF('מקור-02'!$A:$A,$A85,'מקור-02'!$C:$C)+SUMIF('מקור-03'!$A:$A,$A85,'מקור-03'!$C:$C)+SUMIF('מקור-04'!$A:$A,$A85,'מקור-04'!$C:$C)+SUMIF('מקור-05'!$A:$A,$A85,'מקור-05'!$C:$C)+SUMIF('מקור-06'!$A:$A,$A85,'מקור-06'!$C:$C)+SUMIF('מקור-07'!$A:$A,$A85,'מקור-07'!$C:$C)</f>
        <v>228</v>
      </c>
      <c r="D85" s="8" t="n">
        <f aca="false">SUMIF('מקור-01'!$A:$A,$A85,'מקור-01'!$D:$D)+SUMIF('מקור-02'!$A:$A,$A85,'מקור-02'!$D:$D)+SUMIF('מקור-03'!$A:$A,$A85,'מקור-03'!$D:$D)+SUMIF('מקור-04'!$A:$A,$A85,'מקור-04'!$D:$D)+SUMIF('מקור-05'!$A:$A,$A85,'מקור-05'!$D:$D)+SUMIF('מקור-06'!$A:$A,$A85,'מקור-06'!$D:$D)+SUMIF('מקור-07'!$A:$A,$A85,'מקור-07'!$D:$D)</f>
        <v>209</v>
      </c>
      <c r="E85" s="9" t="n">
        <f aca="false">D85-C85</f>
        <v>-19</v>
      </c>
      <c r="F85" s="10" t="n">
        <f aca="false">IF(C85=0,"מוצר חדש",(D85-C85)/C85)</f>
        <v>-0.0833333333333333</v>
      </c>
    </row>
    <row r="86" customFormat="false" ht="15" hidden="false" customHeight="true" outlineLevel="0" collapsed="false">
      <c r="A86" s="7" t="n">
        <v>60471</v>
      </c>
      <c r="B86" s="7" t="s">
        <v>89</v>
      </c>
      <c r="C86" s="8" t="n">
        <f aca="false">SUMIF('מקור-01'!$A:$A,$A86,'מקור-01'!$C:$C)+SUMIF('מקור-02'!$A:$A,$A86,'מקור-02'!$C:$C)+SUMIF('מקור-03'!$A:$A,$A86,'מקור-03'!$C:$C)+SUMIF('מקור-04'!$A:$A,$A86,'מקור-04'!$C:$C)+SUMIF('מקור-05'!$A:$A,$A86,'מקור-05'!$C:$C)+SUMIF('מקור-06'!$A:$A,$A86,'מקור-06'!$C:$C)+SUMIF('מקור-07'!$A:$A,$A86,'מקור-07'!$C:$C)</f>
        <v>79</v>
      </c>
      <c r="D86" s="8" t="n">
        <f aca="false">SUMIF('מקור-01'!$A:$A,$A86,'מקור-01'!$D:$D)+SUMIF('מקור-02'!$A:$A,$A86,'מקור-02'!$D:$D)+SUMIF('מקור-03'!$A:$A,$A86,'מקור-03'!$D:$D)+SUMIF('מקור-04'!$A:$A,$A86,'מקור-04'!$D:$D)+SUMIF('מקור-05'!$A:$A,$A86,'מקור-05'!$D:$D)+SUMIF('מקור-06'!$A:$A,$A86,'מקור-06'!$D:$D)+SUMIF('מקור-07'!$A:$A,$A86,'מקור-07'!$D:$D)</f>
        <v>86</v>
      </c>
      <c r="E86" s="9" t="n">
        <f aca="false">D86-C86</f>
        <v>7</v>
      </c>
      <c r="F86" s="10" t="n">
        <f aca="false">IF(C86=0,"מוצר חדש",(D86-C86)/C86)</f>
        <v>0.0886075949367089</v>
      </c>
    </row>
    <row r="87" customFormat="false" ht="15" hidden="false" customHeight="true" outlineLevel="0" collapsed="false">
      <c r="A87" s="7" t="n">
        <v>60472</v>
      </c>
      <c r="B87" s="7" t="s">
        <v>90</v>
      </c>
      <c r="C87" s="8" t="n">
        <f aca="false">SUMIF('מקור-01'!$A:$A,$A87,'מקור-01'!$C:$C)+SUMIF('מקור-02'!$A:$A,$A87,'מקור-02'!$C:$C)+SUMIF('מקור-03'!$A:$A,$A87,'מקור-03'!$C:$C)+SUMIF('מקור-04'!$A:$A,$A87,'מקור-04'!$C:$C)+SUMIF('מקור-05'!$A:$A,$A87,'מקור-05'!$C:$C)+SUMIF('מקור-06'!$A:$A,$A87,'מקור-06'!$C:$C)+SUMIF('מקור-07'!$A:$A,$A87,'מקור-07'!$C:$C)</f>
        <v>237</v>
      </c>
      <c r="D87" s="8" t="n">
        <f aca="false">SUMIF('מקור-01'!$A:$A,$A87,'מקור-01'!$D:$D)+SUMIF('מקור-02'!$A:$A,$A87,'מקור-02'!$D:$D)+SUMIF('מקור-03'!$A:$A,$A87,'מקור-03'!$D:$D)+SUMIF('מקור-04'!$A:$A,$A87,'מקור-04'!$D:$D)+SUMIF('מקור-05'!$A:$A,$A87,'מקור-05'!$D:$D)+SUMIF('מקור-06'!$A:$A,$A87,'מקור-06'!$D:$D)+SUMIF('מקור-07'!$A:$A,$A87,'מקור-07'!$D:$D)</f>
        <v>275</v>
      </c>
      <c r="E87" s="9" t="n">
        <f aca="false">D87-C87</f>
        <v>38</v>
      </c>
      <c r="F87" s="10" t="n">
        <f aca="false">IF(C87=0,"מוצר חדש",(D87-C87)/C87)</f>
        <v>0.160337552742616</v>
      </c>
    </row>
    <row r="88" customFormat="false" ht="15" hidden="false" customHeight="true" outlineLevel="0" collapsed="false">
      <c r="A88" s="7" t="n">
        <v>60473</v>
      </c>
      <c r="B88" s="7" t="s">
        <v>91</v>
      </c>
      <c r="C88" s="8" t="n">
        <f aca="false">SUMIF('מקור-01'!$A:$A,$A88,'מקור-01'!$C:$C)+SUMIF('מקור-02'!$A:$A,$A88,'מקור-02'!$C:$C)+SUMIF('מקור-03'!$A:$A,$A88,'מקור-03'!$C:$C)+SUMIF('מקור-04'!$A:$A,$A88,'מקור-04'!$C:$C)+SUMIF('מקור-05'!$A:$A,$A88,'מקור-05'!$C:$C)+SUMIF('מקור-06'!$A:$A,$A88,'מקור-06'!$C:$C)+SUMIF('מקור-07'!$A:$A,$A88,'מקור-07'!$C:$C)</f>
        <v>53</v>
      </c>
      <c r="D88" s="8" t="n">
        <f aca="false">SUMIF('מקור-01'!$A:$A,$A88,'מקור-01'!$D:$D)+SUMIF('מקור-02'!$A:$A,$A88,'מקור-02'!$D:$D)+SUMIF('מקור-03'!$A:$A,$A88,'מקור-03'!$D:$D)+SUMIF('מקור-04'!$A:$A,$A88,'מקור-04'!$D:$D)+SUMIF('מקור-05'!$A:$A,$A88,'מקור-05'!$D:$D)+SUMIF('מקור-06'!$A:$A,$A88,'מקור-06'!$D:$D)+SUMIF('מקור-07'!$A:$A,$A88,'מקור-07'!$D:$D)</f>
        <v>49</v>
      </c>
      <c r="E88" s="9" t="n">
        <f aca="false">D88-C88</f>
        <v>-4</v>
      </c>
      <c r="F88" s="10" t="n">
        <f aca="false">IF(C88=0,"מוצר חדש",(D88-C88)/C88)</f>
        <v>-0.0754716981132075</v>
      </c>
    </row>
    <row r="89" customFormat="false" ht="15" hidden="false" customHeight="true" outlineLevel="0" collapsed="false">
      <c r="A89" s="7" t="n">
        <v>60474</v>
      </c>
      <c r="B89" s="7" t="s">
        <v>92</v>
      </c>
      <c r="C89" s="8" t="n">
        <f aca="false">SUMIF('מקור-01'!$A:$A,$A89,'מקור-01'!$C:$C)+SUMIF('מקור-02'!$A:$A,$A89,'מקור-02'!$C:$C)+SUMIF('מקור-03'!$A:$A,$A89,'מקור-03'!$C:$C)+SUMIF('מקור-04'!$A:$A,$A89,'מקור-04'!$C:$C)+SUMIF('מקור-05'!$A:$A,$A89,'מקור-05'!$C:$C)+SUMIF('מקור-06'!$A:$A,$A89,'מקור-06'!$C:$C)+SUMIF('מקור-07'!$A:$A,$A89,'מקור-07'!$C:$C)</f>
        <v>104</v>
      </c>
      <c r="D89" s="8" t="n">
        <f aca="false">SUMIF('מקור-01'!$A:$A,$A89,'מקור-01'!$D:$D)+SUMIF('מקור-02'!$A:$A,$A89,'מקור-02'!$D:$D)+SUMIF('מקור-03'!$A:$A,$A89,'מקור-03'!$D:$D)+SUMIF('מקור-04'!$A:$A,$A89,'מקור-04'!$D:$D)+SUMIF('מקור-05'!$A:$A,$A89,'מקור-05'!$D:$D)+SUMIF('מקור-06'!$A:$A,$A89,'מקור-06'!$D:$D)+SUMIF('מקור-07'!$A:$A,$A89,'מקור-07'!$D:$D)</f>
        <v>76</v>
      </c>
      <c r="E89" s="9" t="n">
        <f aca="false">D89-C89</f>
        <v>-28</v>
      </c>
      <c r="F89" s="10" t="n">
        <f aca="false">IF(C89=0,"מוצר חדש",(D89-C89)/C89)</f>
        <v>-0.269230769230769</v>
      </c>
    </row>
    <row r="90" customFormat="false" ht="15" hidden="false" customHeight="true" outlineLevel="0" collapsed="false">
      <c r="A90" s="7" t="n">
        <v>60476</v>
      </c>
      <c r="B90" s="7" t="s">
        <v>93</v>
      </c>
      <c r="C90" s="8" t="n">
        <f aca="false">SUMIF('מקור-01'!$A:$A,$A90,'מקור-01'!$C:$C)+SUMIF('מקור-02'!$A:$A,$A90,'מקור-02'!$C:$C)+SUMIF('מקור-03'!$A:$A,$A90,'מקור-03'!$C:$C)+SUMIF('מקור-04'!$A:$A,$A90,'מקור-04'!$C:$C)+SUMIF('מקור-05'!$A:$A,$A90,'מקור-05'!$C:$C)+SUMIF('מקור-06'!$A:$A,$A90,'מקור-06'!$C:$C)+SUMIF('מקור-07'!$A:$A,$A90,'מקור-07'!$C:$C)</f>
        <v>169</v>
      </c>
      <c r="D90" s="8" t="n">
        <f aca="false">SUMIF('מקור-01'!$A:$A,$A90,'מקור-01'!$D:$D)+SUMIF('מקור-02'!$A:$A,$A90,'מקור-02'!$D:$D)+SUMIF('מקור-03'!$A:$A,$A90,'מקור-03'!$D:$D)+SUMIF('מקור-04'!$A:$A,$A90,'מקור-04'!$D:$D)+SUMIF('מקור-05'!$A:$A,$A90,'מקור-05'!$D:$D)+SUMIF('מקור-06'!$A:$A,$A90,'מקור-06'!$D:$D)+SUMIF('מקור-07'!$A:$A,$A90,'מקור-07'!$D:$D)</f>
        <v>178</v>
      </c>
      <c r="E90" s="9" t="n">
        <f aca="false">D90-C90</f>
        <v>9</v>
      </c>
      <c r="F90" s="10" t="n">
        <f aca="false">IF(C90=0,"מוצר חדש",(D90-C90)/C90)</f>
        <v>0.0532544378698225</v>
      </c>
    </row>
    <row r="91" customFormat="false" ht="15" hidden="false" customHeight="true" outlineLevel="0" collapsed="false">
      <c r="A91" s="7" t="n">
        <v>60478</v>
      </c>
      <c r="B91" s="7" t="s">
        <v>94</v>
      </c>
      <c r="C91" s="8" t="n">
        <f aca="false">SUMIF('מקור-01'!$A:$A,$A91,'מקור-01'!$C:$C)+SUMIF('מקור-02'!$A:$A,$A91,'מקור-02'!$C:$C)+SUMIF('מקור-03'!$A:$A,$A91,'מקור-03'!$C:$C)+SUMIF('מקור-04'!$A:$A,$A91,'מקור-04'!$C:$C)+SUMIF('מקור-05'!$A:$A,$A91,'מקור-05'!$C:$C)+SUMIF('מקור-06'!$A:$A,$A91,'מקור-06'!$C:$C)+SUMIF('מקור-07'!$A:$A,$A91,'מקור-07'!$C:$C)</f>
        <v>30</v>
      </c>
      <c r="D91" s="8" t="n">
        <f aca="false">SUMIF('מקור-01'!$A:$A,$A91,'מקור-01'!$D:$D)+SUMIF('מקור-02'!$A:$A,$A91,'מקור-02'!$D:$D)+SUMIF('מקור-03'!$A:$A,$A91,'מקור-03'!$D:$D)+SUMIF('מקור-04'!$A:$A,$A91,'מקור-04'!$D:$D)+SUMIF('מקור-05'!$A:$A,$A91,'מקור-05'!$D:$D)+SUMIF('מקור-06'!$A:$A,$A91,'מקור-06'!$D:$D)+SUMIF('מקור-07'!$A:$A,$A91,'מקור-07'!$D:$D)</f>
        <v>31</v>
      </c>
      <c r="E91" s="9" t="n">
        <f aca="false">D91-C91</f>
        <v>1</v>
      </c>
      <c r="F91" s="10" t="n">
        <f aca="false">IF(C91=0,"מוצר חדש",(D91-C91)/C91)</f>
        <v>0.0333333333333333</v>
      </c>
    </row>
    <row r="92" customFormat="false" ht="15" hidden="false" customHeight="true" outlineLevel="0" collapsed="false">
      <c r="A92" s="7" t="n">
        <v>60484</v>
      </c>
      <c r="B92" s="7" t="s">
        <v>95</v>
      </c>
      <c r="C92" s="8" t="n">
        <f aca="false">SUMIF('מקור-01'!$A:$A,$A92,'מקור-01'!$C:$C)+SUMIF('מקור-02'!$A:$A,$A92,'מקור-02'!$C:$C)+SUMIF('מקור-03'!$A:$A,$A92,'מקור-03'!$C:$C)+SUMIF('מקור-04'!$A:$A,$A92,'מקור-04'!$C:$C)+SUMIF('מקור-05'!$A:$A,$A92,'מקור-05'!$C:$C)+SUMIF('מקור-06'!$A:$A,$A92,'מקור-06'!$C:$C)+SUMIF('מקור-07'!$A:$A,$A92,'מקור-07'!$C:$C)</f>
        <v>104</v>
      </c>
      <c r="D92" s="8" t="n">
        <f aca="false">SUMIF('מקור-01'!$A:$A,$A92,'מקור-01'!$D:$D)+SUMIF('מקור-02'!$A:$A,$A92,'מקור-02'!$D:$D)+SUMIF('מקור-03'!$A:$A,$A92,'מקור-03'!$D:$D)+SUMIF('מקור-04'!$A:$A,$A92,'מקור-04'!$D:$D)+SUMIF('מקור-05'!$A:$A,$A92,'מקור-05'!$D:$D)+SUMIF('מקור-06'!$A:$A,$A92,'מקור-06'!$D:$D)+SUMIF('מקור-07'!$A:$A,$A92,'מקור-07'!$D:$D)</f>
        <v>68</v>
      </c>
      <c r="E92" s="9" t="n">
        <f aca="false">D92-C92</f>
        <v>-36</v>
      </c>
      <c r="F92" s="10" t="n">
        <f aca="false">IF(C92=0,"מוצר חדש",(D92-C92)/C92)</f>
        <v>-0.346153846153846</v>
      </c>
    </row>
    <row r="93" customFormat="false" ht="15" hidden="false" customHeight="true" outlineLevel="0" collapsed="false">
      <c r="A93" s="7" t="n">
        <v>60485</v>
      </c>
      <c r="B93" s="7" t="s">
        <v>96</v>
      </c>
      <c r="C93" s="8" t="n">
        <f aca="false">SUMIF('מקור-01'!$A:$A,$A93,'מקור-01'!$C:$C)+SUMIF('מקור-02'!$A:$A,$A93,'מקור-02'!$C:$C)+SUMIF('מקור-03'!$A:$A,$A93,'מקור-03'!$C:$C)+SUMIF('מקור-04'!$A:$A,$A93,'מקור-04'!$C:$C)+SUMIF('מקור-05'!$A:$A,$A93,'מקור-05'!$C:$C)+SUMIF('מקור-06'!$A:$A,$A93,'מקור-06'!$C:$C)+SUMIF('מקור-07'!$A:$A,$A93,'מקור-07'!$C:$C)</f>
        <v>185</v>
      </c>
      <c r="D93" s="8" t="n">
        <f aca="false">SUMIF('מקור-01'!$A:$A,$A93,'מקור-01'!$D:$D)+SUMIF('מקור-02'!$A:$A,$A93,'מקור-02'!$D:$D)+SUMIF('מקור-03'!$A:$A,$A93,'מקור-03'!$D:$D)+SUMIF('מקור-04'!$A:$A,$A93,'מקור-04'!$D:$D)+SUMIF('מקור-05'!$A:$A,$A93,'מקור-05'!$D:$D)+SUMIF('מקור-06'!$A:$A,$A93,'מקור-06'!$D:$D)+SUMIF('מקור-07'!$A:$A,$A93,'מקור-07'!$D:$D)</f>
        <v>150</v>
      </c>
      <c r="E93" s="9" t="n">
        <f aca="false">D93-C93</f>
        <v>-35</v>
      </c>
      <c r="F93" s="10" t="n">
        <f aca="false">IF(C93=0,"מוצר חדש",(D93-C93)/C93)</f>
        <v>-0.189189189189189</v>
      </c>
    </row>
    <row r="94" customFormat="false" ht="15" hidden="false" customHeight="true" outlineLevel="0" collapsed="false">
      <c r="A94" s="7" t="n">
        <v>61344</v>
      </c>
      <c r="B94" s="7" t="s">
        <v>97</v>
      </c>
      <c r="C94" s="8" t="n">
        <f aca="false">SUMIF('מקור-01'!$A:$A,$A94,'מקור-01'!$C:$C)+SUMIF('מקור-02'!$A:$A,$A94,'מקור-02'!$C:$C)+SUMIF('מקור-03'!$A:$A,$A94,'מקור-03'!$C:$C)+SUMIF('מקור-04'!$A:$A,$A94,'מקור-04'!$C:$C)+SUMIF('מקור-05'!$A:$A,$A94,'מקור-05'!$C:$C)+SUMIF('מקור-06'!$A:$A,$A94,'מקור-06'!$C:$C)+SUMIF('מקור-07'!$A:$A,$A94,'מקור-07'!$C:$C)</f>
        <v>49</v>
      </c>
      <c r="D94" s="8" t="n">
        <f aca="false">SUMIF('מקור-01'!$A:$A,$A94,'מקור-01'!$D:$D)+SUMIF('מקור-02'!$A:$A,$A94,'מקור-02'!$D:$D)+SUMIF('מקור-03'!$A:$A,$A94,'מקור-03'!$D:$D)+SUMIF('מקור-04'!$A:$A,$A94,'מקור-04'!$D:$D)+SUMIF('מקור-05'!$A:$A,$A94,'מקור-05'!$D:$D)+SUMIF('מקור-06'!$A:$A,$A94,'מקור-06'!$D:$D)+SUMIF('מקור-07'!$A:$A,$A94,'מקור-07'!$D:$D)</f>
        <v>37</v>
      </c>
      <c r="E94" s="9" t="n">
        <f aca="false">D94-C94</f>
        <v>-12</v>
      </c>
      <c r="F94" s="10" t="n">
        <f aca="false">IF(C94=0,"מוצר חדש",(D94-C94)/C94)</f>
        <v>-0.244897959183673</v>
      </c>
    </row>
    <row r="95" customFormat="false" ht="15" hidden="false" customHeight="true" outlineLevel="0" collapsed="false">
      <c r="A95" s="7" t="n">
        <v>61961</v>
      </c>
      <c r="B95" s="7" t="s">
        <v>98</v>
      </c>
      <c r="C95" s="8" t="n">
        <f aca="false">SUMIF('מקור-01'!$A:$A,$A95,'מקור-01'!$C:$C)+SUMIF('מקור-02'!$A:$A,$A95,'מקור-02'!$C:$C)+SUMIF('מקור-03'!$A:$A,$A95,'מקור-03'!$C:$C)+SUMIF('מקור-04'!$A:$A,$A95,'מקור-04'!$C:$C)+SUMIF('מקור-05'!$A:$A,$A95,'מקור-05'!$C:$C)+SUMIF('מקור-06'!$A:$A,$A95,'מקור-06'!$C:$C)+SUMIF('מקור-07'!$A:$A,$A95,'מקור-07'!$C:$C)</f>
        <v>96</v>
      </c>
      <c r="D95" s="8" t="n">
        <f aca="false">SUMIF('מקור-01'!$A:$A,$A95,'מקור-01'!$D:$D)+SUMIF('מקור-02'!$A:$A,$A95,'מקור-02'!$D:$D)+SUMIF('מקור-03'!$A:$A,$A95,'מקור-03'!$D:$D)+SUMIF('מקור-04'!$A:$A,$A95,'מקור-04'!$D:$D)+SUMIF('מקור-05'!$A:$A,$A95,'מקור-05'!$D:$D)+SUMIF('מקור-06'!$A:$A,$A95,'מקור-06'!$D:$D)+SUMIF('מקור-07'!$A:$A,$A95,'מקור-07'!$D:$D)</f>
        <v>77</v>
      </c>
      <c r="E95" s="9" t="n">
        <f aca="false">D95-C95</f>
        <v>-19</v>
      </c>
      <c r="F95" s="10" t="n">
        <f aca="false">IF(C95=0,"מוצר חדש",(D95-C95)/C95)</f>
        <v>-0.197916666666667</v>
      </c>
    </row>
    <row r="96" customFormat="false" ht="15" hidden="false" customHeight="true" outlineLevel="0" collapsed="false">
      <c r="A96" s="7" t="n">
        <v>61962</v>
      </c>
      <c r="B96" s="7" t="s">
        <v>99</v>
      </c>
      <c r="C96" s="8" t="n">
        <f aca="false">SUMIF('מקור-01'!$A:$A,$A96,'מקור-01'!$C:$C)+SUMIF('מקור-02'!$A:$A,$A96,'מקור-02'!$C:$C)+SUMIF('מקור-03'!$A:$A,$A96,'מקור-03'!$C:$C)+SUMIF('מקור-04'!$A:$A,$A96,'מקור-04'!$C:$C)+SUMIF('מקור-05'!$A:$A,$A96,'מקור-05'!$C:$C)+SUMIF('מקור-06'!$A:$A,$A96,'מקור-06'!$C:$C)+SUMIF('מקור-07'!$A:$A,$A96,'מקור-07'!$C:$C)</f>
        <v>50</v>
      </c>
      <c r="D96" s="8" t="n">
        <f aca="false">SUMIF('מקור-01'!$A:$A,$A96,'מקור-01'!$D:$D)+SUMIF('מקור-02'!$A:$A,$A96,'מקור-02'!$D:$D)+SUMIF('מקור-03'!$A:$A,$A96,'מקור-03'!$D:$D)+SUMIF('מקור-04'!$A:$A,$A96,'מקור-04'!$D:$D)+SUMIF('מקור-05'!$A:$A,$A96,'מקור-05'!$D:$D)+SUMIF('מקור-06'!$A:$A,$A96,'מקור-06'!$D:$D)+SUMIF('מקור-07'!$A:$A,$A96,'מקור-07'!$D:$D)</f>
        <v>56</v>
      </c>
      <c r="E96" s="9" t="n">
        <f aca="false">D96-C96</f>
        <v>6</v>
      </c>
      <c r="F96" s="10" t="n">
        <f aca="false">IF(C96=0,"מוצר חדש",(D96-C96)/C96)</f>
        <v>0.12</v>
      </c>
    </row>
    <row r="97" customFormat="false" ht="15" hidden="false" customHeight="true" outlineLevel="0" collapsed="false">
      <c r="A97" s="7" t="n">
        <v>63359</v>
      </c>
      <c r="B97" s="7" t="s">
        <v>100</v>
      </c>
      <c r="C97" s="8" t="n">
        <f aca="false">SUMIF('מקור-01'!$A:$A,$A97,'מקור-01'!$C:$C)+SUMIF('מקור-02'!$A:$A,$A97,'מקור-02'!$C:$C)+SUMIF('מקור-03'!$A:$A,$A97,'מקור-03'!$C:$C)+SUMIF('מקור-04'!$A:$A,$A97,'מקור-04'!$C:$C)+SUMIF('מקור-05'!$A:$A,$A97,'מקור-05'!$C:$C)+SUMIF('מקור-06'!$A:$A,$A97,'מקור-06'!$C:$C)+SUMIF('מקור-07'!$A:$A,$A97,'מקור-07'!$C:$C)</f>
        <v>276</v>
      </c>
      <c r="D97" s="8" t="n">
        <f aca="false">SUMIF('מקור-01'!$A:$A,$A97,'מקור-01'!$D:$D)+SUMIF('מקור-02'!$A:$A,$A97,'מקור-02'!$D:$D)+SUMIF('מקור-03'!$A:$A,$A97,'מקור-03'!$D:$D)+SUMIF('מקור-04'!$A:$A,$A97,'מקור-04'!$D:$D)+SUMIF('מקור-05'!$A:$A,$A97,'מקור-05'!$D:$D)+SUMIF('מקור-06'!$A:$A,$A97,'מקור-06'!$D:$D)+SUMIF('מקור-07'!$A:$A,$A97,'מקור-07'!$D:$D)</f>
        <v>262</v>
      </c>
      <c r="E97" s="9" t="n">
        <f aca="false">D97-C97</f>
        <v>-14</v>
      </c>
      <c r="F97" s="10" t="n">
        <f aca="false">IF(C97=0,"מוצר חדש",(D97-C97)/C97)</f>
        <v>-0.0507246376811594</v>
      </c>
    </row>
    <row r="98" customFormat="false" ht="15" hidden="false" customHeight="true" outlineLevel="0" collapsed="false">
      <c r="A98" s="7" t="n">
        <v>63360</v>
      </c>
      <c r="B98" s="7" t="s">
        <v>101</v>
      </c>
      <c r="C98" s="8" t="n">
        <f aca="false">SUMIF('מקור-01'!$A:$A,$A98,'מקור-01'!$C:$C)+SUMIF('מקור-02'!$A:$A,$A98,'מקור-02'!$C:$C)+SUMIF('מקור-03'!$A:$A,$A98,'מקור-03'!$C:$C)+SUMIF('מקור-04'!$A:$A,$A98,'מקור-04'!$C:$C)+SUMIF('מקור-05'!$A:$A,$A98,'מקור-05'!$C:$C)+SUMIF('מקור-06'!$A:$A,$A98,'מקור-06'!$C:$C)+SUMIF('מקור-07'!$A:$A,$A98,'מקור-07'!$C:$C)</f>
        <v>338</v>
      </c>
      <c r="D98" s="8" t="n">
        <f aca="false">SUMIF('מקור-01'!$A:$A,$A98,'מקור-01'!$D:$D)+SUMIF('מקור-02'!$A:$A,$A98,'מקור-02'!$D:$D)+SUMIF('מקור-03'!$A:$A,$A98,'מקור-03'!$D:$D)+SUMIF('מקור-04'!$A:$A,$A98,'מקור-04'!$D:$D)+SUMIF('מקור-05'!$A:$A,$A98,'מקור-05'!$D:$D)+SUMIF('מקור-06'!$A:$A,$A98,'מקור-06'!$D:$D)+SUMIF('מקור-07'!$A:$A,$A98,'מקור-07'!$D:$D)</f>
        <v>318</v>
      </c>
      <c r="E98" s="9" t="n">
        <f aca="false">D98-C98</f>
        <v>-20</v>
      </c>
      <c r="F98" s="10" t="n">
        <f aca="false">IF(C98=0,"מוצר חדש",(D98-C98)/C98)</f>
        <v>-0.0591715976331361</v>
      </c>
    </row>
    <row r="99" customFormat="false" ht="15" hidden="false" customHeight="true" outlineLevel="0" collapsed="false">
      <c r="A99" s="7" t="n">
        <v>63361</v>
      </c>
      <c r="B99" s="7" t="s">
        <v>102</v>
      </c>
      <c r="C99" s="8" t="n">
        <f aca="false">SUMIF('מקור-01'!$A:$A,$A99,'מקור-01'!$C:$C)+SUMIF('מקור-02'!$A:$A,$A99,'מקור-02'!$C:$C)+SUMIF('מקור-03'!$A:$A,$A99,'מקור-03'!$C:$C)+SUMIF('מקור-04'!$A:$A,$A99,'מקור-04'!$C:$C)+SUMIF('מקור-05'!$A:$A,$A99,'מקור-05'!$C:$C)+SUMIF('מקור-06'!$A:$A,$A99,'מקור-06'!$C:$C)+SUMIF('מקור-07'!$A:$A,$A99,'מקור-07'!$C:$C)</f>
        <v>202</v>
      </c>
      <c r="D99" s="8" t="n">
        <f aca="false">SUMIF('מקור-01'!$A:$A,$A99,'מקור-01'!$D:$D)+SUMIF('מקור-02'!$A:$A,$A99,'מקור-02'!$D:$D)+SUMIF('מקור-03'!$A:$A,$A99,'מקור-03'!$D:$D)+SUMIF('מקור-04'!$A:$A,$A99,'מקור-04'!$D:$D)+SUMIF('מקור-05'!$A:$A,$A99,'מקור-05'!$D:$D)+SUMIF('מקור-06'!$A:$A,$A99,'מקור-06'!$D:$D)+SUMIF('מקור-07'!$A:$A,$A99,'מקור-07'!$D:$D)</f>
        <v>191</v>
      </c>
      <c r="E99" s="9" t="n">
        <f aca="false">D99-C99</f>
        <v>-11</v>
      </c>
      <c r="F99" s="10" t="n">
        <f aca="false">IF(C99=0,"מוצר חדש",(D99-C99)/C99)</f>
        <v>-0.0544554455445545</v>
      </c>
    </row>
    <row r="100" customFormat="false" ht="15" hidden="false" customHeight="true" outlineLevel="0" collapsed="false">
      <c r="A100" s="7" t="n">
        <v>63366</v>
      </c>
      <c r="B100" s="7" t="s">
        <v>103</v>
      </c>
      <c r="C100" s="8" t="n">
        <f aca="false">SUMIF('מקור-01'!$A:$A,$A100,'מקור-01'!$C:$C)+SUMIF('מקור-02'!$A:$A,$A100,'מקור-02'!$C:$C)+SUMIF('מקור-03'!$A:$A,$A100,'מקור-03'!$C:$C)+SUMIF('מקור-04'!$A:$A,$A100,'מקור-04'!$C:$C)+SUMIF('מקור-05'!$A:$A,$A100,'מקור-05'!$C:$C)+SUMIF('מקור-06'!$A:$A,$A100,'מקור-06'!$C:$C)+SUMIF('מקור-07'!$A:$A,$A100,'מקור-07'!$C:$C)</f>
        <v>156</v>
      </c>
      <c r="D100" s="8" t="n">
        <f aca="false">SUMIF('מקור-01'!$A:$A,$A100,'מקור-01'!$D:$D)+SUMIF('מקור-02'!$A:$A,$A100,'מקור-02'!$D:$D)+SUMIF('מקור-03'!$A:$A,$A100,'מקור-03'!$D:$D)+SUMIF('מקור-04'!$A:$A,$A100,'מקור-04'!$D:$D)+SUMIF('מקור-05'!$A:$A,$A100,'מקור-05'!$D:$D)+SUMIF('מקור-06'!$A:$A,$A100,'מקור-06'!$D:$D)+SUMIF('מקור-07'!$A:$A,$A100,'מקור-07'!$D:$D)</f>
        <v>174</v>
      </c>
      <c r="E100" s="9" t="n">
        <f aca="false">D100-C100</f>
        <v>18</v>
      </c>
      <c r="F100" s="10" t="n">
        <f aca="false">IF(C100=0,"מוצר חדש",(D100-C100)/C100)</f>
        <v>0.115384615384615</v>
      </c>
    </row>
    <row r="101" customFormat="false" ht="15" hidden="false" customHeight="true" outlineLevel="0" collapsed="false">
      <c r="A101" s="7" t="n">
        <v>63367</v>
      </c>
      <c r="B101" s="7" t="s">
        <v>104</v>
      </c>
      <c r="C101" s="8" t="n">
        <f aca="false">SUMIF('מקור-01'!$A:$A,$A101,'מקור-01'!$C:$C)+SUMIF('מקור-02'!$A:$A,$A101,'מקור-02'!$C:$C)+SUMIF('מקור-03'!$A:$A,$A101,'מקור-03'!$C:$C)+SUMIF('מקור-04'!$A:$A,$A101,'מקור-04'!$C:$C)+SUMIF('מקור-05'!$A:$A,$A101,'מקור-05'!$C:$C)+SUMIF('מקור-06'!$A:$A,$A101,'מקור-06'!$C:$C)+SUMIF('מקור-07'!$A:$A,$A101,'מקור-07'!$C:$C)</f>
        <v>189</v>
      </c>
      <c r="D101" s="8" t="n">
        <f aca="false">SUMIF('מקור-01'!$A:$A,$A101,'מקור-01'!$D:$D)+SUMIF('מקור-02'!$A:$A,$A101,'מקור-02'!$D:$D)+SUMIF('מקור-03'!$A:$A,$A101,'מקור-03'!$D:$D)+SUMIF('מקור-04'!$A:$A,$A101,'מקור-04'!$D:$D)+SUMIF('מקור-05'!$A:$A,$A101,'מקור-05'!$D:$D)+SUMIF('מקור-06'!$A:$A,$A101,'מקור-06'!$D:$D)+SUMIF('מקור-07'!$A:$A,$A101,'מקור-07'!$D:$D)</f>
        <v>168</v>
      </c>
      <c r="E101" s="9" t="n">
        <f aca="false">D101-C101</f>
        <v>-21</v>
      </c>
      <c r="F101" s="10" t="n">
        <f aca="false">IF(C101=0,"מוצר חדש",(D101-C101)/C101)</f>
        <v>-0.111111111111111</v>
      </c>
    </row>
    <row r="102" customFormat="false" ht="15" hidden="false" customHeight="true" outlineLevel="0" collapsed="false">
      <c r="A102" s="7" t="n">
        <v>63368</v>
      </c>
      <c r="B102" s="7" t="s">
        <v>105</v>
      </c>
      <c r="C102" s="8" t="n">
        <f aca="false">SUMIF('מקור-01'!$A:$A,$A102,'מקור-01'!$C:$C)+SUMIF('מקור-02'!$A:$A,$A102,'מקור-02'!$C:$C)+SUMIF('מקור-03'!$A:$A,$A102,'מקור-03'!$C:$C)+SUMIF('מקור-04'!$A:$A,$A102,'מקור-04'!$C:$C)+SUMIF('מקור-05'!$A:$A,$A102,'מקור-05'!$C:$C)+SUMIF('מקור-06'!$A:$A,$A102,'מקור-06'!$C:$C)+SUMIF('מקור-07'!$A:$A,$A102,'מקור-07'!$C:$C)</f>
        <v>107</v>
      </c>
      <c r="D102" s="8" t="n">
        <f aca="false">SUMIF('מקור-01'!$A:$A,$A102,'מקור-01'!$D:$D)+SUMIF('מקור-02'!$A:$A,$A102,'מקור-02'!$D:$D)+SUMIF('מקור-03'!$A:$A,$A102,'מקור-03'!$D:$D)+SUMIF('מקור-04'!$A:$A,$A102,'מקור-04'!$D:$D)+SUMIF('מקור-05'!$A:$A,$A102,'מקור-05'!$D:$D)+SUMIF('מקור-06'!$A:$A,$A102,'מקור-06'!$D:$D)+SUMIF('מקור-07'!$A:$A,$A102,'מקור-07'!$D:$D)</f>
        <v>104</v>
      </c>
      <c r="E102" s="9" t="n">
        <f aca="false">D102-C102</f>
        <v>-3</v>
      </c>
      <c r="F102" s="10" t="n">
        <f aca="false">IF(C102=0,"מוצר חדש",(D102-C102)/C102)</f>
        <v>-0.0280373831775701</v>
      </c>
    </row>
    <row r="103" customFormat="false" ht="15" hidden="false" customHeight="true" outlineLevel="0" collapsed="false">
      <c r="A103" s="7" t="n">
        <v>63404</v>
      </c>
      <c r="B103" s="7" t="s">
        <v>106</v>
      </c>
      <c r="C103" s="8" t="n">
        <f aca="false">SUMIF('מקור-01'!$A:$A,$A103,'מקור-01'!$C:$C)+SUMIF('מקור-02'!$A:$A,$A103,'מקור-02'!$C:$C)+SUMIF('מקור-03'!$A:$A,$A103,'מקור-03'!$C:$C)+SUMIF('מקור-04'!$A:$A,$A103,'מקור-04'!$C:$C)+SUMIF('מקור-05'!$A:$A,$A103,'מקור-05'!$C:$C)+SUMIF('מקור-06'!$A:$A,$A103,'מקור-06'!$C:$C)+SUMIF('מקור-07'!$A:$A,$A103,'מקור-07'!$C:$C)</f>
        <v>0</v>
      </c>
      <c r="D103" s="8" t="n">
        <f aca="false">SUMIF('מקור-01'!$A:$A,$A103,'מקור-01'!$D:$D)+SUMIF('מקור-02'!$A:$A,$A103,'מקור-02'!$D:$D)+SUMIF('מקור-03'!$A:$A,$A103,'מקור-03'!$D:$D)+SUMIF('מקור-04'!$A:$A,$A103,'מקור-04'!$D:$D)+SUMIF('מקור-05'!$A:$A,$A103,'מקור-05'!$D:$D)+SUMIF('מקור-06'!$A:$A,$A103,'מקור-06'!$D:$D)+SUMIF('מקור-07'!$A:$A,$A103,'מקור-07'!$D:$D)</f>
        <v>1</v>
      </c>
      <c r="E103" s="9" t="n">
        <f aca="false">D103-C103</f>
        <v>1</v>
      </c>
      <c r="F103" s="10" t="str">
        <f aca="false">IF(C103=0,"מוצר חדש",(D103-C103)/C103)</f>
        <v>מוצר חדש</v>
      </c>
    </row>
    <row r="104" customFormat="false" ht="15" hidden="false" customHeight="true" outlineLevel="0" collapsed="false">
      <c r="A104" s="7" t="n">
        <v>63405</v>
      </c>
      <c r="B104" s="7" t="s">
        <v>107</v>
      </c>
      <c r="C104" s="8" t="n">
        <f aca="false">SUMIF('מקור-01'!$A:$A,$A104,'מקור-01'!$C:$C)+SUMIF('מקור-02'!$A:$A,$A104,'מקור-02'!$C:$C)+SUMIF('מקור-03'!$A:$A,$A104,'מקור-03'!$C:$C)+SUMIF('מקור-04'!$A:$A,$A104,'מקור-04'!$C:$C)+SUMIF('מקור-05'!$A:$A,$A104,'מקור-05'!$C:$C)+SUMIF('מקור-06'!$A:$A,$A104,'מקור-06'!$C:$C)+SUMIF('מקור-07'!$A:$A,$A104,'מקור-07'!$C:$C)</f>
        <v>1</v>
      </c>
      <c r="D104" s="8" t="n">
        <f aca="false">SUMIF('מקור-01'!$A:$A,$A104,'מקור-01'!$D:$D)+SUMIF('מקור-02'!$A:$A,$A104,'מקור-02'!$D:$D)+SUMIF('מקור-03'!$A:$A,$A104,'מקור-03'!$D:$D)+SUMIF('מקור-04'!$A:$A,$A104,'מקור-04'!$D:$D)+SUMIF('מקור-05'!$A:$A,$A104,'מקור-05'!$D:$D)+SUMIF('מקור-06'!$A:$A,$A104,'מקור-06'!$D:$D)+SUMIF('מקור-07'!$A:$A,$A104,'מקור-07'!$D:$D)</f>
        <v>2</v>
      </c>
      <c r="E104" s="9" t="n">
        <f aca="false">D104-C104</f>
        <v>1</v>
      </c>
      <c r="F104" s="10" t="n">
        <f aca="false">IF(C104=0,"מוצר חדש",(D104-C104)/C104)</f>
        <v>1</v>
      </c>
    </row>
    <row r="105" customFormat="false" ht="15" hidden="false" customHeight="true" outlineLevel="0" collapsed="false">
      <c r="A105" s="7" t="n">
        <v>63406</v>
      </c>
      <c r="B105" s="7" t="s">
        <v>108</v>
      </c>
      <c r="C105" s="8" t="n">
        <f aca="false">SUMIF('מקור-01'!$A:$A,$A105,'מקור-01'!$C:$C)+SUMIF('מקור-02'!$A:$A,$A105,'מקור-02'!$C:$C)+SUMIF('מקור-03'!$A:$A,$A105,'מקור-03'!$C:$C)+SUMIF('מקור-04'!$A:$A,$A105,'מקור-04'!$C:$C)+SUMIF('מקור-05'!$A:$A,$A105,'מקור-05'!$C:$C)+SUMIF('מקור-06'!$A:$A,$A105,'מקור-06'!$C:$C)+SUMIF('מקור-07'!$A:$A,$A105,'מקור-07'!$C:$C)</f>
        <v>8</v>
      </c>
      <c r="D105" s="8" t="n">
        <f aca="false">SUMIF('מקור-01'!$A:$A,$A105,'מקור-01'!$D:$D)+SUMIF('מקור-02'!$A:$A,$A105,'מקור-02'!$D:$D)+SUMIF('מקור-03'!$A:$A,$A105,'מקור-03'!$D:$D)+SUMIF('מקור-04'!$A:$A,$A105,'מקור-04'!$D:$D)+SUMIF('מקור-05'!$A:$A,$A105,'מקור-05'!$D:$D)+SUMIF('מקור-06'!$A:$A,$A105,'מקור-06'!$D:$D)+SUMIF('מקור-07'!$A:$A,$A105,'מקור-07'!$D:$D)</f>
        <v>4</v>
      </c>
      <c r="E105" s="9" t="n">
        <f aca="false">D105-C105</f>
        <v>-4</v>
      </c>
      <c r="F105" s="10" t="n">
        <f aca="false">IF(C105=0,"מוצר חדש",(D105-C105)/C105)</f>
        <v>-0.5</v>
      </c>
    </row>
    <row r="106" customFormat="false" ht="15" hidden="false" customHeight="true" outlineLevel="0" collapsed="false">
      <c r="A106" s="7" t="n">
        <v>63407</v>
      </c>
      <c r="B106" s="7" t="s">
        <v>109</v>
      </c>
      <c r="C106" s="8" t="n">
        <f aca="false">SUMIF('מקור-01'!$A:$A,$A106,'מקור-01'!$C:$C)+SUMIF('מקור-02'!$A:$A,$A106,'מקור-02'!$C:$C)+SUMIF('מקור-03'!$A:$A,$A106,'מקור-03'!$C:$C)+SUMIF('מקור-04'!$A:$A,$A106,'מקור-04'!$C:$C)+SUMIF('מקור-05'!$A:$A,$A106,'מקור-05'!$C:$C)+SUMIF('מקור-06'!$A:$A,$A106,'מקור-06'!$C:$C)+SUMIF('מקור-07'!$A:$A,$A106,'מקור-07'!$C:$C)</f>
        <v>3</v>
      </c>
      <c r="D106" s="8" t="n">
        <f aca="false">SUMIF('מקור-01'!$A:$A,$A106,'מקור-01'!$D:$D)+SUMIF('מקור-02'!$A:$A,$A106,'מקור-02'!$D:$D)+SUMIF('מקור-03'!$A:$A,$A106,'מקור-03'!$D:$D)+SUMIF('מקור-04'!$A:$A,$A106,'מקור-04'!$D:$D)+SUMIF('מקור-05'!$A:$A,$A106,'מקור-05'!$D:$D)+SUMIF('מקור-06'!$A:$A,$A106,'מקור-06'!$D:$D)+SUMIF('מקור-07'!$A:$A,$A106,'מקור-07'!$D:$D)</f>
        <v>4</v>
      </c>
      <c r="E106" s="9" t="n">
        <f aca="false">D106-C106</f>
        <v>1</v>
      </c>
      <c r="F106" s="10" t="n">
        <f aca="false">IF(C106=0,"מוצר חדש",(D106-C106)/C106)</f>
        <v>0.333333333333333</v>
      </c>
    </row>
    <row r="107" customFormat="false" ht="15" hidden="false" customHeight="true" outlineLevel="0" collapsed="false">
      <c r="A107" s="7" t="n">
        <v>63414</v>
      </c>
      <c r="B107" s="7" t="s">
        <v>110</v>
      </c>
      <c r="C107" s="8" t="n">
        <f aca="false">SUMIF('מקור-01'!$A:$A,$A107,'מקור-01'!$C:$C)+SUMIF('מקור-02'!$A:$A,$A107,'מקור-02'!$C:$C)+SUMIF('מקור-03'!$A:$A,$A107,'מקור-03'!$C:$C)+SUMIF('מקור-04'!$A:$A,$A107,'מקור-04'!$C:$C)+SUMIF('מקור-05'!$A:$A,$A107,'מקור-05'!$C:$C)+SUMIF('מקור-06'!$A:$A,$A107,'מקור-06'!$C:$C)+SUMIF('מקור-07'!$A:$A,$A107,'מקור-07'!$C:$C)</f>
        <v>140</v>
      </c>
      <c r="D107" s="8" t="n">
        <f aca="false">SUMIF('מקור-01'!$A:$A,$A107,'מקור-01'!$D:$D)+SUMIF('מקור-02'!$A:$A,$A107,'מקור-02'!$D:$D)+SUMIF('מקור-03'!$A:$A,$A107,'מקור-03'!$D:$D)+SUMIF('מקור-04'!$A:$A,$A107,'מקור-04'!$D:$D)+SUMIF('מקור-05'!$A:$A,$A107,'מקור-05'!$D:$D)+SUMIF('מקור-06'!$A:$A,$A107,'מקור-06'!$D:$D)+SUMIF('מקור-07'!$A:$A,$A107,'מקור-07'!$D:$D)</f>
        <v>149</v>
      </c>
      <c r="E107" s="9" t="n">
        <f aca="false">D107-C107</f>
        <v>9</v>
      </c>
      <c r="F107" s="10" t="n">
        <f aca="false">IF(C107=0,"מוצר חדש",(D107-C107)/C107)</f>
        <v>0.0642857142857143</v>
      </c>
    </row>
    <row r="108" customFormat="false" ht="15" hidden="false" customHeight="true" outlineLevel="0" collapsed="false">
      <c r="A108" s="7" t="n">
        <v>63415</v>
      </c>
      <c r="B108" s="7" t="s">
        <v>111</v>
      </c>
      <c r="C108" s="8" t="n">
        <f aca="false">SUMIF('מקור-01'!$A:$A,$A108,'מקור-01'!$C:$C)+SUMIF('מקור-02'!$A:$A,$A108,'מקור-02'!$C:$C)+SUMIF('מקור-03'!$A:$A,$A108,'מקור-03'!$C:$C)+SUMIF('מקור-04'!$A:$A,$A108,'מקור-04'!$C:$C)+SUMIF('מקור-05'!$A:$A,$A108,'מקור-05'!$C:$C)+SUMIF('מקור-06'!$A:$A,$A108,'מקור-06'!$C:$C)+SUMIF('מקור-07'!$A:$A,$A108,'מקור-07'!$C:$C)</f>
        <v>187</v>
      </c>
      <c r="D108" s="8" t="n">
        <f aca="false">SUMIF('מקור-01'!$A:$A,$A108,'מקור-01'!$D:$D)+SUMIF('מקור-02'!$A:$A,$A108,'מקור-02'!$D:$D)+SUMIF('מקור-03'!$A:$A,$A108,'מקור-03'!$D:$D)+SUMIF('מקור-04'!$A:$A,$A108,'מקור-04'!$D:$D)+SUMIF('מקור-05'!$A:$A,$A108,'מקור-05'!$D:$D)+SUMIF('מקור-06'!$A:$A,$A108,'מקור-06'!$D:$D)+SUMIF('מקור-07'!$A:$A,$A108,'מקור-07'!$D:$D)</f>
        <v>209</v>
      </c>
      <c r="E108" s="9" t="n">
        <f aca="false">D108-C108</f>
        <v>22</v>
      </c>
      <c r="F108" s="10" t="n">
        <f aca="false">IF(C108=0,"מוצר חדש",(D108-C108)/C108)</f>
        <v>0.117647058823529</v>
      </c>
    </row>
    <row r="109" customFormat="false" ht="15" hidden="false" customHeight="true" outlineLevel="0" collapsed="false">
      <c r="A109" s="7" t="n">
        <v>63416</v>
      </c>
      <c r="B109" s="7" t="s">
        <v>112</v>
      </c>
      <c r="C109" s="8" t="n">
        <f aca="false">SUMIF('מקור-01'!$A:$A,$A109,'מקור-01'!$C:$C)+SUMIF('מקור-02'!$A:$A,$A109,'מקור-02'!$C:$C)+SUMIF('מקור-03'!$A:$A,$A109,'מקור-03'!$C:$C)+SUMIF('מקור-04'!$A:$A,$A109,'מקור-04'!$C:$C)+SUMIF('מקור-05'!$A:$A,$A109,'מקור-05'!$C:$C)+SUMIF('מקור-06'!$A:$A,$A109,'מקור-06'!$C:$C)+SUMIF('מקור-07'!$A:$A,$A109,'מקור-07'!$C:$C)</f>
        <v>70</v>
      </c>
      <c r="D109" s="8" t="n">
        <f aca="false">SUMIF('מקור-01'!$A:$A,$A109,'מקור-01'!$D:$D)+SUMIF('מקור-02'!$A:$A,$A109,'מקור-02'!$D:$D)+SUMIF('מקור-03'!$A:$A,$A109,'מקור-03'!$D:$D)+SUMIF('מקור-04'!$A:$A,$A109,'מקור-04'!$D:$D)+SUMIF('מקור-05'!$A:$A,$A109,'מקור-05'!$D:$D)+SUMIF('מקור-06'!$A:$A,$A109,'מקור-06'!$D:$D)+SUMIF('מקור-07'!$A:$A,$A109,'מקור-07'!$D:$D)</f>
        <v>71</v>
      </c>
      <c r="E109" s="9" t="n">
        <f aca="false">D109-C109</f>
        <v>1</v>
      </c>
      <c r="F109" s="10" t="n">
        <f aca="false">IF(C109=0,"מוצר חדש",(D109-C109)/C109)</f>
        <v>0.0142857142857143</v>
      </c>
    </row>
    <row r="110" customFormat="false" ht="15" hidden="false" customHeight="true" outlineLevel="0" collapsed="false">
      <c r="A110" s="7" t="n">
        <v>63417</v>
      </c>
      <c r="B110" s="7" t="s">
        <v>113</v>
      </c>
      <c r="C110" s="8" t="n">
        <f aca="false">SUMIF('מקור-01'!$A:$A,$A110,'מקור-01'!$C:$C)+SUMIF('מקור-02'!$A:$A,$A110,'מקור-02'!$C:$C)+SUMIF('מקור-03'!$A:$A,$A110,'מקור-03'!$C:$C)+SUMIF('מקור-04'!$A:$A,$A110,'מקור-04'!$C:$C)+SUMIF('מקור-05'!$A:$A,$A110,'מקור-05'!$C:$C)+SUMIF('מקור-06'!$A:$A,$A110,'מקור-06'!$C:$C)+SUMIF('מקור-07'!$A:$A,$A110,'מקור-07'!$C:$C)</f>
        <v>37</v>
      </c>
      <c r="D110" s="8" t="n">
        <f aca="false">SUMIF('מקור-01'!$A:$A,$A110,'מקור-01'!$D:$D)+SUMIF('מקור-02'!$A:$A,$A110,'מקור-02'!$D:$D)+SUMIF('מקור-03'!$A:$A,$A110,'מקור-03'!$D:$D)+SUMIF('מקור-04'!$A:$A,$A110,'מקור-04'!$D:$D)+SUMIF('מקור-05'!$A:$A,$A110,'מקור-05'!$D:$D)+SUMIF('מקור-06'!$A:$A,$A110,'מקור-06'!$D:$D)+SUMIF('מקור-07'!$A:$A,$A110,'מקור-07'!$D:$D)</f>
        <v>31</v>
      </c>
      <c r="E110" s="9" t="n">
        <f aca="false">D110-C110</f>
        <v>-6</v>
      </c>
      <c r="F110" s="10" t="n">
        <f aca="false">IF(C110=0,"מוצר חדש",(D110-C110)/C110)</f>
        <v>-0.162162162162162</v>
      </c>
    </row>
    <row r="111" customFormat="false" ht="15" hidden="false" customHeight="true" outlineLevel="0" collapsed="false">
      <c r="A111" s="7" t="n">
        <v>63418</v>
      </c>
      <c r="B111" s="7" t="s">
        <v>114</v>
      </c>
      <c r="C111" s="8" t="n">
        <f aca="false">SUMIF('מקור-01'!$A:$A,$A111,'מקור-01'!$C:$C)+SUMIF('מקור-02'!$A:$A,$A111,'מקור-02'!$C:$C)+SUMIF('מקור-03'!$A:$A,$A111,'מקור-03'!$C:$C)+SUMIF('מקור-04'!$A:$A,$A111,'מקור-04'!$C:$C)+SUMIF('מקור-05'!$A:$A,$A111,'מקור-05'!$C:$C)+SUMIF('מקור-06'!$A:$A,$A111,'מקור-06'!$C:$C)+SUMIF('מקור-07'!$A:$A,$A111,'מקור-07'!$C:$C)</f>
        <v>44</v>
      </c>
      <c r="D111" s="8" t="n">
        <f aca="false">SUMIF('מקור-01'!$A:$A,$A111,'מקור-01'!$D:$D)+SUMIF('מקור-02'!$A:$A,$A111,'מקור-02'!$D:$D)+SUMIF('מקור-03'!$A:$A,$A111,'מקור-03'!$D:$D)+SUMIF('מקור-04'!$A:$A,$A111,'מקור-04'!$D:$D)+SUMIF('מקור-05'!$A:$A,$A111,'מקור-05'!$D:$D)+SUMIF('מקור-06'!$A:$A,$A111,'מקור-06'!$D:$D)+SUMIF('מקור-07'!$A:$A,$A111,'מקור-07'!$D:$D)</f>
        <v>39</v>
      </c>
      <c r="E111" s="9" t="n">
        <f aca="false">D111-C111</f>
        <v>-5</v>
      </c>
      <c r="F111" s="10" t="n">
        <f aca="false">IF(C111=0,"מוצר חדש",(D111-C111)/C111)</f>
        <v>-0.113636363636364</v>
      </c>
    </row>
    <row r="112" customFormat="false" ht="15" hidden="false" customHeight="true" outlineLevel="0" collapsed="false">
      <c r="A112" s="7" t="n">
        <v>63419</v>
      </c>
      <c r="B112" s="7" t="s">
        <v>115</v>
      </c>
      <c r="C112" s="8" t="n">
        <f aca="false">SUMIF('מקור-01'!$A:$A,$A112,'מקור-01'!$C:$C)+SUMIF('מקור-02'!$A:$A,$A112,'מקור-02'!$C:$C)+SUMIF('מקור-03'!$A:$A,$A112,'מקור-03'!$C:$C)+SUMIF('מקור-04'!$A:$A,$A112,'מקור-04'!$C:$C)+SUMIF('מקור-05'!$A:$A,$A112,'מקור-05'!$C:$C)+SUMIF('מקור-06'!$A:$A,$A112,'מקור-06'!$C:$C)+SUMIF('מקור-07'!$A:$A,$A112,'מקור-07'!$C:$C)</f>
        <v>21</v>
      </c>
      <c r="D112" s="8" t="n">
        <f aca="false">SUMIF('מקור-01'!$A:$A,$A112,'מקור-01'!$D:$D)+SUMIF('מקור-02'!$A:$A,$A112,'מקור-02'!$D:$D)+SUMIF('מקור-03'!$A:$A,$A112,'מקור-03'!$D:$D)+SUMIF('מקור-04'!$A:$A,$A112,'מקור-04'!$D:$D)+SUMIF('מקור-05'!$A:$A,$A112,'מקור-05'!$D:$D)+SUMIF('מקור-06'!$A:$A,$A112,'מקור-06'!$D:$D)+SUMIF('מקור-07'!$A:$A,$A112,'מקור-07'!$D:$D)</f>
        <v>32</v>
      </c>
      <c r="E112" s="9" t="n">
        <f aca="false">D112-C112</f>
        <v>11</v>
      </c>
      <c r="F112" s="10" t="n">
        <f aca="false">IF(C112=0,"מוצר חדש",(D112-C112)/C112)</f>
        <v>0.523809523809524</v>
      </c>
    </row>
    <row r="113" customFormat="false" ht="15" hidden="false" customHeight="true" outlineLevel="0" collapsed="false">
      <c r="A113" s="7" t="n">
        <v>63420</v>
      </c>
      <c r="B113" s="7" t="s">
        <v>116</v>
      </c>
      <c r="C113" s="8" t="n">
        <f aca="false">SUMIF('מקור-01'!$A:$A,$A113,'מקור-01'!$C:$C)+SUMIF('מקור-02'!$A:$A,$A113,'מקור-02'!$C:$C)+SUMIF('מקור-03'!$A:$A,$A113,'מקור-03'!$C:$C)+SUMIF('מקור-04'!$A:$A,$A113,'מקור-04'!$C:$C)+SUMIF('מקור-05'!$A:$A,$A113,'מקור-05'!$C:$C)+SUMIF('מקור-06'!$A:$A,$A113,'מקור-06'!$C:$C)+SUMIF('מקור-07'!$A:$A,$A113,'מקור-07'!$C:$C)</f>
        <v>147</v>
      </c>
      <c r="D113" s="8" t="n">
        <f aca="false">SUMIF('מקור-01'!$A:$A,$A113,'מקור-01'!$D:$D)+SUMIF('מקור-02'!$A:$A,$A113,'מקור-02'!$D:$D)+SUMIF('מקור-03'!$A:$A,$A113,'מקור-03'!$D:$D)+SUMIF('מקור-04'!$A:$A,$A113,'מקור-04'!$D:$D)+SUMIF('מקור-05'!$A:$A,$A113,'מקור-05'!$D:$D)+SUMIF('מקור-06'!$A:$A,$A113,'מקור-06'!$D:$D)+SUMIF('מקור-07'!$A:$A,$A113,'מקור-07'!$D:$D)</f>
        <v>150</v>
      </c>
      <c r="E113" s="9" t="n">
        <f aca="false">D113-C113</f>
        <v>3</v>
      </c>
      <c r="F113" s="10" t="n">
        <f aca="false">IF(C113=0,"מוצר חדש",(D113-C113)/C113)</f>
        <v>0.0204081632653061</v>
      </c>
    </row>
    <row r="114" customFormat="false" ht="15" hidden="false" customHeight="true" outlineLevel="0" collapsed="false">
      <c r="A114" s="7" t="n">
        <v>63421</v>
      </c>
      <c r="B114" s="7" t="s">
        <v>117</v>
      </c>
      <c r="C114" s="8" t="n">
        <f aca="false">SUMIF('מקור-01'!$A:$A,$A114,'מקור-01'!$C:$C)+SUMIF('מקור-02'!$A:$A,$A114,'מקור-02'!$C:$C)+SUMIF('מקור-03'!$A:$A,$A114,'מקור-03'!$C:$C)+SUMIF('מקור-04'!$A:$A,$A114,'מקור-04'!$C:$C)+SUMIF('מקור-05'!$A:$A,$A114,'מקור-05'!$C:$C)+SUMIF('מקור-06'!$A:$A,$A114,'מקור-06'!$C:$C)+SUMIF('מקור-07'!$A:$A,$A114,'מקור-07'!$C:$C)</f>
        <v>105</v>
      </c>
      <c r="D114" s="8" t="n">
        <f aca="false">SUMIF('מקור-01'!$A:$A,$A114,'מקור-01'!$D:$D)+SUMIF('מקור-02'!$A:$A,$A114,'מקור-02'!$D:$D)+SUMIF('מקור-03'!$A:$A,$A114,'מקור-03'!$D:$D)+SUMIF('מקור-04'!$A:$A,$A114,'מקור-04'!$D:$D)+SUMIF('מקור-05'!$A:$A,$A114,'מקור-05'!$D:$D)+SUMIF('מקור-06'!$A:$A,$A114,'מקור-06'!$D:$D)+SUMIF('מקור-07'!$A:$A,$A114,'מקור-07'!$D:$D)</f>
        <v>109</v>
      </c>
      <c r="E114" s="9" t="n">
        <f aca="false">D114-C114</f>
        <v>4</v>
      </c>
      <c r="F114" s="10" t="n">
        <f aca="false">IF(C114=0,"מוצר חדש",(D114-C114)/C114)</f>
        <v>0.0380952380952381</v>
      </c>
    </row>
    <row r="115" customFormat="false" ht="15" hidden="false" customHeight="true" outlineLevel="0" collapsed="false">
      <c r="A115" s="7" t="n">
        <v>63422</v>
      </c>
      <c r="B115" s="7" t="s">
        <v>118</v>
      </c>
      <c r="C115" s="8" t="n">
        <f aca="false">SUMIF('מקור-01'!$A:$A,$A115,'מקור-01'!$C:$C)+SUMIF('מקור-02'!$A:$A,$A115,'מקור-02'!$C:$C)+SUMIF('מקור-03'!$A:$A,$A115,'מקור-03'!$C:$C)+SUMIF('מקור-04'!$A:$A,$A115,'מקור-04'!$C:$C)+SUMIF('מקור-05'!$A:$A,$A115,'מקור-05'!$C:$C)+SUMIF('מקור-06'!$A:$A,$A115,'מקור-06'!$C:$C)+SUMIF('מקור-07'!$A:$A,$A115,'מקור-07'!$C:$C)</f>
        <v>40</v>
      </c>
      <c r="D115" s="8" t="n">
        <f aca="false">SUMIF('מקור-01'!$A:$A,$A115,'מקור-01'!$D:$D)+SUMIF('מקור-02'!$A:$A,$A115,'מקור-02'!$D:$D)+SUMIF('מקור-03'!$A:$A,$A115,'מקור-03'!$D:$D)+SUMIF('מקור-04'!$A:$A,$A115,'מקור-04'!$D:$D)+SUMIF('מקור-05'!$A:$A,$A115,'מקור-05'!$D:$D)+SUMIF('מקור-06'!$A:$A,$A115,'מקור-06'!$D:$D)+SUMIF('מקור-07'!$A:$A,$A115,'מקור-07'!$D:$D)</f>
        <v>48</v>
      </c>
      <c r="E115" s="9" t="n">
        <f aca="false">D115-C115</f>
        <v>8</v>
      </c>
      <c r="F115" s="10" t="n">
        <f aca="false">IF(C115=0,"מוצר חדש",(D115-C115)/C115)</f>
        <v>0.2</v>
      </c>
    </row>
    <row r="116" customFormat="false" ht="15" hidden="false" customHeight="true" outlineLevel="0" collapsed="false">
      <c r="A116" s="7" t="n">
        <v>63449</v>
      </c>
      <c r="B116" s="7" t="s">
        <v>119</v>
      </c>
      <c r="C116" s="8" t="n">
        <f aca="false">SUMIF('מקור-01'!$A:$A,$A116,'מקור-01'!$C:$C)+SUMIF('מקור-02'!$A:$A,$A116,'מקור-02'!$C:$C)+SUMIF('מקור-03'!$A:$A,$A116,'מקור-03'!$C:$C)+SUMIF('מקור-04'!$A:$A,$A116,'מקור-04'!$C:$C)+SUMIF('מקור-05'!$A:$A,$A116,'מקור-05'!$C:$C)+SUMIF('מקור-06'!$A:$A,$A116,'מקור-06'!$C:$C)+SUMIF('מקור-07'!$A:$A,$A116,'מקור-07'!$C:$C)</f>
        <v>39</v>
      </c>
      <c r="D116" s="8" t="n">
        <f aca="false">SUMIF('מקור-01'!$A:$A,$A116,'מקור-01'!$D:$D)+SUMIF('מקור-02'!$A:$A,$A116,'מקור-02'!$D:$D)+SUMIF('מקור-03'!$A:$A,$A116,'מקור-03'!$D:$D)+SUMIF('מקור-04'!$A:$A,$A116,'מקור-04'!$D:$D)+SUMIF('מקור-05'!$A:$A,$A116,'מקור-05'!$D:$D)+SUMIF('מקור-06'!$A:$A,$A116,'מקור-06'!$D:$D)+SUMIF('מקור-07'!$A:$A,$A116,'מקור-07'!$D:$D)</f>
        <v>34</v>
      </c>
      <c r="E116" s="9" t="n">
        <f aca="false">D116-C116</f>
        <v>-5</v>
      </c>
      <c r="F116" s="10" t="n">
        <f aca="false">IF(C116=0,"מוצר חדש",(D116-C116)/C116)</f>
        <v>-0.128205128205128</v>
      </c>
    </row>
    <row r="117" customFormat="false" ht="15" hidden="false" customHeight="true" outlineLevel="0" collapsed="false">
      <c r="A117" s="7" t="n">
        <v>64630</v>
      </c>
      <c r="B117" s="7" t="s">
        <v>120</v>
      </c>
      <c r="C117" s="8" t="n">
        <f aca="false">SUMIF('מקור-01'!$A:$A,$A117,'מקור-01'!$C:$C)+SUMIF('מקור-02'!$A:$A,$A117,'מקור-02'!$C:$C)+SUMIF('מקור-03'!$A:$A,$A117,'מקור-03'!$C:$C)+SUMIF('מקור-04'!$A:$A,$A117,'מקור-04'!$C:$C)+SUMIF('מקור-05'!$A:$A,$A117,'מקור-05'!$C:$C)+SUMIF('מקור-06'!$A:$A,$A117,'מקור-06'!$C:$C)+SUMIF('מקור-07'!$A:$A,$A117,'מקור-07'!$C:$C)</f>
        <v>1</v>
      </c>
      <c r="D117" s="8" t="n">
        <f aca="false">SUMIF('מקור-01'!$A:$A,$A117,'מקור-01'!$D:$D)+SUMIF('מקור-02'!$A:$A,$A117,'מקור-02'!$D:$D)+SUMIF('מקור-03'!$A:$A,$A117,'מקור-03'!$D:$D)+SUMIF('מקור-04'!$A:$A,$A117,'מקור-04'!$D:$D)+SUMIF('מקור-05'!$A:$A,$A117,'מקור-05'!$D:$D)+SUMIF('מקור-06'!$A:$A,$A117,'מקור-06'!$D:$D)+SUMIF('מקור-07'!$A:$A,$A117,'מקור-07'!$D:$D)</f>
        <v>5</v>
      </c>
      <c r="E117" s="9" t="n">
        <f aca="false">D117-C117</f>
        <v>4</v>
      </c>
      <c r="F117" s="10" t="n">
        <f aca="false">IF(C117=0,"מוצר חדש",(D117-C117)/C117)</f>
        <v>4</v>
      </c>
    </row>
    <row r="118" customFormat="false" ht="15" hidden="false" customHeight="true" outlineLevel="0" collapsed="false">
      <c r="A118" s="7" t="n">
        <v>64631</v>
      </c>
      <c r="B118" s="7" t="s">
        <v>121</v>
      </c>
      <c r="C118" s="8" t="n">
        <f aca="false">SUMIF('מקור-01'!$A:$A,$A118,'מקור-01'!$C:$C)+SUMIF('מקור-02'!$A:$A,$A118,'מקור-02'!$C:$C)+SUMIF('מקור-03'!$A:$A,$A118,'מקור-03'!$C:$C)+SUMIF('מקור-04'!$A:$A,$A118,'מקור-04'!$C:$C)+SUMIF('מקור-05'!$A:$A,$A118,'מקור-05'!$C:$C)+SUMIF('מקור-06'!$A:$A,$A118,'מקור-06'!$C:$C)+SUMIF('מקור-07'!$A:$A,$A118,'מקור-07'!$C:$C)</f>
        <v>14</v>
      </c>
      <c r="D118" s="8" t="n">
        <f aca="false">SUMIF('מקור-01'!$A:$A,$A118,'מקור-01'!$D:$D)+SUMIF('מקור-02'!$A:$A,$A118,'מקור-02'!$D:$D)+SUMIF('מקור-03'!$A:$A,$A118,'מקור-03'!$D:$D)+SUMIF('מקור-04'!$A:$A,$A118,'מקור-04'!$D:$D)+SUMIF('מקור-05'!$A:$A,$A118,'מקור-05'!$D:$D)+SUMIF('מקור-06'!$A:$A,$A118,'מקור-06'!$D:$D)+SUMIF('מקור-07'!$A:$A,$A118,'מקור-07'!$D:$D)</f>
        <v>9</v>
      </c>
      <c r="E118" s="9" t="n">
        <f aca="false">D118-C118</f>
        <v>-5</v>
      </c>
      <c r="F118" s="10" t="n">
        <f aca="false">IF(C118=0,"מוצר חדש",(D118-C118)/C118)</f>
        <v>-0.357142857142857</v>
      </c>
    </row>
    <row r="119" customFormat="false" ht="15" hidden="false" customHeight="true" outlineLevel="0" collapsed="false">
      <c r="A119" s="7" t="n">
        <v>64632</v>
      </c>
      <c r="B119" s="7" t="s">
        <v>122</v>
      </c>
      <c r="C119" s="8" t="n">
        <f aca="false">SUMIF('מקור-01'!$A:$A,$A119,'מקור-01'!$C:$C)+SUMIF('מקור-02'!$A:$A,$A119,'מקור-02'!$C:$C)+SUMIF('מקור-03'!$A:$A,$A119,'מקור-03'!$C:$C)+SUMIF('מקור-04'!$A:$A,$A119,'מקור-04'!$C:$C)+SUMIF('מקור-05'!$A:$A,$A119,'מקור-05'!$C:$C)+SUMIF('מקור-06'!$A:$A,$A119,'מקור-06'!$C:$C)+SUMIF('מקור-07'!$A:$A,$A119,'מקור-07'!$C:$C)</f>
        <v>8</v>
      </c>
      <c r="D119" s="8" t="n">
        <f aca="false">SUMIF('מקור-01'!$A:$A,$A119,'מקור-01'!$D:$D)+SUMIF('מקור-02'!$A:$A,$A119,'מקור-02'!$D:$D)+SUMIF('מקור-03'!$A:$A,$A119,'מקור-03'!$D:$D)+SUMIF('מקור-04'!$A:$A,$A119,'מקור-04'!$D:$D)+SUMIF('מקור-05'!$A:$A,$A119,'מקור-05'!$D:$D)+SUMIF('מקור-06'!$A:$A,$A119,'מקור-06'!$D:$D)+SUMIF('מקור-07'!$A:$A,$A119,'מקור-07'!$D:$D)</f>
        <v>9</v>
      </c>
      <c r="E119" s="9" t="n">
        <f aca="false">D119-C119</f>
        <v>1</v>
      </c>
      <c r="F119" s="10" t="n">
        <f aca="false">IF(C119=0,"מוצר חדש",(D119-C119)/C119)</f>
        <v>0.125</v>
      </c>
    </row>
    <row r="120" customFormat="false" ht="15" hidden="false" customHeight="true" outlineLevel="0" collapsed="false">
      <c r="A120" s="7" t="n">
        <v>64633</v>
      </c>
      <c r="B120" s="7" t="s">
        <v>123</v>
      </c>
      <c r="C120" s="8" t="n">
        <f aca="false">SUMIF('מקור-01'!$A:$A,$A120,'מקור-01'!$C:$C)+SUMIF('מקור-02'!$A:$A,$A120,'מקור-02'!$C:$C)+SUMIF('מקור-03'!$A:$A,$A120,'מקור-03'!$C:$C)+SUMIF('מקור-04'!$A:$A,$A120,'מקור-04'!$C:$C)+SUMIF('מקור-05'!$A:$A,$A120,'מקור-05'!$C:$C)+SUMIF('מקור-06'!$A:$A,$A120,'מקור-06'!$C:$C)+SUMIF('מקור-07'!$A:$A,$A120,'מקור-07'!$C:$C)</f>
        <v>6</v>
      </c>
      <c r="D120" s="8" t="n">
        <f aca="false">SUMIF('מקור-01'!$A:$A,$A120,'מקור-01'!$D:$D)+SUMIF('מקור-02'!$A:$A,$A120,'מקור-02'!$D:$D)+SUMIF('מקור-03'!$A:$A,$A120,'מקור-03'!$D:$D)+SUMIF('מקור-04'!$A:$A,$A120,'מקור-04'!$D:$D)+SUMIF('מקור-05'!$A:$A,$A120,'מקור-05'!$D:$D)+SUMIF('מקור-06'!$A:$A,$A120,'מקור-06'!$D:$D)+SUMIF('מקור-07'!$A:$A,$A120,'מקור-07'!$D:$D)</f>
        <v>6</v>
      </c>
      <c r="E120" s="9" t="n">
        <f aca="false">D120-C120</f>
        <v>0</v>
      </c>
      <c r="F120" s="10" t="n">
        <f aca="false">IF(C120=0,"מוצר חדש",(D120-C120)/C120)</f>
        <v>0</v>
      </c>
    </row>
    <row r="121" customFormat="false" ht="15" hidden="false" customHeight="true" outlineLevel="0" collapsed="false">
      <c r="A121" s="7" t="n">
        <v>64634</v>
      </c>
      <c r="B121" s="7" t="s">
        <v>124</v>
      </c>
      <c r="C121" s="8" t="n">
        <f aca="false">SUMIF('מקור-01'!$A:$A,$A121,'מקור-01'!$C:$C)+SUMIF('מקור-02'!$A:$A,$A121,'מקור-02'!$C:$C)+SUMIF('מקור-03'!$A:$A,$A121,'מקור-03'!$C:$C)+SUMIF('מקור-04'!$A:$A,$A121,'מקור-04'!$C:$C)+SUMIF('מקור-05'!$A:$A,$A121,'מקור-05'!$C:$C)+SUMIF('מקור-06'!$A:$A,$A121,'מקור-06'!$C:$C)+SUMIF('מקור-07'!$A:$A,$A121,'מקור-07'!$C:$C)</f>
        <v>22</v>
      </c>
      <c r="D121" s="8" t="n">
        <f aca="false">SUMIF('מקור-01'!$A:$A,$A121,'מקור-01'!$D:$D)+SUMIF('מקור-02'!$A:$A,$A121,'מקור-02'!$D:$D)+SUMIF('מקור-03'!$A:$A,$A121,'מקור-03'!$D:$D)+SUMIF('מקור-04'!$A:$A,$A121,'מקור-04'!$D:$D)+SUMIF('מקור-05'!$A:$A,$A121,'מקור-05'!$D:$D)+SUMIF('מקור-06'!$A:$A,$A121,'מקור-06'!$D:$D)+SUMIF('מקור-07'!$A:$A,$A121,'מקור-07'!$D:$D)</f>
        <v>28</v>
      </c>
      <c r="E121" s="9" t="n">
        <f aca="false">D121-C121</f>
        <v>6</v>
      </c>
      <c r="F121" s="10" t="n">
        <f aca="false">IF(C121=0,"מוצר חדש",(D121-C121)/C121)</f>
        <v>0.272727272727273</v>
      </c>
    </row>
    <row r="122" customFormat="false" ht="15" hidden="false" customHeight="true" outlineLevel="0" collapsed="false">
      <c r="A122" s="7" t="n">
        <v>64635</v>
      </c>
      <c r="B122" s="7" t="s">
        <v>125</v>
      </c>
      <c r="C122" s="8" t="n">
        <f aca="false">SUMIF('מקור-01'!$A:$A,$A122,'מקור-01'!$C:$C)+SUMIF('מקור-02'!$A:$A,$A122,'מקור-02'!$C:$C)+SUMIF('מקור-03'!$A:$A,$A122,'מקור-03'!$C:$C)+SUMIF('מקור-04'!$A:$A,$A122,'מקור-04'!$C:$C)+SUMIF('מקור-05'!$A:$A,$A122,'מקור-05'!$C:$C)+SUMIF('מקור-06'!$A:$A,$A122,'מקור-06'!$C:$C)+SUMIF('מקור-07'!$A:$A,$A122,'מקור-07'!$C:$C)</f>
        <v>25</v>
      </c>
      <c r="D122" s="8" t="n">
        <f aca="false">SUMIF('מקור-01'!$A:$A,$A122,'מקור-01'!$D:$D)+SUMIF('מקור-02'!$A:$A,$A122,'מקור-02'!$D:$D)+SUMIF('מקור-03'!$A:$A,$A122,'מקור-03'!$D:$D)+SUMIF('מקור-04'!$A:$A,$A122,'מקור-04'!$D:$D)+SUMIF('מקור-05'!$A:$A,$A122,'מקור-05'!$D:$D)+SUMIF('מקור-06'!$A:$A,$A122,'מקור-06'!$D:$D)+SUMIF('מקור-07'!$A:$A,$A122,'מקור-07'!$D:$D)</f>
        <v>58</v>
      </c>
      <c r="E122" s="9" t="n">
        <f aca="false">D122-C122</f>
        <v>33</v>
      </c>
      <c r="F122" s="10" t="n">
        <f aca="false">IF(C122=0,"מוצר חדש",(D122-C122)/C122)</f>
        <v>1.32</v>
      </c>
    </row>
    <row r="123" customFormat="false" ht="15" hidden="false" customHeight="true" outlineLevel="0" collapsed="false">
      <c r="A123" s="7" t="n">
        <v>64636</v>
      </c>
      <c r="B123" s="7" t="s">
        <v>126</v>
      </c>
      <c r="C123" s="8" t="n">
        <f aca="false">SUMIF('מקור-01'!$A:$A,$A123,'מקור-01'!$C:$C)+SUMIF('מקור-02'!$A:$A,$A123,'מקור-02'!$C:$C)+SUMIF('מקור-03'!$A:$A,$A123,'מקור-03'!$C:$C)+SUMIF('מקור-04'!$A:$A,$A123,'מקור-04'!$C:$C)+SUMIF('מקור-05'!$A:$A,$A123,'מקור-05'!$C:$C)+SUMIF('מקור-06'!$A:$A,$A123,'מקור-06'!$C:$C)+SUMIF('מקור-07'!$A:$A,$A123,'מקור-07'!$C:$C)</f>
        <v>8</v>
      </c>
      <c r="D123" s="8" t="n">
        <f aca="false">SUMIF('מקור-01'!$A:$A,$A123,'מקור-01'!$D:$D)+SUMIF('מקור-02'!$A:$A,$A123,'מקור-02'!$D:$D)+SUMIF('מקור-03'!$A:$A,$A123,'מקור-03'!$D:$D)+SUMIF('מקור-04'!$A:$A,$A123,'מקור-04'!$D:$D)+SUMIF('מקור-05'!$A:$A,$A123,'מקור-05'!$D:$D)+SUMIF('מקור-06'!$A:$A,$A123,'מקור-06'!$D:$D)+SUMIF('מקור-07'!$A:$A,$A123,'מקור-07'!$D:$D)</f>
        <v>9</v>
      </c>
      <c r="E123" s="9" t="n">
        <f aca="false">D123-C123</f>
        <v>1</v>
      </c>
      <c r="F123" s="10" t="n">
        <f aca="false">IF(C123=0,"מוצר חדש",(D123-C123)/C123)</f>
        <v>0.125</v>
      </c>
    </row>
    <row r="124" customFormat="false" ht="15" hidden="false" customHeight="true" outlineLevel="0" collapsed="false">
      <c r="A124" s="7" t="n">
        <v>64637</v>
      </c>
      <c r="B124" s="7" t="s">
        <v>127</v>
      </c>
      <c r="C124" s="8" t="n">
        <f aca="false">SUMIF('מקור-01'!$A:$A,$A124,'מקור-01'!$C:$C)+SUMIF('מקור-02'!$A:$A,$A124,'מקור-02'!$C:$C)+SUMIF('מקור-03'!$A:$A,$A124,'מקור-03'!$C:$C)+SUMIF('מקור-04'!$A:$A,$A124,'מקור-04'!$C:$C)+SUMIF('מקור-05'!$A:$A,$A124,'מקור-05'!$C:$C)+SUMIF('מקור-06'!$A:$A,$A124,'מקור-06'!$C:$C)+SUMIF('מקור-07'!$A:$A,$A124,'מקור-07'!$C:$C)</f>
        <v>20</v>
      </c>
      <c r="D124" s="8" t="n">
        <f aca="false">SUMIF('מקור-01'!$A:$A,$A124,'מקור-01'!$D:$D)+SUMIF('מקור-02'!$A:$A,$A124,'מקור-02'!$D:$D)+SUMIF('מקור-03'!$A:$A,$A124,'מקור-03'!$D:$D)+SUMIF('מקור-04'!$A:$A,$A124,'מקור-04'!$D:$D)+SUMIF('מקור-05'!$A:$A,$A124,'מקור-05'!$D:$D)+SUMIF('מקור-06'!$A:$A,$A124,'מקור-06'!$D:$D)+SUMIF('מקור-07'!$A:$A,$A124,'מקור-07'!$D:$D)</f>
        <v>8</v>
      </c>
      <c r="E124" s="9" t="n">
        <f aca="false">D124-C124</f>
        <v>-12</v>
      </c>
      <c r="F124" s="10" t="n">
        <f aca="false">IF(C124=0,"מוצר חדש",(D124-C124)/C124)</f>
        <v>-0.6</v>
      </c>
    </row>
    <row r="125" customFormat="false" ht="15" hidden="false" customHeight="true" outlineLevel="0" collapsed="false">
      <c r="A125" s="7" t="n">
        <v>64638</v>
      </c>
      <c r="B125" s="7" t="s">
        <v>128</v>
      </c>
      <c r="C125" s="8" t="n">
        <f aca="false">SUMIF('מקור-01'!$A:$A,$A125,'מקור-01'!$C:$C)+SUMIF('מקור-02'!$A:$A,$A125,'מקור-02'!$C:$C)+SUMIF('מקור-03'!$A:$A,$A125,'מקור-03'!$C:$C)+SUMIF('מקור-04'!$A:$A,$A125,'מקור-04'!$C:$C)+SUMIF('מקור-05'!$A:$A,$A125,'מקור-05'!$C:$C)+SUMIF('מקור-06'!$A:$A,$A125,'מקור-06'!$C:$C)+SUMIF('מקור-07'!$A:$A,$A125,'מקור-07'!$C:$C)</f>
        <v>14</v>
      </c>
      <c r="D125" s="8" t="n">
        <f aca="false">SUMIF('מקור-01'!$A:$A,$A125,'מקור-01'!$D:$D)+SUMIF('מקור-02'!$A:$A,$A125,'מקור-02'!$D:$D)+SUMIF('מקור-03'!$A:$A,$A125,'מקור-03'!$D:$D)+SUMIF('מקור-04'!$A:$A,$A125,'מקור-04'!$D:$D)+SUMIF('מקור-05'!$A:$A,$A125,'מקור-05'!$D:$D)+SUMIF('מקור-06'!$A:$A,$A125,'מקור-06'!$D:$D)+SUMIF('מקור-07'!$A:$A,$A125,'מקור-07'!$D:$D)</f>
        <v>14</v>
      </c>
      <c r="E125" s="9" t="n">
        <f aca="false">D125-C125</f>
        <v>0</v>
      </c>
      <c r="F125" s="10" t="n">
        <f aca="false">IF(C125=0,"מוצר חדש",(D125-C125)/C125)</f>
        <v>0</v>
      </c>
    </row>
    <row r="126" customFormat="false" ht="15" hidden="false" customHeight="true" outlineLevel="0" collapsed="false">
      <c r="A126" s="7" t="n">
        <v>65241</v>
      </c>
      <c r="B126" s="7" t="s">
        <v>129</v>
      </c>
      <c r="C126" s="8" t="n">
        <f aca="false">SUMIF('מקור-01'!$A:$A,$A126,'מקור-01'!$C:$C)+SUMIF('מקור-02'!$A:$A,$A126,'מקור-02'!$C:$C)+SUMIF('מקור-03'!$A:$A,$A126,'מקור-03'!$C:$C)+SUMIF('מקור-04'!$A:$A,$A126,'מקור-04'!$C:$C)+SUMIF('מקור-05'!$A:$A,$A126,'מקור-05'!$C:$C)+SUMIF('מקור-06'!$A:$A,$A126,'מקור-06'!$C:$C)+SUMIF('מקור-07'!$A:$A,$A126,'מקור-07'!$C:$C)</f>
        <v>141</v>
      </c>
      <c r="D126" s="8" t="n">
        <f aca="false">SUMIF('מקור-01'!$A:$A,$A126,'מקור-01'!$D:$D)+SUMIF('מקור-02'!$A:$A,$A126,'מקור-02'!$D:$D)+SUMIF('מקור-03'!$A:$A,$A126,'מקור-03'!$D:$D)+SUMIF('מקור-04'!$A:$A,$A126,'מקור-04'!$D:$D)+SUMIF('מקור-05'!$A:$A,$A126,'מקור-05'!$D:$D)+SUMIF('מקור-06'!$A:$A,$A126,'מקור-06'!$D:$D)+SUMIF('מקור-07'!$A:$A,$A126,'מקור-07'!$D:$D)</f>
        <v>134</v>
      </c>
      <c r="E126" s="9" t="n">
        <f aca="false">D126-C126</f>
        <v>-7</v>
      </c>
      <c r="F126" s="10" t="n">
        <f aca="false">IF(C126=0,"מוצר חדש",(D126-C126)/C126)</f>
        <v>-0.049645390070922</v>
      </c>
    </row>
    <row r="127" customFormat="false" ht="15" hidden="false" customHeight="true" outlineLevel="0" collapsed="false">
      <c r="A127" s="7" t="n">
        <v>65242</v>
      </c>
      <c r="B127" s="7" t="s">
        <v>130</v>
      </c>
      <c r="C127" s="8" t="n">
        <f aca="false">SUMIF('מקור-01'!$A:$A,$A127,'מקור-01'!$C:$C)+SUMIF('מקור-02'!$A:$A,$A127,'מקור-02'!$C:$C)+SUMIF('מקור-03'!$A:$A,$A127,'מקור-03'!$C:$C)+SUMIF('מקור-04'!$A:$A,$A127,'מקור-04'!$C:$C)+SUMIF('מקור-05'!$A:$A,$A127,'מקור-05'!$C:$C)+SUMIF('מקור-06'!$A:$A,$A127,'מקור-06'!$C:$C)+SUMIF('מקור-07'!$A:$A,$A127,'מקור-07'!$C:$C)</f>
        <v>158</v>
      </c>
      <c r="D127" s="8" t="n">
        <f aca="false">SUMIF('מקור-01'!$A:$A,$A127,'מקור-01'!$D:$D)+SUMIF('מקור-02'!$A:$A,$A127,'מקור-02'!$D:$D)+SUMIF('מקור-03'!$A:$A,$A127,'מקור-03'!$D:$D)+SUMIF('מקור-04'!$A:$A,$A127,'מקור-04'!$D:$D)+SUMIF('מקור-05'!$A:$A,$A127,'מקור-05'!$D:$D)+SUMIF('מקור-06'!$A:$A,$A127,'מקור-06'!$D:$D)+SUMIF('מקור-07'!$A:$A,$A127,'מקור-07'!$D:$D)</f>
        <v>142</v>
      </c>
      <c r="E127" s="9" t="n">
        <f aca="false">D127-C127</f>
        <v>-16</v>
      </c>
      <c r="F127" s="10" t="n">
        <f aca="false">IF(C127=0,"מוצר חדש",(D127-C127)/C127)</f>
        <v>-0.10126582278481</v>
      </c>
    </row>
    <row r="128" customFormat="false" ht="15" hidden="false" customHeight="true" outlineLevel="0" collapsed="false">
      <c r="A128" s="7" t="n">
        <v>65243</v>
      </c>
      <c r="B128" s="7" t="s">
        <v>131</v>
      </c>
      <c r="C128" s="8" t="n">
        <f aca="false">SUMIF('מקור-01'!$A:$A,$A128,'מקור-01'!$C:$C)+SUMIF('מקור-02'!$A:$A,$A128,'מקור-02'!$C:$C)+SUMIF('מקור-03'!$A:$A,$A128,'מקור-03'!$C:$C)+SUMIF('מקור-04'!$A:$A,$A128,'מקור-04'!$C:$C)+SUMIF('מקור-05'!$A:$A,$A128,'מקור-05'!$C:$C)+SUMIF('מקור-06'!$A:$A,$A128,'מקור-06'!$C:$C)+SUMIF('מקור-07'!$A:$A,$A128,'מקור-07'!$C:$C)</f>
        <v>110</v>
      </c>
      <c r="D128" s="8" t="n">
        <f aca="false">SUMIF('מקור-01'!$A:$A,$A128,'מקור-01'!$D:$D)+SUMIF('מקור-02'!$A:$A,$A128,'מקור-02'!$D:$D)+SUMIF('מקור-03'!$A:$A,$A128,'מקור-03'!$D:$D)+SUMIF('מקור-04'!$A:$A,$A128,'מקור-04'!$D:$D)+SUMIF('מקור-05'!$A:$A,$A128,'מקור-05'!$D:$D)+SUMIF('מקור-06'!$A:$A,$A128,'מקור-06'!$D:$D)+SUMIF('מקור-07'!$A:$A,$A128,'מקור-07'!$D:$D)</f>
        <v>126</v>
      </c>
      <c r="E128" s="9" t="n">
        <f aca="false">D128-C128</f>
        <v>16</v>
      </c>
      <c r="F128" s="10" t="n">
        <f aca="false">IF(C128=0,"מוצר חדש",(D128-C128)/C128)</f>
        <v>0.145454545454545</v>
      </c>
    </row>
    <row r="129" customFormat="false" ht="15" hidden="false" customHeight="true" outlineLevel="0" collapsed="false">
      <c r="A129" s="7" t="n">
        <v>65743</v>
      </c>
      <c r="B129" s="7" t="s">
        <v>132</v>
      </c>
      <c r="C129" s="8" t="n">
        <f aca="false">SUMIF('מקור-01'!$A:$A,$A129,'מקור-01'!$C:$C)+SUMIF('מקור-02'!$A:$A,$A129,'מקור-02'!$C:$C)+SUMIF('מקור-03'!$A:$A,$A129,'מקור-03'!$C:$C)+SUMIF('מקור-04'!$A:$A,$A129,'מקור-04'!$C:$C)+SUMIF('מקור-05'!$A:$A,$A129,'מקור-05'!$C:$C)+SUMIF('מקור-06'!$A:$A,$A129,'מקור-06'!$C:$C)+SUMIF('מקור-07'!$A:$A,$A129,'מקור-07'!$C:$C)</f>
        <v>24</v>
      </c>
      <c r="D129" s="8" t="n">
        <f aca="false">SUMIF('מקור-01'!$A:$A,$A129,'מקור-01'!$D:$D)+SUMIF('מקור-02'!$A:$A,$A129,'מקור-02'!$D:$D)+SUMIF('מקור-03'!$A:$A,$A129,'מקור-03'!$D:$D)+SUMIF('מקור-04'!$A:$A,$A129,'מקור-04'!$D:$D)+SUMIF('מקור-05'!$A:$A,$A129,'מקור-05'!$D:$D)+SUMIF('מקור-06'!$A:$A,$A129,'מקור-06'!$D:$D)+SUMIF('מקור-07'!$A:$A,$A129,'מקור-07'!$D:$D)</f>
        <v>21</v>
      </c>
      <c r="E129" s="9" t="n">
        <f aca="false">D129-C129</f>
        <v>-3</v>
      </c>
      <c r="F129" s="10" t="n">
        <f aca="false">IF(C129=0,"מוצר חדש",(D129-C129)/C129)</f>
        <v>-0.125</v>
      </c>
    </row>
    <row r="130" customFormat="false" ht="15" hidden="false" customHeight="true" outlineLevel="0" collapsed="false">
      <c r="A130" s="7" t="n">
        <v>66485</v>
      </c>
      <c r="B130" s="7" t="s">
        <v>133</v>
      </c>
      <c r="C130" s="8" t="n">
        <f aca="false">SUMIF('מקור-01'!$A:$A,$A130,'מקור-01'!$C:$C)+SUMIF('מקור-02'!$A:$A,$A130,'מקור-02'!$C:$C)+SUMIF('מקור-03'!$A:$A,$A130,'מקור-03'!$C:$C)+SUMIF('מקור-04'!$A:$A,$A130,'מקור-04'!$C:$C)+SUMIF('מקור-05'!$A:$A,$A130,'מקור-05'!$C:$C)+SUMIF('מקור-06'!$A:$A,$A130,'מקור-06'!$C:$C)+SUMIF('מקור-07'!$A:$A,$A130,'מקור-07'!$C:$C)</f>
        <v>119</v>
      </c>
      <c r="D130" s="8" t="n">
        <f aca="false">SUMIF('מקור-01'!$A:$A,$A130,'מקור-01'!$D:$D)+SUMIF('מקור-02'!$A:$A,$A130,'מקור-02'!$D:$D)+SUMIF('מקור-03'!$A:$A,$A130,'מקור-03'!$D:$D)+SUMIF('מקור-04'!$A:$A,$A130,'מקור-04'!$D:$D)+SUMIF('מקור-05'!$A:$A,$A130,'מקור-05'!$D:$D)+SUMIF('מקור-06'!$A:$A,$A130,'מקור-06'!$D:$D)+SUMIF('מקור-07'!$A:$A,$A130,'מקור-07'!$D:$D)</f>
        <v>96</v>
      </c>
      <c r="E130" s="9" t="n">
        <f aca="false">D130-C130</f>
        <v>-23</v>
      </c>
      <c r="F130" s="10" t="n">
        <f aca="false">IF(C130=0,"מוצר חדש",(D130-C130)/C130)</f>
        <v>-0.19327731092437</v>
      </c>
    </row>
    <row r="131" customFormat="false" ht="15" hidden="false" customHeight="true" outlineLevel="0" collapsed="false">
      <c r="A131" s="7" t="n">
        <v>66745</v>
      </c>
      <c r="B131" s="7" t="s">
        <v>134</v>
      </c>
      <c r="C131" s="8" t="n">
        <f aca="false">SUMIF('מקור-01'!$A:$A,$A131,'מקור-01'!$C:$C)+SUMIF('מקור-02'!$A:$A,$A131,'מקור-02'!$C:$C)+SUMIF('מקור-03'!$A:$A,$A131,'מקור-03'!$C:$C)+SUMIF('מקור-04'!$A:$A,$A131,'מקור-04'!$C:$C)+SUMIF('מקור-05'!$A:$A,$A131,'מקור-05'!$C:$C)+SUMIF('מקור-06'!$A:$A,$A131,'מקור-06'!$C:$C)+SUMIF('מקור-07'!$A:$A,$A131,'מקור-07'!$C:$C)</f>
        <v>165</v>
      </c>
      <c r="D131" s="8" t="n">
        <f aca="false">SUMIF('מקור-01'!$A:$A,$A131,'מקור-01'!$D:$D)+SUMIF('מקור-02'!$A:$A,$A131,'מקור-02'!$D:$D)+SUMIF('מקור-03'!$A:$A,$A131,'מקור-03'!$D:$D)+SUMIF('מקור-04'!$A:$A,$A131,'מקור-04'!$D:$D)+SUMIF('מקור-05'!$A:$A,$A131,'מקור-05'!$D:$D)+SUMIF('מקור-06'!$A:$A,$A131,'מקור-06'!$D:$D)+SUMIF('מקור-07'!$A:$A,$A131,'מקור-07'!$D:$D)</f>
        <v>291</v>
      </c>
      <c r="E131" s="9" t="n">
        <f aca="false">D131-C131</f>
        <v>126</v>
      </c>
      <c r="F131" s="10" t="n">
        <f aca="false">IF(C131=0,"מוצר חדש",(D131-C131)/C131)</f>
        <v>0.763636363636364</v>
      </c>
    </row>
    <row r="132" customFormat="false" ht="15" hidden="false" customHeight="true" outlineLevel="0" collapsed="false">
      <c r="A132" s="7" t="n">
        <v>67053</v>
      </c>
      <c r="B132" s="7" t="s">
        <v>135</v>
      </c>
      <c r="C132" s="8" t="n">
        <f aca="false">SUMIF('מקור-01'!$A:$A,$A132,'מקור-01'!$C:$C)+SUMIF('מקור-02'!$A:$A,$A132,'מקור-02'!$C:$C)+SUMIF('מקור-03'!$A:$A,$A132,'מקור-03'!$C:$C)+SUMIF('מקור-04'!$A:$A,$A132,'מקור-04'!$C:$C)+SUMIF('מקור-05'!$A:$A,$A132,'מקור-05'!$C:$C)+SUMIF('מקור-06'!$A:$A,$A132,'מקור-06'!$C:$C)+SUMIF('מקור-07'!$A:$A,$A132,'מקור-07'!$C:$C)</f>
        <v>8</v>
      </c>
      <c r="D132" s="8" t="n">
        <f aca="false">SUMIF('מקור-01'!$A:$A,$A132,'מקור-01'!$D:$D)+SUMIF('מקור-02'!$A:$A,$A132,'מקור-02'!$D:$D)+SUMIF('מקור-03'!$A:$A,$A132,'מקור-03'!$D:$D)+SUMIF('מקור-04'!$A:$A,$A132,'מקור-04'!$D:$D)+SUMIF('מקור-05'!$A:$A,$A132,'מקור-05'!$D:$D)+SUMIF('מקור-06'!$A:$A,$A132,'מקור-06'!$D:$D)+SUMIF('מקור-07'!$A:$A,$A132,'מקור-07'!$D:$D)</f>
        <v>9</v>
      </c>
      <c r="E132" s="9" t="n">
        <f aca="false">D132-C132</f>
        <v>1</v>
      </c>
      <c r="F132" s="10" t="n">
        <f aca="false">IF(C132=0,"מוצר חדש",(D132-C132)/C132)</f>
        <v>0.125</v>
      </c>
    </row>
    <row r="133" customFormat="false" ht="15" hidden="false" customHeight="true" outlineLevel="0" collapsed="false">
      <c r="A133" s="7" t="n">
        <v>67055</v>
      </c>
      <c r="B133" s="7" t="s">
        <v>136</v>
      </c>
      <c r="C133" s="8" t="n">
        <f aca="false">SUMIF('מקור-01'!$A:$A,$A133,'מקור-01'!$C:$C)+SUMIF('מקור-02'!$A:$A,$A133,'מקור-02'!$C:$C)+SUMIF('מקור-03'!$A:$A,$A133,'מקור-03'!$C:$C)+SUMIF('מקור-04'!$A:$A,$A133,'מקור-04'!$C:$C)+SUMIF('מקור-05'!$A:$A,$A133,'מקור-05'!$C:$C)+SUMIF('מקור-06'!$A:$A,$A133,'מקור-06'!$C:$C)+SUMIF('מקור-07'!$A:$A,$A133,'מקור-07'!$C:$C)</f>
        <v>0</v>
      </c>
      <c r="D133" s="8" t="n">
        <f aca="false">SUMIF('מקור-01'!$A:$A,$A133,'מקור-01'!$D:$D)+SUMIF('מקור-02'!$A:$A,$A133,'מקור-02'!$D:$D)+SUMIF('מקור-03'!$A:$A,$A133,'מקור-03'!$D:$D)+SUMIF('מקור-04'!$A:$A,$A133,'מקור-04'!$D:$D)+SUMIF('מקור-05'!$A:$A,$A133,'מקור-05'!$D:$D)+SUMIF('מקור-06'!$A:$A,$A133,'מקור-06'!$D:$D)+SUMIF('מקור-07'!$A:$A,$A133,'מקור-07'!$D:$D)</f>
        <v>1</v>
      </c>
      <c r="E133" s="9" t="n">
        <f aca="false">D133-C133</f>
        <v>1</v>
      </c>
      <c r="F133" s="10" t="str">
        <f aca="false">IF(C133=0,"מוצר חדש",(D133-C133)/C133)</f>
        <v>מוצר חדש</v>
      </c>
    </row>
    <row r="134" customFormat="false" ht="15" hidden="false" customHeight="true" outlineLevel="0" collapsed="false">
      <c r="A134" s="7" t="n">
        <v>67056</v>
      </c>
      <c r="B134" s="7" t="s">
        <v>137</v>
      </c>
      <c r="C134" s="8" t="n">
        <f aca="false">SUMIF('מקור-01'!$A:$A,$A134,'מקור-01'!$C:$C)+SUMIF('מקור-02'!$A:$A,$A134,'מקור-02'!$C:$C)+SUMIF('מקור-03'!$A:$A,$A134,'מקור-03'!$C:$C)+SUMIF('מקור-04'!$A:$A,$A134,'מקור-04'!$C:$C)+SUMIF('מקור-05'!$A:$A,$A134,'מקור-05'!$C:$C)+SUMIF('מקור-06'!$A:$A,$A134,'מקור-06'!$C:$C)+SUMIF('מקור-07'!$A:$A,$A134,'מקור-07'!$C:$C)</f>
        <v>4</v>
      </c>
      <c r="D134" s="8" t="n">
        <f aca="false">SUMIF('מקור-01'!$A:$A,$A134,'מקור-01'!$D:$D)+SUMIF('מקור-02'!$A:$A,$A134,'מקור-02'!$D:$D)+SUMIF('מקור-03'!$A:$A,$A134,'מקור-03'!$D:$D)+SUMIF('מקור-04'!$A:$A,$A134,'מקור-04'!$D:$D)+SUMIF('מקור-05'!$A:$A,$A134,'מקור-05'!$D:$D)+SUMIF('מקור-06'!$A:$A,$A134,'מקור-06'!$D:$D)+SUMIF('מקור-07'!$A:$A,$A134,'מקור-07'!$D:$D)</f>
        <v>5</v>
      </c>
      <c r="E134" s="9" t="n">
        <f aca="false">D134-C134</f>
        <v>1</v>
      </c>
      <c r="F134" s="10" t="n">
        <f aca="false">IF(C134=0,"מוצר חדש",(D134-C134)/C134)</f>
        <v>0.25</v>
      </c>
    </row>
    <row r="135" customFormat="false" ht="15" hidden="false" customHeight="true" outlineLevel="0" collapsed="false">
      <c r="A135" s="7" t="n">
        <v>67385</v>
      </c>
      <c r="B135" s="7" t="s">
        <v>138</v>
      </c>
      <c r="C135" s="8" t="n">
        <f aca="false">SUMIF('מקור-01'!$A:$A,$A135,'מקור-01'!$C:$C)+SUMIF('מקור-02'!$A:$A,$A135,'מקור-02'!$C:$C)+SUMIF('מקור-03'!$A:$A,$A135,'מקור-03'!$C:$C)+SUMIF('מקור-04'!$A:$A,$A135,'מקור-04'!$C:$C)+SUMIF('מקור-05'!$A:$A,$A135,'מקור-05'!$C:$C)+SUMIF('מקור-06'!$A:$A,$A135,'מקור-06'!$C:$C)+SUMIF('מקור-07'!$A:$A,$A135,'מקור-07'!$C:$C)</f>
        <v>231</v>
      </c>
      <c r="D135" s="8" t="n">
        <f aca="false">SUMIF('מקור-01'!$A:$A,$A135,'מקור-01'!$D:$D)+SUMIF('מקור-02'!$A:$A,$A135,'מקור-02'!$D:$D)+SUMIF('מקור-03'!$A:$A,$A135,'מקור-03'!$D:$D)+SUMIF('מקור-04'!$A:$A,$A135,'מקור-04'!$D:$D)+SUMIF('מקור-05'!$A:$A,$A135,'מקור-05'!$D:$D)+SUMIF('מקור-06'!$A:$A,$A135,'מקור-06'!$D:$D)+SUMIF('מקור-07'!$A:$A,$A135,'מקור-07'!$D:$D)</f>
        <v>105</v>
      </c>
      <c r="E135" s="9" t="n">
        <f aca="false">D135-C135</f>
        <v>-126</v>
      </c>
      <c r="F135" s="10" t="n">
        <f aca="false">IF(C135=0,"מוצר חדש",(D135-C135)/C135)</f>
        <v>-0.545454545454545</v>
      </c>
    </row>
    <row r="136" customFormat="false" ht="15" hidden="false" customHeight="true" outlineLevel="0" collapsed="false">
      <c r="A136" s="7" t="n">
        <v>67895</v>
      </c>
      <c r="B136" s="7" t="s">
        <v>139</v>
      </c>
      <c r="C136" s="8" t="n">
        <f aca="false">SUMIF('מקור-01'!$A:$A,$A136,'מקור-01'!$C:$C)+SUMIF('מקור-02'!$A:$A,$A136,'מקור-02'!$C:$C)+SUMIF('מקור-03'!$A:$A,$A136,'מקור-03'!$C:$C)+SUMIF('מקור-04'!$A:$A,$A136,'מקור-04'!$C:$C)+SUMIF('מקור-05'!$A:$A,$A136,'מקור-05'!$C:$C)+SUMIF('מקור-06'!$A:$A,$A136,'מקור-06'!$C:$C)+SUMIF('מקור-07'!$A:$A,$A136,'מקור-07'!$C:$C)</f>
        <v>15</v>
      </c>
      <c r="D136" s="8" t="n">
        <f aca="false">SUMIF('מקור-01'!$A:$A,$A136,'מקור-01'!$D:$D)+SUMIF('מקור-02'!$A:$A,$A136,'מקור-02'!$D:$D)+SUMIF('מקור-03'!$A:$A,$A136,'מקור-03'!$D:$D)+SUMIF('מקור-04'!$A:$A,$A136,'מקור-04'!$D:$D)+SUMIF('מקור-05'!$A:$A,$A136,'מקור-05'!$D:$D)+SUMIF('מקור-06'!$A:$A,$A136,'מקור-06'!$D:$D)+SUMIF('מקור-07'!$A:$A,$A136,'מקור-07'!$D:$D)</f>
        <v>5</v>
      </c>
      <c r="E136" s="9" t="n">
        <f aca="false">D136-C136</f>
        <v>-10</v>
      </c>
      <c r="F136" s="10" t="n">
        <f aca="false">IF(C136=0,"מוצר חדש",(D136-C136)/C136)</f>
        <v>-0.666666666666667</v>
      </c>
    </row>
    <row r="137" customFormat="false" ht="15" hidden="false" customHeight="true" outlineLevel="0" collapsed="false">
      <c r="A137" s="7" t="n">
        <v>67898</v>
      </c>
      <c r="B137" s="7" t="s">
        <v>140</v>
      </c>
      <c r="C137" s="8" t="n">
        <f aca="false">SUMIF('מקור-01'!$A:$A,$A137,'מקור-01'!$C:$C)+SUMIF('מקור-02'!$A:$A,$A137,'מקור-02'!$C:$C)+SUMIF('מקור-03'!$A:$A,$A137,'מקור-03'!$C:$C)+SUMIF('מקור-04'!$A:$A,$A137,'מקור-04'!$C:$C)+SUMIF('מקור-05'!$A:$A,$A137,'מקור-05'!$C:$C)+SUMIF('מקור-06'!$A:$A,$A137,'מקור-06'!$C:$C)+SUMIF('מקור-07'!$A:$A,$A137,'מקור-07'!$C:$C)</f>
        <v>1</v>
      </c>
      <c r="D137" s="8" t="n">
        <f aca="false">SUMIF('מקור-01'!$A:$A,$A137,'מקור-01'!$D:$D)+SUMIF('מקור-02'!$A:$A,$A137,'מקור-02'!$D:$D)+SUMIF('מקור-03'!$A:$A,$A137,'מקור-03'!$D:$D)+SUMIF('מקור-04'!$A:$A,$A137,'מקור-04'!$D:$D)+SUMIF('מקור-05'!$A:$A,$A137,'מקור-05'!$D:$D)+SUMIF('מקור-06'!$A:$A,$A137,'מקור-06'!$D:$D)+SUMIF('מקור-07'!$A:$A,$A137,'מקור-07'!$D:$D)</f>
        <v>4</v>
      </c>
      <c r="E137" s="9" t="n">
        <f aca="false">D137-C137</f>
        <v>3</v>
      </c>
      <c r="F137" s="10" t="n">
        <f aca="false">IF(C137=0,"מוצר חדש",(D137-C137)/C137)</f>
        <v>3</v>
      </c>
    </row>
    <row r="138" customFormat="false" ht="15" hidden="false" customHeight="true" outlineLevel="0" collapsed="false">
      <c r="A138" s="7" t="n">
        <v>67925</v>
      </c>
      <c r="B138" s="7" t="s">
        <v>141</v>
      </c>
      <c r="C138" s="8" t="n">
        <f aca="false">SUMIF('מקור-01'!$A:$A,$A138,'מקור-01'!$C:$C)+SUMIF('מקור-02'!$A:$A,$A138,'מקור-02'!$C:$C)+SUMIF('מקור-03'!$A:$A,$A138,'מקור-03'!$C:$C)+SUMIF('מקור-04'!$A:$A,$A138,'מקור-04'!$C:$C)+SUMIF('מקור-05'!$A:$A,$A138,'מקור-05'!$C:$C)+SUMIF('מקור-06'!$A:$A,$A138,'מקור-06'!$C:$C)+SUMIF('מקור-07'!$A:$A,$A138,'מקור-07'!$C:$C)</f>
        <v>55</v>
      </c>
      <c r="D138" s="8" t="n">
        <f aca="false">SUMIF('מקור-01'!$A:$A,$A138,'מקור-01'!$D:$D)+SUMIF('מקור-02'!$A:$A,$A138,'מקור-02'!$D:$D)+SUMIF('מקור-03'!$A:$A,$A138,'מקור-03'!$D:$D)+SUMIF('מקור-04'!$A:$A,$A138,'מקור-04'!$D:$D)+SUMIF('מקור-05'!$A:$A,$A138,'מקור-05'!$D:$D)+SUMIF('מקור-06'!$A:$A,$A138,'מקור-06'!$D:$D)+SUMIF('מקור-07'!$A:$A,$A138,'מקור-07'!$D:$D)</f>
        <v>55</v>
      </c>
      <c r="E138" s="9" t="n">
        <f aca="false">D138-C138</f>
        <v>0</v>
      </c>
      <c r="F138" s="10" t="n">
        <f aca="false">IF(C138=0,"מוצר חדש",(D138-C138)/C138)</f>
        <v>0</v>
      </c>
    </row>
    <row r="139" customFormat="false" ht="15" hidden="false" customHeight="true" outlineLevel="0" collapsed="false">
      <c r="A139" s="7" t="n">
        <v>67935</v>
      </c>
      <c r="B139" s="7" t="s">
        <v>142</v>
      </c>
      <c r="C139" s="8" t="n">
        <f aca="false">SUMIF('מקור-01'!$A:$A,$A139,'מקור-01'!$C:$C)+SUMIF('מקור-02'!$A:$A,$A139,'מקור-02'!$C:$C)+SUMIF('מקור-03'!$A:$A,$A139,'מקור-03'!$C:$C)+SUMIF('מקור-04'!$A:$A,$A139,'מקור-04'!$C:$C)+SUMIF('מקור-05'!$A:$A,$A139,'מקור-05'!$C:$C)+SUMIF('מקור-06'!$A:$A,$A139,'מקור-06'!$C:$C)+SUMIF('מקור-07'!$A:$A,$A139,'מקור-07'!$C:$C)</f>
        <v>65</v>
      </c>
      <c r="D139" s="8" t="n">
        <f aca="false">SUMIF('מקור-01'!$A:$A,$A139,'מקור-01'!$D:$D)+SUMIF('מקור-02'!$A:$A,$A139,'מקור-02'!$D:$D)+SUMIF('מקור-03'!$A:$A,$A139,'מקור-03'!$D:$D)+SUMIF('מקור-04'!$A:$A,$A139,'מקור-04'!$D:$D)+SUMIF('מקור-05'!$A:$A,$A139,'מקור-05'!$D:$D)+SUMIF('מקור-06'!$A:$A,$A139,'מקור-06'!$D:$D)+SUMIF('מקור-07'!$A:$A,$A139,'מקור-07'!$D:$D)</f>
        <v>79</v>
      </c>
      <c r="E139" s="9" t="n">
        <f aca="false">D139-C139</f>
        <v>14</v>
      </c>
      <c r="F139" s="10" t="n">
        <f aca="false">IF(C139=0,"מוצר חדש",(D139-C139)/C139)</f>
        <v>0.215384615384615</v>
      </c>
    </row>
    <row r="140" customFormat="false" ht="15" hidden="false" customHeight="true" outlineLevel="0" collapsed="false">
      <c r="A140" s="7" t="n">
        <v>67939</v>
      </c>
      <c r="B140" s="7" t="s">
        <v>143</v>
      </c>
      <c r="C140" s="8" t="n">
        <f aca="false">SUMIF('מקור-01'!$A:$A,$A140,'מקור-01'!$C:$C)+SUMIF('מקור-02'!$A:$A,$A140,'מקור-02'!$C:$C)+SUMIF('מקור-03'!$A:$A,$A140,'מקור-03'!$C:$C)+SUMIF('מקור-04'!$A:$A,$A140,'מקור-04'!$C:$C)+SUMIF('מקור-05'!$A:$A,$A140,'מקור-05'!$C:$C)+SUMIF('מקור-06'!$A:$A,$A140,'מקור-06'!$C:$C)+SUMIF('מקור-07'!$A:$A,$A140,'מקור-07'!$C:$C)</f>
        <v>1</v>
      </c>
      <c r="D140" s="8" t="n">
        <f aca="false">SUMIF('מקור-01'!$A:$A,$A140,'מקור-01'!$D:$D)+SUMIF('מקור-02'!$A:$A,$A140,'מקור-02'!$D:$D)+SUMIF('מקור-03'!$A:$A,$A140,'מקור-03'!$D:$D)+SUMIF('מקור-04'!$A:$A,$A140,'מקור-04'!$D:$D)+SUMIF('מקור-05'!$A:$A,$A140,'מקור-05'!$D:$D)+SUMIF('מקור-06'!$A:$A,$A140,'מקור-06'!$D:$D)+SUMIF('מקור-07'!$A:$A,$A140,'מקור-07'!$D:$D)</f>
        <v>3</v>
      </c>
      <c r="E140" s="9" t="n">
        <f aca="false">D140-C140</f>
        <v>2</v>
      </c>
      <c r="F140" s="10" t="n">
        <f aca="false">IF(C140=0,"מוצר חדש",(D140-C140)/C140)</f>
        <v>2</v>
      </c>
    </row>
    <row r="141" customFormat="false" ht="15" hidden="false" customHeight="true" outlineLevel="0" collapsed="false">
      <c r="A141" s="7" t="n">
        <v>67949</v>
      </c>
      <c r="B141" s="7" t="s">
        <v>144</v>
      </c>
      <c r="C141" s="8" t="n">
        <f aca="false">SUMIF('מקור-01'!$A:$A,$A141,'מקור-01'!$C:$C)+SUMIF('מקור-02'!$A:$A,$A141,'מקור-02'!$C:$C)+SUMIF('מקור-03'!$A:$A,$A141,'מקור-03'!$C:$C)+SUMIF('מקור-04'!$A:$A,$A141,'מקור-04'!$C:$C)+SUMIF('מקור-05'!$A:$A,$A141,'מקור-05'!$C:$C)+SUMIF('מקור-06'!$A:$A,$A141,'מקור-06'!$C:$C)+SUMIF('מקור-07'!$A:$A,$A141,'מקור-07'!$C:$C)</f>
        <v>2</v>
      </c>
      <c r="D141" s="8" t="n">
        <f aca="false">SUMIF('מקור-01'!$A:$A,$A141,'מקור-01'!$D:$D)+SUMIF('מקור-02'!$A:$A,$A141,'מקור-02'!$D:$D)+SUMIF('מקור-03'!$A:$A,$A141,'מקור-03'!$D:$D)+SUMIF('מקור-04'!$A:$A,$A141,'מקור-04'!$D:$D)+SUMIF('מקור-05'!$A:$A,$A141,'מקור-05'!$D:$D)+SUMIF('מקור-06'!$A:$A,$A141,'מקור-06'!$D:$D)+SUMIF('מקור-07'!$A:$A,$A141,'מקור-07'!$D:$D)</f>
        <v>1</v>
      </c>
      <c r="E141" s="9" t="n">
        <f aca="false">D141-C141</f>
        <v>-1</v>
      </c>
      <c r="F141" s="10" t="n">
        <f aca="false">IF(C141=0,"מוצר חדש",(D141-C141)/C141)</f>
        <v>-0.5</v>
      </c>
    </row>
    <row r="142" customFormat="false" ht="15" hidden="false" customHeight="true" outlineLevel="0" collapsed="false">
      <c r="A142" s="7" t="n">
        <v>67957</v>
      </c>
      <c r="B142" s="7" t="s">
        <v>145</v>
      </c>
      <c r="C142" s="8" t="n">
        <f aca="false">SUMIF('מקור-01'!$A:$A,$A142,'מקור-01'!$C:$C)+SUMIF('מקור-02'!$A:$A,$A142,'מקור-02'!$C:$C)+SUMIF('מקור-03'!$A:$A,$A142,'מקור-03'!$C:$C)+SUMIF('מקור-04'!$A:$A,$A142,'מקור-04'!$C:$C)+SUMIF('מקור-05'!$A:$A,$A142,'מקור-05'!$C:$C)+SUMIF('מקור-06'!$A:$A,$A142,'מקור-06'!$C:$C)+SUMIF('מקור-07'!$A:$A,$A142,'מקור-07'!$C:$C)</f>
        <v>102</v>
      </c>
      <c r="D142" s="8" t="n">
        <f aca="false">SUMIF('מקור-01'!$A:$A,$A142,'מקור-01'!$D:$D)+SUMIF('מקור-02'!$A:$A,$A142,'מקור-02'!$D:$D)+SUMIF('מקור-03'!$A:$A,$A142,'מקור-03'!$D:$D)+SUMIF('מקור-04'!$A:$A,$A142,'מקור-04'!$D:$D)+SUMIF('מקור-05'!$A:$A,$A142,'מקור-05'!$D:$D)+SUMIF('מקור-06'!$A:$A,$A142,'מקור-06'!$D:$D)+SUMIF('מקור-07'!$A:$A,$A142,'מקור-07'!$D:$D)</f>
        <v>121</v>
      </c>
      <c r="E142" s="9" t="n">
        <f aca="false">D142-C142</f>
        <v>19</v>
      </c>
      <c r="F142" s="10" t="n">
        <f aca="false">IF(C142=0,"מוצר חדש",(D142-C142)/C142)</f>
        <v>0.186274509803922</v>
      </c>
    </row>
    <row r="143" customFormat="false" ht="15" hidden="false" customHeight="true" outlineLevel="0" collapsed="false">
      <c r="A143" s="7" t="n">
        <v>67960</v>
      </c>
      <c r="B143" s="7" t="s">
        <v>146</v>
      </c>
      <c r="C143" s="8" t="n">
        <f aca="false">SUMIF('מקור-01'!$A:$A,$A143,'מקור-01'!$C:$C)+SUMIF('מקור-02'!$A:$A,$A143,'מקור-02'!$C:$C)+SUMIF('מקור-03'!$A:$A,$A143,'מקור-03'!$C:$C)+SUMIF('מקור-04'!$A:$A,$A143,'מקור-04'!$C:$C)+SUMIF('מקור-05'!$A:$A,$A143,'מקור-05'!$C:$C)+SUMIF('מקור-06'!$A:$A,$A143,'מקור-06'!$C:$C)+SUMIF('מקור-07'!$A:$A,$A143,'מקור-07'!$C:$C)</f>
        <v>56</v>
      </c>
      <c r="D143" s="8" t="n">
        <f aca="false">SUMIF('מקור-01'!$A:$A,$A143,'מקור-01'!$D:$D)+SUMIF('מקור-02'!$A:$A,$A143,'מקור-02'!$D:$D)+SUMIF('מקור-03'!$A:$A,$A143,'מקור-03'!$D:$D)+SUMIF('מקור-04'!$A:$A,$A143,'מקור-04'!$D:$D)+SUMIF('מקור-05'!$A:$A,$A143,'מקור-05'!$D:$D)+SUMIF('מקור-06'!$A:$A,$A143,'מקור-06'!$D:$D)+SUMIF('מקור-07'!$A:$A,$A143,'מקור-07'!$D:$D)</f>
        <v>79</v>
      </c>
      <c r="E143" s="9" t="n">
        <f aca="false">D143-C143</f>
        <v>23</v>
      </c>
      <c r="F143" s="10" t="n">
        <f aca="false">IF(C143=0,"מוצר חדש",(D143-C143)/C143)</f>
        <v>0.410714285714286</v>
      </c>
    </row>
    <row r="144" customFormat="false" ht="15" hidden="false" customHeight="true" outlineLevel="0" collapsed="false">
      <c r="A144" s="7" t="n">
        <v>68750</v>
      </c>
      <c r="B144" s="7" t="s">
        <v>147</v>
      </c>
      <c r="C144" s="8" t="n">
        <f aca="false">SUMIF('מקור-01'!$A:$A,$A144,'מקור-01'!$C:$C)+SUMIF('מקור-02'!$A:$A,$A144,'מקור-02'!$C:$C)+SUMIF('מקור-03'!$A:$A,$A144,'מקור-03'!$C:$C)+SUMIF('מקור-04'!$A:$A,$A144,'מקור-04'!$C:$C)+SUMIF('מקור-05'!$A:$A,$A144,'מקור-05'!$C:$C)+SUMIF('מקור-06'!$A:$A,$A144,'מקור-06'!$C:$C)+SUMIF('מקור-07'!$A:$A,$A144,'מקור-07'!$C:$C)</f>
        <v>2</v>
      </c>
      <c r="D144" s="8" t="n">
        <f aca="false">SUMIF('מקור-01'!$A:$A,$A144,'מקור-01'!$D:$D)+SUMIF('מקור-02'!$A:$A,$A144,'מקור-02'!$D:$D)+SUMIF('מקור-03'!$A:$A,$A144,'מקור-03'!$D:$D)+SUMIF('מקור-04'!$A:$A,$A144,'מקור-04'!$D:$D)+SUMIF('מקור-05'!$A:$A,$A144,'מקור-05'!$D:$D)+SUMIF('מקור-06'!$A:$A,$A144,'מקור-06'!$D:$D)+SUMIF('מקור-07'!$A:$A,$A144,'מקור-07'!$D:$D)</f>
        <v>13</v>
      </c>
      <c r="E144" s="9" t="n">
        <f aca="false">D144-C144</f>
        <v>11</v>
      </c>
      <c r="F144" s="10" t="n">
        <f aca="false">IF(C144=0,"מוצר חדש",(D144-C144)/C144)</f>
        <v>5.5</v>
      </c>
    </row>
    <row r="145" customFormat="false" ht="15" hidden="false" customHeight="true" outlineLevel="0" collapsed="false">
      <c r="A145" s="7" t="n">
        <v>68751</v>
      </c>
      <c r="B145" s="7" t="s">
        <v>148</v>
      </c>
      <c r="C145" s="8" t="n">
        <f aca="false">SUMIF('מקור-01'!$A:$A,$A145,'מקור-01'!$C:$C)+SUMIF('מקור-02'!$A:$A,$A145,'מקור-02'!$C:$C)+SUMIF('מקור-03'!$A:$A,$A145,'מקור-03'!$C:$C)+SUMIF('מקור-04'!$A:$A,$A145,'מקור-04'!$C:$C)+SUMIF('מקור-05'!$A:$A,$A145,'מקור-05'!$C:$C)+SUMIF('מקור-06'!$A:$A,$A145,'מקור-06'!$C:$C)+SUMIF('מקור-07'!$A:$A,$A145,'מקור-07'!$C:$C)</f>
        <v>3</v>
      </c>
      <c r="D145" s="8" t="n">
        <f aca="false">SUMIF('מקור-01'!$A:$A,$A145,'מקור-01'!$D:$D)+SUMIF('מקור-02'!$A:$A,$A145,'מקור-02'!$D:$D)+SUMIF('מקור-03'!$A:$A,$A145,'מקור-03'!$D:$D)+SUMIF('מקור-04'!$A:$A,$A145,'מקור-04'!$D:$D)+SUMIF('מקור-05'!$A:$A,$A145,'מקור-05'!$D:$D)+SUMIF('מקור-06'!$A:$A,$A145,'מקור-06'!$D:$D)+SUMIF('מקור-07'!$A:$A,$A145,'מקור-07'!$D:$D)</f>
        <v>15</v>
      </c>
      <c r="E145" s="9" t="n">
        <f aca="false">D145-C145</f>
        <v>12</v>
      </c>
      <c r="F145" s="10" t="n">
        <f aca="false">IF(C145=0,"מוצר חדש",(D145-C145)/C145)</f>
        <v>4</v>
      </c>
    </row>
    <row r="146" customFormat="false" ht="15" hidden="false" customHeight="true" outlineLevel="0" collapsed="false">
      <c r="A146" s="7" t="n">
        <v>71085</v>
      </c>
      <c r="B146" s="7" t="s">
        <v>149</v>
      </c>
      <c r="C146" s="8" t="n">
        <f aca="false">SUMIF('מקור-01'!$A:$A,$A146,'מקור-01'!$C:$C)+SUMIF('מקור-02'!$A:$A,$A146,'מקור-02'!$C:$C)+SUMIF('מקור-03'!$A:$A,$A146,'מקור-03'!$C:$C)+SUMIF('מקור-04'!$A:$A,$A146,'מקור-04'!$C:$C)+SUMIF('מקור-05'!$A:$A,$A146,'מקור-05'!$C:$C)+SUMIF('מקור-06'!$A:$A,$A146,'מקור-06'!$C:$C)+SUMIF('מקור-07'!$A:$A,$A146,'מקור-07'!$C:$C)</f>
        <v>2</v>
      </c>
      <c r="D146" s="8" t="n">
        <f aca="false">SUMIF('מקור-01'!$A:$A,$A146,'מקור-01'!$D:$D)+SUMIF('מקור-02'!$A:$A,$A146,'מקור-02'!$D:$D)+SUMIF('מקור-03'!$A:$A,$A146,'מקור-03'!$D:$D)+SUMIF('מקור-04'!$A:$A,$A146,'מקור-04'!$D:$D)+SUMIF('מקור-05'!$A:$A,$A146,'מקור-05'!$D:$D)+SUMIF('מקור-06'!$A:$A,$A146,'מקור-06'!$D:$D)+SUMIF('מקור-07'!$A:$A,$A146,'מקור-07'!$D:$D)</f>
        <v>3</v>
      </c>
      <c r="E146" s="9" t="n">
        <f aca="false">D146-C146</f>
        <v>1</v>
      </c>
      <c r="F146" s="10" t="n">
        <f aca="false">IF(C146=0,"מוצר חדש",(D146-C146)/C146)</f>
        <v>0.5</v>
      </c>
    </row>
    <row r="147" customFormat="false" ht="15" hidden="false" customHeight="true" outlineLevel="0" collapsed="false">
      <c r="A147" s="7" t="n">
        <v>71086</v>
      </c>
      <c r="B147" s="7" t="s">
        <v>150</v>
      </c>
      <c r="C147" s="8" t="n">
        <f aca="false">SUMIF('מקור-01'!$A:$A,$A147,'מקור-01'!$C:$C)+SUMIF('מקור-02'!$A:$A,$A147,'מקור-02'!$C:$C)+SUMIF('מקור-03'!$A:$A,$A147,'מקור-03'!$C:$C)+SUMIF('מקור-04'!$A:$A,$A147,'מקור-04'!$C:$C)+SUMIF('מקור-05'!$A:$A,$A147,'מקור-05'!$C:$C)+SUMIF('מקור-06'!$A:$A,$A147,'מקור-06'!$C:$C)+SUMIF('מקור-07'!$A:$A,$A147,'מקור-07'!$C:$C)</f>
        <v>21</v>
      </c>
      <c r="D147" s="8" t="n">
        <f aca="false">SUMIF('מקור-01'!$A:$A,$A147,'מקור-01'!$D:$D)+SUMIF('מקור-02'!$A:$A,$A147,'מקור-02'!$D:$D)+SUMIF('מקור-03'!$A:$A,$A147,'מקור-03'!$D:$D)+SUMIF('מקור-04'!$A:$A,$A147,'מקור-04'!$D:$D)+SUMIF('מקור-05'!$A:$A,$A147,'מקור-05'!$D:$D)+SUMIF('מקור-06'!$A:$A,$A147,'מקור-06'!$D:$D)+SUMIF('מקור-07'!$A:$A,$A147,'מקור-07'!$D:$D)</f>
        <v>39</v>
      </c>
      <c r="E147" s="9" t="n">
        <f aca="false">D147-C147</f>
        <v>18</v>
      </c>
      <c r="F147" s="10" t="n">
        <f aca="false">IF(C147=0,"מוצר חדש",(D147-C147)/C147)</f>
        <v>0.857142857142857</v>
      </c>
    </row>
    <row r="148" customFormat="false" ht="15" hidden="false" customHeight="true" outlineLevel="0" collapsed="false">
      <c r="A148" s="7" t="n">
        <v>71087</v>
      </c>
      <c r="B148" s="7" t="s">
        <v>151</v>
      </c>
      <c r="C148" s="8" t="n">
        <f aca="false">SUMIF('מקור-01'!$A:$A,$A148,'מקור-01'!$C:$C)+SUMIF('מקור-02'!$A:$A,$A148,'מקור-02'!$C:$C)+SUMIF('מקור-03'!$A:$A,$A148,'מקור-03'!$C:$C)+SUMIF('מקור-04'!$A:$A,$A148,'מקור-04'!$C:$C)+SUMIF('מקור-05'!$A:$A,$A148,'מקור-05'!$C:$C)+SUMIF('מקור-06'!$A:$A,$A148,'מקור-06'!$C:$C)+SUMIF('מקור-07'!$A:$A,$A148,'מקור-07'!$C:$C)</f>
        <v>72</v>
      </c>
      <c r="D148" s="8" t="n">
        <f aca="false">SUMIF('מקור-01'!$A:$A,$A148,'מקור-01'!$D:$D)+SUMIF('מקור-02'!$A:$A,$A148,'מקור-02'!$D:$D)+SUMIF('מקור-03'!$A:$A,$A148,'מקור-03'!$D:$D)+SUMIF('מקור-04'!$A:$A,$A148,'מקור-04'!$D:$D)+SUMIF('מקור-05'!$A:$A,$A148,'מקור-05'!$D:$D)+SUMIF('מקור-06'!$A:$A,$A148,'מקור-06'!$D:$D)+SUMIF('מקור-07'!$A:$A,$A148,'מקור-07'!$D:$D)</f>
        <v>99</v>
      </c>
      <c r="E148" s="9" t="n">
        <f aca="false">D148-C148</f>
        <v>27</v>
      </c>
      <c r="F148" s="10" t="n">
        <f aca="false">IF(C148=0,"מוצר חדש",(D148-C148)/C148)</f>
        <v>0.375</v>
      </c>
    </row>
    <row r="149" customFormat="false" ht="15" hidden="false" customHeight="true" outlineLevel="0" collapsed="false">
      <c r="A149" s="7" t="n">
        <v>71088</v>
      </c>
      <c r="B149" s="7" t="s">
        <v>152</v>
      </c>
      <c r="C149" s="8" t="n">
        <f aca="false">SUMIF('מקור-01'!$A:$A,$A149,'מקור-01'!$C:$C)+SUMIF('מקור-02'!$A:$A,$A149,'מקור-02'!$C:$C)+SUMIF('מקור-03'!$A:$A,$A149,'מקור-03'!$C:$C)+SUMIF('מקור-04'!$A:$A,$A149,'מקור-04'!$C:$C)+SUMIF('מקור-05'!$A:$A,$A149,'מקור-05'!$C:$C)+SUMIF('מקור-06'!$A:$A,$A149,'מקור-06'!$C:$C)+SUMIF('מקור-07'!$A:$A,$A149,'מקור-07'!$C:$C)</f>
        <v>57</v>
      </c>
      <c r="D149" s="8" t="n">
        <f aca="false">SUMIF('מקור-01'!$A:$A,$A149,'מקור-01'!$D:$D)+SUMIF('מקור-02'!$A:$A,$A149,'מקור-02'!$D:$D)+SUMIF('מקור-03'!$A:$A,$A149,'מקור-03'!$D:$D)+SUMIF('מקור-04'!$A:$A,$A149,'מקור-04'!$D:$D)+SUMIF('מקור-05'!$A:$A,$A149,'מקור-05'!$D:$D)+SUMIF('מקור-06'!$A:$A,$A149,'מקור-06'!$D:$D)+SUMIF('מקור-07'!$A:$A,$A149,'מקור-07'!$D:$D)</f>
        <v>73</v>
      </c>
      <c r="E149" s="9" t="n">
        <f aca="false">D149-C149</f>
        <v>16</v>
      </c>
      <c r="F149" s="10" t="n">
        <f aca="false">IF(C149=0,"מוצר חדש",(D149-C149)/C149)</f>
        <v>0.280701754385965</v>
      </c>
    </row>
    <row r="150" customFormat="false" ht="15" hidden="false" customHeight="true" outlineLevel="0" collapsed="false">
      <c r="A150" s="7" t="n">
        <v>71204</v>
      </c>
      <c r="B150" s="7" t="s">
        <v>153</v>
      </c>
      <c r="C150" s="8" t="n">
        <f aca="false">SUMIF('מקור-01'!$A:$A,$A150,'מקור-01'!$C:$C)+SUMIF('מקור-02'!$A:$A,$A150,'מקור-02'!$C:$C)+SUMIF('מקור-03'!$A:$A,$A150,'מקור-03'!$C:$C)+SUMIF('מקור-04'!$A:$A,$A150,'מקור-04'!$C:$C)+SUMIF('מקור-05'!$A:$A,$A150,'מקור-05'!$C:$C)+SUMIF('מקור-06'!$A:$A,$A150,'מקור-06'!$C:$C)+SUMIF('מקור-07'!$A:$A,$A150,'מקור-07'!$C:$C)</f>
        <v>654</v>
      </c>
      <c r="D150" s="8" t="n">
        <f aca="false">SUMIF('מקור-01'!$A:$A,$A150,'מקור-01'!$D:$D)+SUMIF('מקור-02'!$A:$A,$A150,'מקור-02'!$D:$D)+SUMIF('מקור-03'!$A:$A,$A150,'מקור-03'!$D:$D)+SUMIF('מקור-04'!$A:$A,$A150,'מקור-04'!$D:$D)+SUMIF('מקור-05'!$A:$A,$A150,'מקור-05'!$D:$D)+SUMIF('מקור-06'!$A:$A,$A150,'מקור-06'!$D:$D)+SUMIF('מקור-07'!$A:$A,$A150,'מקור-07'!$D:$D)</f>
        <v>561</v>
      </c>
      <c r="E150" s="9" t="n">
        <f aca="false">D150-C150</f>
        <v>-93</v>
      </c>
      <c r="F150" s="10" t="n">
        <f aca="false">IF(C150=0,"מוצר חדש",(D150-C150)/C150)</f>
        <v>-0.142201834862385</v>
      </c>
    </row>
    <row r="151" customFormat="false" ht="15" hidden="false" customHeight="true" outlineLevel="0" collapsed="false">
      <c r="A151" s="7" t="n">
        <v>71683</v>
      </c>
      <c r="B151" s="7" t="s">
        <v>154</v>
      </c>
      <c r="C151" s="8" t="n">
        <f aca="false">SUMIF('מקור-01'!$A:$A,$A151,'מקור-01'!$C:$C)+SUMIF('מקור-02'!$A:$A,$A151,'מקור-02'!$C:$C)+SUMIF('מקור-03'!$A:$A,$A151,'מקור-03'!$C:$C)+SUMIF('מקור-04'!$A:$A,$A151,'מקור-04'!$C:$C)+SUMIF('מקור-05'!$A:$A,$A151,'מקור-05'!$C:$C)+SUMIF('מקור-06'!$A:$A,$A151,'מקור-06'!$C:$C)+SUMIF('מקור-07'!$A:$A,$A151,'מקור-07'!$C:$C)</f>
        <v>31</v>
      </c>
      <c r="D151" s="8" t="n">
        <f aca="false">SUMIF('מקור-01'!$A:$A,$A151,'מקור-01'!$D:$D)+SUMIF('מקור-02'!$A:$A,$A151,'מקור-02'!$D:$D)+SUMIF('מקור-03'!$A:$A,$A151,'מקור-03'!$D:$D)+SUMIF('מקור-04'!$A:$A,$A151,'מקור-04'!$D:$D)+SUMIF('מקור-05'!$A:$A,$A151,'מקור-05'!$D:$D)+SUMIF('מקור-06'!$A:$A,$A151,'מקור-06'!$D:$D)+SUMIF('מקור-07'!$A:$A,$A151,'מקור-07'!$D:$D)</f>
        <v>38</v>
      </c>
      <c r="E151" s="9" t="n">
        <f aca="false">D151-C151</f>
        <v>7</v>
      </c>
      <c r="F151" s="10" t="n">
        <f aca="false">IF(C151=0,"מוצר חדש",(D151-C151)/C151)</f>
        <v>0.225806451612903</v>
      </c>
    </row>
    <row r="152" customFormat="false" ht="15" hidden="false" customHeight="true" outlineLevel="0" collapsed="false">
      <c r="A152" s="7" t="n">
        <v>74670</v>
      </c>
      <c r="B152" s="7" t="s">
        <v>155</v>
      </c>
      <c r="C152" s="8" t="n">
        <f aca="false">SUMIF('מקור-01'!$A:$A,$A152,'מקור-01'!$C:$C)+SUMIF('מקור-02'!$A:$A,$A152,'מקור-02'!$C:$C)+SUMIF('מקור-03'!$A:$A,$A152,'מקור-03'!$C:$C)+SUMIF('מקור-04'!$A:$A,$A152,'מקור-04'!$C:$C)+SUMIF('מקור-05'!$A:$A,$A152,'מקור-05'!$C:$C)+SUMIF('מקור-06'!$A:$A,$A152,'מקור-06'!$C:$C)+SUMIF('מקור-07'!$A:$A,$A152,'מקור-07'!$C:$C)</f>
        <v>35</v>
      </c>
      <c r="D152" s="8" t="n">
        <f aca="false">SUMIF('מקור-01'!$A:$A,$A152,'מקור-01'!$D:$D)+SUMIF('מקור-02'!$A:$A,$A152,'מקור-02'!$D:$D)+SUMIF('מקור-03'!$A:$A,$A152,'מקור-03'!$D:$D)+SUMIF('מקור-04'!$A:$A,$A152,'מקור-04'!$D:$D)+SUMIF('מקור-05'!$A:$A,$A152,'מקור-05'!$D:$D)+SUMIF('מקור-06'!$A:$A,$A152,'מקור-06'!$D:$D)+SUMIF('מקור-07'!$A:$A,$A152,'מקור-07'!$D:$D)</f>
        <v>20</v>
      </c>
      <c r="E152" s="9" t="n">
        <f aca="false">D152-C152</f>
        <v>-15</v>
      </c>
      <c r="F152" s="10" t="n">
        <f aca="false">IF(C152=0,"מוצר חדש",(D152-C152)/C152)</f>
        <v>-0.428571428571429</v>
      </c>
    </row>
    <row r="153" customFormat="false" ht="15" hidden="false" customHeight="true" outlineLevel="0" collapsed="false">
      <c r="A153" s="7" t="n">
        <v>74671</v>
      </c>
      <c r="B153" s="7" t="s">
        <v>156</v>
      </c>
      <c r="C153" s="8" t="n">
        <f aca="false">SUMIF('מקור-01'!$A:$A,$A153,'מקור-01'!$C:$C)+SUMIF('מקור-02'!$A:$A,$A153,'מקור-02'!$C:$C)+SUMIF('מקור-03'!$A:$A,$A153,'מקור-03'!$C:$C)+SUMIF('מקור-04'!$A:$A,$A153,'מקור-04'!$C:$C)+SUMIF('מקור-05'!$A:$A,$A153,'מקור-05'!$C:$C)+SUMIF('מקור-06'!$A:$A,$A153,'מקור-06'!$C:$C)+SUMIF('מקור-07'!$A:$A,$A153,'מקור-07'!$C:$C)</f>
        <v>9</v>
      </c>
      <c r="D153" s="8" t="n">
        <f aca="false">SUMIF('מקור-01'!$A:$A,$A153,'מקור-01'!$D:$D)+SUMIF('מקור-02'!$A:$A,$A153,'מקור-02'!$D:$D)+SUMIF('מקור-03'!$A:$A,$A153,'מקור-03'!$D:$D)+SUMIF('מקור-04'!$A:$A,$A153,'מקור-04'!$D:$D)+SUMIF('מקור-05'!$A:$A,$A153,'מקור-05'!$D:$D)+SUMIF('מקור-06'!$A:$A,$A153,'מקור-06'!$D:$D)+SUMIF('מקור-07'!$A:$A,$A153,'מקור-07'!$D:$D)</f>
        <v>11</v>
      </c>
      <c r="E153" s="9" t="n">
        <f aca="false">D153-C153</f>
        <v>2</v>
      </c>
      <c r="F153" s="10" t="n">
        <f aca="false">IF(C153=0,"מוצר חדש",(D153-C153)/C153)</f>
        <v>0.222222222222222</v>
      </c>
    </row>
    <row r="154" customFormat="false" ht="15" hidden="false" customHeight="true" outlineLevel="0" collapsed="false">
      <c r="A154" s="7" t="n">
        <v>74672</v>
      </c>
      <c r="B154" s="7" t="s">
        <v>157</v>
      </c>
      <c r="C154" s="8" t="n">
        <f aca="false">SUMIF('מקור-01'!$A:$A,$A154,'מקור-01'!$C:$C)+SUMIF('מקור-02'!$A:$A,$A154,'מקור-02'!$C:$C)+SUMIF('מקור-03'!$A:$A,$A154,'מקור-03'!$C:$C)+SUMIF('מקור-04'!$A:$A,$A154,'מקור-04'!$C:$C)+SUMIF('מקור-05'!$A:$A,$A154,'מקור-05'!$C:$C)+SUMIF('מקור-06'!$A:$A,$A154,'מקור-06'!$C:$C)+SUMIF('מקור-07'!$A:$A,$A154,'מקור-07'!$C:$C)</f>
        <v>34</v>
      </c>
      <c r="D154" s="8" t="n">
        <f aca="false">SUMIF('מקור-01'!$A:$A,$A154,'מקור-01'!$D:$D)+SUMIF('מקור-02'!$A:$A,$A154,'מקור-02'!$D:$D)+SUMIF('מקור-03'!$A:$A,$A154,'מקור-03'!$D:$D)+SUMIF('מקור-04'!$A:$A,$A154,'מקור-04'!$D:$D)+SUMIF('מקור-05'!$A:$A,$A154,'מקור-05'!$D:$D)+SUMIF('מקור-06'!$A:$A,$A154,'מקור-06'!$D:$D)+SUMIF('מקור-07'!$A:$A,$A154,'מקור-07'!$D:$D)</f>
        <v>29</v>
      </c>
      <c r="E154" s="9" t="n">
        <f aca="false">D154-C154</f>
        <v>-5</v>
      </c>
      <c r="F154" s="10" t="n">
        <f aca="false">IF(C154=0,"מוצר חדש",(D154-C154)/C154)</f>
        <v>-0.147058823529412</v>
      </c>
    </row>
    <row r="155" customFormat="false" ht="15" hidden="false" customHeight="true" outlineLevel="0" collapsed="false">
      <c r="A155" s="7" t="n">
        <v>74682</v>
      </c>
      <c r="B155" s="7" t="s">
        <v>158</v>
      </c>
      <c r="C155" s="8" t="n">
        <f aca="false">SUMIF('מקור-01'!$A:$A,$A155,'מקור-01'!$C:$C)+SUMIF('מקור-02'!$A:$A,$A155,'מקור-02'!$C:$C)+SUMIF('מקור-03'!$A:$A,$A155,'מקור-03'!$C:$C)+SUMIF('מקור-04'!$A:$A,$A155,'מקור-04'!$C:$C)+SUMIF('מקור-05'!$A:$A,$A155,'מקור-05'!$C:$C)+SUMIF('מקור-06'!$A:$A,$A155,'מקור-06'!$C:$C)+SUMIF('מקור-07'!$A:$A,$A155,'מקור-07'!$C:$C)</f>
        <v>43</v>
      </c>
      <c r="D155" s="8" t="n">
        <f aca="false">SUMIF('מקור-01'!$A:$A,$A155,'מקור-01'!$D:$D)+SUMIF('מקור-02'!$A:$A,$A155,'מקור-02'!$D:$D)+SUMIF('מקור-03'!$A:$A,$A155,'מקור-03'!$D:$D)+SUMIF('מקור-04'!$A:$A,$A155,'מקור-04'!$D:$D)+SUMIF('מקור-05'!$A:$A,$A155,'מקור-05'!$D:$D)+SUMIF('מקור-06'!$A:$A,$A155,'מקור-06'!$D:$D)+SUMIF('מקור-07'!$A:$A,$A155,'מקור-07'!$D:$D)</f>
        <v>36</v>
      </c>
      <c r="E155" s="9" t="n">
        <f aca="false">D155-C155</f>
        <v>-7</v>
      </c>
      <c r="F155" s="10" t="n">
        <f aca="false">IF(C155=0,"מוצר חדש",(D155-C155)/C155)</f>
        <v>-0.162790697674419</v>
      </c>
    </row>
    <row r="156" customFormat="false" ht="15" hidden="false" customHeight="true" outlineLevel="0" collapsed="false">
      <c r="A156" s="7" t="n">
        <v>74683</v>
      </c>
      <c r="B156" s="7" t="s">
        <v>159</v>
      </c>
      <c r="C156" s="8" t="n">
        <f aca="false">SUMIF('מקור-01'!$A:$A,$A156,'מקור-01'!$C:$C)+SUMIF('מקור-02'!$A:$A,$A156,'מקור-02'!$C:$C)+SUMIF('מקור-03'!$A:$A,$A156,'מקור-03'!$C:$C)+SUMIF('מקור-04'!$A:$A,$A156,'מקור-04'!$C:$C)+SUMIF('מקור-05'!$A:$A,$A156,'מקור-05'!$C:$C)+SUMIF('מקור-06'!$A:$A,$A156,'מקור-06'!$C:$C)+SUMIF('מקור-07'!$A:$A,$A156,'מקור-07'!$C:$C)</f>
        <v>31</v>
      </c>
      <c r="D156" s="8" t="n">
        <f aca="false">SUMIF('מקור-01'!$A:$A,$A156,'מקור-01'!$D:$D)+SUMIF('מקור-02'!$A:$A,$A156,'מקור-02'!$D:$D)+SUMIF('מקור-03'!$A:$A,$A156,'מקור-03'!$D:$D)+SUMIF('מקור-04'!$A:$A,$A156,'מקור-04'!$D:$D)+SUMIF('מקור-05'!$A:$A,$A156,'מקור-05'!$D:$D)+SUMIF('מקור-06'!$A:$A,$A156,'מקור-06'!$D:$D)+SUMIF('מקור-07'!$A:$A,$A156,'מקור-07'!$D:$D)</f>
        <v>30</v>
      </c>
      <c r="E156" s="9" t="n">
        <f aca="false">D156-C156</f>
        <v>-1</v>
      </c>
      <c r="F156" s="10" t="n">
        <f aca="false">IF(C156=0,"מוצר חדש",(D156-C156)/C156)</f>
        <v>-0.032258064516129</v>
      </c>
    </row>
    <row r="157" customFormat="false" ht="15" hidden="false" customHeight="true" outlineLevel="0" collapsed="false">
      <c r="A157" s="7" t="n">
        <v>74684</v>
      </c>
      <c r="B157" s="7" t="s">
        <v>160</v>
      </c>
      <c r="C157" s="8" t="n">
        <f aca="false">SUMIF('מקור-01'!$A:$A,$A157,'מקור-01'!$C:$C)+SUMIF('מקור-02'!$A:$A,$A157,'מקור-02'!$C:$C)+SUMIF('מקור-03'!$A:$A,$A157,'מקור-03'!$C:$C)+SUMIF('מקור-04'!$A:$A,$A157,'מקור-04'!$C:$C)+SUMIF('מקור-05'!$A:$A,$A157,'מקור-05'!$C:$C)+SUMIF('מקור-06'!$A:$A,$A157,'מקור-06'!$C:$C)+SUMIF('מקור-07'!$A:$A,$A157,'מקור-07'!$C:$C)</f>
        <v>59</v>
      </c>
      <c r="D157" s="8" t="n">
        <f aca="false">SUMIF('מקור-01'!$A:$A,$A157,'מקור-01'!$D:$D)+SUMIF('מקור-02'!$A:$A,$A157,'מקור-02'!$D:$D)+SUMIF('מקור-03'!$A:$A,$A157,'מקור-03'!$D:$D)+SUMIF('מקור-04'!$A:$A,$A157,'מקור-04'!$D:$D)+SUMIF('מקור-05'!$A:$A,$A157,'מקור-05'!$D:$D)+SUMIF('מקור-06'!$A:$A,$A157,'מקור-06'!$D:$D)+SUMIF('מקור-07'!$A:$A,$A157,'מקור-07'!$D:$D)</f>
        <v>67</v>
      </c>
      <c r="E157" s="9" t="n">
        <f aca="false">D157-C157</f>
        <v>8</v>
      </c>
      <c r="F157" s="10" t="n">
        <f aca="false">IF(C157=0,"מוצר חדש",(D157-C157)/C157)</f>
        <v>0.135593220338983</v>
      </c>
    </row>
    <row r="158" customFormat="false" ht="15" hidden="false" customHeight="true" outlineLevel="0" collapsed="false">
      <c r="A158" s="7" t="n">
        <v>74686</v>
      </c>
      <c r="B158" s="7" t="s">
        <v>161</v>
      </c>
      <c r="C158" s="8" t="n">
        <f aca="false">SUMIF('מקור-01'!$A:$A,$A158,'מקור-01'!$C:$C)+SUMIF('מקור-02'!$A:$A,$A158,'מקור-02'!$C:$C)+SUMIF('מקור-03'!$A:$A,$A158,'מקור-03'!$C:$C)+SUMIF('מקור-04'!$A:$A,$A158,'מקור-04'!$C:$C)+SUMIF('מקור-05'!$A:$A,$A158,'מקור-05'!$C:$C)+SUMIF('מקור-06'!$A:$A,$A158,'מקור-06'!$C:$C)+SUMIF('מקור-07'!$A:$A,$A158,'מקור-07'!$C:$C)</f>
        <v>2</v>
      </c>
      <c r="D158" s="8" t="n">
        <f aca="false">SUMIF('מקור-01'!$A:$A,$A158,'מקור-01'!$D:$D)+SUMIF('מקור-02'!$A:$A,$A158,'מקור-02'!$D:$D)+SUMIF('מקור-03'!$A:$A,$A158,'מקור-03'!$D:$D)+SUMIF('מקור-04'!$A:$A,$A158,'מקור-04'!$D:$D)+SUMIF('מקור-05'!$A:$A,$A158,'מקור-05'!$D:$D)+SUMIF('מקור-06'!$A:$A,$A158,'מקור-06'!$D:$D)+SUMIF('מקור-07'!$A:$A,$A158,'מקור-07'!$D:$D)</f>
        <v>3</v>
      </c>
      <c r="E158" s="9" t="n">
        <f aca="false">D158-C158</f>
        <v>1</v>
      </c>
      <c r="F158" s="10" t="n">
        <f aca="false">IF(C158=0,"מוצר חדש",(D158-C158)/C158)</f>
        <v>0.5</v>
      </c>
    </row>
    <row r="159" customFormat="false" ht="15" hidden="false" customHeight="true" outlineLevel="0" collapsed="false">
      <c r="A159" s="7" t="n">
        <v>74687</v>
      </c>
      <c r="B159" s="7" t="s">
        <v>162</v>
      </c>
      <c r="C159" s="8" t="n">
        <f aca="false">SUMIF('מקור-01'!$A:$A,$A159,'מקור-01'!$C:$C)+SUMIF('מקור-02'!$A:$A,$A159,'מקור-02'!$C:$C)+SUMIF('מקור-03'!$A:$A,$A159,'מקור-03'!$C:$C)+SUMIF('מקור-04'!$A:$A,$A159,'מקור-04'!$C:$C)+SUMIF('מקור-05'!$A:$A,$A159,'מקור-05'!$C:$C)+SUMIF('מקור-06'!$A:$A,$A159,'מקור-06'!$C:$C)+SUMIF('מקור-07'!$A:$A,$A159,'מקור-07'!$C:$C)</f>
        <v>10</v>
      </c>
      <c r="D159" s="8" t="n">
        <f aca="false">SUMIF('מקור-01'!$A:$A,$A159,'מקור-01'!$D:$D)+SUMIF('מקור-02'!$A:$A,$A159,'מקור-02'!$D:$D)+SUMIF('מקור-03'!$A:$A,$A159,'מקור-03'!$D:$D)+SUMIF('מקור-04'!$A:$A,$A159,'מקור-04'!$D:$D)+SUMIF('מקור-05'!$A:$A,$A159,'מקור-05'!$D:$D)+SUMIF('מקור-06'!$A:$A,$A159,'מקור-06'!$D:$D)+SUMIF('מקור-07'!$A:$A,$A159,'מקור-07'!$D:$D)</f>
        <v>14</v>
      </c>
      <c r="E159" s="9" t="n">
        <f aca="false">D159-C159</f>
        <v>4</v>
      </c>
      <c r="F159" s="10" t="n">
        <f aca="false">IF(C159=0,"מוצר חדש",(D159-C159)/C159)</f>
        <v>0.4</v>
      </c>
    </row>
    <row r="160" customFormat="false" ht="15" hidden="false" customHeight="true" outlineLevel="0" collapsed="false">
      <c r="A160" s="7" t="n">
        <v>74688</v>
      </c>
      <c r="B160" s="7" t="s">
        <v>163</v>
      </c>
      <c r="C160" s="8" t="n">
        <f aca="false">SUMIF('מקור-01'!$A:$A,$A160,'מקור-01'!$C:$C)+SUMIF('מקור-02'!$A:$A,$A160,'מקור-02'!$C:$C)+SUMIF('מקור-03'!$A:$A,$A160,'מקור-03'!$C:$C)+SUMIF('מקור-04'!$A:$A,$A160,'מקור-04'!$C:$C)+SUMIF('מקור-05'!$A:$A,$A160,'מקור-05'!$C:$C)+SUMIF('מקור-06'!$A:$A,$A160,'מקור-06'!$C:$C)+SUMIF('מקור-07'!$A:$A,$A160,'מקור-07'!$C:$C)</f>
        <v>7</v>
      </c>
      <c r="D160" s="8" t="n">
        <f aca="false">SUMIF('מקור-01'!$A:$A,$A160,'מקור-01'!$D:$D)+SUMIF('מקור-02'!$A:$A,$A160,'מקור-02'!$D:$D)+SUMIF('מקור-03'!$A:$A,$A160,'מקור-03'!$D:$D)+SUMIF('מקור-04'!$A:$A,$A160,'מקור-04'!$D:$D)+SUMIF('מקור-05'!$A:$A,$A160,'מקור-05'!$D:$D)+SUMIF('מקור-06'!$A:$A,$A160,'מקור-06'!$D:$D)+SUMIF('מקור-07'!$A:$A,$A160,'מקור-07'!$D:$D)</f>
        <v>8</v>
      </c>
      <c r="E160" s="9" t="n">
        <f aca="false">D160-C160</f>
        <v>1</v>
      </c>
      <c r="F160" s="10" t="n">
        <f aca="false">IF(C160=0,"מוצר חדש",(D160-C160)/C160)</f>
        <v>0.142857142857143</v>
      </c>
    </row>
    <row r="161" customFormat="false" ht="15" hidden="false" customHeight="true" outlineLevel="0" collapsed="false">
      <c r="A161" s="7" t="n">
        <v>74708</v>
      </c>
      <c r="B161" s="7" t="s">
        <v>164</v>
      </c>
      <c r="C161" s="8" t="n">
        <f aca="false">SUMIF('מקור-01'!$A:$A,$A161,'מקור-01'!$C:$C)+SUMIF('מקור-02'!$A:$A,$A161,'מקור-02'!$C:$C)+SUMIF('מקור-03'!$A:$A,$A161,'מקור-03'!$C:$C)+SUMIF('מקור-04'!$A:$A,$A161,'מקור-04'!$C:$C)+SUMIF('מקור-05'!$A:$A,$A161,'מקור-05'!$C:$C)+SUMIF('מקור-06'!$A:$A,$A161,'מקור-06'!$C:$C)+SUMIF('מקור-07'!$A:$A,$A161,'מקור-07'!$C:$C)</f>
        <v>187</v>
      </c>
      <c r="D161" s="8" t="n">
        <f aca="false">SUMIF('מקור-01'!$A:$A,$A161,'מקור-01'!$D:$D)+SUMIF('מקור-02'!$A:$A,$A161,'מקור-02'!$D:$D)+SUMIF('מקור-03'!$A:$A,$A161,'מקור-03'!$D:$D)+SUMIF('מקור-04'!$A:$A,$A161,'מקור-04'!$D:$D)+SUMIF('מקור-05'!$A:$A,$A161,'מקור-05'!$D:$D)+SUMIF('מקור-06'!$A:$A,$A161,'מקור-06'!$D:$D)+SUMIF('מקור-07'!$A:$A,$A161,'מקור-07'!$D:$D)</f>
        <v>177</v>
      </c>
      <c r="E161" s="9" t="n">
        <f aca="false">D161-C161</f>
        <v>-10</v>
      </c>
      <c r="F161" s="10" t="n">
        <f aca="false">IF(C161=0,"מוצר חדש",(D161-C161)/C161)</f>
        <v>-0.053475935828877</v>
      </c>
    </row>
    <row r="162" customFormat="false" ht="15" hidden="false" customHeight="true" outlineLevel="0" collapsed="false">
      <c r="A162" s="7" t="n">
        <v>74709</v>
      </c>
      <c r="B162" s="7" t="s">
        <v>165</v>
      </c>
      <c r="C162" s="8" t="n">
        <f aca="false">SUMIF('מקור-01'!$A:$A,$A162,'מקור-01'!$C:$C)+SUMIF('מקור-02'!$A:$A,$A162,'מקור-02'!$C:$C)+SUMIF('מקור-03'!$A:$A,$A162,'מקור-03'!$C:$C)+SUMIF('מקור-04'!$A:$A,$A162,'מקור-04'!$C:$C)+SUMIF('מקור-05'!$A:$A,$A162,'מקור-05'!$C:$C)+SUMIF('מקור-06'!$A:$A,$A162,'מקור-06'!$C:$C)+SUMIF('מקור-07'!$A:$A,$A162,'מקור-07'!$C:$C)</f>
        <v>250</v>
      </c>
      <c r="D162" s="8" t="n">
        <f aca="false">SUMIF('מקור-01'!$A:$A,$A162,'מקור-01'!$D:$D)+SUMIF('מקור-02'!$A:$A,$A162,'מקור-02'!$D:$D)+SUMIF('מקור-03'!$A:$A,$A162,'מקור-03'!$D:$D)+SUMIF('מקור-04'!$A:$A,$A162,'מקור-04'!$D:$D)+SUMIF('מקור-05'!$A:$A,$A162,'מקור-05'!$D:$D)+SUMIF('מקור-06'!$A:$A,$A162,'מקור-06'!$D:$D)+SUMIF('מקור-07'!$A:$A,$A162,'מקור-07'!$D:$D)</f>
        <v>233</v>
      </c>
      <c r="E162" s="9" t="n">
        <f aca="false">D162-C162</f>
        <v>-17</v>
      </c>
      <c r="F162" s="10" t="n">
        <f aca="false">IF(C162=0,"מוצר חדש",(D162-C162)/C162)</f>
        <v>-0.068</v>
      </c>
    </row>
    <row r="163" customFormat="false" ht="15" hidden="false" customHeight="true" outlineLevel="0" collapsed="false">
      <c r="A163" s="7" t="n">
        <v>74710</v>
      </c>
      <c r="B163" s="7" t="s">
        <v>166</v>
      </c>
      <c r="C163" s="8" t="n">
        <f aca="false">SUMIF('מקור-01'!$A:$A,$A163,'מקור-01'!$C:$C)+SUMIF('מקור-02'!$A:$A,$A163,'מקור-02'!$C:$C)+SUMIF('מקור-03'!$A:$A,$A163,'מקור-03'!$C:$C)+SUMIF('מקור-04'!$A:$A,$A163,'מקור-04'!$C:$C)+SUMIF('מקור-05'!$A:$A,$A163,'מקור-05'!$C:$C)+SUMIF('מקור-06'!$A:$A,$A163,'מקור-06'!$C:$C)+SUMIF('מקור-07'!$A:$A,$A163,'מקור-07'!$C:$C)</f>
        <v>74</v>
      </c>
      <c r="D163" s="8" t="n">
        <f aca="false">SUMIF('מקור-01'!$A:$A,$A163,'מקור-01'!$D:$D)+SUMIF('מקור-02'!$A:$A,$A163,'מקור-02'!$D:$D)+SUMIF('מקור-03'!$A:$A,$A163,'מקור-03'!$D:$D)+SUMIF('מקור-04'!$A:$A,$A163,'מקור-04'!$D:$D)+SUMIF('מקור-05'!$A:$A,$A163,'מקור-05'!$D:$D)+SUMIF('מקור-06'!$A:$A,$A163,'מקור-06'!$D:$D)+SUMIF('מקור-07'!$A:$A,$A163,'מקור-07'!$D:$D)</f>
        <v>76</v>
      </c>
      <c r="E163" s="9" t="n">
        <f aca="false">D163-C163</f>
        <v>2</v>
      </c>
      <c r="F163" s="10" t="n">
        <f aca="false">IF(C163=0,"מוצר חדש",(D163-C163)/C163)</f>
        <v>0.027027027027027</v>
      </c>
    </row>
    <row r="164" customFormat="false" ht="15" hidden="false" customHeight="true" outlineLevel="0" collapsed="false">
      <c r="A164" s="7" t="n">
        <v>74762</v>
      </c>
      <c r="B164" s="7" t="s">
        <v>167</v>
      </c>
      <c r="C164" s="8" t="n">
        <f aca="false">SUMIF('מקור-01'!$A:$A,$A164,'מקור-01'!$C:$C)+SUMIF('מקור-02'!$A:$A,$A164,'מקור-02'!$C:$C)+SUMIF('מקור-03'!$A:$A,$A164,'מקור-03'!$C:$C)+SUMIF('מקור-04'!$A:$A,$A164,'מקור-04'!$C:$C)+SUMIF('מקור-05'!$A:$A,$A164,'מקור-05'!$C:$C)+SUMIF('מקור-06'!$A:$A,$A164,'מקור-06'!$C:$C)+SUMIF('מקור-07'!$A:$A,$A164,'מקור-07'!$C:$C)</f>
        <v>75</v>
      </c>
      <c r="D164" s="8" t="n">
        <f aca="false">SUMIF('מקור-01'!$A:$A,$A164,'מקור-01'!$D:$D)+SUMIF('מקור-02'!$A:$A,$A164,'מקור-02'!$D:$D)+SUMIF('מקור-03'!$A:$A,$A164,'מקור-03'!$D:$D)+SUMIF('מקור-04'!$A:$A,$A164,'מקור-04'!$D:$D)+SUMIF('מקור-05'!$A:$A,$A164,'מקור-05'!$D:$D)+SUMIF('מקור-06'!$A:$A,$A164,'מקור-06'!$D:$D)+SUMIF('מקור-07'!$A:$A,$A164,'מקור-07'!$D:$D)</f>
        <v>69</v>
      </c>
      <c r="E164" s="9" t="n">
        <f aca="false">D164-C164</f>
        <v>-6</v>
      </c>
      <c r="F164" s="10" t="n">
        <f aca="false">IF(C164=0,"מוצר חדש",(D164-C164)/C164)</f>
        <v>-0.08</v>
      </c>
    </row>
    <row r="165" customFormat="false" ht="15" hidden="false" customHeight="true" outlineLevel="0" collapsed="false">
      <c r="A165" s="7" t="n">
        <v>74763</v>
      </c>
      <c r="B165" s="7" t="s">
        <v>168</v>
      </c>
      <c r="C165" s="8" t="n">
        <f aca="false">SUMIF('מקור-01'!$A:$A,$A165,'מקור-01'!$C:$C)+SUMIF('מקור-02'!$A:$A,$A165,'מקור-02'!$C:$C)+SUMIF('מקור-03'!$A:$A,$A165,'מקור-03'!$C:$C)+SUMIF('מקור-04'!$A:$A,$A165,'מקור-04'!$C:$C)+SUMIF('מקור-05'!$A:$A,$A165,'מקור-05'!$C:$C)+SUMIF('מקור-06'!$A:$A,$A165,'מקור-06'!$C:$C)+SUMIF('מקור-07'!$A:$A,$A165,'מקור-07'!$C:$C)</f>
        <v>57</v>
      </c>
      <c r="D165" s="8" t="n">
        <f aca="false">SUMIF('מקור-01'!$A:$A,$A165,'מקור-01'!$D:$D)+SUMIF('מקור-02'!$A:$A,$A165,'מקור-02'!$D:$D)+SUMIF('מקור-03'!$A:$A,$A165,'מקור-03'!$D:$D)+SUMIF('מקור-04'!$A:$A,$A165,'מקור-04'!$D:$D)+SUMIF('מקור-05'!$A:$A,$A165,'מקור-05'!$D:$D)+SUMIF('מקור-06'!$A:$A,$A165,'מקור-06'!$D:$D)+SUMIF('מקור-07'!$A:$A,$A165,'מקור-07'!$D:$D)</f>
        <v>46</v>
      </c>
      <c r="E165" s="9" t="n">
        <f aca="false">D165-C165</f>
        <v>-11</v>
      </c>
      <c r="F165" s="10" t="n">
        <f aca="false">IF(C165=0,"מוצר חדש",(D165-C165)/C165)</f>
        <v>-0.192982456140351</v>
      </c>
    </row>
    <row r="166" customFormat="false" ht="15" hidden="false" customHeight="true" outlineLevel="0" collapsed="false">
      <c r="A166" s="7" t="n">
        <v>74764</v>
      </c>
      <c r="B166" s="7" t="s">
        <v>169</v>
      </c>
      <c r="C166" s="8" t="n">
        <f aca="false">SUMIF('מקור-01'!$A:$A,$A166,'מקור-01'!$C:$C)+SUMIF('מקור-02'!$A:$A,$A166,'מקור-02'!$C:$C)+SUMIF('מקור-03'!$A:$A,$A166,'מקור-03'!$C:$C)+SUMIF('מקור-04'!$A:$A,$A166,'מקור-04'!$C:$C)+SUMIF('מקור-05'!$A:$A,$A166,'מקור-05'!$C:$C)+SUMIF('מקור-06'!$A:$A,$A166,'מקור-06'!$C:$C)+SUMIF('מקור-07'!$A:$A,$A166,'מקור-07'!$C:$C)</f>
        <v>40</v>
      </c>
      <c r="D166" s="8" t="n">
        <f aca="false">SUMIF('מקור-01'!$A:$A,$A166,'מקור-01'!$D:$D)+SUMIF('מקור-02'!$A:$A,$A166,'מקור-02'!$D:$D)+SUMIF('מקור-03'!$A:$A,$A166,'מקור-03'!$D:$D)+SUMIF('מקור-04'!$A:$A,$A166,'מקור-04'!$D:$D)+SUMIF('מקור-05'!$A:$A,$A166,'מקור-05'!$D:$D)+SUMIF('מקור-06'!$A:$A,$A166,'מקור-06'!$D:$D)+SUMIF('מקור-07'!$A:$A,$A166,'מקור-07'!$D:$D)</f>
        <v>36</v>
      </c>
      <c r="E166" s="9" t="n">
        <f aca="false">D166-C166</f>
        <v>-4</v>
      </c>
      <c r="F166" s="10" t="n">
        <f aca="false">IF(C166=0,"מוצר חדש",(D166-C166)/C166)</f>
        <v>-0.1</v>
      </c>
    </row>
    <row r="167" customFormat="false" ht="15" hidden="false" customHeight="true" outlineLevel="0" collapsed="false">
      <c r="A167" s="7" t="n">
        <v>74799</v>
      </c>
      <c r="B167" s="7" t="s">
        <v>170</v>
      </c>
      <c r="C167" s="8" t="n">
        <f aca="false">SUMIF('מקור-01'!$A:$A,$A167,'מקור-01'!$C:$C)+SUMIF('מקור-02'!$A:$A,$A167,'מקור-02'!$C:$C)+SUMIF('מקור-03'!$A:$A,$A167,'מקור-03'!$C:$C)+SUMIF('מקור-04'!$A:$A,$A167,'מקור-04'!$C:$C)+SUMIF('מקור-05'!$A:$A,$A167,'מקור-05'!$C:$C)+SUMIF('מקור-06'!$A:$A,$A167,'מקור-06'!$C:$C)+SUMIF('מקור-07'!$A:$A,$A167,'מקור-07'!$C:$C)</f>
        <v>227</v>
      </c>
      <c r="D167" s="8" t="n">
        <f aca="false">SUMIF('מקור-01'!$A:$A,$A167,'מקור-01'!$D:$D)+SUMIF('מקור-02'!$A:$A,$A167,'מקור-02'!$D:$D)+SUMIF('מקור-03'!$A:$A,$A167,'מקור-03'!$D:$D)+SUMIF('מקור-04'!$A:$A,$A167,'מקור-04'!$D:$D)+SUMIF('מקור-05'!$A:$A,$A167,'מקור-05'!$D:$D)+SUMIF('מקור-06'!$A:$A,$A167,'מקור-06'!$D:$D)+SUMIF('מקור-07'!$A:$A,$A167,'מקור-07'!$D:$D)</f>
        <v>210</v>
      </c>
      <c r="E167" s="9" t="n">
        <f aca="false">D167-C167</f>
        <v>-17</v>
      </c>
      <c r="F167" s="10" t="n">
        <f aca="false">IF(C167=0,"מוצר חדש",(D167-C167)/C167)</f>
        <v>-0.0748898678414097</v>
      </c>
    </row>
    <row r="168" customFormat="false" ht="15" hidden="false" customHeight="true" outlineLevel="0" collapsed="false">
      <c r="A168" s="7" t="n">
        <v>74800</v>
      </c>
      <c r="B168" s="7" t="s">
        <v>171</v>
      </c>
      <c r="C168" s="8" t="n">
        <f aca="false">SUMIF('מקור-01'!$A:$A,$A168,'מקור-01'!$C:$C)+SUMIF('מקור-02'!$A:$A,$A168,'מקור-02'!$C:$C)+SUMIF('מקור-03'!$A:$A,$A168,'מקור-03'!$C:$C)+SUMIF('מקור-04'!$A:$A,$A168,'מקור-04'!$C:$C)+SUMIF('מקור-05'!$A:$A,$A168,'מקור-05'!$C:$C)+SUMIF('מקור-06'!$A:$A,$A168,'מקור-06'!$C:$C)+SUMIF('מקור-07'!$A:$A,$A168,'מקור-07'!$C:$C)</f>
        <v>200</v>
      </c>
      <c r="D168" s="8" t="n">
        <f aca="false">SUMIF('מקור-01'!$A:$A,$A168,'מקור-01'!$D:$D)+SUMIF('מקור-02'!$A:$A,$A168,'מקור-02'!$D:$D)+SUMIF('מקור-03'!$A:$A,$A168,'מקור-03'!$D:$D)+SUMIF('מקור-04'!$A:$A,$A168,'מקור-04'!$D:$D)+SUMIF('מקור-05'!$A:$A,$A168,'מקור-05'!$D:$D)+SUMIF('מקור-06'!$A:$A,$A168,'מקור-06'!$D:$D)+SUMIF('מקור-07'!$A:$A,$A168,'מקור-07'!$D:$D)</f>
        <v>166</v>
      </c>
      <c r="E168" s="9" t="n">
        <f aca="false">D168-C168</f>
        <v>-34</v>
      </c>
      <c r="F168" s="10" t="n">
        <f aca="false">IF(C168=0,"מוצר חדש",(D168-C168)/C168)</f>
        <v>-0.17</v>
      </c>
    </row>
    <row r="169" customFormat="false" ht="15" hidden="false" customHeight="true" outlineLevel="0" collapsed="false">
      <c r="A169" s="7" t="n">
        <v>74801</v>
      </c>
      <c r="B169" s="7" t="s">
        <v>172</v>
      </c>
      <c r="C169" s="8" t="n">
        <f aca="false">SUMIF('מקור-01'!$A:$A,$A169,'מקור-01'!$C:$C)+SUMIF('מקור-02'!$A:$A,$A169,'מקור-02'!$C:$C)+SUMIF('מקור-03'!$A:$A,$A169,'מקור-03'!$C:$C)+SUMIF('מקור-04'!$A:$A,$A169,'מקור-04'!$C:$C)+SUMIF('מקור-05'!$A:$A,$A169,'מקור-05'!$C:$C)+SUMIF('מקור-06'!$A:$A,$A169,'מקור-06'!$C:$C)+SUMIF('מקור-07'!$A:$A,$A169,'מקור-07'!$C:$C)</f>
        <v>150</v>
      </c>
      <c r="D169" s="8" t="n">
        <f aca="false">SUMIF('מקור-01'!$A:$A,$A169,'מקור-01'!$D:$D)+SUMIF('מקור-02'!$A:$A,$A169,'מקור-02'!$D:$D)+SUMIF('מקור-03'!$A:$A,$A169,'מקור-03'!$D:$D)+SUMIF('מקור-04'!$A:$A,$A169,'מקור-04'!$D:$D)+SUMIF('מקור-05'!$A:$A,$A169,'מקור-05'!$D:$D)+SUMIF('מקור-06'!$A:$A,$A169,'מקור-06'!$D:$D)+SUMIF('מקור-07'!$A:$A,$A169,'מקור-07'!$D:$D)</f>
        <v>164</v>
      </c>
      <c r="E169" s="9" t="n">
        <f aca="false">D169-C169</f>
        <v>14</v>
      </c>
      <c r="F169" s="10" t="n">
        <f aca="false">IF(C169=0,"מוצר חדש",(D169-C169)/C169)</f>
        <v>0.0933333333333333</v>
      </c>
    </row>
    <row r="170" customFormat="false" ht="15" hidden="false" customHeight="true" outlineLevel="0" collapsed="false">
      <c r="A170" s="7" t="n">
        <v>74805</v>
      </c>
      <c r="B170" s="7" t="s">
        <v>173</v>
      </c>
      <c r="C170" s="8" t="n">
        <f aca="false">SUMIF('מקור-01'!$A:$A,$A170,'מקור-01'!$C:$C)+SUMIF('מקור-02'!$A:$A,$A170,'מקור-02'!$C:$C)+SUMIF('מקור-03'!$A:$A,$A170,'מקור-03'!$C:$C)+SUMIF('מקור-04'!$A:$A,$A170,'מקור-04'!$C:$C)+SUMIF('מקור-05'!$A:$A,$A170,'מקור-05'!$C:$C)+SUMIF('מקור-06'!$A:$A,$A170,'מקור-06'!$C:$C)+SUMIF('מקור-07'!$A:$A,$A170,'מקור-07'!$C:$C)</f>
        <v>7</v>
      </c>
      <c r="D170" s="8" t="n">
        <f aca="false">SUMIF('מקור-01'!$A:$A,$A170,'מקור-01'!$D:$D)+SUMIF('מקור-02'!$A:$A,$A170,'מקור-02'!$D:$D)+SUMIF('מקור-03'!$A:$A,$A170,'מקור-03'!$D:$D)+SUMIF('מקור-04'!$A:$A,$A170,'מקור-04'!$D:$D)+SUMIF('מקור-05'!$A:$A,$A170,'מקור-05'!$D:$D)+SUMIF('מקור-06'!$A:$A,$A170,'מקור-06'!$D:$D)+SUMIF('מקור-07'!$A:$A,$A170,'מקור-07'!$D:$D)</f>
        <v>5</v>
      </c>
      <c r="E170" s="9" t="n">
        <f aca="false">D170-C170</f>
        <v>-2</v>
      </c>
      <c r="F170" s="10" t="n">
        <f aca="false">IF(C170=0,"מוצר חדש",(D170-C170)/C170)</f>
        <v>-0.285714285714286</v>
      </c>
    </row>
    <row r="171" customFormat="false" ht="15" hidden="false" customHeight="true" outlineLevel="0" collapsed="false">
      <c r="A171" s="7" t="n">
        <v>74806</v>
      </c>
      <c r="B171" s="7" t="s">
        <v>174</v>
      </c>
      <c r="C171" s="8" t="n">
        <f aca="false">SUMIF('מקור-01'!$A:$A,$A171,'מקור-01'!$C:$C)+SUMIF('מקור-02'!$A:$A,$A171,'מקור-02'!$C:$C)+SUMIF('מקור-03'!$A:$A,$A171,'מקור-03'!$C:$C)+SUMIF('מקור-04'!$A:$A,$A171,'מקור-04'!$C:$C)+SUMIF('מקור-05'!$A:$A,$A171,'מקור-05'!$C:$C)+SUMIF('מקור-06'!$A:$A,$A171,'מקור-06'!$C:$C)+SUMIF('מקור-07'!$A:$A,$A171,'מקור-07'!$C:$C)</f>
        <v>4</v>
      </c>
      <c r="D171" s="8" t="n">
        <f aca="false">SUMIF('מקור-01'!$A:$A,$A171,'מקור-01'!$D:$D)+SUMIF('מקור-02'!$A:$A,$A171,'מקור-02'!$D:$D)+SUMIF('מקור-03'!$A:$A,$A171,'מקור-03'!$D:$D)+SUMIF('מקור-04'!$A:$A,$A171,'מקור-04'!$D:$D)+SUMIF('מקור-05'!$A:$A,$A171,'מקור-05'!$D:$D)+SUMIF('מקור-06'!$A:$A,$A171,'מקור-06'!$D:$D)+SUMIF('מקור-07'!$A:$A,$A171,'מקור-07'!$D:$D)</f>
        <v>7</v>
      </c>
      <c r="E171" s="9" t="n">
        <f aca="false">D171-C171</f>
        <v>3</v>
      </c>
      <c r="F171" s="10" t="n">
        <f aca="false">IF(C171=0,"מוצר חדש",(D171-C171)/C171)</f>
        <v>0.75</v>
      </c>
    </row>
    <row r="172" customFormat="false" ht="15" hidden="false" customHeight="true" outlineLevel="0" collapsed="false">
      <c r="A172" s="7" t="n">
        <v>74807</v>
      </c>
      <c r="B172" s="7" t="s">
        <v>175</v>
      </c>
      <c r="C172" s="8" t="n">
        <f aca="false">SUMIF('מקור-01'!$A:$A,$A172,'מקור-01'!$C:$C)+SUMIF('מקור-02'!$A:$A,$A172,'מקור-02'!$C:$C)+SUMIF('מקור-03'!$A:$A,$A172,'מקור-03'!$C:$C)+SUMIF('מקור-04'!$A:$A,$A172,'מקור-04'!$C:$C)+SUMIF('מקור-05'!$A:$A,$A172,'מקור-05'!$C:$C)+SUMIF('מקור-06'!$A:$A,$A172,'מקור-06'!$C:$C)+SUMIF('מקור-07'!$A:$A,$A172,'מקור-07'!$C:$C)</f>
        <v>7</v>
      </c>
      <c r="D172" s="8" t="n">
        <f aca="false">SUMIF('מקור-01'!$A:$A,$A172,'מקור-01'!$D:$D)+SUMIF('מקור-02'!$A:$A,$A172,'מקור-02'!$D:$D)+SUMIF('מקור-03'!$A:$A,$A172,'מקור-03'!$D:$D)+SUMIF('מקור-04'!$A:$A,$A172,'מקור-04'!$D:$D)+SUMIF('מקור-05'!$A:$A,$A172,'מקור-05'!$D:$D)+SUMIF('מקור-06'!$A:$A,$A172,'מקור-06'!$D:$D)+SUMIF('מקור-07'!$A:$A,$A172,'מקור-07'!$D:$D)</f>
        <v>6</v>
      </c>
      <c r="E172" s="9" t="n">
        <f aca="false">D172-C172</f>
        <v>-1</v>
      </c>
      <c r="F172" s="10" t="n">
        <f aca="false">IF(C172=0,"מוצר חדש",(D172-C172)/C172)</f>
        <v>-0.142857142857143</v>
      </c>
    </row>
    <row r="173" customFormat="false" ht="15" hidden="false" customHeight="true" outlineLevel="0" collapsed="false">
      <c r="A173" s="7" t="n">
        <v>74820</v>
      </c>
      <c r="B173" s="7" t="s">
        <v>176</v>
      </c>
      <c r="C173" s="8" t="n">
        <f aca="false">SUMIF('מקור-01'!$A:$A,$A173,'מקור-01'!$C:$C)+SUMIF('מקור-02'!$A:$A,$A173,'מקור-02'!$C:$C)+SUMIF('מקור-03'!$A:$A,$A173,'מקור-03'!$C:$C)+SUMIF('מקור-04'!$A:$A,$A173,'מקור-04'!$C:$C)+SUMIF('מקור-05'!$A:$A,$A173,'מקור-05'!$C:$C)+SUMIF('מקור-06'!$A:$A,$A173,'מקור-06'!$C:$C)+SUMIF('מקור-07'!$A:$A,$A173,'מקור-07'!$C:$C)</f>
        <v>5</v>
      </c>
      <c r="D173" s="8" t="n">
        <f aca="false">SUMIF('מקור-01'!$A:$A,$A173,'מקור-01'!$D:$D)+SUMIF('מקור-02'!$A:$A,$A173,'מקור-02'!$D:$D)+SUMIF('מקור-03'!$A:$A,$A173,'מקור-03'!$D:$D)+SUMIF('מקור-04'!$A:$A,$A173,'מקור-04'!$D:$D)+SUMIF('מקור-05'!$A:$A,$A173,'מקור-05'!$D:$D)+SUMIF('מקור-06'!$A:$A,$A173,'מקור-06'!$D:$D)+SUMIF('מקור-07'!$A:$A,$A173,'מקור-07'!$D:$D)</f>
        <v>4</v>
      </c>
      <c r="E173" s="9" t="n">
        <f aca="false">D173-C173</f>
        <v>-1</v>
      </c>
      <c r="F173" s="10" t="n">
        <f aca="false">IF(C173=0,"מוצר חדש",(D173-C173)/C173)</f>
        <v>-0.2</v>
      </c>
    </row>
    <row r="174" customFormat="false" ht="15" hidden="false" customHeight="true" outlineLevel="0" collapsed="false">
      <c r="A174" s="7" t="n">
        <v>74821</v>
      </c>
      <c r="B174" s="7" t="s">
        <v>177</v>
      </c>
      <c r="C174" s="8" t="n">
        <f aca="false">SUMIF('מקור-01'!$A:$A,$A174,'מקור-01'!$C:$C)+SUMIF('מקור-02'!$A:$A,$A174,'מקור-02'!$C:$C)+SUMIF('מקור-03'!$A:$A,$A174,'מקור-03'!$C:$C)+SUMIF('מקור-04'!$A:$A,$A174,'מקור-04'!$C:$C)+SUMIF('מקור-05'!$A:$A,$A174,'מקור-05'!$C:$C)+SUMIF('מקור-06'!$A:$A,$A174,'מקור-06'!$C:$C)+SUMIF('מקור-07'!$A:$A,$A174,'מקור-07'!$C:$C)</f>
        <v>8</v>
      </c>
      <c r="D174" s="8" t="n">
        <f aca="false">SUMIF('מקור-01'!$A:$A,$A174,'מקור-01'!$D:$D)+SUMIF('מקור-02'!$A:$A,$A174,'מקור-02'!$D:$D)+SUMIF('מקור-03'!$A:$A,$A174,'מקור-03'!$D:$D)+SUMIF('מקור-04'!$A:$A,$A174,'מקור-04'!$D:$D)+SUMIF('מקור-05'!$A:$A,$A174,'מקור-05'!$D:$D)+SUMIF('מקור-06'!$A:$A,$A174,'מקור-06'!$D:$D)+SUMIF('מקור-07'!$A:$A,$A174,'מקור-07'!$D:$D)</f>
        <v>10</v>
      </c>
      <c r="E174" s="9" t="n">
        <f aca="false">D174-C174</f>
        <v>2</v>
      </c>
      <c r="F174" s="10" t="n">
        <f aca="false">IF(C174=0,"מוצר חדש",(D174-C174)/C174)</f>
        <v>0.25</v>
      </c>
    </row>
    <row r="175" customFormat="false" ht="15" hidden="false" customHeight="true" outlineLevel="0" collapsed="false">
      <c r="A175" s="7" t="n">
        <v>74822</v>
      </c>
      <c r="B175" s="7" t="s">
        <v>178</v>
      </c>
      <c r="C175" s="8" t="n">
        <f aca="false">SUMIF('מקור-01'!$A:$A,$A175,'מקור-01'!$C:$C)+SUMIF('מקור-02'!$A:$A,$A175,'מקור-02'!$C:$C)+SUMIF('מקור-03'!$A:$A,$A175,'מקור-03'!$C:$C)+SUMIF('מקור-04'!$A:$A,$A175,'מקור-04'!$C:$C)+SUMIF('מקור-05'!$A:$A,$A175,'מקור-05'!$C:$C)+SUMIF('מקור-06'!$A:$A,$A175,'מקור-06'!$C:$C)+SUMIF('מקור-07'!$A:$A,$A175,'מקור-07'!$C:$C)</f>
        <v>2</v>
      </c>
      <c r="D175" s="8" t="n">
        <f aca="false">SUMIF('מקור-01'!$A:$A,$A175,'מקור-01'!$D:$D)+SUMIF('מקור-02'!$A:$A,$A175,'מקור-02'!$D:$D)+SUMIF('מקור-03'!$A:$A,$A175,'מקור-03'!$D:$D)+SUMIF('מקור-04'!$A:$A,$A175,'מקור-04'!$D:$D)+SUMIF('מקור-05'!$A:$A,$A175,'מקור-05'!$D:$D)+SUMIF('מקור-06'!$A:$A,$A175,'מקור-06'!$D:$D)+SUMIF('מקור-07'!$A:$A,$A175,'מקור-07'!$D:$D)</f>
        <v>0</v>
      </c>
      <c r="E175" s="9" t="n">
        <f aca="false">D175-C175</f>
        <v>-2</v>
      </c>
      <c r="F175" s="10" t="n">
        <f aca="false">IF(C175=0,"מוצר חדש",(D175-C175)/C175)</f>
        <v>-1</v>
      </c>
    </row>
    <row r="176" customFormat="false" ht="15" hidden="false" customHeight="true" outlineLevel="0" collapsed="false">
      <c r="A176" s="7" t="n">
        <v>74823</v>
      </c>
      <c r="B176" s="7" t="s">
        <v>179</v>
      </c>
      <c r="C176" s="8" t="n">
        <f aca="false">SUMIF('מקור-01'!$A:$A,$A176,'מקור-01'!$C:$C)+SUMIF('מקור-02'!$A:$A,$A176,'מקור-02'!$C:$C)+SUMIF('מקור-03'!$A:$A,$A176,'מקור-03'!$C:$C)+SUMIF('מקור-04'!$A:$A,$A176,'מקור-04'!$C:$C)+SUMIF('מקור-05'!$A:$A,$A176,'מקור-05'!$C:$C)+SUMIF('מקור-06'!$A:$A,$A176,'מקור-06'!$C:$C)+SUMIF('מקור-07'!$A:$A,$A176,'מקור-07'!$C:$C)</f>
        <v>3</v>
      </c>
      <c r="D176" s="8" t="n">
        <f aca="false">SUMIF('מקור-01'!$A:$A,$A176,'מקור-01'!$D:$D)+SUMIF('מקור-02'!$A:$A,$A176,'מקור-02'!$D:$D)+SUMIF('מקור-03'!$A:$A,$A176,'מקור-03'!$D:$D)+SUMIF('מקור-04'!$A:$A,$A176,'מקור-04'!$D:$D)+SUMIF('מקור-05'!$A:$A,$A176,'מקור-05'!$D:$D)+SUMIF('מקור-06'!$A:$A,$A176,'מקור-06'!$D:$D)+SUMIF('מקור-07'!$A:$A,$A176,'מקור-07'!$D:$D)</f>
        <v>8</v>
      </c>
      <c r="E176" s="9" t="n">
        <f aca="false">D176-C176</f>
        <v>5</v>
      </c>
      <c r="F176" s="10" t="n">
        <f aca="false">IF(C176=0,"מוצר חדש",(D176-C176)/C176)</f>
        <v>1.66666666666667</v>
      </c>
    </row>
    <row r="177" customFormat="false" ht="15" hidden="false" customHeight="true" outlineLevel="0" collapsed="false">
      <c r="A177" s="7" t="n">
        <v>74824</v>
      </c>
      <c r="B177" s="7" t="s">
        <v>180</v>
      </c>
      <c r="C177" s="8" t="n">
        <f aca="false">SUMIF('מקור-01'!$A:$A,$A177,'מקור-01'!$C:$C)+SUMIF('מקור-02'!$A:$A,$A177,'מקור-02'!$C:$C)+SUMIF('מקור-03'!$A:$A,$A177,'מקור-03'!$C:$C)+SUMIF('מקור-04'!$A:$A,$A177,'מקור-04'!$C:$C)+SUMIF('מקור-05'!$A:$A,$A177,'מקור-05'!$C:$C)+SUMIF('מקור-06'!$A:$A,$A177,'מקור-06'!$C:$C)+SUMIF('מקור-07'!$A:$A,$A177,'מקור-07'!$C:$C)</f>
        <v>7</v>
      </c>
      <c r="D177" s="8" t="n">
        <f aca="false">SUMIF('מקור-01'!$A:$A,$A177,'מקור-01'!$D:$D)+SUMIF('מקור-02'!$A:$A,$A177,'מקור-02'!$D:$D)+SUMIF('מקור-03'!$A:$A,$A177,'מקור-03'!$D:$D)+SUMIF('מקור-04'!$A:$A,$A177,'מקור-04'!$D:$D)+SUMIF('מקור-05'!$A:$A,$A177,'מקור-05'!$D:$D)+SUMIF('מקור-06'!$A:$A,$A177,'מקור-06'!$D:$D)+SUMIF('מקור-07'!$A:$A,$A177,'מקור-07'!$D:$D)</f>
        <v>4</v>
      </c>
      <c r="E177" s="9" t="n">
        <f aca="false">D177-C177</f>
        <v>-3</v>
      </c>
      <c r="F177" s="10" t="n">
        <f aca="false">IF(C177=0,"מוצר חדש",(D177-C177)/C177)</f>
        <v>-0.428571428571429</v>
      </c>
    </row>
    <row r="178" customFormat="false" ht="15" hidden="false" customHeight="true" outlineLevel="0" collapsed="false">
      <c r="A178" s="7" t="n">
        <v>74825</v>
      </c>
      <c r="B178" s="7" t="s">
        <v>181</v>
      </c>
      <c r="C178" s="8" t="n">
        <f aca="false">SUMIF('מקור-01'!$A:$A,$A178,'מקור-01'!$C:$C)+SUMIF('מקור-02'!$A:$A,$A178,'מקור-02'!$C:$C)+SUMIF('מקור-03'!$A:$A,$A178,'מקור-03'!$C:$C)+SUMIF('מקור-04'!$A:$A,$A178,'מקור-04'!$C:$C)+SUMIF('מקור-05'!$A:$A,$A178,'מקור-05'!$C:$C)+SUMIF('מקור-06'!$A:$A,$A178,'מקור-06'!$C:$C)+SUMIF('מקור-07'!$A:$A,$A178,'מקור-07'!$C:$C)</f>
        <v>0</v>
      </c>
      <c r="D178" s="8" t="n">
        <f aca="false">SUMIF('מקור-01'!$A:$A,$A178,'מקור-01'!$D:$D)+SUMIF('מקור-02'!$A:$A,$A178,'מקור-02'!$D:$D)+SUMIF('מקור-03'!$A:$A,$A178,'מקור-03'!$D:$D)+SUMIF('מקור-04'!$A:$A,$A178,'מקור-04'!$D:$D)+SUMIF('מקור-05'!$A:$A,$A178,'מקור-05'!$D:$D)+SUMIF('מקור-06'!$A:$A,$A178,'מקור-06'!$D:$D)+SUMIF('מקור-07'!$A:$A,$A178,'מקור-07'!$D:$D)</f>
        <v>1</v>
      </c>
      <c r="E178" s="9" t="n">
        <f aca="false">D178-C178</f>
        <v>1</v>
      </c>
      <c r="F178" s="10" t="str">
        <f aca="false">IF(C178=0,"מוצר חדש",(D178-C178)/C178)</f>
        <v>מוצר חדש</v>
      </c>
    </row>
    <row r="179" customFormat="false" ht="15" hidden="false" customHeight="true" outlineLevel="0" collapsed="false">
      <c r="A179" s="7" t="n">
        <v>74826</v>
      </c>
      <c r="B179" s="7" t="s">
        <v>182</v>
      </c>
      <c r="C179" s="8" t="n">
        <f aca="false">SUMIF('מקור-01'!$A:$A,$A179,'מקור-01'!$C:$C)+SUMIF('מקור-02'!$A:$A,$A179,'מקור-02'!$C:$C)+SUMIF('מקור-03'!$A:$A,$A179,'מקור-03'!$C:$C)+SUMIF('מקור-04'!$A:$A,$A179,'מקור-04'!$C:$C)+SUMIF('מקור-05'!$A:$A,$A179,'מקור-05'!$C:$C)+SUMIF('מקור-06'!$A:$A,$A179,'מקור-06'!$C:$C)+SUMIF('מקור-07'!$A:$A,$A179,'מקור-07'!$C:$C)</f>
        <v>3</v>
      </c>
      <c r="D179" s="8" t="n">
        <f aca="false">SUMIF('מקור-01'!$A:$A,$A179,'מקור-01'!$D:$D)+SUMIF('מקור-02'!$A:$A,$A179,'מקור-02'!$D:$D)+SUMIF('מקור-03'!$A:$A,$A179,'מקור-03'!$D:$D)+SUMIF('מקור-04'!$A:$A,$A179,'מקור-04'!$D:$D)+SUMIF('מקור-05'!$A:$A,$A179,'מקור-05'!$D:$D)+SUMIF('מקור-06'!$A:$A,$A179,'מקור-06'!$D:$D)+SUMIF('מקור-07'!$A:$A,$A179,'מקור-07'!$D:$D)</f>
        <v>1</v>
      </c>
      <c r="E179" s="9" t="n">
        <f aca="false">D179-C179</f>
        <v>-2</v>
      </c>
      <c r="F179" s="10" t="n">
        <f aca="false">IF(C179=0,"מוצר חדש",(D179-C179)/C179)</f>
        <v>-0.666666666666667</v>
      </c>
    </row>
    <row r="180" customFormat="false" ht="15" hidden="false" customHeight="true" outlineLevel="0" collapsed="false">
      <c r="A180" s="7" t="n">
        <v>74827</v>
      </c>
      <c r="B180" s="7" t="s">
        <v>183</v>
      </c>
      <c r="C180" s="8" t="n">
        <f aca="false">SUMIF('מקור-01'!$A:$A,$A180,'מקור-01'!$C:$C)+SUMIF('מקור-02'!$A:$A,$A180,'מקור-02'!$C:$C)+SUMIF('מקור-03'!$A:$A,$A180,'מקור-03'!$C:$C)+SUMIF('מקור-04'!$A:$A,$A180,'מקור-04'!$C:$C)+SUMIF('מקור-05'!$A:$A,$A180,'מקור-05'!$C:$C)+SUMIF('מקור-06'!$A:$A,$A180,'מקור-06'!$C:$C)+SUMIF('מקור-07'!$A:$A,$A180,'מקור-07'!$C:$C)</f>
        <v>3</v>
      </c>
      <c r="D180" s="8" t="n">
        <f aca="false">SUMIF('מקור-01'!$A:$A,$A180,'מקור-01'!$D:$D)+SUMIF('מקור-02'!$A:$A,$A180,'מקור-02'!$D:$D)+SUMIF('מקור-03'!$A:$A,$A180,'מקור-03'!$D:$D)+SUMIF('מקור-04'!$A:$A,$A180,'מקור-04'!$D:$D)+SUMIF('מקור-05'!$A:$A,$A180,'מקור-05'!$D:$D)+SUMIF('מקור-06'!$A:$A,$A180,'מקור-06'!$D:$D)+SUMIF('מקור-07'!$A:$A,$A180,'מקור-07'!$D:$D)</f>
        <v>4</v>
      </c>
      <c r="E180" s="9" t="n">
        <f aca="false">D180-C180</f>
        <v>1</v>
      </c>
      <c r="F180" s="10" t="n">
        <f aca="false">IF(C180=0,"מוצר חדש",(D180-C180)/C180)</f>
        <v>0.333333333333333</v>
      </c>
    </row>
    <row r="181" customFormat="false" ht="15" hidden="false" customHeight="true" outlineLevel="0" collapsed="false">
      <c r="A181" s="7" t="n">
        <v>74828</v>
      </c>
      <c r="B181" s="7" t="s">
        <v>184</v>
      </c>
      <c r="C181" s="8" t="n">
        <f aca="false">SUMIF('מקור-01'!$A:$A,$A181,'מקור-01'!$C:$C)+SUMIF('מקור-02'!$A:$A,$A181,'מקור-02'!$C:$C)+SUMIF('מקור-03'!$A:$A,$A181,'מקור-03'!$C:$C)+SUMIF('מקור-04'!$A:$A,$A181,'מקור-04'!$C:$C)+SUMIF('מקור-05'!$A:$A,$A181,'מקור-05'!$C:$C)+SUMIF('מקור-06'!$A:$A,$A181,'מקור-06'!$C:$C)+SUMIF('מקור-07'!$A:$A,$A181,'מקור-07'!$C:$C)</f>
        <v>0</v>
      </c>
      <c r="D181" s="8" t="n">
        <f aca="false">SUMIF('מקור-01'!$A:$A,$A181,'מקור-01'!$D:$D)+SUMIF('מקור-02'!$A:$A,$A181,'מקור-02'!$D:$D)+SUMIF('מקור-03'!$A:$A,$A181,'מקור-03'!$D:$D)+SUMIF('מקור-04'!$A:$A,$A181,'מקור-04'!$D:$D)+SUMIF('מקור-05'!$A:$A,$A181,'מקור-05'!$D:$D)+SUMIF('מקור-06'!$A:$A,$A181,'מקור-06'!$D:$D)+SUMIF('מקור-07'!$A:$A,$A181,'מקור-07'!$D:$D)</f>
        <v>4</v>
      </c>
      <c r="E181" s="9" t="n">
        <f aca="false">D181-C181</f>
        <v>4</v>
      </c>
      <c r="F181" s="10" t="str">
        <f aca="false">IF(C181=0,"מוצר חדש",(D181-C181)/C181)</f>
        <v>מוצר חדש</v>
      </c>
    </row>
    <row r="182" customFormat="false" ht="15" hidden="false" customHeight="true" outlineLevel="0" collapsed="false">
      <c r="A182" s="7" t="n">
        <v>74842</v>
      </c>
      <c r="B182" s="7" t="s">
        <v>185</v>
      </c>
      <c r="C182" s="8" t="n">
        <f aca="false">SUMIF('מקור-01'!$A:$A,$A182,'מקור-01'!$C:$C)+SUMIF('מקור-02'!$A:$A,$A182,'מקור-02'!$C:$C)+SUMIF('מקור-03'!$A:$A,$A182,'מקור-03'!$C:$C)+SUMIF('מקור-04'!$A:$A,$A182,'מקור-04'!$C:$C)+SUMIF('מקור-05'!$A:$A,$A182,'מקור-05'!$C:$C)+SUMIF('מקור-06'!$A:$A,$A182,'מקור-06'!$C:$C)+SUMIF('מקור-07'!$A:$A,$A182,'מקור-07'!$C:$C)</f>
        <v>3</v>
      </c>
      <c r="D182" s="8" t="n">
        <f aca="false">SUMIF('מקור-01'!$A:$A,$A182,'מקור-01'!$D:$D)+SUMIF('מקור-02'!$A:$A,$A182,'מקור-02'!$D:$D)+SUMIF('מקור-03'!$A:$A,$A182,'מקור-03'!$D:$D)+SUMIF('מקור-04'!$A:$A,$A182,'מקור-04'!$D:$D)+SUMIF('מקור-05'!$A:$A,$A182,'מקור-05'!$D:$D)+SUMIF('מקור-06'!$A:$A,$A182,'מקור-06'!$D:$D)+SUMIF('מקור-07'!$A:$A,$A182,'מקור-07'!$D:$D)</f>
        <v>3</v>
      </c>
      <c r="E182" s="9" t="n">
        <f aca="false">D182-C182</f>
        <v>0</v>
      </c>
      <c r="F182" s="10" t="n">
        <f aca="false">IF(C182=0,"מוצר חדש",(D182-C182)/C182)</f>
        <v>0</v>
      </c>
    </row>
    <row r="183" customFormat="false" ht="15" hidden="false" customHeight="true" outlineLevel="0" collapsed="false">
      <c r="A183" s="7" t="n">
        <v>74846</v>
      </c>
      <c r="B183" s="7" t="s">
        <v>186</v>
      </c>
      <c r="C183" s="8" t="n">
        <f aca="false">SUMIF('מקור-01'!$A:$A,$A183,'מקור-01'!$C:$C)+SUMIF('מקור-02'!$A:$A,$A183,'מקור-02'!$C:$C)+SUMIF('מקור-03'!$A:$A,$A183,'מקור-03'!$C:$C)+SUMIF('מקור-04'!$A:$A,$A183,'מקור-04'!$C:$C)+SUMIF('מקור-05'!$A:$A,$A183,'מקור-05'!$C:$C)+SUMIF('מקור-06'!$A:$A,$A183,'מקור-06'!$C:$C)+SUMIF('מקור-07'!$A:$A,$A183,'מקור-07'!$C:$C)</f>
        <v>12</v>
      </c>
      <c r="D183" s="8" t="n">
        <f aca="false">SUMIF('מקור-01'!$A:$A,$A183,'מקור-01'!$D:$D)+SUMIF('מקור-02'!$A:$A,$A183,'מקור-02'!$D:$D)+SUMIF('מקור-03'!$A:$A,$A183,'מקור-03'!$D:$D)+SUMIF('מקור-04'!$A:$A,$A183,'מקור-04'!$D:$D)+SUMIF('מקור-05'!$A:$A,$A183,'מקור-05'!$D:$D)+SUMIF('מקור-06'!$A:$A,$A183,'מקור-06'!$D:$D)+SUMIF('מקור-07'!$A:$A,$A183,'מקור-07'!$D:$D)</f>
        <v>19</v>
      </c>
      <c r="E183" s="9" t="n">
        <f aca="false">D183-C183</f>
        <v>7</v>
      </c>
      <c r="F183" s="10" t="n">
        <f aca="false">IF(C183=0,"מוצר חדש",(D183-C183)/C183)</f>
        <v>0.583333333333333</v>
      </c>
    </row>
    <row r="184" customFormat="false" ht="15" hidden="false" customHeight="true" outlineLevel="0" collapsed="false">
      <c r="A184" s="7" t="n">
        <v>74847</v>
      </c>
      <c r="B184" s="7" t="s">
        <v>187</v>
      </c>
      <c r="C184" s="8" t="n">
        <f aca="false">SUMIF('מקור-01'!$A:$A,$A184,'מקור-01'!$C:$C)+SUMIF('מקור-02'!$A:$A,$A184,'מקור-02'!$C:$C)+SUMIF('מקור-03'!$A:$A,$A184,'מקור-03'!$C:$C)+SUMIF('מקור-04'!$A:$A,$A184,'מקור-04'!$C:$C)+SUMIF('מקור-05'!$A:$A,$A184,'מקור-05'!$C:$C)+SUMIF('מקור-06'!$A:$A,$A184,'מקור-06'!$C:$C)+SUMIF('מקור-07'!$A:$A,$A184,'מקור-07'!$C:$C)</f>
        <v>14</v>
      </c>
      <c r="D184" s="8" t="n">
        <f aca="false">SUMIF('מקור-01'!$A:$A,$A184,'מקור-01'!$D:$D)+SUMIF('מקור-02'!$A:$A,$A184,'מקור-02'!$D:$D)+SUMIF('מקור-03'!$A:$A,$A184,'מקור-03'!$D:$D)+SUMIF('מקור-04'!$A:$A,$A184,'מקור-04'!$D:$D)+SUMIF('מקור-05'!$A:$A,$A184,'מקור-05'!$D:$D)+SUMIF('מקור-06'!$A:$A,$A184,'מקור-06'!$D:$D)+SUMIF('מקור-07'!$A:$A,$A184,'מקור-07'!$D:$D)</f>
        <v>9</v>
      </c>
      <c r="E184" s="9" t="n">
        <f aca="false">D184-C184</f>
        <v>-5</v>
      </c>
      <c r="F184" s="10" t="n">
        <f aca="false">IF(C184=0,"מוצר חדש",(D184-C184)/C184)</f>
        <v>-0.357142857142857</v>
      </c>
    </row>
    <row r="185" customFormat="false" ht="15" hidden="false" customHeight="true" outlineLevel="0" collapsed="false">
      <c r="A185" s="7" t="n">
        <v>74848</v>
      </c>
      <c r="B185" s="7" t="s">
        <v>188</v>
      </c>
      <c r="C185" s="8" t="n">
        <f aca="false">SUMIF('מקור-01'!$A:$A,$A185,'מקור-01'!$C:$C)+SUMIF('מקור-02'!$A:$A,$A185,'מקור-02'!$C:$C)+SUMIF('מקור-03'!$A:$A,$A185,'מקור-03'!$C:$C)+SUMIF('מקור-04'!$A:$A,$A185,'מקור-04'!$C:$C)+SUMIF('מקור-05'!$A:$A,$A185,'מקור-05'!$C:$C)+SUMIF('מקור-06'!$A:$A,$A185,'מקור-06'!$C:$C)+SUMIF('מקור-07'!$A:$A,$A185,'מקור-07'!$C:$C)</f>
        <v>6</v>
      </c>
      <c r="D185" s="8" t="n">
        <f aca="false">SUMIF('מקור-01'!$A:$A,$A185,'מקור-01'!$D:$D)+SUMIF('מקור-02'!$A:$A,$A185,'מקור-02'!$D:$D)+SUMIF('מקור-03'!$A:$A,$A185,'מקור-03'!$D:$D)+SUMIF('מקור-04'!$A:$A,$A185,'מקור-04'!$D:$D)+SUMIF('מקור-05'!$A:$A,$A185,'מקור-05'!$D:$D)+SUMIF('מקור-06'!$A:$A,$A185,'מקור-06'!$D:$D)+SUMIF('מקור-07'!$A:$A,$A185,'מקור-07'!$D:$D)</f>
        <v>11</v>
      </c>
      <c r="E185" s="9" t="n">
        <f aca="false">D185-C185</f>
        <v>5</v>
      </c>
      <c r="F185" s="10" t="n">
        <f aca="false">IF(C185=0,"מוצר חדש",(D185-C185)/C185)</f>
        <v>0.833333333333333</v>
      </c>
    </row>
    <row r="186" customFormat="false" ht="15" hidden="false" customHeight="true" outlineLevel="0" collapsed="false">
      <c r="A186" s="7" t="n">
        <v>74918</v>
      </c>
      <c r="B186" s="7" t="s">
        <v>189</v>
      </c>
      <c r="C186" s="8" t="n">
        <f aca="false">SUMIF('מקור-01'!$A:$A,$A186,'מקור-01'!$C:$C)+SUMIF('מקור-02'!$A:$A,$A186,'מקור-02'!$C:$C)+SUMIF('מקור-03'!$A:$A,$A186,'מקור-03'!$C:$C)+SUMIF('מקור-04'!$A:$A,$A186,'מקור-04'!$C:$C)+SUMIF('מקור-05'!$A:$A,$A186,'מקור-05'!$C:$C)+SUMIF('מקור-06'!$A:$A,$A186,'מקור-06'!$C:$C)+SUMIF('מקור-07'!$A:$A,$A186,'מקור-07'!$C:$C)</f>
        <v>4</v>
      </c>
      <c r="D186" s="8" t="n">
        <f aca="false">SUMIF('מקור-01'!$A:$A,$A186,'מקור-01'!$D:$D)+SUMIF('מקור-02'!$A:$A,$A186,'מקור-02'!$D:$D)+SUMIF('מקור-03'!$A:$A,$A186,'מקור-03'!$D:$D)+SUMIF('מקור-04'!$A:$A,$A186,'מקור-04'!$D:$D)+SUMIF('מקור-05'!$A:$A,$A186,'מקור-05'!$D:$D)+SUMIF('מקור-06'!$A:$A,$A186,'מקור-06'!$D:$D)+SUMIF('מקור-07'!$A:$A,$A186,'מקור-07'!$D:$D)</f>
        <v>4</v>
      </c>
      <c r="E186" s="9" t="n">
        <f aca="false">D186-C186</f>
        <v>0</v>
      </c>
      <c r="F186" s="10" t="n">
        <f aca="false">IF(C186=0,"מוצר חדש",(D186-C186)/C186)</f>
        <v>0</v>
      </c>
    </row>
    <row r="187" customFormat="false" ht="15" hidden="false" customHeight="true" outlineLevel="0" collapsed="false">
      <c r="A187" s="7" t="n">
        <v>74919</v>
      </c>
      <c r="B187" s="7" t="s">
        <v>190</v>
      </c>
      <c r="C187" s="8" t="n">
        <f aca="false">SUMIF('מקור-01'!$A:$A,$A187,'מקור-01'!$C:$C)+SUMIF('מקור-02'!$A:$A,$A187,'מקור-02'!$C:$C)+SUMIF('מקור-03'!$A:$A,$A187,'מקור-03'!$C:$C)+SUMIF('מקור-04'!$A:$A,$A187,'מקור-04'!$C:$C)+SUMIF('מקור-05'!$A:$A,$A187,'מקור-05'!$C:$C)+SUMIF('מקור-06'!$A:$A,$A187,'מקור-06'!$C:$C)+SUMIF('מקור-07'!$A:$A,$A187,'מקור-07'!$C:$C)</f>
        <v>2</v>
      </c>
      <c r="D187" s="8" t="n">
        <f aca="false">SUMIF('מקור-01'!$A:$A,$A187,'מקור-01'!$D:$D)+SUMIF('מקור-02'!$A:$A,$A187,'מקור-02'!$D:$D)+SUMIF('מקור-03'!$A:$A,$A187,'מקור-03'!$D:$D)+SUMIF('מקור-04'!$A:$A,$A187,'מקור-04'!$D:$D)+SUMIF('מקור-05'!$A:$A,$A187,'מקור-05'!$D:$D)+SUMIF('מקור-06'!$A:$A,$A187,'מקור-06'!$D:$D)+SUMIF('מקור-07'!$A:$A,$A187,'מקור-07'!$D:$D)</f>
        <v>1</v>
      </c>
      <c r="E187" s="9" t="n">
        <f aca="false">D187-C187</f>
        <v>-1</v>
      </c>
      <c r="F187" s="10" t="n">
        <f aca="false">IF(C187=0,"מוצר חדש",(D187-C187)/C187)</f>
        <v>-0.5</v>
      </c>
    </row>
    <row r="188" customFormat="false" ht="15" hidden="false" customHeight="true" outlineLevel="0" collapsed="false">
      <c r="A188" s="7" t="n">
        <v>74920</v>
      </c>
      <c r="B188" s="7" t="s">
        <v>191</v>
      </c>
      <c r="C188" s="8" t="n">
        <f aca="false">SUMIF('מקור-01'!$A:$A,$A188,'מקור-01'!$C:$C)+SUMIF('מקור-02'!$A:$A,$A188,'מקור-02'!$C:$C)+SUMIF('מקור-03'!$A:$A,$A188,'מקור-03'!$C:$C)+SUMIF('מקור-04'!$A:$A,$A188,'מקור-04'!$C:$C)+SUMIF('מקור-05'!$A:$A,$A188,'מקור-05'!$C:$C)+SUMIF('מקור-06'!$A:$A,$A188,'מקור-06'!$C:$C)+SUMIF('מקור-07'!$A:$A,$A188,'מקור-07'!$C:$C)</f>
        <v>5</v>
      </c>
      <c r="D188" s="8" t="n">
        <f aca="false">SUMIF('מקור-01'!$A:$A,$A188,'מקור-01'!$D:$D)+SUMIF('מקור-02'!$A:$A,$A188,'מקור-02'!$D:$D)+SUMIF('מקור-03'!$A:$A,$A188,'מקור-03'!$D:$D)+SUMIF('מקור-04'!$A:$A,$A188,'מקור-04'!$D:$D)+SUMIF('מקור-05'!$A:$A,$A188,'מקור-05'!$D:$D)+SUMIF('מקור-06'!$A:$A,$A188,'מקור-06'!$D:$D)+SUMIF('מקור-07'!$A:$A,$A188,'מקור-07'!$D:$D)</f>
        <v>5</v>
      </c>
      <c r="E188" s="9" t="n">
        <f aca="false">D188-C188</f>
        <v>0</v>
      </c>
      <c r="F188" s="10" t="n">
        <f aca="false">IF(C188=0,"מוצר חדש",(D188-C188)/C188)</f>
        <v>0</v>
      </c>
    </row>
    <row r="189" customFormat="false" ht="15" hidden="false" customHeight="true" outlineLevel="0" collapsed="false">
      <c r="A189" s="7" t="n">
        <v>74930</v>
      </c>
      <c r="B189" s="7" t="s">
        <v>192</v>
      </c>
      <c r="C189" s="8" t="n">
        <f aca="false">SUMIF('מקור-01'!$A:$A,$A189,'מקור-01'!$C:$C)+SUMIF('מקור-02'!$A:$A,$A189,'מקור-02'!$C:$C)+SUMIF('מקור-03'!$A:$A,$A189,'מקור-03'!$C:$C)+SUMIF('מקור-04'!$A:$A,$A189,'מקור-04'!$C:$C)+SUMIF('מקור-05'!$A:$A,$A189,'מקור-05'!$C:$C)+SUMIF('מקור-06'!$A:$A,$A189,'מקור-06'!$C:$C)+SUMIF('מקור-07'!$A:$A,$A189,'מקור-07'!$C:$C)</f>
        <v>0</v>
      </c>
      <c r="D189" s="8" t="n">
        <f aca="false">SUMIF('מקור-01'!$A:$A,$A189,'מקור-01'!$D:$D)+SUMIF('מקור-02'!$A:$A,$A189,'מקור-02'!$D:$D)+SUMIF('מקור-03'!$A:$A,$A189,'מקור-03'!$D:$D)+SUMIF('מקור-04'!$A:$A,$A189,'מקור-04'!$D:$D)+SUMIF('מקור-05'!$A:$A,$A189,'מקור-05'!$D:$D)+SUMIF('מקור-06'!$A:$A,$A189,'מקור-06'!$D:$D)+SUMIF('מקור-07'!$A:$A,$A189,'מקור-07'!$D:$D)</f>
        <v>2</v>
      </c>
      <c r="E189" s="9" t="n">
        <f aca="false">D189-C189</f>
        <v>2</v>
      </c>
      <c r="F189" s="10" t="str">
        <f aca="false">IF(C189=0,"מוצר חדש",(D189-C189)/C189)</f>
        <v>מוצר חדש</v>
      </c>
    </row>
    <row r="190" customFormat="false" ht="15" hidden="false" customHeight="true" outlineLevel="0" collapsed="false">
      <c r="A190" s="7" t="n">
        <v>74931</v>
      </c>
      <c r="B190" s="7" t="s">
        <v>193</v>
      </c>
      <c r="C190" s="8" t="n">
        <f aca="false">SUMIF('מקור-01'!$A:$A,$A190,'מקור-01'!$C:$C)+SUMIF('מקור-02'!$A:$A,$A190,'מקור-02'!$C:$C)+SUMIF('מקור-03'!$A:$A,$A190,'מקור-03'!$C:$C)+SUMIF('מקור-04'!$A:$A,$A190,'מקור-04'!$C:$C)+SUMIF('מקור-05'!$A:$A,$A190,'מקור-05'!$C:$C)+SUMIF('מקור-06'!$A:$A,$A190,'מקור-06'!$C:$C)+SUMIF('מקור-07'!$A:$A,$A190,'מקור-07'!$C:$C)</f>
        <v>2</v>
      </c>
      <c r="D190" s="8" t="n">
        <f aca="false">SUMIF('מקור-01'!$A:$A,$A190,'מקור-01'!$D:$D)+SUMIF('מקור-02'!$A:$A,$A190,'מקור-02'!$D:$D)+SUMIF('מקור-03'!$A:$A,$A190,'מקור-03'!$D:$D)+SUMIF('מקור-04'!$A:$A,$A190,'מקור-04'!$D:$D)+SUMIF('מקור-05'!$A:$A,$A190,'מקור-05'!$D:$D)+SUMIF('מקור-06'!$A:$A,$A190,'מקור-06'!$D:$D)+SUMIF('מקור-07'!$A:$A,$A190,'מקור-07'!$D:$D)</f>
        <v>3</v>
      </c>
      <c r="E190" s="9" t="n">
        <f aca="false">D190-C190</f>
        <v>1</v>
      </c>
      <c r="F190" s="10" t="n">
        <f aca="false">IF(C190=0,"מוצר חדש",(D190-C190)/C190)</f>
        <v>0.5</v>
      </c>
    </row>
    <row r="191" customFormat="false" ht="15" hidden="false" customHeight="true" outlineLevel="0" collapsed="false">
      <c r="A191" s="7" t="n">
        <v>74932</v>
      </c>
      <c r="B191" s="7" t="s">
        <v>194</v>
      </c>
      <c r="C191" s="8" t="n">
        <f aca="false">SUMIF('מקור-01'!$A:$A,$A191,'מקור-01'!$C:$C)+SUMIF('מקור-02'!$A:$A,$A191,'מקור-02'!$C:$C)+SUMIF('מקור-03'!$A:$A,$A191,'מקור-03'!$C:$C)+SUMIF('מקור-04'!$A:$A,$A191,'מקור-04'!$C:$C)+SUMIF('מקור-05'!$A:$A,$A191,'מקור-05'!$C:$C)+SUMIF('מקור-06'!$A:$A,$A191,'מקור-06'!$C:$C)+SUMIF('מקור-07'!$A:$A,$A191,'מקור-07'!$C:$C)</f>
        <v>1</v>
      </c>
      <c r="D191" s="8" t="n">
        <f aca="false">SUMIF('מקור-01'!$A:$A,$A191,'מקור-01'!$D:$D)+SUMIF('מקור-02'!$A:$A,$A191,'מקור-02'!$D:$D)+SUMIF('מקור-03'!$A:$A,$A191,'מקור-03'!$D:$D)+SUMIF('מקור-04'!$A:$A,$A191,'מקור-04'!$D:$D)+SUMIF('מקור-05'!$A:$A,$A191,'מקור-05'!$D:$D)+SUMIF('מקור-06'!$A:$A,$A191,'מקור-06'!$D:$D)+SUMIF('מקור-07'!$A:$A,$A191,'מקור-07'!$D:$D)</f>
        <v>5</v>
      </c>
      <c r="E191" s="9" t="n">
        <f aca="false">D191-C191</f>
        <v>4</v>
      </c>
      <c r="F191" s="10" t="n">
        <f aca="false">IF(C191=0,"מוצר חדש",(D191-C191)/C191)</f>
        <v>4</v>
      </c>
    </row>
    <row r="192" customFormat="false" ht="15" hidden="false" customHeight="true" outlineLevel="0" collapsed="false">
      <c r="A192" s="7" t="n">
        <v>74987</v>
      </c>
      <c r="B192" s="7" t="s">
        <v>195</v>
      </c>
      <c r="C192" s="8" t="n">
        <f aca="false">SUMIF('מקור-01'!$A:$A,$A192,'מקור-01'!$C:$C)+SUMIF('מקור-02'!$A:$A,$A192,'מקור-02'!$C:$C)+SUMIF('מקור-03'!$A:$A,$A192,'מקור-03'!$C:$C)+SUMIF('מקור-04'!$A:$A,$A192,'מקור-04'!$C:$C)+SUMIF('מקור-05'!$A:$A,$A192,'מקור-05'!$C:$C)+SUMIF('מקור-06'!$A:$A,$A192,'מקור-06'!$C:$C)+SUMIF('מקור-07'!$A:$A,$A192,'מקור-07'!$C:$C)</f>
        <v>3</v>
      </c>
      <c r="D192" s="8" t="n">
        <f aca="false">SUMIF('מקור-01'!$A:$A,$A192,'מקור-01'!$D:$D)+SUMIF('מקור-02'!$A:$A,$A192,'מקור-02'!$D:$D)+SUMIF('מקור-03'!$A:$A,$A192,'מקור-03'!$D:$D)+SUMIF('מקור-04'!$A:$A,$A192,'מקור-04'!$D:$D)+SUMIF('מקור-05'!$A:$A,$A192,'מקור-05'!$D:$D)+SUMIF('מקור-06'!$A:$A,$A192,'מקור-06'!$D:$D)+SUMIF('מקור-07'!$A:$A,$A192,'מקור-07'!$D:$D)</f>
        <v>8</v>
      </c>
      <c r="E192" s="9" t="n">
        <f aca="false">D192-C192</f>
        <v>5</v>
      </c>
      <c r="F192" s="10" t="n">
        <f aca="false">IF(C192=0,"מוצר חדש",(D192-C192)/C192)</f>
        <v>1.66666666666667</v>
      </c>
    </row>
    <row r="193" customFormat="false" ht="15" hidden="false" customHeight="true" outlineLevel="0" collapsed="false">
      <c r="A193" s="7" t="n">
        <v>74988</v>
      </c>
      <c r="B193" s="7" t="s">
        <v>196</v>
      </c>
      <c r="C193" s="8" t="n">
        <f aca="false">SUMIF('מקור-01'!$A:$A,$A193,'מקור-01'!$C:$C)+SUMIF('מקור-02'!$A:$A,$A193,'מקור-02'!$C:$C)+SUMIF('מקור-03'!$A:$A,$A193,'מקור-03'!$C:$C)+SUMIF('מקור-04'!$A:$A,$A193,'מקור-04'!$C:$C)+SUMIF('מקור-05'!$A:$A,$A193,'מקור-05'!$C:$C)+SUMIF('מקור-06'!$A:$A,$A193,'מקור-06'!$C:$C)+SUMIF('מקור-07'!$A:$A,$A193,'מקור-07'!$C:$C)</f>
        <v>3</v>
      </c>
      <c r="D193" s="8" t="n">
        <f aca="false">SUMIF('מקור-01'!$A:$A,$A193,'מקור-01'!$D:$D)+SUMIF('מקור-02'!$A:$A,$A193,'מקור-02'!$D:$D)+SUMIF('מקור-03'!$A:$A,$A193,'מקור-03'!$D:$D)+SUMIF('מקור-04'!$A:$A,$A193,'מקור-04'!$D:$D)+SUMIF('מקור-05'!$A:$A,$A193,'מקור-05'!$D:$D)+SUMIF('מקור-06'!$A:$A,$A193,'מקור-06'!$D:$D)+SUMIF('מקור-07'!$A:$A,$A193,'מקור-07'!$D:$D)</f>
        <v>7</v>
      </c>
      <c r="E193" s="9" t="n">
        <f aca="false">D193-C193</f>
        <v>4</v>
      </c>
      <c r="F193" s="10" t="n">
        <f aca="false">IF(C193=0,"מוצר חדש",(D193-C193)/C193)</f>
        <v>1.33333333333333</v>
      </c>
    </row>
    <row r="194" customFormat="false" ht="15" hidden="false" customHeight="true" outlineLevel="0" collapsed="false">
      <c r="A194" s="7" t="n">
        <v>74989</v>
      </c>
      <c r="B194" s="7" t="s">
        <v>197</v>
      </c>
      <c r="C194" s="8" t="n">
        <f aca="false">SUMIF('מקור-01'!$A:$A,$A194,'מקור-01'!$C:$C)+SUMIF('מקור-02'!$A:$A,$A194,'מקור-02'!$C:$C)+SUMIF('מקור-03'!$A:$A,$A194,'מקור-03'!$C:$C)+SUMIF('מקור-04'!$A:$A,$A194,'מקור-04'!$C:$C)+SUMIF('מקור-05'!$A:$A,$A194,'מקור-05'!$C:$C)+SUMIF('מקור-06'!$A:$A,$A194,'מקור-06'!$C:$C)+SUMIF('מקור-07'!$A:$A,$A194,'מקור-07'!$C:$C)</f>
        <v>4</v>
      </c>
      <c r="D194" s="8" t="n">
        <f aca="false">SUMIF('מקור-01'!$A:$A,$A194,'מקור-01'!$D:$D)+SUMIF('מקור-02'!$A:$A,$A194,'מקור-02'!$D:$D)+SUMIF('מקור-03'!$A:$A,$A194,'מקור-03'!$D:$D)+SUMIF('מקור-04'!$A:$A,$A194,'מקור-04'!$D:$D)+SUMIF('מקור-05'!$A:$A,$A194,'מקור-05'!$D:$D)+SUMIF('מקור-06'!$A:$A,$A194,'מקור-06'!$D:$D)+SUMIF('מקור-07'!$A:$A,$A194,'מקור-07'!$D:$D)</f>
        <v>3</v>
      </c>
      <c r="E194" s="9" t="n">
        <f aca="false">D194-C194</f>
        <v>-1</v>
      </c>
      <c r="F194" s="10" t="n">
        <f aca="false">IF(C194=0,"מוצר חדש",(D194-C194)/C194)</f>
        <v>-0.25</v>
      </c>
    </row>
    <row r="195" customFormat="false" ht="15" hidden="false" customHeight="true" outlineLevel="0" collapsed="false">
      <c r="A195" s="7" t="n">
        <v>75762</v>
      </c>
      <c r="B195" s="7" t="s">
        <v>198</v>
      </c>
      <c r="C195" s="8" t="n">
        <f aca="false">SUMIF('מקור-01'!$A:$A,$A195,'מקור-01'!$C:$C)+SUMIF('מקור-02'!$A:$A,$A195,'מקור-02'!$C:$C)+SUMIF('מקור-03'!$A:$A,$A195,'מקור-03'!$C:$C)+SUMIF('מקור-04'!$A:$A,$A195,'מקור-04'!$C:$C)+SUMIF('מקור-05'!$A:$A,$A195,'מקור-05'!$C:$C)+SUMIF('מקור-06'!$A:$A,$A195,'מקור-06'!$C:$C)+SUMIF('מקור-07'!$A:$A,$A195,'מקור-07'!$C:$C)</f>
        <v>36</v>
      </c>
      <c r="D195" s="8" t="n">
        <f aca="false">SUMIF('מקור-01'!$A:$A,$A195,'מקור-01'!$D:$D)+SUMIF('מקור-02'!$A:$A,$A195,'מקור-02'!$D:$D)+SUMIF('מקור-03'!$A:$A,$A195,'מקור-03'!$D:$D)+SUMIF('מקור-04'!$A:$A,$A195,'מקור-04'!$D:$D)+SUMIF('מקור-05'!$A:$A,$A195,'מקור-05'!$D:$D)+SUMIF('מקור-06'!$A:$A,$A195,'מקור-06'!$D:$D)+SUMIF('מקור-07'!$A:$A,$A195,'מקור-07'!$D:$D)</f>
        <v>47</v>
      </c>
      <c r="E195" s="9" t="n">
        <f aca="false">D195-C195</f>
        <v>11</v>
      </c>
      <c r="F195" s="10" t="n">
        <f aca="false">IF(C195=0,"מוצר חדש",(D195-C195)/C195)</f>
        <v>0.305555555555556</v>
      </c>
    </row>
    <row r="196" customFormat="false" ht="15" hidden="false" customHeight="true" outlineLevel="0" collapsed="false">
      <c r="A196" s="7" t="n">
        <v>75763</v>
      </c>
      <c r="B196" s="7" t="s">
        <v>199</v>
      </c>
      <c r="C196" s="8" t="n">
        <f aca="false">SUMIF('מקור-01'!$A:$A,$A196,'מקור-01'!$C:$C)+SUMIF('מקור-02'!$A:$A,$A196,'מקור-02'!$C:$C)+SUMIF('מקור-03'!$A:$A,$A196,'מקור-03'!$C:$C)+SUMIF('מקור-04'!$A:$A,$A196,'מקור-04'!$C:$C)+SUMIF('מקור-05'!$A:$A,$A196,'מקור-05'!$C:$C)+SUMIF('מקור-06'!$A:$A,$A196,'מקור-06'!$C:$C)+SUMIF('מקור-07'!$A:$A,$A196,'מקור-07'!$C:$C)</f>
        <v>24</v>
      </c>
      <c r="D196" s="8" t="n">
        <f aca="false">SUMIF('מקור-01'!$A:$A,$A196,'מקור-01'!$D:$D)+SUMIF('מקור-02'!$A:$A,$A196,'מקור-02'!$D:$D)+SUMIF('מקור-03'!$A:$A,$A196,'מקור-03'!$D:$D)+SUMIF('מקור-04'!$A:$A,$A196,'מקור-04'!$D:$D)+SUMIF('מקור-05'!$A:$A,$A196,'מקור-05'!$D:$D)+SUMIF('מקור-06'!$A:$A,$A196,'מקור-06'!$D:$D)+SUMIF('מקור-07'!$A:$A,$A196,'מקור-07'!$D:$D)</f>
        <v>32</v>
      </c>
      <c r="E196" s="9" t="n">
        <f aca="false">D196-C196</f>
        <v>8</v>
      </c>
      <c r="F196" s="10" t="n">
        <f aca="false">IF(C196=0,"מוצר חדש",(D196-C196)/C196)</f>
        <v>0.333333333333333</v>
      </c>
    </row>
    <row r="197" customFormat="false" ht="15" hidden="false" customHeight="true" outlineLevel="0" collapsed="false">
      <c r="A197" s="7" t="n">
        <v>75764</v>
      </c>
      <c r="B197" s="7" t="s">
        <v>200</v>
      </c>
      <c r="C197" s="8" t="n">
        <f aca="false">SUMIF('מקור-01'!$A:$A,$A197,'מקור-01'!$C:$C)+SUMIF('מקור-02'!$A:$A,$A197,'מקור-02'!$C:$C)+SUMIF('מקור-03'!$A:$A,$A197,'מקור-03'!$C:$C)+SUMIF('מקור-04'!$A:$A,$A197,'מקור-04'!$C:$C)+SUMIF('מקור-05'!$A:$A,$A197,'מקור-05'!$C:$C)+SUMIF('מקור-06'!$A:$A,$A197,'מקור-06'!$C:$C)+SUMIF('מקור-07'!$A:$A,$A197,'מקור-07'!$C:$C)</f>
        <v>13</v>
      </c>
      <c r="D197" s="8" t="n">
        <f aca="false">SUMIF('מקור-01'!$A:$A,$A197,'מקור-01'!$D:$D)+SUMIF('מקור-02'!$A:$A,$A197,'מקור-02'!$D:$D)+SUMIF('מקור-03'!$A:$A,$A197,'מקור-03'!$D:$D)+SUMIF('מקור-04'!$A:$A,$A197,'מקור-04'!$D:$D)+SUMIF('מקור-05'!$A:$A,$A197,'מקור-05'!$D:$D)+SUMIF('מקור-06'!$A:$A,$A197,'מקור-06'!$D:$D)+SUMIF('מקור-07'!$A:$A,$A197,'מקור-07'!$D:$D)</f>
        <v>21</v>
      </c>
      <c r="E197" s="9" t="n">
        <f aca="false">D197-C197</f>
        <v>8</v>
      </c>
      <c r="F197" s="10" t="n">
        <f aca="false">IF(C197=0,"מוצר חדש",(D197-C197)/C197)</f>
        <v>0.615384615384615</v>
      </c>
    </row>
    <row r="198" customFormat="false" ht="15" hidden="false" customHeight="true" outlineLevel="0" collapsed="false">
      <c r="A198" s="7" t="n">
        <v>76244</v>
      </c>
      <c r="B198" s="7" t="s">
        <v>201</v>
      </c>
      <c r="C198" s="8" t="n">
        <f aca="false">SUMIF('מקור-01'!$A:$A,$A198,'מקור-01'!$C:$C)+SUMIF('מקור-02'!$A:$A,$A198,'מקור-02'!$C:$C)+SUMIF('מקור-03'!$A:$A,$A198,'מקור-03'!$C:$C)+SUMIF('מקור-04'!$A:$A,$A198,'מקור-04'!$C:$C)+SUMIF('מקור-05'!$A:$A,$A198,'מקור-05'!$C:$C)+SUMIF('מקור-06'!$A:$A,$A198,'מקור-06'!$C:$C)+SUMIF('מקור-07'!$A:$A,$A198,'מקור-07'!$C:$C)</f>
        <v>1</v>
      </c>
      <c r="D198" s="8" t="n">
        <f aca="false">SUMIF('מקור-01'!$A:$A,$A198,'מקור-01'!$D:$D)+SUMIF('מקור-02'!$A:$A,$A198,'מקור-02'!$D:$D)+SUMIF('מקור-03'!$A:$A,$A198,'מקור-03'!$D:$D)+SUMIF('מקור-04'!$A:$A,$A198,'מקור-04'!$D:$D)+SUMIF('מקור-05'!$A:$A,$A198,'מקור-05'!$D:$D)+SUMIF('מקור-06'!$A:$A,$A198,'מקור-06'!$D:$D)+SUMIF('מקור-07'!$A:$A,$A198,'מקור-07'!$D:$D)</f>
        <v>1</v>
      </c>
      <c r="E198" s="9" t="n">
        <f aca="false">D198-C198</f>
        <v>0</v>
      </c>
      <c r="F198" s="10" t="n">
        <f aca="false">IF(C198=0,"מוצר חדש",(D198-C198)/C198)</f>
        <v>0</v>
      </c>
    </row>
    <row r="199" customFormat="false" ht="15" hidden="false" customHeight="true" outlineLevel="0" collapsed="false">
      <c r="A199" s="7" t="n">
        <v>76247</v>
      </c>
      <c r="B199" s="7" t="s">
        <v>202</v>
      </c>
      <c r="C199" s="8" t="n">
        <f aca="false">SUMIF('מקור-01'!$A:$A,$A199,'מקור-01'!$C:$C)+SUMIF('מקור-02'!$A:$A,$A199,'מקור-02'!$C:$C)+SUMIF('מקור-03'!$A:$A,$A199,'מקור-03'!$C:$C)+SUMIF('מקור-04'!$A:$A,$A199,'מקור-04'!$C:$C)+SUMIF('מקור-05'!$A:$A,$A199,'מקור-05'!$C:$C)+SUMIF('מקור-06'!$A:$A,$A199,'מקור-06'!$C:$C)+SUMIF('מקור-07'!$A:$A,$A199,'מקור-07'!$C:$C)</f>
        <v>1</v>
      </c>
      <c r="D199" s="8" t="n">
        <f aca="false">SUMIF('מקור-01'!$A:$A,$A199,'מקור-01'!$D:$D)+SUMIF('מקור-02'!$A:$A,$A199,'מקור-02'!$D:$D)+SUMIF('מקור-03'!$A:$A,$A199,'מקור-03'!$D:$D)+SUMIF('מקור-04'!$A:$A,$A199,'מקור-04'!$D:$D)+SUMIF('מקור-05'!$A:$A,$A199,'מקור-05'!$D:$D)+SUMIF('מקור-06'!$A:$A,$A199,'מקור-06'!$D:$D)+SUMIF('מקור-07'!$A:$A,$A199,'מקור-07'!$D:$D)</f>
        <v>1</v>
      </c>
      <c r="E199" s="9" t="n">
        <f aca="false">D199-C199</f>
        <v>0</v>
      </c>
      <c r="F199" s="10" t="n">
        <f aca="false">IF(C199=0,"מוצר חדש",(D199-C199)/C199)</f>
        <v>0</v>
      </c>
    </row>
    <row r="200" customFormat="false" ht="15" hidden="false" customHeight="true" outlineLevel="0" collapsed="false">
      <c r="A200" s="7" t="n">
        <v>76248</v>
      </c>
      <c r="B200" s="7" t="s">
        <v>203</v>
      </c>
      <c r="C200" s="8" t="n">
        <f aca="false">SUMIF('מקור-01'!$A:$A,$A200,'מקור-01'!$C:$C)+SUMIF('מקור-02'!$A:$A,$A200,'מקור-02'!$C:$C)+SUMIF('מקור-03'!$A:$A,$A200,'מקור-03'!$C:$C)+SUMIF('מקור-04'!$A:$A,$A200,'מקור-04'!$C:$C)+SUMIF('מקור-05'!$A:$A,$A200,'מקור-05'!$C:$C)+SUMIF('מקור-06'!$A:$A,$A200,'מקור-06'!$C:$C)+SUMIF('מקור-07'!$A:$A,$A200,'מקור-07'!$C:$C)</f>
        <v>1</v>
      </c>
      <c r="D200" s="8" t="n">
        <f aca="false">SUMIF('מקור-01'!$A:$A,$A200,'מקור-01'!$D:$D)+SUMIF('מקור-02'!$A:$A,$A200,'מקור-02'!$D:$D)+SUMIF('מקור-03'!$A:$A,$A200,'מקור-03'!$D:$D)+SUMIF('מקור-04'!$A:$A,$A200,'מקור-04'!$D:$D)+SUMIF('מקור-05'!$A:$A,$A200,'מקור-05'!$D:$D)+SUMIF('מקור-06'!$A:$A,$A200,'מקור-06'!$D:$D)+SUMIF('מקור-07'!$A:$A,$A200,'מקור-07'!$D:$D)</f>
        <v>0</v>
      </c>
      <c r="E200" s="9" t="n">
        <f aca="false">D200-C200</f>
        <v>-1</v>
      </c>
      <c r="F200" s="10" t="n">
        <f aca="false">IF(C200=0,"מוצר חדש",(D200-C200)/C200)</f>
        <v>-1</v>
      </c>
    </row>
    <row r="201" customFormat="false" ht="15" hidden="false" customHeight="true" outlineLevel="0" collapsed="false">
      <c r="A201" s="7" t="n">
        <v>76452</v>
      </c>
      <c r="B201" s="7" t="s">
        <v>204</v>
      </c>
      <c r="C201" s="8" t="n">
        <f aca="false">SUMIF('מקור-01'!$A:$A,$A201,'מקור-01'!$C:$C)+SUMIF('מקור-02'!$A:$A,$A201,'מקור-02'!$C:$C)+SUMIF('מקור-03'!$A:$A,$A201,'מקור-03'!$C:$C)+SUMIF('מקור-04'!$A:$A,$A201,'מקור-04'!$C:$C)+SUMIF('מקור-05'!$A:$A,$A201,'מקור-05'!$C:$C)+SUMIF('מקור-06'!$A:$A,$A201,'מקור-06'!$C:$C)+SUMIF('מקור-07'!$A:$A,$A201,'מקור-07'!$C:$C)</f>
        <v>102</v>
      </c>
      <c r="D201" s="8" t="n">
        <f aca="false">SUMIF('מקור-01'!$A:$A,$A201,'מקור-01'!$D:$D)+SUMIF('מקור-02'!$A:$A,$A201,'מקור-02'!$D:$D)+SUMIF('מקור-03'!$A:$A,$A201,'מקור-03'!$D:$D)+SUMIF('מקור-04'!$A:$A,$A201,'מקור-04'!$D:$D)+SUMIF('מקור-05'!$A:$A,$A201,'מקור-05'!$D:$D)+SUMIF('מקור-06'!$A:$A,$A201,'מקור-06'!$D:$D)+SUMIF('מקור-07'!$A:$A,$A201,'מקור-07'!$D:$D)</f>
        <v>115</v>
      </c>
      <c r="E201" s="9" t="n">
        <f aca="false">D201-C201</f>
        <v>13</v>
      </c>
      <c r="F201" s="10" t="n">
        <f aca="false">IF(C201=0,"מוצר חדש",(D201-C201)/C201)</f>
        <v>0.127450980392157</v>
      </c>
    </row>
    <row r="202" customFormat="false" ht="15" hidden="false" customHeight="true" outlineLevel="0" collapsed="false">
      <c r="A202" s="7" t="n">
        <v>76453</v>
      </c>
      <c r="B202" s="7" t="s">
        <v>205</v>
      </c>
      <c r="C202" s="8" t="n">
        <f aca="false">SUMIF('מקור-01'!$A:$A,$A202,'מקור-01'!$C:$C)+SUMIF('מקור-02'!$A:$A,$A202,'מקור-02'!$C:$C)+SUMIF('מקור-03'!$A:$A,$A202,'מקור-03'!$C:$C)+SUMIF('מקור-04'!$A:$A,$A202,'מקור-04'!$C:$C)+SUMIF('מקור-05'!$A:$A,$A202,'מקור-05'!$C:$C)+SUMIF('מקור-06'!$A:$A,$A202,'מקור-06'!$C:$C)+SUMIF('מקור-07'!$A:$A,$A202,'מקור-07'!$C:$C)</f>
        <v>52</v>
      </c>
      <c r="D202" s="8" t="n">
        <f aca="false">SUMIF('מקור-01'!$A:$A,$A202,'מקור-01'!$D:$D)+SUMIF('מקור-02'!$A:$A,$A202,'מקור-02'!$D:$D)+SUMIF('מקור-03'!$A:$A,$A202,'מקור-03'!$D:$D)+SUMIF('מקור-04'!$A:$A,$A202,'מקור-04'!$D:$D)+SUMIF('מקור-05'!$A:$A,$A202,'מקור-05'!$D:$D)+SUMIF('מקור-06'!$A:$A,$A202,'מקור-06'!$D:$D)+SUMIF('מקור-07'!$A:$A,$A202,'מקור-07'!$D:$D)</f>
        <v>53</v>
      </c>
      <c r="E202" s="9" t="n">
        <f aca="false">D202-C202</f>
        <v>1</v>
      </c>
      <c r="F202" s="10" t="n">
        <f aca="false">IF(C202=0,"מוצר חדש",(D202-C202)/C202)</f>
        <v>0.0192307692307692</v>
      </c>
    </row>
    <row r="203" customFormat="false" ht="15" hidden="false" customHeight="true" outlineLevel="0" collapsed="false">
      <c r="A203" s="7" t="n">
        <v>79327</v>
      </c>
      <c r="B203" s="7" t="s">
        <v>206</v>
      </c>
      <c r="C203" s="8" t="n">
        <f aca="false">SUMIF('מקור-01'!$A:$A,$A203,'מקור-01'!$C:$C)+SUMIF('מקור-02'!$A:$A,$A203,'מקור-02'!$C:$C)+SUMIF('מקור-03'!$A:$A,$A203,'מקור-03'!$C:$C)+SUMIF('מקור-04'!$A:$A,$A203,'מקור-04'!$C:$C)+SUMIF('מקור-05'!$A:$A,$A203,'מקור-05'!$C:$C)+SUMIF('מקור-06'!$A:$A,$A203,'מקור-06'!$C:$C)+SUMIF('מקור-07'!$A:$A,$A203,'מקור-07'!$C:$C)</f>
        <v>64</v>
      </c>
      <c r="D203" s="8" t="n">
        <f aca="false">SUMIF('מקור-01'!$A:$A,$A203,'מקור-01'!$D:$D)+SUMIF('מקור-02'!$A:$A,$A203,'מקור-02'!$D:$D)+SUMIF('מקור-03'!$A:$A,$A203,'מקור-03'!$D:$D)+SUMIF('מקור-04'!$A:$A,$A203,'מקור-04'!$D:$D)+SUMIF('מקור-05'!$A:$A,$A203,'מקור-05'!$D:$D)+SUMIF('מקור-06'!$A:$A,$A203,'מקור-06'!$D:$D)+SUMIF('מקור-07'!$A:$A,$A203,'מקור-07'!$D:$D)</f>
        <v>47</v>
      </c>
      <c r="E203" s="9" t="n">
        <f aca="false">D203-C203</f>
        <v>-17</v>
      </c>
      <c r="F203" s="10" t="n">
        <f aca="false">IF(C203=0,"מוצר חדש",(D203-C203)/C203)</f>
        <v>-0.265625</v>
      </c>
    </row>
    <row r="204" customFormat="false" ht="15" hidden="false" customHeight="true" outlineLevel="0" collapsed="false">
      <c r="A204" s="7" t="n">
        <v>80182</v>
      </c>
      <c r="B204" s="7" t="s">
        <v>207</v>
      </c>
      <c r="C204" s="8" t="n">
        <f aca="false">SUMIF('מקור-01'!$A:$A,$A204,'מקור-01'!$C:$C)+SUMIF('מקור-02'!$A:$A,$A204,'מקור-02'!$C:$C)+SUMIF('מקור-03'!$A:$A,$A204,'מקור-03'!$C:$C)+SUMIF('מקור-04'!$A:$A,$A204,'מקור-04'!$C:$C)+SUMIF('מקור-05'!$A:$A,$A204,'מקור-05'!$C:$C)+SUMIF('מקור-06'!$A:$A,$A204,'מקור-06'!$C:$C)+SUMIF('מקור-07'!$A:$A,$A204,'מקור-07'!$C:$C)</f>
        <v>90</v>
      </c>
      <c r="D204" s="8" t="n">
        <f aca="false">SUMIF('מקור-01'!$A:$A,$A204,'מקור-01'!$D:$D)+SUMIF('מקור-02'!$A:$A,$A204,'מקור-02'!$D:$D)+SUMIF('מקור-03'!$A:$A,$A204,'מקור-03'!$D:$D)+SUMIF('מקור-04'!$A:$A,$A204,'מקור-04'!$D:$D)+SUMIF('מקור-05'!$A:$A,$A204,'מקור-05'!$D:$D)+SUMIF('מקור-06'!$A:$A,$A204,'מקור-06'!$D:$D)+SUMIF('מקור-07'!$A:$A,$A204,'מקור-07'!$D:$D)</f>
        <v>93</v>
      </c>
      <c r="E204" s="9" t="n">
        <f aca="false">D204-C204</f>
        <v>3</v>
      </c>
      <c r="F204" s="10" t="n">
        <f aca="false">IF(C204=0,"מוצר חדש",(D204-C204)/C204)</f>
        <v>0.0333333333333333</v>
      </c>
    </row>
    <row r="205" customFormat="false" ht="15" hidden="false" customHeight="true" outlineLevel="0" collapsed="false">
      <c r="A205" s="7" t="n">
        <v>80668</v>
      </c>
      <c r="B205" s="7" t="s">
        <v>208</v>
      </c>
      <c r="C205" s="8" t="n">
        <f aca="false">SUMIF('מקור-01'!$A:$A,$A205,'מקור-01'!$C:$C)+SUMIF('מקור-02'!$A:$A,$A205,'מקור-02'!$C:$C)+SUMIF('מקור-03'!$A:$A,$A205,'מקור-03'!$C:$C)+SUMIF('מקור-04'!$A:$A,$A205,'מקור-04'!$C:$C)+SUMIF('מקור-05'!$A:$A,$A205,'מקור-05'!$C:$C)+SUMIF('מקור-06'!$A:$A,$A205,'מקור-06'!$C:$C)+SUMIF('מקור-07'!$A:$A,$A205,'מקור-07'!$C:$C)</f>
        <v>98</v>
      </c>
      <c r="D205" s="8" t="n">
        <f aca="false">SUMIF('מקור-01'!$A:$A,$A205,'מקור-01'!$D:$D)+SUMIF('מקור-02'!$A:$A,$A205,'מקור-02'!$D:$D)+SUMIF('מקור-03'!$A:$A,$A205,'מקור-03'!$D:$D)+SUMIF('מקור-04'!$A:$A,$A205,'מקור-04'!$D:$D)+SUMIF('מקור-05'!$A:$A,$A205,'מקור-05'!$D:$D)+SUMIF('מקור-06'!$A:$A,$A205,'מקור-06'!$D:$D)+SUMIF('מקור-07'!$A:$A,$A205,'מקור-07'!$D:$D)</f>
        <v>86</v>
      </c>
      <c r="E205" s="9" t="n">
        <f aca="false">D205-C205</f>
        <v>-12</v>
      </c>
      <c r="F205" s="10" t="n">
        <f aca="false">IF(C205=0,"מוצר חדש",(D205-C205)/C205)</f>
        <v>-0.122448979591837</v>
      </c>
    </row>
    <row r="206" customFormat="false" ht="15" hidden="false" customHeight="true" outlineLevel="0" collapsed="false">
      <c r="A206" s="7" t="n">
        <v>82202</v>
      </c>
      <c r="B206" s="7" t="s">
        <v>209</v>
      </c>
      <c r="C206" s="8" t="n">
        <f aca="false">SUMIF('מקור-01'!$A:$A,$A206,'מקור-01'!$C:$C)+SUMIF('מקור-02'!$A:$A,$A206,'מקור-02'!$C:$C)+SUMIF('מקור-03'!$A:$A,$A206,'מקור-03'!$C:$C)+SUMIF('מקור-04'!$A:$A,$A206,'מקור-04'!$C:$C)+SUMIF('מקור-05'!$A:$A,$A206,'מקור-05'!$C:$C)+SUMIF('מקור-06'!$A:$A,$A206,'מקור-06'!$C:$C)+SUMIF('מקור-07'!$A:$A,$A206,'מקור-07'!$C:$C)</f>
        <v>40</v>
      </c>
      <c r="D206" s="8" t="n">
        <f aca="false">SUMIF('מקור-01'!$A:$A,$A206,'מקור-01'!$D:$D)+SUMIF('מקור-02'!$A:$A,$A206,'מקור-02'!$D:$D)+SUMIF('מקור-03'!$A:$A,$A206,'מקור-03'!$D:$D)+SUMIF('מקור-04'!$A:$A,$A206,'מקור-04'!$D:$D)+SUMIF('מקור-05'!$A:$A,$A206,'מקור-05'!$D:$D)+SUMIF('מקור-06'!$A:$A,$A206,'מקור-06'!$D:$D)+SUMIF('מקור-07'!$A:$A,$A206,'מקור-07'!$D:$D)</f>
        <v>146</v>
      </c>
      <c r="E206" s="9" t="n">
        <f aca="false">D206-C206</f>
        <v>106</v>
      </c>
      <c r="F206" s="10" t="n">
        <f aca="false">IF(C206=0,"מוצר חדש",(D206-C206)/C206)</f>
        <v>2.65</v>
      </c>
    </row>
    <row r="207" customFormat="false" ht="15" hidden="false" customHeight="true" outlineLevel="0" collapsed="false">
      <c r="A207" s="7" t="n">
        <v>82206</v>
      </c>
      <c r="B207" s="7" t="s">
        <v>210</v>
      </c>
      <c r="C207" s="8" t="n">
        <f aca="false">SUMIF('מקור-01'!$A:$A,$A207,'מקור-01'!$C:$C)+SUMIF('מקור-02'!$A:$A,$A207,'מקור-02'!$C:$C)+SUMIF('מקור-03'!$A:$A,$A207,'מקור-03'!$C:$C)+SUMIF('מקור-04'!$A:$A,$A207,'מקור-04'!$C:$C)+SUMIF('מקור-05'!$A:$A,$A207,'מקור-05'!$C:$C)+SUMIF('מקור-06'!$A:$A,$A207,'מקור-06'!$C:$C)+SUMIF('מקור-07'!$A:$A,$A207,'מקור-07'!$C:$C)</f>
        <v>93</v>
      </c>
      <c r="D207" s="8" t="n">
        <f aca="false">SUMIF('מקור-01'!$A:$A,$A207,'מקור-01'!$D:$D)+SUMIF('מקור-02'!$A:$A,$A207,'מקור-02'!$D:$D)+SUMIF('מקור-03'!$A:$A,$A207,'מקור-03'!$D:$D)+SUMIF('מקור-04'!$A:$A,$A207,'מקור-04'!$D:$D)+SUMIF('מקור-05'!$A:$A,$A207,'מקור-05'!$D:$D)+SUMIF('מקור-06'!$A:$A,$A207,'מקור-06'!$D:$D)+SUMIF('מקור-07'!$A:$A,$A207,'מקור-07'!$D:$D)</f>
        <v>438</v>
      </c>
      <c r="E207" s="9" t="n">
        <f aca="false">D207-C207</f>
        <v>345</v>
      </c>
      <c r="F207" s="10" t="n">
        <f aca="false">IF(C207=0,"מוצר חדש",(D207-C207)/C207)</f>
        <v>3.70967741935484</v>
      </c>
    </row>
    <row r="208" customFormat="false" ht="15" hidden="false" customHeight="true" outlineLevel="0" collapsed="false">
      <c r="A208" s="7" t="n">
        <v>82207</v>
      </c>
      <c r="B208" s="7" t="s">
        <v>211</v>
      </c>
      <c r="C208" s="8" t="n">
        <f aca="false">SUMIF('מקור-01'!$A:$A,$A208,'מקור-01'!$C:$C)+SUMIF('מקור-02'!$A:$A,$A208,'מקור-02'!$C:$C)+SUMIF('מקור-03'!$A:$A,$A208,'מקור-03'!$C:$C)+SUMIF('מקור-04'!$A:$A,$A208,'מקור-04'!$C:$C)+SUMIF('מקור-05'!$A:$A,$A208,'מקור-05'!$C:$C)+SUMIF('מקור-06'!$A:$A,$A208,'מקור-06'!$C:$C)+SUMIF('מקור-07'!$A:$A,$A208,'מקור-07'!$C:$C)</f>
        <v>17</v>
      </c>
      <c r="D208" s="8" t="n">
        <f aca="false">SUMIF('מקור-01'!$A:$A,$A208,'מקור-01'!$D:$D)+SUMIF('מקור-02'!$A:$A,$A208,'מקור-02'!$D:$D)+SUMIF('מקור-03'!$A:$A,$A208,'מקור-03'!$D:$D)+SUMIF('מקור-04'!$A:$A,$A208,'מקור-04'!$D:$D)+SUMIF('מקור-05'!$A:$A,$A208,'מקור-05'!$D:$D)+SUMIF('מקור-06'!$A:$A,$A208,'מקור-06'!$D:$D)+SUMIF('מקור-07'!$A:$A,$A208,'מקור-07'!$D:$D)</f>
        <v>101</v>
      </c>
      <c r="E208" s="9" t="n">
        <f aca="false">D208-C208</f>
        <v>84</v>
      </c>
      <c r="F208" s="10" t="n">
        <f aca="false">IF(C208=0,"מוצר חדש",(D208-C208)/C208)</f>
        <v>4.94117647058824</v>
      </c>
    </row>
    <row r="209" customFormat="false" ht="15" hidden="false" customHeight="true" outlineLevel="0" collapsed="false">
      <c r="A209" s="7" t="n">
        <v>82208</v>
      </c>
      <c r="B209" s="7" t="s">
        <v>212</v>
      </c>
      <c r="C209" s="8" t="n">
        <f aca="false">SUMIF('מקור-01'!$A:$A,$A209,'מקור-01'!$C:$C)+SUMIF('מקור-02'!$A:$A,$A209,'מקור-02'!$C:$C)+SUMIF('מקור-03'!$A:$A,$A209,'מקור-03'!$C:$C)+SUMIF('מקור-04'!$A:$A,$A209,'מקור-04'!$C:$C)+SUMIF('מקור-05'!$A:$A,$A209,'מקור-05'!$C:$C)+SUMIF('מקור-06'!$A:$A,$A209,'מקור-06'!$C:$C)+SUMIF('מקור-07'!$A:$A,$A209,'מקור-07'!$C:$C)</f>
        <v>35</v>
      </c>
      <c r="D209" s="8" t="n">
        <f aca="false">SUMIF('מקור-01'!$A:$A,$A209,'מקור-01'!$D:$D)+SUMIF('מקור-02'!$A:$A,$A209,'מקור-02'!$D:$D)+SUMIF('מקור-03'!$A:$A,$A209,'מקור-03'!$D:$D)+SUMIF('מקור-04'!$A:$A,$A209,'מקור-04'!$D:$D)+SUMIF('מקור-05'!$A:$A,$A209,'מקור-05'!$D:$D)+SUMIF('מקור-06'!$A:$A,$A209,'מקור-06'!$D:$D)+SUMIF('מקור-07'!$A:$A,$A209,'מקור-07'!$D:$D)</f>
        <v>145</v>
      </c>
      <c r="E209" s="9" t="n">
        <f aca="false">D209-C209</f>
        <v>110</v>
      </c>
      <c r="F209" s="10" t="n">
        <f aca="false">IF(C209=0,"מוצר חדש",(D209-C209)/C209)</f>
        <v>3.14285714285714</v>
      </c>
    </row>
    <row r="210" customFormat="false" ht="15" hidden="false" customHeight="true" outlineLevel="0" collapsed="false">
      <c r="A210" s="7" t="n">
        <v>82213</v>
      </c>
      <c r="B210" s="7" t="s">
        <v>213</v>
      </c>
      <c r="C210" s="8" t="n">
        <f aca="false">SUMIF('מקור-01'!$A:$A,$A210,'מקור-01'!$C:$C)+SUMIF('מקור-02'!$A:$A,$A210,'מקור-02'!$C:$C)+SUMIF('מקור-03'!$A:$A,$A210,'מקור-03'!$C:$C)+SUMIF('מקור-04'!$A:$A,$A210,'מקור-04'!$C:$C)+SUMIF('מקור-05'!$A:$A,$A210,'מקור-05'!$C:$C)+SUMIF('מקור-06'!$A:$A,$A210,'מקור-06'!$C:$C)+SUMIF('מקור-07'!$A:$A,$A210,'מקור-07'!$C:$C)</f>
        <v>50</v>
      </c>
      <c r="D210" s="8" t="n">
        <f aca="false">SUMIF('מקור-01'!$A:$A,$A210,'מקור-01'!$D:$D)+SUMIF('מקור-02'!$A:$A,$A210,'מקור-02'!$D:$D)+SUMIF('מקור-03'!$A:$A,$A210,'מקור-03'!$D:$D)+SUMIF('מקור-04'!$A:$A,$A210,'מקור-04'!$D:$D)+SUMIF('מקור-05'!$A:$A,$A210,'מקור-05'!$D:$D)+SUMIF('מקור-06'!$A:$A,$A210,'מקור-06'!$D:$D)+SUMIF('מקור-07'!$A:$A,$A210,'מקור-07'!$D:$D)</f>
        <v>155</v>
      </c>
      <c r="E210" s="9" t="n">
        <f aca="false">D210-C210</f>
        <v>105</v>
      </c>
      <c r="F210" s="10" t="n">
        <f aca="false">IF(C210=0,"מוצר חדש",(D210-C210)/C210)</f>
        <v>2.1</v>
      </c>
    </row>
    <row r="211" customFormat="false" ht="15" hidden="false" customHeight="true" outlineLevel="0" collapsed="false">
      <c r="A211" s="7" t="n">
        <v>82551</v>
      </c>
      <c r="B211" s="7" t="s">
        <v>214</v>
      </c>
      <c r="C211" s="8" t="n">
        <f aca="false">SUMIF('מקור-01'!$A:$A,$A211,'מקור-01'!$C:$C)+SUMIF('מקור-02'!$A:$A,$A211,'מקור-02'!$C:$C)+SUMIF('מקור-03'!$A:$A,$A211,'מקור-03'!$C:$C)+SUMIF('מקור-04'!$A:$A,$A211,'מקור-04'!$C:$C)+SUMIF('מקור-05'!$A:$A,$A211,'מקור-05'!$C:$C)+SUMIF('מקור-06'!$A:$A,$A211,'מקור-06'!$C:$C)+SUMIF('מקור-07'!$A:$A,$A211,'מקור-07'!$C:$C)</f>
        <v>8</v>
      </c>
      <c r="D211" s="8" t="n">
        <f aca="false">SUMIF('מקור-01'!$A:$A,$A211,'מקור-01'!$D:$D)+SUMIF('מקור-02'!$A:$A,$A211,'מקור-02'!$D:$D)+SUMIF('מקור-03'!$A:$A,$A211,'מקור-03'!$D:$D)+SUMIF('מקור-04'!$A:$A,$A211,'מקור-04'!$D:$D)+SUMIF('מקור-05'!$A:$A,$A211,'מקור-05'!$D:$D)+SUMIF('מקור-06'!$A:$A,$A211,'מקור-06'!$D:$D)+SUMIF('מקור-07'!$A:$A,$A211,'מקור-07'!$D:$D)</f>
        <v>14</v>
      </c>
      <c r="E211" s="9" t="n">
        <f aca="false">D211-C211</f>
        <v>6</v>
      </c>
      <c r="F211" s="10" t="n">
        <f aca="false">IF(C211=0,"מוצר חדש",(D211-C211)/C211)</f>
        <v>0.75</v>
      </c>
    </row>
    <row r="212" customFormat="false" ht="15" hidden="false" customHeight="true" outlineLevel="0" collapsed="false">
      <c r="A212" s="7" t="n">
        <v>83420</v>
      </c>
      <c r="B212" s="7" t="s">
        <v>215</v>
      </c>
      <c r="C212" s="8" t="n">
        <f aca="false">SUMIF('מקור-01'!$A:$A,$A212,'מקור-01'!$C:$C)+SUMIF('מקור-02'!$A:$A,$A212,'מקור-02'!$C:$C)+SUMIF('מקור-03'!$A:$A,$A212,'מקור-03'!$C:$C)+SUMIF('מקור-04'!$A:$A,$A212,'מקור-04'!$C:$C)+SUMIF('מקור-05'!$A:$A,$A212,'מקור-05'!$C:$C)+SUMIF('מקור-06'!$A:$A,$A212,'מקור-06'!$C:$C)+SUMIF('מקור-07'!$A:$A,$A212,'מקור-07'!$C:$C)</f>
        <v>18</v>
      </c>
      <c r="D212" s="8" t="n">
        <f aca="false">SUMIF('מקור-01'!$A:$A,$A212,'מקור-01'!$D:$D)+SUMIF('מקור-02'!$A:$A,$A212,'מקור-02'!$D:$D)+SUMIF('מקור-03'!$A:$A,$A212,'מקור-03'!$D:$D)+SUMIF('מקור-04'!$A:$A,$A212,'מקור-04'!$D:$D)+SUMIF('מקור-05'!$A:$A,$A212,'מקור-05'!$D:$D)+SUMIF('מקור-06'!$A:$A,$A212,'מקור-06'!$D:$D)+SUMIF('מקור-07'!$A:$A,$A212,'מקור-07'!$D:$D)</f>
        <v>92</v>
      </c>
      <c r="E212" s="9" t="n">
        <f aca="false">D212-C212</f>
        <v>74</v>
      </c>
      <c r="F212" s="10" t="n">
        <f aca="false">IF(C212=0,"מוצר חדש",(D212-C212)/C212)</f>
        <v>4.11111111111111</v>
      </c>
    </row>
    <row r="213" customFormat="false" ht="15" hidden="false" customHeight="true" outlineLevel="0" collapsed="false">
      <c r="A213" s="7" t="n">
        <v>83668</v>
      </c>
      <c r="B213" s="7" t="s">
        <v>216</v>
      </c>
      <c r="C213" s="8" t="n">
        <f aca="false">SUMIF('מקור-01'!$A:$A,$A213,'מקור-01'!$C:$C)+SUMIF('מקור-02'!$A:$A,$A213,'מקור-02'!$C:$C)+SUMIF('מקור-03'!$A:$A,$A213,'מקור-03'!$C:$C)+SUMIF('מקור-04'!$A:$A,$A213,'מקור-04'!$C:$C)+SUMIF('מקור-05'!$A:$A,$A213,'מקור-05'!$C:$C)+SUMIF('מקור-06'!$A:$A,$A213,'מקור-06'!$C:$C)+SUMIF('מקור-07'!$A:$A,$A213,'מקור-07'!$C:$C)</f>
        <v>773</v>
      </c>
      <c r="D213" s="8" t="n">
        <f aca="false">SUMIF('מקור-01'!$A:$A,$A213,'מקור-01'!$D:$D)+SUMIF('מקור-02'!$A:$A,$A213,'מקור-02'!$D:$D)+SUMIF('מקור-03'!$A:$A,$A213,'מקור-03'!$D:$D)+SUMIF('מקור-04'!$A:$A,$A213,'מקור-04'!$D:$D)+SUMIF('מקור-05'!$A:$A,$A213,'מקור-05'!$D:$D)+SUMIF('מקור-06'!$A:$A,$A213,'מקור-06'!$D:$D)+SUMIF('מקור-07'!$A:$A,$A213,'מקור-07'!$D:$D)</f>
        <v>462</v>
      </c>
      <c r="E213" s="9" t="n">
        <f aca="false">D213-C213</f>
        <v>-311</v>
      </c>
      <c r="F213" s="10" t="n">
        <f aca="false">IF(C213=0,"מוצר חדש",(D213-C213)/C213)</f>
        <v>-0.402328589909444</v>
      </c>
    </row>
    <row r="214" customFormat="false" ht="15" hidden="false" customHeight="true" outlineLevel="0" collapsed="false">
      <c r="A214" s="7" t="n">
        <v>85165</v>
      </c>
      <c r="B214" s="7" t="s">
        <v>217</v>
      </c>
      <c r="C214" s="8" t="n">
        <f aca="false">SUMIF('מקור-01'!$A:$A,$A214,'מקור-01'!$C:$C)+SUMIF('מקור-02'!$A:$A,$A214,'מקור-02'!$C:$C)+SUMIF('מקור-03'!$A:$A,$A214,'מקור-03'!$C:$C)+SUMIF('מקור-04'!$A:$A,$A214,'מקור-04'!$C:$C)+SUMIF('מקור-05'!$A:$A,$A214,'מקור-05'!$C:$C)+SUMIF('מקור-06'!$A:$A,$A214,'מקור-06'!$C:$C)+SUMIF('מקור-07'!$A:$A,$A214,'מקור-07'!$C:$C)</f>
        <v>58</v>
      </c>
      <c r="D214" s="8" t="n">
        <f aca="false">SUMIF('מקור-01'!$A:$A,$A214,'מקור-01'!$D:$D)+SUMIF('מקור-02'!$A:$A,$A214,'מקור-02'!$D:$D)+SUMIF('מקור-03'!$A:$A,$A214,'מקור-03'!$D:$D)+SUMIF('מקור-04'!$A:$A,$A214,'מקור-04'!$D:$D)+SUMIF('מקור-05'!$A:$A,$A214,'מקור-05'!$D:$D)+SUMIF('מקור-06'!$A:$A,$A214,'מקור-06'!$D:$D)+SUMIF('מקור-07'!$A:$A,$A214,'מקור-07'!$D:$D)</f>
        <v>68</v>
      </c>
      <c r="E214" s="9" t="n">
        <f aca="false">D214-C214</f>
        <v>10</v>
      </c>
      <c r="F214" s="10" t="n">
        <f aca="false">IF(C214=0,"מוצר חדש",(D214-C214)/C214)</f>
        <v>0.172413793103448</v>
      </c>
    </row>
    <row r="215" customFormat="false" ht="15" hidden="false" customHeight="true" outlineLevel="0" collapsed="false">
      <c r="A215" s="7" t="n">
        <v>85338</v>
      </c>
      <c r="B215" s="7" t="s">
        <v>218</v>
      </c>
      <c r="C215" s="8" t="n">
        <f aca="false">SUMIF('מקור-01'!$A:$A,$A215,'מקור-01'!$C:$C)+SUMIF('מקור-02'!$A:$A,$A215,'מקור-02'!$C:$C)+SUMIF('מקור-03'!$A:$A,$A215,'מקור-03'!$C:$C)+SUMIF('מקור-04'!$A:$A,$A215,'מקור-04'!$C:$C)+SUMIF('מקור-05'!$A:$A,$A215,'מקור-05'!$C:$C)+SUMIF('מקור-06'!$A:$A,$A215,'מקור-06'!$C:$C)+SUMIF('מקור-07'!$A:$A,$A215,'מקור-07'!$C:$C)</f>
        <v>110</v>
      </c>
      <c r="D215" s="8" t="n">
        <f aca="false">SUMIF('מקור-01'!$A:$A,$A215,'מקור-01'!$D:$D)+SUMIF('מקור-02'!$A:$A,$A215,'מקור-02'!$D:$D)+SUMIF('מקור-03'!$A:$A,$A215,'מקור-03'!$D:$D)+SUMIF('מקור-04'!$A:$A,$A215,'מקור-04'!$D:$D)+SUMIF('מקור-05'!$A:$A,$A215,'מקור-05'!$D:$D)+SUMIF('מקור-06'!$A:$A,$A215,'מקור-06'!$D:$D)+SUMIF('מקור-07'!$A:$A,$A215,'מקור-07'!$D:$D)</f>
        <v>105</v>
      </c>
      <c r="E215" s="9" t="n">
        <f aca="false">D215-C215</f>
        <v>-5</v>
      </c>
      <c r="F215" s="10" t="n">
        <f aca="false">IF(C215=0,"מוצר חדש",(D215-C215)/C215)</f>
        <v>-0.0454545454545455</v>
      </c>
    </row>
    <row r="216" customFormat="false" ht="15" hidden="false" customHeight="true" outlineLevel="0" collapsed="false">
      <c r="A216" s="7" t="n">
        <v>86583</v>
      </c>
      <c r="B216" s="7" t="s">
        <v>219</v>
      </c>
      <c r="C216" s="8" t="n">
        <f aca="false">SUMIF('מקור-01'!$A:$A,$A216,'מקור-01'!$C:$C)+SUMIF('מקור-02'!$A:$A,$A216,'מקור-02'!$C:$C)+SUMIF('מקור-03'!$A:$A,$A216,'מקור-03'!$C:$C)+SUMIF('מקור-04'!$A:$A,$A216,'מקור-04'!$C:$C)+SUMIF('מקור-05'!$A:$A,$A216,'מקור-05'!$C:$C)+SUMIF('מקור-06'!$A:$A,$A216,'מקור-06'!$C:$C)+SUMIF('מקור-07'!$A:$A,$A216,'מקור-07'!$C:$C)</f>
        <v>13</v>
      </c>
      <c r="D216" s="8" t="n">
        <f aca="false">SUMIF('מקור-01'!$A:$A,$A216,'מקור-01'!$D:$D)+SUMIF('מקור-02'!$A:$A,$A216,'מקור-02'!$D:$D)+SUMIF('מקור-03'!$A:$A,$A216,'מקור-03'!$D:$D)+SUMIF('מקור-04'!$A:$A,$A216,'מקור-04'!$D:$D)+SUMIF('מקור-05'!$A:$A,$A216,'מקור-05'!$D:$D)+SUMIF('מקור-06'!$A:$A,$A216,'מקור-06'!$D:$D)+SUMIF('מקור-07'!$A:$A,$A216,'מקור-07'!$D:$D)</f>
        <v>11</v>
      </c>
      <c r="E216" s="9" t="n">
        <f aca="false">D216-C216</f>
        <v>-2</v>
      </c>
      <c r="F216" s="10" t="n">
        <f aca="false">IF(C216=0,"מוצר חדש",(D216-C216)/C216)</f>
        <v>-0.153846153846154</v>
      </c>
    </row>
    <row r="217" customFormat="false" ht="15" hidden="false" customHeight="true" outlineLevel="0" collapsed="false">
      <c r="A217" s="7" t="n">
        <v>87819</v>
      </c>
      <c r="B217" s="7" t="s">
        <v>220</v>
      </c>
      <c r="C217" s="8" t="n">
        <f aca="false">SUMIF('מקור-01'!$A:$A,$A217,'מקור-01'!$C:$C)+SUMIF('מקור-02'!$A:$A,$A217,'מקור-02'!$C:$C)+SUMIF('מקור-03'!$A:$A,$A217,'מקור-03'!$C:$C)+SUMIF('מקור-04'!$A:$A,$A217,'מקור-04'!$C:$C)+SUMIF('מקור-05'!$A:$A,$A217,'מקור-05'!$C:$C)+SUMIF('מקור-06'!$A:$A,$A217,'מקור-06'!$C:$C)+SUMIF('מקור-07'!$A:$A,$A217,'מקור-07'!$C:$C)</f>
        <v>9</v>
      </c>
      <c r="D217" s="8" t="n">
        <f aca="false">SUMIF('מקור-01'!$A:$A,$A217,'מקור-01'!$D:$D)+SUMIF('מקור-02'!$A:$A,$A217,'מקור-02'!$D:$D)+SUMIF('מקור-03'!$A:$A,$A217,'מקור-03'!$D:$D)+SUMIF('מקור-04'!$A:$A,$A217,'מקור-04'!$D:$D)+SUMIF('מקור-05'!$A:$A,$A217,'מקור-05'!$D:$D)+SUMIF('מקור-06'!$A:$A,$A217,'מקור-06'!$D:$D)+SUMIF('מקור-07'!$A:$A,$A217,'מקור-07'!$D:$D)</f>
        <v>24</v>
      </c>
      <c r="E217" s="9" t="n">
        <f aca="false">D217-C217</f>
        <v>15</v>
      </c>
      <c r="F217" s="10" t="n">
        <f aca="false">IF(C217=0,"מוצר חדש",(D217-C217)/C217)</f>
        <v>1.66666666666667</v>
      </c>
    </row>
    <row r="218" customFormat="false" ht="15" hidden="false" customHeight="true" outlineLevel="0" collapsed="false">
      <c r="A218" s="7" t="n">
        <v>87828</v>
      </c>
      <c r="B218" s="7" t="s">
        <v>221</v>
      </c>
      <c r="C218" s="8" t="n">
        <f aca="false">SUMIF('מקור-01'!$A:$A,$A218,'מקור-01'!$C:$C)+SUMIF('מקור-02'!$A:$A,$A218,'מקור-02'!$C:$C)+SUMIF('מקור-03'!$A:$A,$A218,'מקור-03'!$C:$C)+SUMIF('מקור-04'!$A:$A,$A218,'מקור-04'!$C:$C)+SUMIF('מקור-05'!$A:$A,$A218,'מקור-05'!$C:$C)+SUMIF('מקור-06'!$A:$A,$A218,'מקור-06'!$C:$C)+SUMIF('מקור-07'!$A:$A,$A218,'מקור-07'!$C:$C)</f>
        <v>2</v>
      </c>
      <c r="D218" s="8" t="n">
        <f aca="false">SUMIF('מקור-01'!$A:$A,$A218,'מקור-01'!$D:$D)+SUMIF('מקור-02'!$A:$A,$A218,'מקור-02'!$D:$D)+SUMIF('מקור-03'!$A:$A,$A218,'מקור-03'!$D:$D)+SUMIF('מקור-04'!$A:$A,$A218,'מקור-04'!$D:$D)+SUMIF('מקור-05'!$A:$A,$A218,'מקור-05'!$D:$D)+SUMIF('מקור-06'!$A:$A,$A218,'מקור-06'!$D:$D)+SUMIF('מקור-07'!$A:$A,$A218,'מקור-07'!$D:$D)</f>
        <v>3</v>
      </c>
      <c r="E218" s="9" t="n">
        <f aca="false">D218-C218</f>
        <v>1</v>
      </c>
      <c r="F218" s="10" t="n">
        <f aca="false">IF(C218=0,"מוצר חדש",(D218-C218)/C218)</f>
        <v>0.5</v>
      </c>
    </row>
    <row r="219" customFormat="false" ht="15" hidden="false" customHeight="true" outlineLevel="0" collapsed="false">
      <c r="A219" s="7" t="n">
        <v>88474</v>
      </c>
      <c r="B219" s="7" t="s">
        <v>222</v>
      </c>
      <c r="C219" s="8" t="n">
        <f aca="false">SUMIF('מקור-01'!$A:$A,$A219,'מקור-01'!$C:$C)+SUMIF('מקור-02'!$A:$A,$A219,'מקור-02'!$C:$C)+SUMIF('מקור-03'!$A:$A,$A219,'מקור-03'!$C:$C)+SUMIF('מקור-04'!$A:$A,$A219,'מקור-04'!$C:$C)+SUMIF('מקור-05'!$A:$A,$A219,'מקור-05'!$C:$C)+SUMIF('מקור-06'!$A:$A,$A219,'מקור-06'!$C:$C)+SUMIF('מקור-07'!$A:$A,$A219,'מקור-07'!$C:$C)</f>
        <v>33</v>
      </c>
      <c r="D219" s="8" t="n">
        <f aca="false">SUMIF('מקור-01'!$A:$A,$A219,'מקור-01'!$D:$D)+SUMIF('מקור-02'!$A:$A,$A219,'מקור-02'!$D:$D)+SUMIF('מקור-03'!$A:$A,$A219,'מקור-03'!$D:$D)+SUMIF('מקור-04'!$A:$A,$A219,'מקור-04'!$D:$D)+SUMIF('מקור-05'!$A:$A,$A219,'מקור-05'!$D:$D)+SUMIF('מקור-06'!$A:$A,$A219,'מקור-06'!$D:$D)+SUMIF('מקור-07'!$A:$A,$A219,'מקור-07'!$D:$D)</f>
        <v>24</v>
      </c>
      <c r="E219" s="9" t="n">
        <f aca="false">D219-C219</f>
        <v>-9</v>
      </c>
      <c r="F219" s="10" t="n">
        <f aca="false">IF(C219=0,"מוצר חדש",(D219-C219)/C219)</f>
        <v>-0.272727272727273</v>
      </c>
    </row>
    <row r="220" customFormat="false" ht="15" hidden="false" customHeight="true" outlineLevel="0" collapsed="false">
      <c r="A220" s="7" t="n">
        <v>88475</v>
      </c>
      <c r="B220" s="7" t="s">
        <v>223</v>
      </c>
      <c r="C220" s="8" t="n">
        <f aca="false">SUMIF('מקור-01'!$A:$A,$A220,'מקור-01'!$C:$C)+SUMIF('מקור-02'!$A:$A,$A220,'מקור-02'!$C:$C)+SUMIF('מקור-03'!$A:$A,$A220,'מקור-03'!$C:$C)+SUMIF('מקור-04'!$A:$A,$A220,'מקור-04'!$C:$C)+SUMIF('מקור-05'!$A:$A,$A220,'מקור-05'!$C:$C)+SUMIF('מקור-06'!$A:$A,$A220,'מקור-06'!$C:$C)+SUMIF('מקור-07'!$A:$A,$A220,'מקור-07'!$C:$C)</f>
        <v>3</v>
      </c>
      <c r="D220" s="8" t="n">
        <f aca="false">SUMIF('מקור-01'!$A:$A,$A220,'מקור-01'!$D:$D)+SUMIF('מקור-02'!$A:$A,$A220,'מקור-02'!$D:$D)+SUMIF('מקור-03'!$A:$A,$A220,'מקור-03'!$D:$D)+SUMIF('מקור-04'!$A:$A,$A220,'מקור-04'!$D:$D)+SUMIF('מקור-05'!$A:$A,$A220,'מקור-05'!$D:$D)+SUMIF('מקור-06'!$A:$A,$A220,'מקור-06'!$D:$D)+SUMIF('מקור-07'!$A:$A,$A220,'מקור-07'!$D:$D)</f>
        <v>2</v>
      </c>
      <c r="E220" s="9" t="n">
        <f aca="false">D220-C220</f>
        <v>-1</v>
      </c>
      <c r="F220" s="10" t="n">
        <f aca="false">IF(C220=0,"מוצר חדש",(D220-C220)/C220)</f>
        <v>-0.333333333333333</v>
      </c>
    </row>
    <row r="221" customFormat="false" ht="15" hidden="false" customHeight="true" outlineLevel="0" collapsed="false">
      <c r="A221" s="7" t="n">
        <v>88476</v>
      </c>
      <c r="B221" s="7" t="s">
        <v>224</v>
      </c>
      <c r="C221" s="8" t="n">
        <f aca="false">SUMIF('מקור-01'!$A:$A,$A221,'מקור-01'!$C:$C)+SUMIF('מקור-02'!$A:$A,$A221,'מקור-02'!$C:$C)+SUMIF('מקור-03'!$A:$A,$A221,'מקור-03'!$C:$C)+SUMIF('מקור-04'!$A:$A,$A221,'מקור-04'!$C:$C)+SUMIF('מקור-05'!$A:$A,$A221,'מקור-05'!$C:$C)+SUMIF('מקור-06'!$A:$A,$A221,'מקור-06'!$C:$C)+SUMIF('מקור-07'!$A:$A,$A221,'מקור-07'!$C:$C)</f>
        <v>37</v>
      </c>
      <c r="D221" s="8" t="n">
        <f aca="false">SUMIF('מקור-01'!$A:$A,$A221,'מקור-01'!$D:$D)+SUMIF('מקור-02'!$A:$A,$A221,'מקור-02'!$D:$D)+SUMIF('מקור-03'!$A:$A,$A221,'מקור-03'!$D:$D)+SUMIF('מקור-04'!$A:$A,$A221,'מקור-04'!$D:$D)+SUMIF('מקור-05'!$A:$A,$A221,'מקור-05'!$D:$D)+SUMIF('מקור-06'!$A:$A,$A221,'מקור-06'!$D:$D)+SUMIF('מקור-07'!$A:$A,$A221,'מקור-07'!$D:$D)</f>
        <v>29</v>
      </c>
      <c r="E221" s="9" t="n">
        <f aca="false">D221-C221</f>
        <v>-8</v>
      </c>
      <c r="F221" s="10" t="n">
        <f aca="false">IF(C221=0,"מוצר חדש",(D221-C221)/C221)</f>
        <v>-0.216216216216216</v>
      </c>
    </row>
    <row r="222" customFormat="false" ht="15" hidden="false" customHeight="true" outlineLevel="0" collapsed="false">
      <c r="A222" s="7" t="n">
        <v>88477</v>
      </c>
      <c r="B222" s="7" t="s">
        <v>225</v>
      </c>
      <c r="C222" s="8" t="n">
        <f aca="false">SUMIF('מקור-01'!$A:$A,$A222,'מקור-01'!$C:$C)+SUMIF('מקור-02'!$A:$A,$A222,'מקור-02'!$C:$C)+SUMIF('מקור-03'!$A:$A,$A222,'מקור-03'!$C:$C)+SUMIF('מקור-04'!$A:$A,$A222,'מקור-04'!$C:$C)+SUMIF('מקור-05'!$A:$A,$A222,'מקור-05'!$C:$C)+SUMIF('מקור-06'!$A:$A,$A222,'מקור-06'!$C:$C)+SUMIF('מקור-07'!$A:$A,$A222,'מקור-07'!$C:$C)</f>
        <v>32</v>
      </c>
      <c r="D222" s="8" t="n">
        <f aca="false">SUMIF('מקור-01'!$A:$A,$A222,'מקור-01'!$D:$D)+SUMIF('מקור-02'!$A:$A,$A222,'מקור-02'!$D:$D)+SUMIF('מקור-03'!$A:$A,$A222,'מקור-03'!$D:$D)+SUMIF('מקור-04'!$A:$A,$A222,'מקור-04'!$D:$D)+SUMIF('מקור-05'!$A:$A,$A222,'מקור-05'!$D:$D)+SUMIF('מקור-06'!$A:$A,$A222,'מקור-06'!$D:$D)+SUMIF('מקור-07'!$A:$A,$A222,'מקור-07'!$D:$D)</f>
        <v>22</v>
      </c>
      <c r="E222" s="9" t="n">
        <f aca="false">D222-C222</f>
        <v>-10</v>
      </c>
      <c r="F222" s="10" t="n">
        <f aca="false">IF(C222=0,"מוצר חדש",(D222-C222)/C222)</f>
        <v>-0.3125</v>
      </c>
    </row>
    <row r="223" customFormat="false" ht="15" hidden="false" customHeight="true" outlineLevel="0" collapsed="false">
      <c r="A223" s="7" t="n">
        <v>88479</v>
      </c>
      <c r="B223" s="7" t="s">
        <v>226</v>
      </c>
      <c r="C223" s="8" t="n">
        <f aca="false">SUMIF('מקור-01'!$A:$A,$A223,'מקור-01'!$C:$C)+SUMIF('מקור-02'!$A:$A,$A223,'מקור-02'!$C:$C)+SUMIF('מקור-03'!$A:$A,$A223,'מקור-03'!$C:$C)+SUMIF('מקור-04'!$A:$A,$A223,'מקור-04'!$C:$C)+SUMIF('מקור-05'!$A:$A,$A223,'מקור-05'!$C:$C)+SUMIF('מקור-06'!$A:$A,$A223,'מקור-06'!$C:$C)+SUMIF('מקור-07'!$A:$A,$A223,'מקור-07'!$C:$C)</f>
        <v>1</v>
      </c>
      <c r="D223" s="8" t="n">
        <f aca="false">SUMIF('מקור-01'!$A:$A,$A223,'מקור-01'!$D:$D)+SUMIF('מקור-02'!$A:$A,$A223,'מקור-02'!$D:$D)+SUMIF('מקור-03'!$A:$A,$A223,'מקור-03'!$D:$D)+SUMIF('מקור-04'!$A:$A,$A223,'מקור-04'!$D:$D)+SUMIF('מקור-05'!$A:$A,$A223,'מקור-05'!$D:$D)+SUMIF('מקור-06'!$A:$A,$A223,'מקור-06'!$D:$D)+SUMIF('מקור-07'!$A:$A,$A223,'מקור-07'!$D:$D)</f>
        <v>2</v>
      </c>
      <c r="E223" s="9" t="n">
        <f aca="false">D223-C223</f>
        <v>1</v>
      </c>
      <c r="F223" s="10" t="n">
        <f aca="false">IF(C223=0,"מוצר חדש",(D223-C223)/C223)</f>
        <v>1</v>
      </c>
    </row>
    <row r="224" customFormat="false" ht="15" hidden="false" customHeight="true" outlineLevel="0" collapsed="false">
      <c r="A224" s="7" t="n">
        <v>88480</v>
      </c>
      <c r="B224" s="7" t="s">
        <v>227</v>
      </c>
      <c r="C224" s="8" t="n">
        <f aca="false">SUMIF('מקור-01'!$A:$A,$A224,'מקור-01'!$C:$C)+SUMIF('מקור-02'!$A:$A,$A224,'מקור-02'!$C:$C)+SUMIF('מקור-03'!$A:$A,$A224,'מקור-03'!$C:$C)+SUMIF('מקור-04'!$A:$A,$A224,'מקור-04'!$C:$C)+SUMIF('מקור-05'!$A:$A,$A224,'מקור-05'!$C:$C)+SUMIF('מקור-06'!$A:$A,$A224,'מקור-06'!$C:$C)+SUMIF('מקור-07'!$A:$A,$A224,'מקור-07'!$C:$C)</f>
        <v>1</v>
      </c>
      <c r="D224" s="8" t="n">
        <f aca="false">SUMIF('מקור-01'!$A:$A,$A224,'מקור-01'!$D:$D)+SUMIF('מקור-02'!$A:$A,$A224,'מקור-02'!$D:$D)+SUMIF('מקור-03'!$A:$A,$A224,'מקור-03'!$D:$D)+SUMIF('מקור-04'!$A:$A,$A224,'מקור-04'!$D:$D)+SUMIF('מקור-05'!$A:$A,$A224,'מקור-05'!$D:$D)+SUMIF('מקור-06'!$A:$A,$A224,'מקור-06'!$D:$D)+SUMIF('מקור-07'!$A:$A,$A224,'מקור-07'!$D:$D)</f>
        <v>3</v>
      </c>
      <c r="E224" s="9" t="n">
        <f aca="false">D224-C224</f>
        <v>2</v>
      </c>
      <c r="F224" s="10" t="n">
        <f aca="false">IF(C224=0,"מוצר חדש",(D224-C224)/C224)</f>
        <v>2</v>
      </c>
    </row>
    <row r="225" customFormat="false" ht="15" hidden="false" customHeight="true" outlineLevel="0" collapsed="false">
      <c r="A225" s="7" t="n">
        <v>28937</v>
      </c>
      <c r="B225" s="7" t="s">
        <v>228</v>
      </c>
      <c r="C225" s="8" t="n">
        <f aca="false">SUMIF('מקור-01'!$A:$A,$A225,'מקור-01'!$C:$C)+SUMIF('מקור-02'!$A:$A,$A225,'מקור-02'!$C:$C)+SUMIF('מקור-03'!$A:$A,$A225,'מקור-03'!$C:$C)+SUMIF('מקור-04'!$A:$A,$A225,'מקור-04'!$C:$C)+SUMIF('מקור-05'!$A:$A,$A225,'מקור-05'!$C:$C)+SUMIF('מקור-06'!$A:$A,$A225,'מקור-06'!$C:$C)+SUMIF('מקור-07'!$A:$A,$A225,'מקור-07'!$C:$C)</f>
        <v>0</v>
      </c>
      <c r="D225" s="8" t="n">
        <f aca="false">SUMIF('מקור-01'!$A:$A,$A225,'מקור-01'!$D:$D)+SUMIF('מקור-02'!$A:$A,$A225,'מקור-02'!$D:$D)+SUMIF('מקור-03'!$A:$A,$A225,'מקור-03'!$D:$D)+SUMIF('מקור-04'!$A:$A,$A225,'מקור-04'!$D:$D)+SUMIF('מקור-05'!$A:$A,$A225,'מקור-05'!$D:$D)+SUMIF('מקור-06'!$A:$A,$A225,'מקור-06'!$D:$D)+SUMIF('מקור-07'!$A:$A,$A225,'מקור-07'!$D:$D)</f>
        <v>1</v>
      </c>
      <c r="E225" s="9" t="n">
        <f aca="false">D225-C225</f>
        <v>1</v>
      </c>
      <c r="F225" s="10" t="str">
        <f aca="false">IF(C225=0,"מוצר חדש",(D225-C225)/C225)</f>
        <v>מוצר חדש</v>
      </c>
    </row>
    <row r="226" customFormat="false" ht="15" hidden="false" customHeight="true" outlineLevel="0" collapsed="false">
      <c r="A226" s="7" t="n">
        <v>33829</v>
      </c>
      <c r="B226" s="7" t="s">
        <v>229</v>
      </c>
      <c r="C226" s="8" t="n">
        <f aca="false">SUMIF('מקור-01'!$A:$A,$A226,'מקור-01'!$C:$C)+SUMIF('מקור-02'!$A:$A,$A226,'מקור-02'!$C:$C)+SUMIF('מקור-03'!$A:$A,$A226,'מקור-03'!$C:$C)+SUMIF('מקור-04'!$A:$A,$A226,'מקור-04'!$C:$C)+SUMIF('מקור-05'!$A:$A,$A226,'מקור-05'!$C:$C)+SUMIF('מקור-06'!$A:$A,$A226,'מקור-06'!$C:$C)+SUMIF('מקור-07'!$A:$A,$A226,'מקור-07'!$C:$C)</f>
        <v>0</v>
      </c>
      <c r="D226" s="8" t="n">
        <f aca="false">SUMIF('מקור-01'!$A:$A,$A226,'מקור-01'!$D:$D)+SUMIF('מקור-02'!$A:$A,$A226,'מקור-02'!$D:$D)+SUMIF('מקור-03'!$A:$A,$A226,'מקור-03'!$D:$D)+SUMIF('מקור-04'!$A:$A,$A226,'מקור-04'!$D:$D)+SUMIF('מקור-05'!$A:$A,$A226,'מקור-05'!$D:$D)+SUMIF('מקור-06'!$A:$A,$A226,'מקור-06'!$D:$D)+SUMIF('מקור-07'!$A:$A,$A226,'מקור-07'!$D:$D)</f>
        <v>1</v>
      </c>
      <c r="E226" s="9" t="n">
        <f aca="false">D226-C226</f>
        <v>1</v>
      </c>
      <c r="F226" s="10" t="str">
        <f aca="false">IF(C226=0,"מוצר חדש",(D226-C226)/C226)</f>
        <v>מוצר חדש</v>
      </c>
    </row>
    <row r="227" customFormat="false" ht="15" hidden="false" customHeight="true" outlineLevel="0" collapsed="false">
      <c r="A227" s="7" t="n">
        <v>37229</v>
      </c>
      <c r="B227" s="7" t="s">
        <v>230</v>
      </c>
      <c r="C227" s="8" t="n">
        <f aca="false">SUMIF('מקור-01'!$A:$A,$A227,'מקור-01'!$C:$C)+SUMIF('מקור-02'!$A:$A,$A227,'מקור-02'!$C:$C)+SUMIF('מקור-03'!$A:$A,$A227,'מקור-03'!$C:$C)+SUMIF('מקור-04'!$A:$A,$A227,'מקור-04'!$C:$C)+SUMIF('מקור-05'!$A:$A,$A227,'מקור-05'!$C:$C)+SUMIF('מקור-06'!$A:$A,$A227,'מקור-06'!$C:$C)+SUMIF('מקור-07'!$A:$A,$A227,'מקור-07'!$C:$C)</f>
        <v>1</v>
      </c>
      <c r="D227" s="8" t="n">
        <f aca="false">SUMIF('מקור-01'!$A:$A,$A227,'מקור-01'!$D:$D)+SUMIF('מקור-02'!$A:$A,$A227,'מקור-02'!$D:$D)+SUMIF('מקור-03'!$A:$A,$A227,'מקור-03'!$D:$D)+SUMIF('מקור-04'!$A:$A,$A227,'מקור-04'!$D:$D)+SUMIF('מקור-05'!$A:$A,$A227,'מקור-05'!$D:$D)+SUMIF('מקור-06'!$A:$A,$A227,'מקור-06'!$D:$D)+SUMIF('מקור-07'!$A:$A,$A227,'מקור-07'!$D:$D)</f>
        <v>0</v>
      </c>
      <c r="E227" s="9" t="n">
        <f aca="false">D227-C227</f>
        <v>-1</v>
      </c>
      <c r="F227" s="10" t="n">
        <f aca="false">IF(C227=0,"מוצר חדש",(D227-C227)/C227)</f>
        <v>-1</v>
      </c>
    </row>
    <row r="228" customFormat="false" ht="15" hidden="false" customHeight="true" outlineLevel="0" collapsed="false">
      <c r="A228" s="7" t="n">
        <v>37498</v>
      </c>
      <c r="B228" s="7" t="s">
        <v>231</v>
      </c>
      <c r="C228" s="8" t="n">
        <f aca="false">SUMIF('מקור-01'!$A:$A,$A228,'מקור-01'!$C:$C)+SUMIF('מקור-02'!$A:$A,$A228,'מקור-02'!$C:$C)+SUMIF('מקור-03'!$A:$A,$A228,'מקור-03'!$C:$C)+SUMIF('מקור-04'!$A:$A,$A228,'מקור-04'!$C:$C)+SUMIF('מקור-05'!$A:$A,$A228,'מקור-05'!$C:$C)+SUMIF('מקור-06'!$A:$A,$A228,'מקור-06'!$C:$C)+SUMIF('מקור-07'!$A:$A,$A228,'מקור-07'!$C:$C)</f>
        <v>0</v>
      </c>
      <c r="D228" s="8" t="n">
        <f aca="false">SUMIF('מקור-01'!$A:$A,$A228,'מקור-01'!$D:$D)+SUMIF('מקור-02'!$A:$A,$A228,'מקור-02'!$D:$D)+SUMIF('מקור-03'!$A:$A,$A228,'מקור-03'!$D:$D)+SUMIF('מקור-04'!$A:$A,$A228,'מקור-04'!$D:$D)+SUMIF('מקור-05'!$A:$A,$A228,'מקור-05'!$D:$D)+SUMIF('מקור-06'!$A:$A,$A228,'מקור-06'!$D:$D)+SUMIF('מקור-07'!$A:$A,$A228,'מקור-07'!$D:$D)</f>
        <v>1</v>
      </c>
      <c r="E228" s="9" t="n">
        <f aca="false">D228-C228</f>
        <v>1</v>
      </c>
      <c r="F228" s="10" t="str">
        <f aca="false">IF(C228=0,"מוצר חדש",(D228-C228)/C228)</f>
        <v>מוצר חדש</v>
      </c>
    </row>
    <row r="229" customFormat="false" ht="15" hidden="false" customHeight="true" outlineLevel="0" collapsed="false">
      <c r="A229" s="7" t="n">
        <v>43248</v>
      </c>
      <c r="B229" s="7" t="s">
        <v>232</v>
      </c>
      <c r="C229" s="8" t="n">
        <f aca="false">SUMIF('מקור-01'!$A:$A,$A229,'מקור-01'!$C:$C)+SUMIF('מקור-02'!$A:$A,$A229,'מקור-02'!$C:$C)+SUMIF('מקור-03'!$A:$A,$A229,'מקור-03'!$C:$C)+SUMIF('מקור-04'!$A:$A,$A229,'מקור-04'!$C:$C)+SUMIF('מקור-05'!$A:$A,$A229,'מקור-05'!$C:$C)+SUMIF('מקור-06'!$A:$A,$A229,'מקור-06'!$C:$C)+SUMIF('מקור-07'!$A:$A,$A229,'מקור-07'!$C:$C)</f>
        <v>0</v>
      </c>
      <c r="D229" s="8" t="n">
        <f aca="false">SUMIF('מקור-01'!$A:$A,$A229,'מקור-01'!$D:$D)+SUMIF('מקור-02'!$A:$A,$A229,'מקור-02'!$D:$D)+SUMIF('מקור-03'!$A:$A,$A229,'מקור-03'!$D:$D)+SUMIF('מקור-04'!$A:$A,$A229,'מקור-04'!$D:$D)+SUMIF('מקור-05'!$A:$A,$A229,'מקור-05'!$D:$D)+SUMIF('מקור-06'!$A:$A,$A229,'מקור-06'!$D:$D)+SUMIF('מקור-07'!$A:$A,$A229,'מקור-07'!$D:$D)</f>
        <v>19</v>
      </c>
      <c r="E229" s="9" t="n">
        <f aca="false">D229-C229</f>
        <v>19</v>
      </c>
      <c r="F229" s="10" t="str">
        <f aca="false">IF(C229=0,"מוצר חדש",(D229-C229)/C229)</f>
        <v>מוצר חדש</v>
      </c>
    </row>
    <row r="230" customFormat="false" ht="15" hidden="false" customHeight="true" outlineLevel="0" collapsed="false">
      <c r="A230" s="7" t="n">
        <v>43454</v>
      </c>
      <c r="B230" s="7" t="s">
        <v>233</v>
      </c>
      <c r="C230" s="8" t="n">
        <f aca="false">SUMIF('מקור-01'!$A:$A,$A230,'מקור-01'!$C:$C)+SUMIF('מקור-02'!$A:$A,$A230,'מקור-02'!$C:$C)+SUMIF('מקור-03'!$A:$A,$A230,'מקור-03'!$C:$C)+SUMIF('מקור-04'!$A:$A,$A230,'מקור-04'!$C:$C)+SUMIF('מקור-05'!$A:$A,$A230,'מקור-05'!$C:$C)+SUMIF('מקור-06'!$A:$A,$A230,'מקור-06'!$C:$C)+SUMIF('מקור-07'!$A:$A,$A230,'מקור-07'!$C:$C)</f>
        <v>0</v>
      </c>
      <c r="D230" s="8" t="n">
        <f aca="false">SUMIF('מקור-01'!$A:$A,$A230,'מקור-01'!$D:$D)+SUMIF('מקור-02'!$A:$A,$A230,'מקור-02'!$D:$D)+SUMIF('מקור-03'!$A:$A,$A230,'מקור-03'!$D:$D)+SUMIF('מקור-04'!$A:$A,$A230,'מקור-04'!$D:$D)+SUMIF('מקור-05'!$A:$A,$A230,'מקור-05'!$D:$D)+SUMIF('מקור-06'!$A:$A,$A230,'מקור-06'!$D:$D)+SUMIF('מקור-07'!$A:$A,$A230,'מקור-07'!$D:$D)</f>
        <v>1</v>
      </c>
      <c r="E230" s="9" t="n">
        <f aca="false">D230-C230</f>
        <v>1</v>
      </c>
      <c r="F230" s="10" t="str">
        <f aca="false">IF(C230=0,"מוצר חדש",(D230-C230)/C230)</f>
        <v>מוצר חדש</v>
      </c>
    </row>
    <row r="231" customFormat="false" ht="15" hidden="false" customHeight="true" outlineLevel="0" collapsed="false">
      <c r="A231" s="7" t="n">
        <v>46308</v>
      </c>
      <c r="B231" s="7" t="s">
        <v>234</v>
      </c>
      <c r="C231" s="8" t="n">
        <f aca="false">SUMIF('מקור-01'!$A:$A,$A231,'מקור-01'!$C:$C)+SUMIF('מקור-02'!$A:$A,$A231,'מקור-02'!$C:$C)+SUMIF('מקור-03'!$A:$A,$A231,'מקור-03'!$C:$C)+SUMIF('מקור-04'!$A:$A,$A231,'מקור-04'!$C:$C)+SUMIF('מקור-05'!$A:$A,$A231,'מקור-05'!$C:$C)+SUMIF('מקור-06'!$A:$A,$A231,'מקור-06'!$C:$C)+SUMIF('מקור-07'!$A:$A,$A231,'מקור-07'!$C:$C)</f>
        <v>1</v>
      </c>
      <c r="D231" s="8" t="n">
        <f aca="false">SUMIF('מקור-01'!$A:$A,$A231,'מקור-01'!$D:$D)+SUMIF('מקור-02'!$A:$A,$A231,'מקור-02'!$D:$D)+SUMIF('מקור-03'!$A:$A,$A231,'מקור-03'!$D:$D)+SUMIF('מקור-04'!$A:$A,$A231,'מקור-04'!$D:$D)+SUMIF('מקור-05'!$A:$A,$A231,'מקור-05'!$D:$D)+SUMIF('מקור-06'!$A:$A,$A231,'מקור-06'!$D:$D)+SUMIF('מקור-07'!$A:$A,$A231,'מקור-07'!$D:$D)</f>
        <v>2</v>
      </c>
      <c r="E231" s="9" t="n">
        <f aca="false">D231-C231</f>
        <v>1</v>
      </c>
      <c r="F231" s="10" t="n">
        <f aca="false">IF(C231=0,"מוצר חדש",(D231-C231)/C231)</f>
        <v>1</v>
      </c>
    </row>
    <row r="232" customFormat="false" ht="15" hidden="false" customHeight="true" outlineLevel="0" collapsed="false">
      <c r="A232" s="7" t="n">
        <v>67927</v>
      </c>
      <c r="B232" s="7" t="s">
        <v>235</v>
      </c>
      <c r="C232" s="8" t="n">
        <f aca="false">SUMIF('מקור-01'!$A:$A,$A232,'מקור-01'!$C:$C)+SUMIF('מקור-02'!$A:$A,$A232,'מקור-02'!$C:$C)+SUMIF('מקור-03'!$A:$A,$A232,'מקור-03'!$C:$C)+SUMIF('מקור-04'!$A:$A,$A232,'מקור-04'!$C:$C)+SUMIF('מקור-05'!$A:$A,$A232,'מקור-05'!$C:$C)+SUMIF('מקור-06'!$A:$A,$A232,'מקור-06'!$C:$C)+SUMIF('מקור-07'!$A:$A,$A232,'מקור-07'!$C:$C)</f>
        <v>0</v>
      </c>
      <c r="D232" s="8" t="n">
        <f aca="false">SUMIF('מקור-01'!$A:$A,$A232,'מקור-01'!$D:$D)+SUMIF('מקור-02'!$A:$A,$A232,'מקור-02'!$D:$D)+SUMIF('מקור-03'!$A:$A,$A232,'מקור-03'!$D:$D)+SUMIF('מקור-04'!$A:$A,$A232,'מקור-04'!$D:$D)+SUMIF('מקור-05'!$A:$A,$A232,'מקור-05'!$D:$D)+SUMIF('מקור-06'!$A:$A,$A232,'מקור-06'!$D:$D)+SUMIF('מקור-07'!$A:$A,$A232,'מקור-07'!$D:$D)</f>
        <v>1</v>
      </c>
      <c r="E232" s="9" t="n">
        <f aca="false">D232-C232</f>
        <v>1</v>
      </c>
      <c r="F232" s="10" t="str">
        <f aca="false">IF(C232=0,"מוצר חדש",(D232-C232)/C232)</f>
        <v>מוצר חדש</v>
      </c>
    </row>
    <row r="233" customFormat="false" ht="15" hidden="false" customHeight="true" outlineLevel="0" collapsed="false">
      <c r="A233" s="7" t="n">
        <v>88478</v>
      </c>
      <c r="B233" s="7" t="s">
        <v>236</v>
      </c>
      <c r="C233" s="8" t="n">
        <f aca="false">SUMIF('מקור-01'!$A:$A,$A233,'מקור-01'!$C:$C)+SUMIF('מקור-02'!$A:$A,$A233,'מקור-02'!$C:$C)+SUMIF('מקור-03'!$A:$A,$A233,'מקור-03'!$C:$C)+SUMIF('מקור-04'!$A:$A,$A233,'מקור-04'!$C:$C)+SUMIF('מקור-05'!$A:$A,$A233,'מקור-05'!$C:$C)+SUMIF('מקור-06'!$A:$A,$A233,'מקור-06'!$C:$C)+SUMIF('מקור-07'!$A:$A,$A233,'מקור-07'!$C:$C)</f>
        <v>2</v>
      </c>
      <c r="D233" s="8" t="n">
        <f aca="false">SUMIF('מקור-01'!$A:$A,$A233,'מקור-01'!$D:$D)+SUMIF('מקור-02'!$A:$A,$A233,'מקור-02'!$D:$D)+SUMIF('מקור-03'!$A:$A,$A233,'מקור-03'!$D:$D)+SUMIF('מקור-04'!$A:$A,$A233,'מקור-04'!$D:$D)+SUMIF('מקור-05'!$A:$A,$A233,'מקור-05'!$D:$D)+SUMIF('מקור-06'!$A:$A,$A233,'מקור-06'!$D:$D)+SUMIF('מקור-07'!$A:$A,$A233,'מקור-07'!$D:$D)</f>
        <v>0</v>
      </c>
      <c r="E233" s="9" t="n">
        <f aca="false">D233-C233</f>
        <v>-2</v>
      </c>
      <c r="F233" s="10" t="n">
        <f aca="false">IF(C233=0,"מוצר חדש",(D233-C233)/C233)</f>
        <v>-1</v>
      </c>
    </row>
    <row r="234" customFormat="false" ht="15" hidden="false" customHeight="true" outlineLevel="0" collapsed="false">
      <c r="A234" s="11" t="s">
        <v>237</v>
      </c>
      <c r="B234" s="11"/>
      <c r="C234" s="12" t="n">
        <f aca="false">SUM(C6:C233)</f>
        <v>14701</v>
      </c>
      <c r="D234" s="12" t="n">
        <f aca="false">SUM(D6:D233)</f>
        <v>15115</v>
      </c>
      <c r="E234" s="13" t="n">
        <f aca="false">D234-C234</f>
        <v>414</v>
      </c>
      <c r="F234" s="14" t="n">
        <f aca="false">IF(C234=0,"",(D234-C234)/C234)</f>
        <v>0.0281613495680566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34"/>
    <col collapsed="false" customWidth="true" hidden="false" outlineLevel="0" max="5" min="4" style="1" width="18"/>
  </cols>
  <sheetData>
    <row r="1" customFormat="false" ht="16.5" hidden="false" customHeight="true" outlineLevel="0" collapsed="false">
      <c r="A1" s="2" t="s">
        <v>238</v>
      </c>
    </row>
    <row r="3" customFormat="false" ht="15" hidden="false" customHeight="true" outlineLevel="0" collapsed="false">
      <c r="A3" s="15" t="s">
        <v>239</v>
      </c>
      <c r="B3" s="15" t="s">
        <v>3</v>
      </c>
      <c r="C3" s="15" t="s">
        <v>4</v>
      </c>
      <c r="D3" s="15" t="s">
        <v>5</v>
      </c>
      <c r="E3" s="15" t="s">
        <v>6</v>
      </c>
    </row>
    <row r="4" customFormat="false" ht="15" hidden="false" customHeight="true" outlineLevel="0" collapsed="false">
      <c r="A4" s="7" t="n">
        <v>1</v>
      </c>
      <c r="B4" s="7" t="n">
        <f aca="false">'השוואה כוללת'!A65</f>
        <v>51567</v>
      </c>
      <c r="C4" s="7" t="str">
        <f aca="false">'השוואה כוללת'!B65</f>
        <v>                                   1 סד יד דו צדדי</v>
      </c>
      <c r="D4" s="8" t="n">
        <f aca="false">'השוואה כוללת'!C65</f>
        <v>972</v>
      </c>
      <c r="E4" s="8" t="n">
        <f aca="false">'השוואה כוללת'!D65</f>
        <v>953</v>
      </c>
    </row>
    <row r="5" customFormat="false" ht="15" hidden="false" customHeight="true" outlineLevel="0" collapsed="false">
      <c r="A5" s="7" t="n">
        <v>2</v>
      </c>
      <c r="B5" s="7" t="n">
        <f aca="false">'השוואה כוללת'!A213</f>
        <v>83668</v>
      </c>
      <c r="C5" s="7" t="str">
        <f aca="false">'השוואה כוללת'!B213</f>
        <v>URI FC335    1 טלק לכף הרגל</v>
      </c>
      <c r="D5" s="8" t="n">
        <f aca="false">'השוואה כוללת'!C213</f>
        <v>773</v>
      </c>
      <c r="E5" s="8" t="n">
        <f aca="false">'השוואה כוללת'!D213</f>
        <v>462</v>
      </c>
    </row>
    <row r="6" customFormat="false" ht="15" hidden="false" customHeight="true" outlineLevel="0" collapsed="false">
      <c r="A6" s="7" t="n">
        <v>3</v>
      </c>
      <c r="B6" s="7" t="n">
        <f aca="false">'השוואה כוללת'!A150</f>
        <v>71204</v>
      </c>
      <c r="C6" s="7" t="str">
        <f aca="false">'השוואה כוללת'!B150</f>
        <v>URI 3655   1 שרוול מסיליקון</v>
      </c>
      <c r="D6" s="8" t="n">
        <f aca="false">'השוואה כוללת'!C150</f>
        <v>654</v>
      </c>
      <c r="E6" s="8" t="n">
        <f aca="false">'השוואה כוללת'!D150</f>
        <v>561</v>
      </c>
    </row>
    <row r="7" customFormat="false" ht="15" hidden="false" customHeight="true" outlineLevel="0" collapsed="false">
      <c r="A7" s="7" t="n">
        <v>4</v>
      </c>
      <c r="B7" s="7" t="n">
        <f aca="false">'השוואה כוללת'!A84</f>
        <v>59679</v>
      </c>
      <c r="C7" s="7" t="str">
        <f aca="false">'השוואה כוללת'!B84</f>
        <v>URI 364 S M 1</v>
      </c>
      <c r="D7" s="8" t="n">
        <f aca="false">'השוואה כוללת'!C84</f>
        <v>397</v>
      </c>
      <c r="E7" s="8" t="n">
        <f aca="false">'השוואה כוללת'!D84</f>
        <v>329</v>
      </c>
    </row>
    <row r="8" customFormat="false" ht="15" hidden="false" customHeight="true" outlineLevel="0" collapsed="false">
      <c r="A8" s="7" t="n">
        <v>5</v>
      </c>
      <c r="B8" s="7" t="n">
        <f aca="false">'השוואה כוללת'!A98</f>
        <v>63360</v>
      </c>
      <c r="C8" s="7" t="str">
        <f aca="false">'השוואה כוללת'!B98</f>
        <v>URI 45 L          1 מגן ברךBOX</v>
      </c>
      <c r="D8" s="8" t="n">
        <f aca="false">'השוואה כוללת'!C98</f>
        <v>338</v>
      </c>
      <c r="E8" s="8" t="n">
        <f aca="false">'השוואה כוללת'!D98</f>
        <v>318</v>
      </c>
    </row>
    <row r="9" customFormat="false" ht="15" hidden="false" customHeight="true" outlineLevel="0" collapsed="false">
      <c r="A9" s="7" t="n">
        <v>6</v>
      </c>
      <c r="B9" s="7" t="n">
        <f aca="false">'השוואה כוללת'!A30</f>
        <v>24612</v>
      </c>
      <c r="C9" s="7" t="str">
        <f aca="false">'השוואה כוללת'!B30</f>
        <v>URI AC28        1 סד לאגודל</v>
      </c>
      <c r="D9" s="8" t="n">
        <f aca="false">'השוואה כוללת'!C30</f>
        <v>328</v>
      </c>
      <c r="E9" s="8" t="n">
        <f aca="false">'השוואה כוללת'!D30</f>
        <v>255</v>
      </c>
    </row>
    <row r="10" customFormat="false" ht="15" hidden="false" customHeight="true" outlineLevel="0" collapsed="false">
      <c r="A10" s="7" t="n">
        <v>7</v>
      </c>
      <c r="B10" s="7" t="n">
        <f aca="false">'השוואה כוללת'!A45</f>
        <v>31188</v>
      </c>
      <c r="C10" s="7" t="str">
        <f aca="false">'השוואה כוללת'!B45</f>
        <v>URI 372    1 רפידת אנטי ריח</v>
      </c>
      <c r="D10" s="8" t="n">
        <f aca="false">'השוואה כוללת'!C45</f>
        <v>326</v>
      </c>
      <c r="E10" s="8" t="n">
        <f aca="false">'השוואה כוללת'!D45</f>
        <v>311</v>
      </c>
    </row>
    <row r="11" customFormat="false" ht="15" hidden="false" customHeight="true" outlineLevel="0" collapsed="false">
      <c r="A11" s="7" t="n">
        <v>8</v>
      </c>
      <c r="B11" s="7" t="n">
        <f aca="false">'השוואה כוללת'!A66</f>
        <v>51568</v>
      </c>
      <c r="C11" s="7" t="str">
        <f aca="false">'השוואה כוללת'!B66</f>
        <v>                                       1 סד לאגודל</v>
      </c>
      <c r="D11" s="8" t="n">
        <f aca="false">'השוואה כוללת'!C66</f>
        <v>316</v>
      </c>
      <c r="E11" s="8" t="n">
        <f aca="false">'השוואה כוללת'!D66</f>
        <v>415</v>
      </c>
    </row>
    <row r="12" customFormat="false" ht="15" hidden="false" customHeight="true" outlineLevel="0" collapsed="false">
      <c r="A12" s="7" t="n">
        <v>9</v>
      </c>
      <c r="B12" s="7" t="n">
        <f aca="false">'השוואה כוללת'!A97</f>
        <v>63359</v>
      </c>
      <c r="C12" s="7" t="str">
        <f aca="false">'השוואה כוללת'!B97</f>
        <v>URI 45 M          1 מגן ברך</v>
      </c>
      <c r="D12" s="8" t="n">
        <f aca="false">'השוואה כוללת'!C97</f>
        <v>276</v>
      </c>
      <c r="E12" s="8" t="n">
        <f aca="false">'השוואה כוללת'!D97</f>
        <v>262</v>
      </c>
    </row>
    <row r="13" customFormat="false" ht="15" hidden="false" customHeight="true" outlineLevel="0" collapsed="false">
      <c r="A13" s="7" t="n">
        <v>10</v>
      </c>
      <c r="B13" s="7" t="n">
        <f aca="false">'השוואה כוללת'!A162</f>
        <v>74709</v>
      </c>
      <c r="C13" s="7" t="str">
        <f aca="false">'השוואה כוללת'!B162</f>
        <v>URI 21 M      1 חבק יד ארוך</v>
      </c>
      <c r="D13" s="8" t="n">
        <f aca="false">'השוואה כוללת'!C162</f>
        <v>250</v>
      </c>
      <c r="E13" s="8" t="n">
        <f aca="false">'השוואה כוללת'!D162</f>
        <v>233</v>
      </c>
    </row>
    <row r="14" customFormat="false" ht="15" hidden="false" customHeight="true" outlineLevel="0" collapsed="false">
      <c r="A14" s="7" t="n">
        <v>11</v>
      </c>
      <c r="B14" s="7" t="n">
        <f aca="false">'השוואה כוללת'!A87</f>
        <v>60472</v>
      </c>
      <c r="C14" s="7" t="str">
        <f aca="false">'השוואה כוללת'!B87</f>
        <v>URI PD340  1 קוצץ ציפורניים</v>
      </c>
      <c r="D14" s="8" t="n">
        <f aca="false">'השוואה כוללת'!C87</f>
        <v>237</v>
      </c>
      <c r="E14" s="8" t="n">
        <f aca="false">'השוואה כוללת'!D87</f>
        <v>275</v>
      </c>
    </row>
    <row r="15" customFormat="false" ht="15" hidden="false" customHeight="true" outlineLevel="0" collapsed="false">
      <c r="A15" s="7" t="n">
        <v>12</v>
      </c>
      <c r="B15" s="7" t="n">
        <f aca="false">'השוואה כוללת'!A135</f>
        <v>67385</v>
      </c>
      <c r="C15" s="7" t="str">
        <f aca="false">'השוואה כוללת'!B135</f>
        <v>URI 302M 0  1 מדרס ג'ל לגבר</v>
      </c>
      <c r="D15" s="8" t="n">
        <f aca="false">'השוואה כוללת'!C135</f>
        <v>231</v>
      </c>
      <c r="E15" s="8" t="n">
        <f aca="false">'השוואה כוללת'!D135</f>
        <v>105</v>
      </c>
    </row>
    <row r="16" customFormat="false" ht="15" hidden="false" customHeight="true" outlineLevel="0" collapsed="false">
      <c r="A16" s="7" t="n">
        <v>13</v>
      </c>
      <c r="B16" s="7" t="n">
        <f aca="false">'השוואה כוללת'!A85</f>
        <v>59694</v>
      </c>
      <c r="C16" s="7" t="str">
        <f aca="false">'השוואה כוללת'!B85</f>
        <v>URI 365 S-L   1 טבעת אלסטית</v>
      </c>
      <c r="D16" s="8" t="n">
        <f aca="false">'השוואה כוללת'!C85</f>
        <v>228</v>
      </c>
      <c r="E16" s="8" t="n">
        <f aca="false">'השוואה כוללת'!D85</f>
        <v>209</v>
      </c>
    </row>
    <row r="17" customFormat="false" ht="15" hidden="false" customHeight="true" outlineLevel="0" collapsed="false">
      <c r="A17" s="7" t="n">
        <v>14</v>
      </c>
      <c r="B17" s="7" t="n">
        <f aca="false">'השוואה כוללת'!A167</f>
        <v>74799</v>
      </c>
      <c r="C17" s="7" t="str">
        <f aca="false">'השוואה כוללת'!B167</f>
        <v>URI 45E L1 מגן ברך ארוך לבן</v>
      </c>
      <c r="D17" s="8" t="n">
        <f aca="false">'השוואה כוללת'!C167</f>
        <v>227</v>
      </c>
      <c r="E17" s="8" t="n">
        <f aca="false">'השוואה כוללת'!D167</f>
        <v>210</v>
      </c>
    </row>
    <row r="18" customFormat="false" ht="15" hidden="false" customHeight="true" outlineLevel="0" collapsed="false">
      <c r="A18" s="7" t="n">
        <v>15</v>
      </c>
      <c r="B18" s="7" t="n">
        <f aca="false">'השוואה כוללת'!A99</f>
        <v>63361</v>
      </c>
      <c r="C18" s="7" t="str">
        <f aca="false">'השוואה כוללת'!B99</f>
        <v>URI 45 XL         1 מגן ברך</v>
      </c>
      <c r="D18" s="8" t="n">
        <f aca="false">'השוואה כוללת'!C99</f>
        <v>202</v>
      </c>
      <c r="E18" s="8" t="n">
        <f aca="false">'השוואה כוללת'!D99</f>
        <v>191</v>
      </c>
    </row>
    <row r="19" customFormat="false" ht="15" hidden="false" customHeight="true" outlineLevel="0" collapsed="false">
      <c r="A19" s="7" t="n">
        <v>16</v>
      </c>
      <c r="B19" s="7" t="n">
        <f aca="false">'השוואה כוללת'!A168</f>
        <v>74800</v>
      </c>
      <c r="C19" s="7" t="str">
        <f aca="false">'השוואה כוללת'!B168</f>
        <v>URI 45E M    1 מגן ברך ארוך</v>
      </c>
      <c r="D19" s="8" t="n">
        <f aca="false">'השוואה כוללת'!C168</f>
        <v>200</v>
      </c>
      <c r="E19" s="8" t="n">
        <f aca="false">'השוואה כוללת'!D168</f>
        <v>166</v>
      </c>
    </row>
    <row r="20" customFormat="false" ht="15" hidden="false" customHeight="true" outlineLevel="0" collapsed="false">
      <c r="A20" s="7" t="n">
        <v>17</v>
      </c>
      <c r="B20" s="7" t="n">
        <f aca="false">'השוואה כוללת'!A44</f>
        <v>31183</v>
      </c>
      <c r="C20" s="7" t="str">
        <f aca="false">'השוואה כוללת'!B44</f>
        <v>URI 370       1 רפידת נוחות</v>
      </c>
      <c r="D20" s="8" t="n">
        <f aca="false">'השוואה כוללת'!C44</f>
        <v>197</v>
      </c>
      <c r="E20" s="8" t="n">
        <f aca="false">'השוואה כוללת'!D44</f>
        <v>201</v>
      </c>
    </row>
    <row r="21" customFormat="false" ht="15" hidden="false" customHeight="true" outlineLevel="0" collapsed="false">
      <c r="A21" s="7" t="n">
        <v>18</v>
      </c>
      <c r="B21" s="7" t="n">
        <f aca="false">'השוואה כוללת'!A101</f>
        <v>63367</v>
      </c>
      <c r="C21" s="7" t="str">
        <f aca="false">'השוואה כוללת'!B101</f>
        <v>URI 34 L 1 מגן קרסול ס.בעקב</v>
      </c>
      <c r="D21" s="8" t="n">
        <f aca="false">'השוואה כוללת'!C101</f>
        <v>189</v>
      </c>
      <c r="E21" s="8" t="n">
        <f aca="false">'השוואה כוללת'!D101</f>
        <v>168</v>
      </c>
    </row>
    <row r="22" customFormat="false" ht="15" hidden="false" customHeight="true" outlineLevel="0" collapsed="false">
      <c r="A22" s="7" t="n">
        <v>19</v>
      </c>
      <c r="B22" s="7" t="n">
        <f aca="false">'השוואה כוללת'!A68</f>
        <v>52323</v>
      </c>
      <c r="C22" s="7" t="str">
        <f aca="false">'השוואה כוללת'!B68</f>
        <v>URI 078G L 1 חגורת גב אפורה</v>
      </c>
      <c r="D22" s="8" t="n">
        <f aca="false">'השוואה כוללת'!C68</f>
        <v>188</v>
      </c>
      <c r="E22" s="8" t="n">
        <f aca="false">'השוואה כוללת'!D68</f>
        <v>183</v>
      </c>
    </row>
    <row r="23" customFormat="false" ht="15" hidden="false" customHeight="true" outlineLevel="0" collapsed="false">
      <c r="A23" s="7" t="n">
        <v>20</v>
      </c>
      <c r="B23" s="7" t="n">
        <f aca="false">'השוואה כוללת'!A108</f>
        <v>63415</v>
      </c>
      <c r="C23" s="7" t="str">
        <f aca="false">'השוואה כוללת'!B108</f>
        <v>URI 85 L         1 מתלה ליד</v>
      </c>
      <c r="D23" s="8" t="n">
        <f aca="false">'השוואה כוללת'!C108</f>
        <v>187</v>
      </c>
      <c r="E23" s="8" t="n">
        <f aca="false">'השוואה כוללת'!D108</f>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34"/>
    <col collapsed="false" customWidth="true" hidden="false" outlineLevel="0" max="5" min="4" style="1" width="18"/>
  </cols>
  <sheetData>
    <row r="1" customFormat="false" ht="16.5" hidden="false" customHeight="true" outlineLevel="0" collapsed="false">
      <c r="A1" s="2" t="s">
        <v>240</v>
      </c>
    </row>
    <row r="3" customFormat="false" ht="15" hidden="false" customHeight="true" outlineLevel="0" collapsed="false">
      <c r="A3" s="15" t="s">
        <v>239</v>
      </c>
      <c r="B3" s="15" t="s">
        <v>3</v>
      </c>
      <c r="C3" s="15" t="s">
        <v>4</v>
      </c>
      <c r="D3" s="15" t="s">
        <v>5</v>
      </c>
      <c r="E3" s="15" t="s">
        <v>6</v>
      </c>
    </row>
    <row r="4" customFormat="false" ht="15" hidden="false" customHeight="true" outlineLevel="0" collapsed="false">
      <c r="A4" s="7" t="n">
        <v>1</v>
      </c>
      <c r="B4" s="7" t="n">
        <f aca="false">'השוואה כוללת'!A65</f>
        <v>51567</v>
      </c>
      <c r="C4" s="7" t="str">
        <f aca="false">'השוואה כוללת'!B65</f>
        <v>                                   1 סד יד דו צדדי</v>
      </c>
      <c r="D4" s="8" t="n">
        <f aca="false">'השוואה כוללת'!C65</f>
        <v>972</v>
      </c>
      <c r="E4" s="8" t="n">
        <f aca="false">'השוואה כוללת'!D65</f>
        <v>953</v>
      </c>
    </row>
    <row r="5" customFormat="false" ht="15" hidden="false" customHeight="true" outlineLevel="0" collapsed="false">
      <c r="A5" s="7" t="n">
        <v>2</v>
      </c>
      <c r="B5" s="7" t="n">
        <f aca="false">'השוואה כוללת'!A150</f>
        <v>71204</v>
      </c>
      <c r="C5" s="7" t="str">
        <f aca="false">'השוואה כוללת'!B150</f>
        <v>URI 3655   1 שרוול מסיליקון</v>
      </c>
      <c r="D5" s="8" t="n">
        <f aca="false">'השוואה כוללת'!C150</f>
        <v>654</v>
      </c>
      <c r="E5" s="8" t="n">
        <f aca="false">'השוואה כוללת'!D150</f>
        <v>561</v>
      </c>
    </row>
    <row r="6" customFormat="false" ht="15" hidden="false" customHeight="true" outlineLevel="0" collapsed="false">
      <c r="A6" s="7" t="n">
        <v>3</v>
      </c>
      <c r="B6" s="7" t="n">
        <f aca="false">'השוואה כוללת'!A213</f>
        <v>83668</v>
      </c>
      <c r="C6" s="7" t="str">
        <f aca="false">'השוואה כוללת'!B213</f>
        <v>URI FC335    1 טלק לכף הרגל</v>
      </c>
      <c r="D6" s="8" t="n">
        <f aca="false">'השוואה כוללת'!C213</f>
        <v>773</v>
      </c>
      <c r="E6" s="8" t="n">
        <f aca="false">'השוואה כוללת'!D213</f>
        <v>462</v>
      </c>
    </row>
    <row r="7" customFormat="false" ht="15" hidden="false" customHeight="true" outlineLevel="0" collapsed="false">
      <c r="A7" s="7" t="n">
        <v>4</v>
      </c>
      <c r="B7" s="7" t="n">
        <f aca="false">'השוואה כוללת'!A207</f>
        <v>82206</v>
      </c>
      <c r="C7" s="7" t="str">
        <f aca="false">'השוואה כוללת'!B207</f>
        <v>ST25     1 חבק לשורש כף היד</v>
      </c>
      <c r="D7" s="8" t="n">
        <f aca="false">'השוואה כוללת'!C207</f>
        <v>93</v>
      </c>
      <c r="E7" s="8" t="n">
        <f aca="false">'השוואה כוללת'!D207</f>
        <v>438</v>
      </c>
    </row>
    <row r="8" customFormat="false" ht="15" hidden="false" customHeight="true" outlineLevel="0" collapsed="false">
      <c r="A8" s="7" t="n">
        <v>5</v>
      </c>
      <c r="B8" s="7" t="n">
        <f aca="false">'השוואה כוללת'!A66</f>
        <v>51568</v>
      </c>
      <c r="C8" s="7" t="str">
        <f aca="false">'השוואה כוללת'!B66</f>
        <v>                                       1 סד לאגודל</v>
      </c>
      <c r="D8" s="8" t="n">
        <f aca="false">'השוואה כוללת'!C66</f>
        <v>316</v>
      </c>
      <c r="E8" s="8" t="n">
        <f aca="false">'השוואה כוללת'!D66</f>
        <v>415</v>
      </c>
    </row>
    <row r="9" customFormat="false" ht="15" hidden="false" customHeight="true" outlineLevel="0" collapsed="false">
      <c r="A9" s="7" t="n">
        <v>6</v>
      </c>
      <c r="B9" s="7" t="n">
        <f aca="false">'השוואה כוללת'!A84</f>
        <v>59679</v>
      </c>
      <c r="C9" s="7" t="str">
        <f aca="false">'השוואה כוללת'!B84</f>
        <v>URI 364 S M 1</v>
      </c>
      <c r="D9" s="8" t="n">
        <f aca="false">'השוואה כוללת'!C84</f>
        <v>397</v>
      </c>
      <c r="E9" s="8" t="n">
        <f aca="false">'השוואה כוללת'!D84</f>
        <v>329</v>
      </c>
    </row>
    <row r="10" customFormat="false" ht="15" hidden="false" customHeight="true" outlineLevel="0" collapsed="false">
      <c r="A10" s="7" t="n">
        <v>7</v>
      </c>
      <c r="B10" s="7" t="n">
        <f aca="false">'השוואה כוללת'!A98</f>
        <v>63360</v>
      </c>
      <c r="C10" s="7" t="str">
        <f aca="false">'השוואה כוללת'!B98</f>
        <v>URI 45 L          1 מגן ברךBOX</v>
      </c>
      <c r="D10" s="8" t="n">
        <f aca="false">'השוואה כוללת'!C98</f>
        <v>338</v>
      </c>
      <c r="E10" s="8" t="n">
        <f aca="false">'השוואה כוללת'!D98</f>
        <v>318</v>
      </c>
    </row>
    <row r="11" customFormat="false" ht="15" hidden="false" customHeight="true" outlineLevel="0" collapsed="false">
      <c r="A11" s="7" t="n">
        <v>8</v>
      </c>
      <c r="B11" s="7" t="n">
        <f aca="false">'השוואה כוללת'!A45</f>
        <v>31188</v>
      </c>
      <c r="C11" s="7" t="str">
        <f aca="false">'השוואה כוללת'!B45</f>
        <v>URI 372    1 רפידת אנטי ריח</v>
      </c>
      <c r="D11" s="8" t="n">
        <f aca="false">'השוואה כוללת'!C45</f>
        <v>326</v>
      </c>
      <c r="E11" s="8" t="n">
        <f aca="false">'השוואה כוללת'!D45</f>
        <v>311</v>
      </c>
    </row>
    <row r="12" customFormat="false" ht="15" hidden="false" customHeight="true" outlineLevel="0" collapsed="false">
      <c r="A12" s="7" t="n">
        <v>9</v>
      </c>
      <c r="B12" s="7" t="n">
        <f aca="false">'השוואה כוללת'!A131</f>
        <v>66745</v>
      </c>
      <c r="C12" s="7" t="str">
        <f aca="false">'השוואה כוללת'!B131</f>
        <v>                       1 תרסיס דיאו.אנטי בקטר.לנעל</v>
      </c>
      <c r="D12" s="8" t="n">
        <f aca="false">'השוואה כוללת'!C131</f>
        <v>165</v>
      </c>
      <c r="E12" s="8" t="n">
        <f aca="false">'השוואה כוללת'!D131</f>
        <v>291</v>
      </c>
    </row>
    <row r="13" customFormat="false" ht="15" hidden="false" customHeight="true" outlineLevel="0" collapsed="false">
      <c r="A13" s="7" t="n">
        <v>10</v>
      </c>
      <c r="B13" s="7" t="n">
        <f aca="false">'השוואה כוללת'!A87</f>
        <v>60472</v>
      </c>
      <c r="C13" s="7" t="str">
        <f aca="false">'השוואה כוללת'!B87</f>
        <v>URI PD340  1 קוצץ ציפורניים</v>
      </c>
      <c r="D13" s="8" t="n">
        <f aca="false">'השוואה כוללת'!C87</f>
        <v>237</v>
      </c>
      <c r="E13" s="8" t="n">
        <f aca="false">'השוואה כוללת'!D87</f>
        <v>275</v>
      </c>
    </row>
    <row r="14" customFormat="false" ht="15" hidden="false" customHeight="true" outlineLevel="0" collapsed="false">
      <c r="A14" s="7" t="n">
        <v>11</v>
      </c>
      <c r="B14" s="7" t="n">
        <f aca="false">'השוואה כוללת'!A97</f>
        <v>63359</v>
      </c>
      <c r="C14" s="7" t="str">
        <f aca="false">'השוואה כוללת'!B97</f>
        <v>URI 45 M          1 מגן ברך</v>
      </c>
      <c r="D14" s="8" t="n">
        <f aca="false">'השוואה כוללת'!C97</f>
        <v>276</v>
      </c>
      <c r="E14" s="8" t="n">
        <f aca="false">'השוואה כוללת'!D97</f>
        <v>262</v>
      </c>
    </row>
    <row r="15" customFormat="false" ht="15" hidden="false" customHeight="true" outlineLevel="0" collapsed="false">
      <c r="A15" s="7" t="n">
        <v>12</v>
      </c>
      <c r="B15" s="7" t="n">
        <f aca="false">'השוואה כוללת'!A30</f>
        <v>24612</v>
      </c>
      <c r="C15" s="7" t="str">
        <f aca="false">'השוואה כוללת'!B30</f>
        <v>URI AC28        1 סד לאגודל</v>
      </c>
      <c r="D15" s="8" t="n">
        <f aca="false">'השוואה כוללת'!C30</f>
        <v>328</v>
      </c>
      <c r="E15" s="8" t="n">
        <f aca="false">'השוואה כוללת'!D30</f>
        <v>255</v>
      </c>
    </row>
    <row r="16" customFormat="false" ht="15" hidden="false" customHeight="true" outlineLevel="0" collapsed="false">
      <c r="A16" s="7" t="n">
        <v>13</v>
      </c>
      <c r="B16" s="7" t="n">
        <f aca="false">'השוואה כוללת'!A162</f>
        <v>74709</v>
      </c>
      <c r="C16" s="7" t="str">
        <f aca="false">'השוואה כוללת'!B162</f>
        <v>URI 21 M      1 חבק יד ארוך</v>
      </c>
      <c r="D16" s="8" t="n">
        <f aca="false">'השוואה כוללת'!C162</f>
        <v>250</v>
      </c>
      <c r="E16" s="8" t="n">
        <f aca="false">'השוואה כוללת'!D162</f>
        <v>233</v>
      </c>
    </row>
    <row r="17" customFormat="false" ht="15" hidden="false" customHeight="true" outlineLevel="0" collapsed="false">
      <c r="A17" s="7" t="n">
        <v>14</v>
      </c>
      <c r="B17" s="7" t="n">
        <f aca="false">'השוואה כוללת'!A29</f>
        <v>23008</v>
      </c>
      <c r="C17" s="7" t="str">
        <f aca="false">'השוואה כוללת'!B29</f>
        <v>URI 364 XL 1</v>
      </c>
      <c r="D17" s="8" t="n">
        <f aca="false">'השוואה כוללת'!C29</f>
        <v>183</v>
      </c>
      <c r="E17" s="8" t="n">
        <f aca="false">'השוואה כוללת'!D29</f>
        <v>218</v>
      </c>
    </row>
    <row r="18" customFormat="false" ht="15" hidden="false" customHeight="true" outlineLevel="0" collapsed="false">
      <c r="A18" s="7" t="n">
        <v>15</v>
      </c>
      <c r="B18" s="7" t="n">
        <f aca="false">'השוואה כוללת'!A167</f>
        <v>74799</v>
      </c>
      <c r="C18" s="7" t="str">
        <f aca="false">'השוואה כוללת'!B167</f>
        <v>URI 45E L1 מגן ברך ארוך לבן</v>
      </c>
      <c r="D18" s="8" t="n">
        <f aca="false">'השוואה כוללת'!C167</f>
        <v>227</v>
      </c>
      <c r="E18" s="8" t="n">
        <f aca="false">'השוואה כוללת'!D167</f>
        <v>210</v>
      </c>
    </row>
    <row r="19" customFormat="false" ht="15" hidden="false" customHeight="true" outlineLevel="0" collapsed="false">
      <c r="A19" s="7" t="n">
        <v>16</v>
      </c>
      <c r="B19" s="7" t="n">
        <f aca="false">'השוואה כוללת'!A85</f>
        <v>59694</v>
      </c>
      <c r="C19" s="7" t="str">
        <f aca="false">'השוואה כוללת'!B85</f>
        <v>URI 365 S-L   1 טבעת אלסטית</v>
      </c>
      <c r="D19" s="8" t="n">
        <f aca="false">'השוואה כוללת'!C85</f>
        <v>228</v>
      </c>
      <c r="E19" s="8" t="n">
        <f aca="false">'השוואה כוללת'!D85</f>
        <v>209</v>
      </c>
    </row>
    <row r="20" customFormat="false" ht="15" hidden="false" customHeight="true" outlineLevel="0" collapsed="false">
      <c r="A20" s="7" t="n">
        <v>17</v>
      </c>
      <c r="B20" s="7" t="n">
        <f aca="false">'השוואה כוללת'!A108</f>
        <v>63415</v>
      </c>
      <c r="C20" s="7" t="str">
        <f aca="false">'השוואה כוללת'!B108</f>
        <v>URI 85 L         1 מתלה ליד</v>
      </c>
      <c r="D20" s="8" t="n">
        <f aca="false">'השוואה כוללת'!C108</f>
        <v>187</v>
      </c>
      <c r="E20" s="8" t="n">
        <f aca="false">'השוואה כוללת'!D108</f>
        <v>209</v>
      </c>
    </row>
    <row r="21" customFormat="false" ht="15" hidden="false" customHeight="true" outlineLevel="0" collapsed="false">
      <c r="A21" s="7" t="n">
        <v>18</v>
      </c>
      <c r="B21" s="7" t="n">
        <f aca="false">'השוואה כוללת'!A44</f>
        <v>31183</v>
      </c>
      <c r="C21" s="7" t="str">
        <f aca="false">'השוואה כוללת'!B44</f>
        <v>URI 370       1 רפידת נוחות</v>
      </c>
      <c r="D21" s="8" t="n">
        <f aca="false">'השוואה כוללת'!C44</f>
        <v>197</v>
      </c>
      <c r="E21" s="8" t="n">
        <f aca="false">'השוואה כוללת'!D44</f>
        <v>201</v>
      </c>
    </row>
    <row r="22" customFormat="false" ht="15" hidden="false" customHeight="true" outlineLevel="0" collapsed="false">
      <c r="A22" s="7" t="n">
        <v>19</v>
      </c>
      <c r="B22" s="7" t="n">
        <f aca="false">'השוואה כוללת'!A99</f>
        <v>63361</v>
      </c>
      <c r="C22" s="7" t="str">
        <f aca="false">'השוואה כוללת'!B99</f>
        <v>URI 45 XL         1 מגן ברך</v>
      </c>
      <c r="D22" s="8" t="n">
        <f aca="false">'השוואה כוללת'!C99</f>
        <v>202</v>
      </c>
      <c r="E22" s="8" t="n">
        <f aca="false">'השוואה כוללת'!D99</f>
        <v>191</v>
      </c>
    </row>
    <row r="23" customFormat="false" ht="15" hidden="false" customHeight="true" outlineLevel="0" collapsed="false">
      <c r="A23" s="7" t="n">
        <v>20</v>
      </c>
      <c r="B23" s="7" t="n">
        <f aca="false">'השוואה כוללת'!A68</f>
        <v>52323</v>
      </c>
      <c r="C23" s="7" t="str">
        <f aca="false">'השוואה כוללת'!B68</f>
        <v>URI 078G L 1 חגורת גב אפורה</v>
      </c>
      <c r="D23" s="8" t="n">
        <f aca="false">'השוואה כוללת'!C68</f>
        <v>188</v>
      </c>
      <c r="E23" s="8" t="n">
        <f aca="false">'השוואה כוללת'!D68</f>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34"/>
    <col collapsed="false" customWidth="true" hidden="false" outlineLevel="0" max="5" min="4" style="1" width="18"/>
    <col collapsed="false" customWidth="true" hidden="false" outlineLevel="0" max="6" min="6" style="1" width="12"/>
  </cols>
  <sheetData>
    <row r="1" customFormat="false" ht="16.5" hidden="false" customHeight="true" outlineLevel="0" collapsed="false">
      <c r="A1" s="2" t="s">
        <v>241</v>
      </c>
    </row>
    <row r="2" customFormat="false" ht="15" hidden="false" customHeight="true" outlineLevel="0" collapsed="false">
      <c r="A2" s="5" t="s">
        <v>242</v>
      </c>
    </row>
    <row r="4" customFormat="false" ht="15" hidden="false" customHeight="true" outlineLevel="0" collapsed="false">
      <c r="A4" s="15" t="s">
        <v>239</v>
      </c>
      <c r="B4" s="15" t="s">
        <v>3</v>
      </c>
      <c r="C4" s="15" t="s">
        <v>4</v>
      </c>
      <c r="D4" s="15" t="s">
        <v>5</v>
      </c>
      <c r="E4" s="15" t="s">
        <v>6</v>
      </c>
      <c r="F4" s="15" t="s">
        <v>8</v>
      </c>
    </row>
    <row r="5" customFormat="false" ht="15" hidden="false" customHeight="true" outlineLevel="0" collapsed="false">
      <c r="A5" s="7" t="n">
        <v>1</v>
      </c>
      <c r="B5" s="7" t="n">
        <f aca="false">'השוואה כוללת'!A208</f>
        <v>82207</v>
      </c>
      <c r="C5" s="7" t="str">
        <f aca="false">'השוואה כוללת'!B208</f>
        <v>ST20               1 חבק יד</v>
      </c>
      <c r="D5" s="8" t="n">
        <f aca="false">'השוואה כוללת'!C208</f>
        <v>17</v>
      </c>
      <c r="E5" s="8" t="n">
        <f aca="false">'השוואה כוללת'!D208</f>
        <v>101</v>
      </c>
      <c r="F5" s="10" t="n">
        <f aca="false">'השוואה כוללת'!F208</f>
        <v>4.94117647058824</v>
      </c>
    </row>
    <row r="6" customFormat="false" ht="15" hidden="false" customHeight="true" outlineLevel="0" collapsed="false">
      <c r="A6" s="7" t="n">
        <v>2</v>
      </c>
      <c r="B6" s="7" t="n">
        <f aca="false">'השוואה כוללת'!A212</f>
        <v>83420</v>
      </c>
      <c r="C6" s="7" t="str">
        <f aca="false">'השוואה כוללת'!B212</f>
        <v>URI ST4221 מגן ברך +כ סיליק</v>
      </c>
      <c r="D6" s="8" t="n">
        <f aca="false">'השוואה כוללת'!C212</f>
        <v>18</v>
      </c>
      <c r="E6" s="8" t="n">
        <f aca="false">'השוואה כוללת'!D212</f>
        <v>92</v>
      </c>
      <c r="F6" s="10" t="n">
        <f aca="false">'השוואה כוללת'!F212</f>
        <v>4.11111111111111</v>
      </c>
    </row>
    <row r="7" customFormat="false" ht="15" hidden="false" customHeight="true" outlineLevel="0" collapsed="false">
      <c r="A7" s="7" t="n">
        <v>3</v>
      </c>
      <c r="B7" s="7" t="n">
        <f aca="false">'השוואה כוללת'!A77</f>
        <v>57662</v>
      </c>
      <c r="C7" s="7" t="str">
        <f aca="false">'השוואה כוללת'!B77</f>
        <v>808KT-P   1 טייפ קינזיולוגי</v>
      </c>
      <c r="D7" s="8" t="n">
        <f aca="false">'השוואה כוללת'!C77</f>
        <v>10</v>
      </c>
      <c r="E7" s="8" t="n">
        <f aca="false">'השוואה כוללת'!D77</f>
        <v>50</v>
      </c>
      <c r="F7" s="10" t="n">
        <f aca="false">'השוואה כוללת'!F77</f>
        <v>4</v>
      </c>
    </row>
    <row r="8" customFormat="false" ht="15" hidden="false" customHeight="true" outlineLevel="0" collapsed="false">
      <c r="A8" s="7" t="n">
        <v>4</v>
      </c>
      <c r="B8" s="7" t="n">
        <f aca="false">'השוואה כוללת'!A80</f>
        <v>57696</v>
      </c>
      <c r="C8" s="7" t="str">
        <f aca="false">'השוואה כוללת'!B80</f>
        <v>808KT-B   1 טייפ קינזיולוגי</v>
      </c>
      <c r="D8" s="8" t="n">
        <f aca="false">'השוואה כוללת'!C80</f>
        <v>13</v>
      </c>
      <c r="E8" s="8" t="n">
        <f aca="false">'השוואה כוללת'!D80</f>
        <v>65</v>
      </c>
      <c r="F8" s="10" t="n">
        <f aca="false">'השוואה כוללת'!F80</f>
        <v>4</v>
      </c>
    </row>
    <row r="9" customFormat="false" ht="15" hidden="false" customHeight="true" outlineLevel="0" collapsed="false">
      <c r="A9" s="7" t="n">
        <v>5</v>
      </c>
      <c r="B9" s="7" t="n">
        <f aca="false">'השוואה כוללת'!A207</f>
        <v>82206</v>
      </c>
      <c r="C9" s="7" t="str">
        <f aca="false">'השוואה כוללת'!B207</f>
        <v>ST25     1 חבק לשורש כף היד</v>
      </c>
      <c r="D9" s="8" t="n">
        <f aca="false">'השוואה כוללת'!C207</f>
        <v>93</v>
      </c>
      <c r="E9" s="8" t="n">
        <f aca="false">'השוואה כוללת'!D207</f>
        <v>438</v>
      </c>
      <c r="F9" s="10" t="n">
        <f aca="false">'השוואה כוללת'!F207</f>
        <v>3.70967741935484</v>
      </c>
    </row>
    <row r="10" customFormat="false" ht="15" hidden="false" customHeight="true" outlineLevel="0" collapsed="false">
      <c r="A10" s="7" t="n">
        <v>6</v>
      </c>
      <c r="B10" s="7" t="n">
        <f aca="false">'השוואה כוללת'!A209</f>
        <v>82208</v>
      </c>
      <c r="C10" s="7" t="str">
        <f aca="false">'השוואה כוללת'!B209</f>
        <v>URI ST37      1 חבק לקרסול</v>
      </c>
      <c r="D10" s="8" t="n">
        <f aca="false">'השוואה כוללת'!C209</f>
        <v>35</v>
      </c>
      <c r="E10" s="8" t="n">
        <f aca="false">'השוואה כוללת'!D209</f>
        <v>145</v>
      </c>
      <c r="F10" s="10" t="n">
        <f aca="false">'השוואה כוללת'!F209</f>
        <v>3.14285714285714</v>
      </c>
    </row>
    <row r="11" customFormat="false" ht="15" hidden="false" customHeight="true" outlineLevel="0" collapsed="false">
      <c r="A11" s="7" t="n">
        <v>7</v>
      </c>
      <c r="B11" s="7" t="n">
        <f aca="false">'השוואה כוללת'!A79</f>
        <v>57690</v>
      </c>
      <c r="C11" s="7" t="str">
        <f aca="false">'השוואה כוללת'!B79</f>
        <v>808KT-C   1 טייפ קינזיולוגי</v>
      </c>
      <c r="D11" s="8" t="n">
        <f aca="false">'השוואה כוללת'!C79</f>
        <v>18</v>
      </c>
      <c r="E11" s="8" t="n">
        <f aca="false">'השוואה כוללת'!D79</f>
        <v>74</v>
      </c>
      <c r="F11" s="10" t="n">
        <f aca="false">'השוואה כוללת'!F79</f>
        <v>3.11111111111111</v>
      </c>
    </row>
    <row r="12" customFormat="false" ht="15" hidden="false" customHeight="true" outlineLevel="0" collapsed="false">
      <c r="A12" s="7" t="n">
        <v>8</v>
      </c>
      <c r="B12" s="7" t="n">
        <f aca="false">'השוואה כוללת'!A206</f>
        <v>82202</v>
      </c>
      <c r="C12" s="7" t="str">
        <f aca="false">'השוואה כוללת'!B206</f>
        <v>ST91       1 מגן מרפק לטניס</v>
      </c>
      <c r="D12" s="8" t="n">
        <f aca="false">'השוואה כוללת'!C206</f>
        <v>40</v>
      </c>
      <c r="E12" s="8" t="n">
        <f aca="false">'השוואה כוללת'!D206</f>
        <v>146</v>
      </c>
      <c r="F12" s="10" t="n">
        <f aca="false">'השוואה כוללת'!F206</f>
        <v>2.65</v>
      </c>
    </row>
    <row r="13" customFormat="false" ht="15" hidden="false" customHeight="true" outlineLevel="0" collapsed="false">
      <c r="A13" s="7" t="n">
        <v>9</v>
      </c>
      <c r="B13" s="7" t="n">
        <f aca="false">'השוואה כוללת'!A78</f>
        <v>57664</v>
      </c>
      <c r="C13" s="7" t="str">
        <f aca="false">'השוואה כוללת'!B78</f>
        <v>808KT-BL  1 טייפ קינזיולוגי</v>
      </c>
      <c r="D13" s="8" t="n">
        <f aca="false">'השוואה כוללת'!C78</f>
        <v>22</v>
      </c>
      <c r="E13" s="8" t="n">
        <f aca="false">'השוואה כוללת'!D78</f>
        <v>69</v>
      </c>
      <c r="F13" s="10" t="n">
        <f aca="false">'השוואה כוללת'!F78</f>
        <v>2.13636363636364</v>
      </c>
    </row>
    <row r="14" customFormat="false" ht="15" hidden="false" customHeight="true" outlineLevel="0" collapsed="false">
      <c r="A14" s="7" t="n">
        <v>10</v>
      </c>
      <c r="B14" s="7" t="n">
        <f aca="false">'השוואה כוללת'!A210</f>
        <v>82213</v>
      </c>
      <c r="C14" s="7" t="str">
        <f aca="false">'השוואה כוללת'!B210</f>
        <v>ST28  1 סט אגודלי+מוט תמיכה</v>
      </c>
      <c r="D14" s="8" t="n">
        <f aca="false">'השוואה כוללת'!C210</f>
        <v>50</v>
      </c>
      <c r="E14" s="8" t="n">
        <f aca="false">'השוואה כוללת'!D210</f>
        <v>155</v>
      </c>
      <c r="F14" s="10" t="n">
        <f aca="false">'השוואה כוללת'!F210</f>
        <v>2.1</v>
      </c>
    </row>
    <row r="15" customFormat="false" ht="15" hidden="false" customHeight="true" outlineLevel="0" collapsed="false">
      <c r="A15" s="7" t="n">
        <v>11</v>
      </c>
      <c r="B15" s="7" t="n">
        <f aca="false">'השוואה כוללת'!A217</f>
        <v>87819</v>
      </c>
      <c r="C15" s="7" t="str">
        <f aca="false">'השוואה כוללת'!B217</f>
        <v>ST433    H 1 מגן ברך עם ציר</v>
      </c>
      <c r="D15" s="8" t="n">
        <f aca="false">'השוואה כוללת'!C217</f>
        <v>9</v>
      </c>
      <c r="E15" s="8" t="n">
        <f aca="false">'השוואה כוללת'!D217</f>
        <v>24</v>
      </c>
      <c r="F15" s="10" t="n">
        <f aca="false">'השוואה כוללת'!F217</f>
        <v>1.66666666666667</v>
      </c>
    </row>
    <row r="16" customFormat="false" ht="15" hidden="false" customHeight="true" outlineLevel="0" collapsed="false">
      <c r="A16" s="7" t="n">
        <v>12</v>
      </c>
      <c r="B16" s="7" t="n">
        <f aca="false">'השוואה כוללת'!A122</f>
        <v>64635</v>
      </c>
      <c r="C16" s="7" t="str">
        <f aca="false">'השוואה כוללת'!B122</f>
        <v>URI 390B 43-46   1 גרבי כסף</v>
      </c>
      <c r="D16" s="8" t="n">
        <f aca="false">'השוואה כוללת'!C122</f>
        <v>25</v>
      </c>
      <c r="E16" s="8" t="n">
        <f aca="false">'השוואה כוללת'!D122</f>
        <v>58</v>
      </c>
      <c r="F16" s="10" t="n">
        <f aca="false">'השוואה כוללת'!F122</f>
        <v>1.32</v>
      </c>
    </row>
    <row r="17" customFormat="false" ht="15" hidden="false" customHeight="true" outlineLevel="0" collapsed="false">
      <c r="A17" s="7" t="n">
        <v>13</v>
      </c>
      <c r="B17" s="7" t="n">
        <f aca="false">'השוואה כוללת'!A67</f>
        <v>52147</v>
      </c>
      <c r="C17" s="7" t="str">
        <f aca="false">'השוואה כוללת'!B67</f>
        <v>URI FC321  1 מלח אמבט לכף ר</v>
      </c>
      <c r="D17" s="8" t="n">
        <f aca="false">'השוואה כוללת'!C67</f>
        <v>70</v>
      </c>
      <c r="E17" s="8" t="n">
        <f aca="false">'השוואה כוללת'!D67</f>
        <v>134</v>
      </c>
      <c r="F17" s="10" t="n">
        <f aca="false">'השוואה כוללת'!F67</f>
        <v>0.914285714285714</v>
      </c>
    </row>
    <row r="18" customFormat="false" ht="15" hidden="false" customHeight="true" outlineLevel="0" collapsed="false">
      <c r="A18" s="7" t="n">
        <v>14</v>
      </c>
      <c r="B18" s="7" t="n">
        <f aca="false">'השוואה כוללת'!A147</f>
        <v>71086</v>
      </c>
      <c r="C18" s="7" t="str">
        <f aca="false">'השוואה כוללת'!B147</f>
        <v>URI 078M 1</v>
      </c>
      <c r="D18" s="8" t="n">
        <f aca="false">'השוואה כוללת'!C147</f>
        <v>21</v>
      </c>
      <c r="E18" s="8" t="n">
        <f aca="false">'השוואה כוללת'!D147</f>
        <v>39</v>
      </c>
      <c r="F18" s="10" t="n">
        <f aca="false">'השוואה כוללת'!F147</f>
        <v>0.857142857142857</v>
      </c>
    </row>
    <row r="19" customFormat="false" ht="15" hidden="false" customHeight="true" outlineLevel="0" collapsed="false">
      <c r="A19" s="7" t="n">
        <v>15</v>
      </c>
      <c r="B19" s="7" t="n">
        <f aca="false">'השוואה כוללת'!A185</f>
        <v>74848</v>
      </c>
      <c r="C19" s="7" t="str">
        <f aca="false">'השוואה כוללת'!B185</f>
        <v>URI 76 XL       1 מיישר כתף</v>
      </c>
      <c r="D19" s="8" t="n">
        <f aca="false">'השוואה כוללת'!C185</f>
        <v>6</v>
      </c>
      <c r="E19" s="8" t="n">
        <f aca="false">'השוואה כוללת'!D185</f>
        <v>11</v>
      </c>
      <c r="F19" s="10" t="n">
        <f aca="false">'השוואה כוללת'!F185</f>
        <v>0.833333333333333</v>
      </c>
    </row>
    <row r="20" customFormat="false" ht="15" hidden="false" customHeight="true" outlineLevel="0" collapsed="false">
      <c r="A20" s="7" t="n">
        <v>16</v>
      </c>
      <c r="B20" s="7" t="n">
        <f aca="false">'השוואה כוללת'!A131</f>
        <v>66745</v>
      </c>
      <c r="C20" s="7" t="str">
        <f aca="false">'השוואה כוללת'!B131</f>
        <v>                       1 תרסיס דיאו.אנטי בקטר.לנעל</v>
      </c>
      <c r="D20" s="8" t="n">
        <f aca="false">'השוואה כוללת'!C131</f>
        <v>165</v>
      </c>
      <c r="E20" s="8" t="n">
        <f aca="false">'השוואה כוללת'!D131</f>
        <v>291</v>
      </c>
      <c r="F20" s="10" t="n">
        <f aca="false">'השוואה כוללת'!F131</f>
        <v>0.763636363636364</v>
      </c>
    </row>
    <row r="21" customFormat="false" ht="15" hidden="false" customHeight="true" outlineLevel="0" collapsed="false">
      <c r="A21" s="7" t="n">
        <v>17</v>
      </c>
      <c r="B21" s="7" t="n">
        <f aca="false">'השוואה כוללת'!A211</f>
        <v>82551</v>
      </c>
      <c r="C21" s="7" t="str">
        <f aca="false">'השוואה כוללת'!B211</f>
        <v>URI ST11        1 חגורת בטן</v>
      </c>
      <c r="D21" s="8" t="n">
        <f aca="false">'השוואה כוללת'!C211</f>
        <v>8</v>
      </c>
      <c r="E21" s="8" t="n">
        <f aca="false">'השוואה כוללת'!D211</f>
        <v>14</v>
      </c>
      <c r="F21" s="10" t="n">
        <f aca="false">'השוואה כוללת'!F211</f>
        <v>0.75</v>
      </c>
    </row>
    <row r="22" customFormat="false" ht="15" hidden="false" customHeight="true" outlineLevel="0" collapsed="false">
      <c r="A22" s="7" t="n">
        <v>18</v>
      </c>
      <c r="B22" s="7" t="n">
        <f aca="false">'השוואה כוללת'!A197</f>
        <v>75764</v>
      </c>
      <c r="C22" s="7" t="str">
        <f aca="false">'השוואה כוללת'!B197</f>
        <v>URI 16 XXL    1 חגורת הריון</v>
      </c>
      <c r="D22" s="8" t="n">
        <f aca="false">'השוואה כוללת'!C197</f>
        <v>13</v>
      </c>
      <c r="E22" s="8" t="n">
        <f aca="false">'השוואה כוללת'!D197</f>
        <v>21</v>
      </c>
      <c r="F22" s="10" t="n">
        <f aca="false">'השוואה כוללת'!F197</f>
        <v>0.615384615384615</v>
      </c>
    </row>
    <row r="23" customFormat="false" ht="15" hidden="false" customHeight="true" outlineLevel="0" collapsed="false">
      <c r="A23" s="7" t="n">
        <v>19</v>
      </c>
      <c r="B23" s="7" t="n">
        <f aca="false">'השוואה כוללת'!A183</f>
        <v>74846</v>
      </c>
      <c r="C23" s="7" t="str">
        <f aca="false">'השוואה כוללת'!B183</f>
        <v>URI 76 L        1 מיישר כתף</v>
      </c>
      <c r="D23" s="8" t="n">
        <f aca="false">'השוואה כוללת'!C183</f>
        <v>12</v>
      </c>
      <c r="E23" s="8" t="n">
        <f aca="false">'השוואה כוללת'!D183</f>
        <v>19</v>
      </c>
      <c r="F23" s="10" t="n">
        <f aca="false">'השוואה כוללת'!F183</f>
        <v>0.583333333333333</v>
      </c>
    </row>
    <row r="24" customFormat="false" ht="15" hidden="false" customHeight="true" outlineLevel="0" collapsed="false">
      <c r="A24" s="7" t="n">
        <v>20</v>
      </c>
      <c r="B24" s="7" t="n">
        <f aca="false">'השוואה כוללת'!A112</f>
        <v>63419</v>
      </c>
      <c r="C24" s="7" t="str">
        <f aca="false">'השוואה כוללת'!B112</f>
        <v>URI 87 XL1 חגו.קיבוע תמ.אמה</v>
      </c>
      <c r="D24" s="8" t="n">
        <f aca="false">'השוואה כוללת'!C112</f>
        <v>21</v>
      </c>
      <c r="E24" s="8" t="n">
        <f aca="false">'השוואה כוללת'!D112</f>
        <v>32</v>
      </c>
      <c r="F24" s="10" t="n">
        <f aca="false">'השוואה כוללת'!F112</f>
        <v>0.523809523809524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34"/>
    <col collapsed="false" customWidth="true" hidden="false" outlineLevel="0" max="5" min="4" style="1" width="18"/>
    <col collapsed="false" customWidth="true" hidden="false" outlineLevel="0" max="6" min="6" style="1" width="12"/>
  </cols>
  <sheetData>
    <row r="1" customFormat="false" ht="16.5" hidden="false" customHeight="true" outlineLevel="0" collapsed="false">
      <c r="A1" s="2" t="s">
        <v>243</v>
      </c>
    </row>
    <row r="2" customFormat="false" ht="15" hidden="false" customHeight="true" outlineLevel="0" collapsed="false">
      <c r="A2" s="5" t="s">
        <v>242</v>
      </c>
    </row>
    <row r="4" customFormat="false" ht="15" hidden="false" customHeight="true" outlineLevel="0" collapsed="false">
      <c r="A4" s="15" t="s">
        <v>239</v>
      </c>
      <c r="B4" s="15" t="s">
        <v>3</v>
      </c>
      <c r="C4" s="15" t="s">
        <v>4</v>
      </c>
      <c r="D4" s="15" t="s">
        <v>5</v>
      </c>
      <c r="E4" s="15" t="s">
        <v>6</v>
      </c>
      <c r="F4" s="15" t="s">
        <v>8</v>
      </c>
    </row>
    <row r="5" customFormat="false" ht="15" hidden="false" customHeight="true" outlineLevel="0" collapsed="false">
      <c r="A5" s="7" t="n">
        <v>1</v>
      </c>
      <c r="B5" s="7" t="n">
        <f aca="false">'השוואה כוללת'!A28</f>
        <v>21897</v>
      </c>
      <c r="C5" s="7" t="str">
        <f aca="false">'השוואה כוללת'!B28</f>
        <v>URI 388R    1 סד לילה לבוהן</v>
      </c>
      <c r="D5" s="8" t="n">
        <f aca="false">'השוואה כוללת'!C28</f>
        <v>9</v>
      </c>
      <c r="E5" s="8" t="n">
        <f aca="false">'השוואה כוללת'!D28</f>
        <v>1</v>
      </c>
      <c r="F5" s="10" t="n">
        <f aca="false">'השוואה כוללת'!F28</f>
        <v>-0.888888888888889</v>
      </c>
    </row>
    <row r="6" customFormat="false" ht="15" hidden="false" customHeight="true" outlineLevel="0" collapsed="false">
      <c r="A6" s="7" t="n">
        <v>2</v>
      </c>
      <c r="B6" s="7" t="n">
        <f aca="false">'השוואה כוללת'!A43</f>
        <v>29984</v>
      </c>
      <c r="C6" s="7" t="str">
        <f aca="false">'השוואה כוללת'!B43</f>
        <v>URI 95 XS        1 מגן מרפק</v>
      </c>
      <c r="D6" s="8" t="n">
        <f aca="false">'השוואה כוללת'!C43</f>
        <v>24</v>
      </c>
      <c r="E6" s="8" t="n">
        <f aca="false">'השוואה כוללת'!D43</f>
        <v>6</v>
      </c>
      <c r="F6" s="10" t="n">
        <f aca="false">'השוואה כוללת'!F43</f>
        <v>-0.75</v>
      </c>
    </row>
    <row r="7" customFormat="false" ht="15" hidden="false" customHeight="true" outlineLevel="0" collapsed="false">
      <c r="A7" s="7" t="n">
        <v>3</v>
      </c>
      <c r="B7" s="7" t="n">
        <f aca="false">'השוואה כוללת'!A15</f>
        <v>16237</v>
      </c>
      <c r="C7" s="7" t="str">
        <f aca="false">'השוואה כוללת'!B15</f>
        <v>394G-43-461 גרבי קיץ לסוכרת</v>
      </c>
      <c r="D7" s="8" t="n">
        <f aca="false">'השוואה כוללת'!C15</f>
        <v>36</v>
      </c>
      <c r="E7" s="8" t="n">
        <f aca="false">'השוואה כוללת'!D15</f>
        <v>10</v>
      </c>
      <c r="F7" s="10" t="n">
        <f aca="false">'השוואה כוללת'!F15</f>
        <v>-0.722222222222222</v>
      </c>
    </row>
    <row r="8" customFormat="false" ht="15" hidden="false" customHeight="true" outlineLevel="0" collapsed="false">
      <c r="A8" s="7" t="n">
        <v>4</v>
      </c>
      <c r="B8" s="7" t="n">
        <f aca="false">'השוואה כוללת'!A63</f>
        <v>50057</v>
      </c>
      <c r="C8" s="7" t="str">
        <f aca="false">'השוואה כוללת'!B63</f>
        <v>URI 76          1 מיישר כתף</v>
      </c>
      <c r="D8" s="8" t="n">
        <f aca="false">'השוואה כוללת'!C63</f>
        <v>9</v>
      </c>
      <c r="E8" s="8" t="n">
        <f aca="false">'השוואה כוללת'!D63</f>
        <v>3</v>
      </c>
      <c r="F8" s="10" t="n">
        <f aca="false">'השוואה כוללת'!F63</f>
        <v>-0.666666666666667</v>
      </c>
    </row>
    <row r="9" customFormat="false" ht="15" hidden="false" customHeight="true" outlineLevel="0" collapsed="false">
      <c r="A9" s="7" t="n">
        <v>5</v>
      </c>
      <c r="B9" s="7" t="n">
        <f aca="false">'השוואה כוללת'!A136</f>
        <v>67895</v>
      </c>
      <c r="C9" s="7" t="str">
        <f aca="false">'השוואה כוללת'!B136</f>
        <v>URI 11      1 ח בטן אורירית</v>
      </c>
      <c r="D9" s="8" t="n">
        <f aca="false">'השוואה כוללת'!C136</f>
        <v>15</v>
      </c>
      <c r="E9" s="8" t="n">
        <f aca="false">'השוואה כוללת'!D136</f>
        <v>5</v>
      </c>
      <c r="F9" s="10" t="n">
        <f aca="false">'השוואה כוללת'!F136</f>
        <v>-0.666666666666667</v>
      </c>
    </row>
    <row r="10" customFormat="false" ht="15" hidden="false" customHeight="true" outlineLevel="0" collapsed="false">
      <c r="A10" s="7" t="n">
        <v>6</v>
      </c>
      <c r="B10" s="7" t="n">
        <f aca="false">'השוואה כוללת'!A27</f>
        <v>21896</v>
      </c>
      <c r="C10" s="7" t="str">
        <f aca="false">'השוואה כוללת'!B27</f>
        <v>URI 388L    1 סד לילה לבוהן</v>
      </c>
      <c r="D10" s="8" t="n">
        <f aca="false">'השוואה כוללת'!C27</f>
        <v>8</v>
      </c>
      <c r="E10" s="8" t="n">
        <f aca="false">'השוואה כוללת'!D27</f>
        <v>3</v>
      </c>
      <c r="F10" s="10" t="n">
        <f aca="false">'השוואה כוללת'!F27</f>
        <v>-0.625</v>
      </c>
    </row>
    <row r="11" customFormat="false" ht="15" hidden="false" customHeight="true" outlineLevel="0" collapsed="false">
      <c r="A11" s="7" t="n">
        <v>7</v>
      </c>
      <c r="B11" s="7" t="n">
        <f aca="false">'השוואה כוללת'!A124</f>
        <v>64637</v>
      </c>
      <c r="C11" s="7" t="str">
        <f aca="false">'השוואה כוללת'!B124</f>
        <v>URI 390G 39-42   1 גרבי כסף</v>
      </c>
      <c r="D11" s="8" t="n">
        <f aca="false">'השוואה כוללת'!C124</f>
        <v>20</v>
      </c>
      <c r="E11" s="8" t="n">
        <f aca="false">'השוואה כוללת'!D124</f>
        <v>8</v>
      </c>
      <c r="F11" s="10" t="n">
        <f aca="false">'השוואה כוללת'!F124</f>
        <v>-0.6</v>
      </c>
    </row>
    <row r="12" customFormat="false" ht="15" hidden="false" customHeight="true" outlineLevel="0" collapsed="false">
      <c r="A12" s="7" t="n">
        <v>8</v>
      </c>
      <c r="B12" s="7" t="n">
        <f aca="false">'השוואה כוללת'!A135</f>
        <v>67385</v>
      </c>
      <c r="C12" s="7" t="str">
        <f aca="false">'השוואה כוללת'!B135</f>
        <v>URI 302M 0  1 מדרס ג'ל לגבר</v>
      </c>
      <c r="D12" s="8" t="n">
        <f aca="false">'השוואה כוללת'!C135</f>
        <v>231</v>
      </c>
      <c r="E12" s="8" t="n">
        <f aca="false">'השוואה כוללת'!D135</f>
        <v>105</v>
      </c>
      <c r="F12" s="10" t="n">
        <f aca="false">'השוואה כוללת'!F135</f>
        <v>-0.545454545454545</v>
      </c>
    </row>
    <row r="13" customFormat="false" ht="15" hidden="false" customHeight="true" outlineLevel="0" collapsed="false">
      <c r="A13" s="7" t="n">
        <v>9</v>
      </c>
      <c r="B13" s="7" t="n">
        <f aca="false">'השוואה כוללת'!A33</f>
        <v>28302</v>
      </c>
      <c r="C13" s="7" t="str">
        <f aca="false">'השוואה כוללת'!B33</f>
        <v>URI 34+XXL1 מ קרסול+עכב סגו</v>
      </c>
      <c r="D13" s="8" t="n">
        <f aca="false">'השוואה כוללת'!C33</f>
        <v>13</v>
      </c>
      <c r="E13" s="8" t="n">
        <f aca="false">'השוואה כוללת'!D33</f>
        <v>6</v>
      </c>
      <c r="F13" s="10" t="n">
        <f aca="false">'השוואה כוללת'!F33</f>
        <v>-0.538461538461538</v>
      </c>
    </row>
    <row r="14" customFormat="false" ht="15" hidden="false" customHeight="true" outlineLevel="0" collapsed="false">
      <c r="A14" s="7" t="n">
        <v>10</v>
      </c>
      <c r="B14" s="7" t="n">
        <f aca="false">'השוואה כוללת'!A105</f>
        <v>63406</v>
      </c>
      <c r="C14" s="7" t="str">
        <f aca="false">'השוואה כוללת'!B105</f>
        <v>URI 11U L 1 ח בטן אחר ניתוח</v>
      </c>
      <c r="D14" s="8" t="n">
        <f aca="false">'השוואה כוללת'!C105</f>
        <v>8</v>
      </c>
      <c r="E14" s="8" t="n">
        <f aca="false">'השוואה כוללת'!D105</f>
        <v>4</v>
      </c>
      <c r="F14" s="10" t="n">
        <f aca="false">'השוואה כוללת'!F105</f>
        <v>-0.5</v>
      </c>
    </row>
    <row r="15" customFormat="false" ht="15" hidden="false" customHeight="true" outlineLevel="0" collapsed="false">
      <c r="A15" s="7" t="n">
        <v>11</v>
      </c>
      <c r="B15" s="7" t="n">
        <f aca="false">'השוואה כוללת'!A74</f>
        <v>53791</v>
      </c>
      <c r="C15" s="7" t="str">
        <f aca="false">'השוואה כוללת'!B74</f>
        <v>URI 397-43-46  1 גרבי טיסה</v>
      </c>
      <c r="D15" s="8" t="n">
        <f aca="false">'השוואה כוללת'!C74</f>
        <v>53</v>
      </c>
      <c r="E15" s="8" t="n">
        <f aca="false">'השוואה כוללת'!D74</f>
        <v>27</v>
      </c>
      <c r="F15" s="10" t="n">
        <f aca="false">'השוואה כוללת'!F74</f>
        <v>-0.490566037735849</v>
      </c>
    </row>
    <row r="16" customFormat="false" ht="15" hidden="false" customHeight="true" outlineLevel="0" collapsed="false">
      <c r="A16" s="7" t="n">
        <v>12</v>
      </c>
      <c r="B16" s="7" t="n">
        <f aca="false">'השוואה כוללת'!A11</f>
        <v>16212</v>
      </c>
      <c r="C16" s="7" t="str">
        <f aca="false">'השוואה כוללת'!B11</f>
        <v>394B-39-421 גרבי קיץ לסוכרת</v>
      </c>
      <c r="D16" s="8" t="n">
        <f aca="false">'השוואה כוללת'!C11</f>
        <v>107</v>
      </c>
      <c r="E16" s="8" t="n">
        <f aca="false">'השוואה כוללת'!D11</f>
        <v>55</v>
      </c>
      <c r="F16" s="10" t="n">
        <f aca="false">'השוואה כוללת'!F11</f>
        <v>-0.485981308411215</v>
      </c>
    </row>
    <row r="17" customFormat="false" ht="15" hidden="false" customHeight="true" outlineLevel="0" collapsed="false">
      <c r="A17" s="7" t="n">
        <v>13</v>
      </c>
      <c r="B17" s="7" t="n">
        <f aca="false">'השוואה כוללת'!A14</f>
        <v>16217</v>
      </c>
      <c r="C17" s="7" t="str">
        <f aca="false">'השוואה כוללת'!B14</f>
        <v>394G-39-421 גרבי קיץ לסוכרת</v>
      </c>
      <c r="D17" s="8" t="n">
        <f aca="false">'השוואה כוללת'!C14</f>
        <v>33</v>
      </c>
      <c r="E17" s="8" t="n">
        <f aca="false">'השוואה כוללת'!D14</f>
        <v>18</v>
      </c>
      <c r="F17" s="10" t="n">
        <f aca="false">'השוואה כוללת'!F14</f>
        <v>-0.454545454545455</v>
      </c>
    </row>
    <row r="18" customFormat="false" ht="15" hidden="false" customHeight="true" outlineLevel="0" collapsed="false">
      <c r="A18" s="7" t="n">
        <v>14</v>
      </c>
      <c r="B18" s="7" t="n">
        <f aca="false">'השוואה כוללת'!A42</f>
        <v>29981</v>
      </c>
      <c r="C18" s="7" t="str">
        <f aca="false">'השוואה כוללת'!B42</f>
        <v>URI 35 XXL  1 מגן קרסול לבן</v>
      </c>
      <c r="D18" s="8" t="n">
        <f aca="false">'השוואה כוללת'!C42</f>
        <v>42</v>
      </c>
      <c r="E18" s="8" t="n">
        <f aca="false">'השוואה כוללת'!D42</f>
        <v>24</v>
      </c>
      <c r="F18" s="10" t="n">
        <f aca="false">'השוואה כוללת'!F42</f>
        <v>-0.428571428571429</v>
      </c>
    </row>
    <row r="19" customFormat="false" ht="15" hidden="false" customHeight="true" outlineLevel="0" collapsed="false">
      <c r="A19" s="7" t="n">
        <v>15</v>
      </c>
      <c r="B19" s="7" t="n">
        <f aca="false">'השוואה כוללת'!A152</f>
        <v>74670</v>
      </c>
      <c r="C19" s="7" t="str">
        <f aca="false">'השוואה כוללת'!B152</f>
        <v>URI 07AU L   1 ח.גב איטלקית</v>
      </c>
      <c r="D19" s="8" t="n">
        <f aca="false">'השוואה כוללת'!C152</f>
        <v>35</v>
      </c>
      <c r="E19" s="8" t="n">
        <f aca="false">'השוואה כוללת'!D152</f>
        <v>20</v>
      </c>
      <c r="F19" s="10" t="n">
        <f aca="false">'השוואה כוללת'!F152</f>
        <v>-0.428571428571429</v>
      </c>
    </row>
    <row r="20" customFormat="false" ht="15" hidden="false" customHeight="true" outlineLevel="0" collapsed="false">
      <c r="A20" s="7" t="n">
        <v>16</v>
      </c>
      <c r="B20" s="7" t="n">
        <f aca="false">'השוואה כוללת'!A177</f>
        <v>74824</v>
      </c>
      <c r="C20" s="7" t="str">
        <f aca="false">'השוואה כוללת'!B177</f>
        <v>URI 59 L M 1 חגורת שבר צד ש</v>
      </c>
      <c r="D20" s="8" t="n">
        <f aca="false">'השוואה כוללת'!C177</f>
        <v>7</v>
      </c>
      <c r="E20" s="8" t="n">
        <f aca="false">'השוואה כוללת'!D177</f>
        <v>4</v>
      </c>
      <c r="F20" s="10" t="n">
        <f aca="false">'השוואה כוללת'!F177</f>
        <v>-0.428571428571429</v>
      </c>
    </row>
    <row r="21" customFormat="false" ht="15" hidden="false" customHeight="true" outlineLevel="0" collapsed="false">
      <c r="A21" s="7" t="n">
        <v>17</v>
      </c>
      <c r="B21" s="7" t="n">
        <f aca="false">'השוואה כוללת'!A213</f>
        <v>83668</v>
      </c>
      <c r="C21" s="7" t="str">
        <f aca="false">'השוואה כוללת'!B213</f>
        <v>URI FC335    1 טלק לכף הרגל</v>
      </c>
      <c r="D21" s="8" t="n">
        <f aca="false">'השוואה כוללת'!C213</f>
        <v>773</v>
      </c>
      <c r="E21" s="8" t="n">
        <f aca="false">'השוואה כוללת'!D213</f>
        <v>462</v>
      </c>
      <c r="F21" s="10" t="n">
        <f aca="false">'השוואה כוללת'!F213</f>
        <v>-0.402328589909444</v>
      </c>
    </row>
    <row r="22" customFormat="false" ht="15" hidden="false" customHeight="true" outlineLevel="0" collapsed="false">
      <c r="A22" s="7" t="n">
        <v>18</v>
      </c>
      <c r="B22" s="7" t="n">
        <f aca="false">'השוואה כוללת'!A47</f>
        <v>34874</v>
      </c>
      <c r="C22" s="7" t="str">
        <f aca="false">'השוואה כוללת'!B47</f>
        <v>URI 333         1 סד לקרסול</v>
      </c>
      <c r="D22" s="8" t="n">
        <f aca="false">'השוואה כוללת'!C47</f>
        <v>16</v>
      </c>
      <c r="E22" s="8" t="n">
        <f aca="false">'השוואה כוללת'!D47</f>
        <v>10</v>
      </c>
      <c r="F22" s="10" t="n">
        <f aca="false">'השוואה כוללת'!F47</f>
        <v>-0.375</v>
      </c>
    </row>
    <row r="23" customFormat="false" ht="15" hidden="false" customHeight="true" outlineLevel="0" collapsed="false">
      <c r="A23" s="7" t="n">
        <v>19</v>
      </c>
      <c r="B23" s="7" t="n">
        <f aca="false">'השוואה כוללת'!A16</f>
        <v>16239</v>
      </c>
      <c r="C23" s="7" t="str">
        <f aca="false">'השוואה כוללת'!B16</f>
        <v>394W-35-381 גרבי קיץ לסוכרת</v>
      </c>
      <c r="D23" s="8" t="n">
        <f aca="false">'השוואה כוללת'!C16</f>
        <v>27</v>
      </c>
      <c r="E23" s="8" t="n">
        <f aca="false">'השוואה כוללת'!D16</f>
        <v>17</v>
      </c>
      <c r="F23" s="10" t="n">
        <f aca="false">'השוואה כוללת'!F16</f>
        <v>-0.37037037037037</v>
      </c>
    </row>
    <row r="24" customFormat="false" ht="15" hidden="false" customHeight="true" outlineLevel="0" collapsed="false">
      <c r="A24" s="7" t="n">
        <v>20</v>
      </c>
      <c r="B24" s="7" t="n">
        <f aca="false">'השוואה כוללת'!A118</f>
        <v>64631</v>
      </c>
      <c r="C24" s="7" t="str">
        <f aca="false">'השוואה כוללת'!B118</f>
        <v>URI 390W 39-42   1 גרבי כסף</v>
      </c>
      <c r="D24" s="8" t="n">
        <f aca="false">'השוואה כוללת'!C118</f>
        <v>14</v>
      </c>
      <c r="E24" s="8" t="n">
        <f aca="false">'השוואה כוללת'!D118</f>
        <v>9</v>
      </c>
      <c r="F24" s="10" t="n">
        <f aca="false">'השוואה כוללת'!F118</f>
        <v>-0.357142857142857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30"/>
  </cols>
  <sheetData>
    <row r="1" customFormat="false" ht="16.5" hidden="false" customHeight="true" outlineLevel="0" collapsed="false">
      <c r="A1" s="2" t="s">
        <v>244</v>
      </c>
    </row>
    <row r="2" customFormat="false" ht="15" hidden="false" customHeight="true" outlineLevel="0" collapsed="false">
      <c r="A2" s="3" t="s">
        <v>1</v>
      </c>
      <c r="B2" s="4" t="n">
        <f aca="false">'השוואה כוללת'!B2</f>
        <v>46243</v>
      </c>
    </row>
    <row r="4" customFormat="false" ht="15" hidden="false" customHeight="true" outlineLevel="0" collapsed="false">
      <c r="A4" s="16" t="s">
        <v>245</v>
      </c>
    </row>
    <row r="5" customFormat="false" ht="15" hidden="false" customHeight="true" outlineLevel="0" collapsed="false">
      <c r="A5" s="16" t="s">
        <v>246</v>
      </c>
    </row>
    <row r="6" customFormat="false" ht="15" hidden="false" customHeight="true" outlineLevel="0" collapsed="false">
      <c r="A6" s="16" t="s">
        <v>247</v>
      </c>
    </row>
    <row r="7" customFormat="false" ht="15" hidden="false" customHeight="true" outlineLevel="0" collapsed="false">
      <c r="A7" s="16" t="s">
        <v>248</v>
      </c>
    </row>
    <row r="8" customFormat="false" ht="15" hidden="false" customHeight="true" outlineLevel="0" collapsed="false">
      <c r="A8" s="16"/>
    </row>
    <row r="9" customFormat="false" ht="26.25" hidden="false" customHeight="true" outlineLevel="0" collapsed="false">
      <c r="A9" s="16" t="s">
        <v>249</v>
      </c>
    </row>
    <row r="10" customFormat="false" ht="15" hidden="false" customHeight="true" outlineLevel="0" collapsed="false">
      <c r="A10" s="16"/>
    </row>
    <row r="11" customFormat="false" ht="26.25" hidden="false" customHeight="true" outlineLevel="0" collapsed="false">
      <c r="A11" s="16" t="s">
        <v>250</v>
      </c>
    </row>
    <row r="12" customFormat="false" ht="15" hidden="false" customHeight="true" outlineLevel="0" collapsed="false">
      <c r="A12" s="16"/>
    </row>
    <row r="13" customFormat="false" ht="15" hidden="false" customHeight="true" outlineLevel="0" collapsed="false">
      <c r="A13" s="16" t="s">
        <v>251</v>
      </c>
    </row>
    <row r="14" customFormat="false" ht="15" hidden="false" customHeight="true" outlineLevel="0" collapsed="false">
      <c r="A14" s="16" t="s">
        <v>252</v>
      </c>
    </row>
    <row r="15" customFormat="false" ht="15" hidden="false" customHeight="true" outlineLevel="0" collapsed="false">
      <c r="A15" s="16" t="s">
        <v>253</v>
      </c>
    </row>
    <row r="16" customFormat="false" ht="15" hidden="false" customHeight="true" outlineLevel="0" collapsed="false">
      <c r="A16" s="16" t="s">
        <v>254</v>
      </c>
    </row>
    <row r="17" customFormat="false" ht="15" hidden="false" customHeight="true" outlineLevel="0" collapsed="false">
      <c r="A17" s="16" t="s">
        <v>255</v>
      </c>
    </row>
    <row r="18" customFormat="false" ht="15" hidden="false" customHeight="true" outlineLevel="0" collapsed="false">
      <c r="A18" s="16" t="s">
        <v>256</v>
      </c>
    </row>
    <row r="19" customFormat="false" ht="15" hidden="false" customHeight="true" outlineLevel="0" collapsed="false">
      <c r="A19" s="16"/>
    </row>
    <row r="20" customFormat="false" ht="26.25" hidden="false" customHeight="true" outlineLevel="0" collapsed="false">
      <c r="A20" s="16" t="s">
        <v>257</v>
      </c>
    </row>
    <row r="21" customFormat="false" ht="15" hidden="false" customHeight="true" outlineLevel="0" collapsed="false">
      <c r="A21" s="16"/>
    </row>
    <row r="22" customFormat="false" ht="15" hidden="false" customHeight="true" outlineLevel="0" collapsed="false">
      <c r="A22" s="16" t="s">
        <v>258</v>
      </c>
    </row>
    <row r="23" customFormat="false" ht="15" hidden="false" customHeight="true" outlineLevel="0" collapsed="false">
      <c r="A23" s="16" t="s">
        <v>259</v>
      </c>
    </row>
    <row r="24" customFormat="false" ht="15" hidden="false" customHeight="true" outlineLevel="0" collapsed="false">
      <c r="A24" s="16" t="s">
        <v>260</v>
      </c>
    </row>
    <row r="25" customFormat="false" ht="15" hidden="false" customHeight="true" outlineLevel="0" collapsed="false">
      <c r="A25" s="16" t="s">
        <v>261</v>
      </c>
    </row>
    <row r="26" customFormat="false" ht="15" hidden="false" customHeight="true" outlineLevel="0" collapsed="false">
      <c r="A26" s="16" t="s">
        <v>262</v>
      </c>
    </row>
    <row r="27" customFormat="false" ht="15" hidden="false" customHeight="true" outlineLevel="0" collapsed="false">
      <c r="A27" s="16" t="s">
        <v>263</v>
      </c>
    </row>
    <row r="28" customFormat="false" ht="15" hidden="false" customHeight="true" outlineLevel="0" collapsed="false">
      <c r="A28" s="16"/>
    </row>
    <row r="29" customFormat="false" ht="26.25" hidden="false" customHeight="true" outlineLevel="0" collapsed="false">
      <c r="A29" s="16" t="s">
        <v>264</v>
      </c>
    </row>
    <row r="30" customFormat="false" ht="15" hidden="false" customHeight="true" outlineLevel="0" collapsed="false">
      <c r="A30" s="16"/>
    </row>
    <row r="31" customFormat="false" ht="15" hidden="false" customHeight="true" outlineLevel="0" collapsed="false">
      <c r="A31" s="16" t="s">
        <v>265</v>
      </c>
    </row>
    <row r="32" customFormat="false" ht="15" hidden="false" customHeight="true" outlineLevel="0" collapsed="false">
      <c r="A32" s="16"/>
    </row>
    <row r="33" customFormat="false" ht="15" hidden="false" customHeight="true" outlineLevel="0" collapsed="false">
      <c r="A33" s="16" t="s">
        <v>266</v>
      </c>
    </row>
    <row r="34" customFormat="false" ht="15" hidden="false" customHeight="true" outlineLevel="0" collapsed="false">
      <c r="A34" s="16" t="s">
        <v>267</v>
      </c>
    </row>
    <row r="35" customFormat="false" ht="15" hidden="false" customHeight="true" outlineLevel="0" collapsed="false">
      <c r="A35" s="16" t="s">
        <v>268</v>
      </c>
    </row>
    <row r="36" customFormat="false" ht="15" hidden="false" customHeight="true" outlineLevel="0" collapsed="false">
      <c r="A36" s="16"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270</v>
      </c>
    </row>
    <row r="2" customFormat="false" ht="15" hidden="false" customHeight="true" outlineLevel="0" collapsed="false">
      <c r="A2" s="17" t="s">
        <v>3</v>
      </c>
      <c r="B2" s="17" t="s">
        <v>4</v>
      </c>
      <c r="C2" s="17" t="s">
        <v>271</v>
      </c>
      <c r="D2" s="17" t="s">
        <v>272</v>
      </c>
    </row>
    <row r="3" customFormat="false" ht="15" hidden="false" customHeight="true" outlineLevel="0" collapsed="false">
      <c r="A3" s="3" t="n">
        <v>71086</v>
      </c>
      <c r="B3" s="3" t="s">
        <v>150</v>
      </c>
      <c r="C3" s="3" t="n">
        <v>1</v>
      </c>
      <c r="D3" s="3" t="n">
        <v>5</v>
      </c>
    </row>
    <row r="4" customFormat="false" ht="15" hidden="false" customHeight="true" outlineLevel="0" collapsed="false">
      <c r="A4" s="3" t="n">
        <v>29981</v>
      </c>
      <c r="B4" s="3" t="s">
        <v>45</v>
      </c>
      <c r="C4" s="3" t="n">
        <v>2</v>
      </c>
      <c r="D4" s="3" t="n">
        <v>8</v>
      </c>
    </row>
    <row r="5" customFormat="false" ht="15" hidden="false" customHeight="true" outlineLevel="0" collapsed="false">
      <c r="A5" s="3" t="n">
        <v>16239</v>
      </c>
      <c r="B5" s="3" t="s">
        <v>19</v>
      </c>
      <c r="C5" s="3" t="n">
        <v>2</v>
      </c>
      <c r="D5" s="3" t="n">
        <v>6</v>
      </c>
    </row>
    <row r="6" customFormat="false" ht="15" hidden="false" customHeight="true" outlineLevel="0" collapsed="false">
      <c r="A6" s="3" t="n">
        <v>74672</v>
      </c>
      <c r="B6" s="3" t="s">
        <v>157</v>
      </c>
      <c r="C6" s="3" t="n">
        <v>1</v>
      </c>
      <c r="D6" s="3" t="n">
        <v>3</v>
      </c>
    </row>
    <row r="7" customFormat="false" ht="15" hidden="false" customHeight="true" outlineLevel="0" collapsed="false">
      <c r="A7" s="3" t="n">
        <v>74683</v>
      </c>
      <c r="B7" s="3" t="s">
        <v>159</v>
      </c>
      <c r="C7" s="3" t="n">
        <v>3</v>
      </c>
      <c r="D7" s="3" t="n">
        <v>8</v>
      </c>
    </row>
    <row r="8" customFormat="false" ht="15" hidden="false" customHeight="true" outlineLevel="0" collapsed="false">
      <c r="A8" s="3" t="n">
        <v>59659</v>
      </c>
      <c r="B8" s="3" t="s">
        <v>86</v>
      </c>
      <c r="C8" s="3" t="n">
        <v>10</v>
      </c>
      <c r="D8" s="3" t="n">
        <v>25</v>
      </c>
    </row>
    <row r="9" customFormat="false" ht="15" hidden="false" customHeight="true" outlineLevel="0" collapsed="false">
      <c r="A9" s="3" t="n">
        <v>63416</v>
      </c>
      <c r="B9" s="3" t="s">
        <v>112</v>
      </c>
      <c r="C9" s="3" t="n">
        <v>5</v>
      </c>
      <c r="D9" s="3" t="n">
        <v>11</v>
      </c>
    </row>
    <row r="10" customFormat="false" ht="15" hidden="false" customHeight="true" outlineLevel="0" collapsed="false">
      <c r="A10" s="3" t="n">
        <v>67935</v>
      </c>
      <c r="B10" s="3" t="s">
        <v>142</v>
      </c>
      <c r="C10" s="3" t="n">
        <v>6</v>
      </c>
      <c r="D10" s="3" t="n">
        <v>13</v>
      </c>
    </row>
    <row r="11" customFormat="false" ht="15" hidden="false" customHeight="true" outlineLevel="0" collapsed="false">
      <c r="A11" s="3" t="n">
        <v>52147</v>
      </c>
      <c r="B11" s="3" t="s">
        <v>70</v>
      </c>
      <c r="C11" s="3" t="n">
        <v>8</v>
      </c>
      <c r="D11" s="3" t="n">
        <v>17</v>
      </c>
    </row>
    <row r="12" customFormat="false" ht="15" hidden="false" customHeight="true" outlineLevel="0" collapsed="false">
      <c r="A12" s="3" t="n">
        <v>64632</v>
      </c>
      <c r="B12" s="3" t="s">
        <v>122</v>
      </c>
      <c r="C12" s="3" t="n">
        <v>1</v>
      </c>
      <c r="D12" s="3" t="n">
        <v>2</v>
      </c>
    </row>
    <row r="13" customFormat="false" ht="15" hidden="false" customHeight="true" outlineLevel="0" collapsed="false">
      <c r="A13" s="3" t="n">
        <v>74824</v>
      </c>
      <c r="B13" s="3" t="s">
        <v>180</v>
      </c>
      <c r="C13" s="3" t="n">
        <v>1</v>
      </c>
      <c r="D13" s="3" t="n">
        <v>2</v>
      </c>
    </row>
    <row r="14" customFormat="false" ht="15" hidden="false" customHeight="true" outlineLevel="0" collapsed="false">
      <c r="A14" s="3" t="n">
        <v>20948</v>
      </c>
      <c r="B14" s="3" t="s">
        <v>25</v>
      </c>
      <c r="C14" s="3" t="n">
        <v>1</v>
      </c>
      <c r="D14" s="3" t="n">
        <v>2</v>
      </c>
    </row>
    <row r="15" customFormat="false" ht="15" hidden="false" customHeight="true" outlineLevel="0" collapsed="false">
      <c r="A15" s="3" t="n">
        <v>74931</v>
      </c>
      <c r="B15" s="3" t="s">
        <v>193</v>
      </c>
      <c r="C15" s="3" t="n">
        <v>1</v>
      </c>
      <c r="D15" s="3" t="n">
        <v>2</v>
      </c>
    </row>
    <row r="16" customFormat="false" ht="15" hidden="false" customHeight="true" outlineLevel="0" collapsed="false">
      <c r="A16" s="3" t="n">
        <v>67053</v>
      </c>
      <c r="B16" s="3" t="s">
        <v>135</v>
      </c>
      <c r="C16" s="3" t="n">
        <v>1</v>
      </c>
      <c r="D16" s="3" t="n">
        <v>2</v>
      </c>
    </row>
    <row r="17" customFormat="false" ht="15" hidden="false" customHeight="true" outlineLevel="0" collapsed="false">
      <c r="A17" s="3" t="n">
        <v>28302</v>
      </c>
      <c r="B17" s="3" t="s">
        <v>36</v>
      </c>
      <c r="C17" s="3" t="n">
        <v>1</v>
      </c>
      <c r="D17" s="3" t="n">
        <v>2</v>
      </c>
    </row>
    <row r="18" customFormat="false" ht="15" hidden="false" customHeight="true" outlineLevel="0" collapsed="false">
      <c r="A18" s="3" t="n">
        <v>60473</v>
      </c>
      <c r="B18" s="3" t="s">
        <v>91</v>
      </c>
      <c r="C18" s="3" t="n">
        <v>3</v>
      </c>
      <c r="D18" s="3" t="n">
        <v>5</v>
      </c>
    </row>
    <row r="19" customFormat="false" ht="15" hidden="false" customHeight="true" outlineLevel="0" collapsed="false">
      <c r="A19" s="3" t="n">
        <v>16245</v>
      </c>
      <c r="B19" s="3" t="s">
        <v>21</v>
      </c>
      <c r="C19" s="3" t="n">
        <v>2</v>
      </c>
      <c r="D19" s="3" t="n">
        <v>3</v>
      </c>
    </row>
    <row r="20" customFormat="false" ht="15" hidden="false" customHeight="true" outlineLevel="0" collapsed="false">
      <c r="A20" s="3" t="n">
        <v>16244</v>
      </c>
      <c r="B20" s="3" t="s">
        <v>20</v>
      </c>
      <c r="C20" s="3" t="n">
        <v>2</v>
      </c>
      <c r="D20" s="3" t="n">
        <v>3</v>
      </c>
    </row>
    <row r="21" customFormat="false" ht="15" hidden="false" customHeight="true" outlineLevel="0" collapsed="false">
      <c r="A21" s="3" t="n">
        <v>21003</v>
      </c>
      <c r="B21" s="3" t="s">
        <v>28</v>
      </c>
      <c r="C21" s="3" t="n">
        <v>15</v>
      </c>
      <c r="D21" s="3" t="n">
        <v>22</v>
      </c>
    </row>
    <row r="22" customFormat="false" ht="15" hidden="false" customHeight="true" outlineLevel="0" collapsed="false">
      <c r="A22" s="3" t="n">
        <v>64634</v>
      </c>
      <c r="B22" s="3" t="s">
        <v>124</v>
      </c>
      <c r="C22" s="3" t="n">
        <v>7</v>
      </c>
      <c r="D22" s="3" t="n">
        <v>10</v>
      </c>
    </row>
    <row r="23" customFormat="false" ht="15" hidden="false" customHeight="true" outlineLevel="0" collapsed="false">
      <c r="A23" s="3" t="n">
        <v>8618</v>
      </c>
      <c r="B23" s="3" t="s">
        <v>10</v>
      </c>
      <c r="C23" s="3" t="n">
        <v>12</v>
      </c>
      <c r="D23" s="3" t="n">
        <v>17</v>
      </c>
    </row>
    <row r="24" customFormat="false" ht="15" hidden="false" customHeight="true" outlineLevel="0" collapsed="false">
      <c r="A24" s="3" t="n">
        <v>60476</v>
      </c>
      <c r="B24" s="3" t="s">
        <v>93</v>
      </c>
      <c r="C24" s="3" t="n">
        <v>17</v>
      </c>
      <c r="D24" s="3" t="n">
        <v>24</v>
      </c>
    </row>
    <row r="25" customFormat="false" ht="15" hidden="false" customHeight="true" outlineLevel="0" collapsed="false">
      <c r="A25" s="3" t="n">
        <v>53790</v>
      </c>
      <c r="B25" s="3" t="s">
        <v>76</v>
      </c>
      <c r="C25" s="3" t="n">
        <v>20</v>
      </c>
      <c r="D25" s="3" t="n">
        <v>28</v>
      </c>
    </row>
    <row r="26" customFormat="false" ht="15" hidden="false" customHeight="true" outlineLevel="0" collapsed="false">
      <c r="A26" s="3" t="n">
        <v>55868</v>
      </c>
      <c r="B26" s="3" t="s">
        <v>79</v>
      </c>
      <c r="C26" s="3" t="n">
        <v>5</v>
      </c>
      <c r="D26" s="3" t="n">
        <v>7</v>
      </c>
    </row>
    <row r="27" customFormat="false" ht="15" hidden="false" customHeight="true" outlineLevel="0" collapsed="false">
      <c r="A27" s="3" t="n">
        <v>49772</v>
      </c>
      <c r="B27" s="3" t="s">
        <v>63</v>
      </c>
      <c r="C27" s="3" t="n">
        <v>8</v>
      </c>
      <c r="D27" s="3" t="n">
        <v>11</v>
      </c>
    </row>
    <row r="28" customFormat="false" ht="15" hidden="false" customHeight="true" outlineLevel="0" collapsed="false">
      <c r="A28" s="3" t="n">
        <v>59657</v>
      </c>
      <c r="B28" s="3" t="s">
        <v>85</v>
      </c>
      <c r="C28" s="3" t="n">
        <v>6</v>
      </c>
      <c r="D28" s="3" t="n">
        <v>8</v>
      </c>
    </row>
    <row r="29" customFormat="false" ht="15" hidden="false" customHeight="true" outlineLevel="0" collapsed="false">
      <c r="A29" s="3" t="n">
        <v>63414</v>
      </c>
      <c r="B29" s="3" t="s">
        <v>110</v>
      </c>
      <c r="C29" s="3" t="n">
        <v>18</v>
      </c>
      <c r="D29" s="3" t="n">
        <v>23</v>
      </c>
    </row>
    <row r="30" customFormat="false" ht="15" hidden="false" customHeight="true" outlineLevel="0" collapsed="false">
      <c r="A30" s="3" t="n">
        <v>85165</v>
      </c>
      <c r="B30" s="3" t="s">
        <v>217</v>
      </c>
      <c r="C30" s="3" t="n">
        <v>11</v>
      </c>
      <c r="D30" s="3" t="n">
        <v>14</v>
      </c>
    </row>
    <row r="31" customFormat="false" ht="15" hidden="false" customHeight="true" outlineLevel="0" collapsed="false">
      <c r="A31" s="3" t="n">
        <v>64638</v>
      </c>
      <c r="B31" s="3" t="s">
        <v>128</v>
      </c>
      <c r="C31" s="3" t="n">
        <v>4</v>
      </c>
      <c r="D31" s="3" t="n">
        <v>5</v>
      </c>
    </row>
    <row r="32" customFormat="false" ht="15" hidden="false" customHeight="true" outlineLevel="0" collapsed="false">
      <c r="A32" s="3" t="n">
        <v>60471</v>
      </c>
      <c r="B32" s="3" t="s">
        <v>89</v>
      </c>
      <c r="C32" s="3" t="n">
        <v>13</v>
      </c>
      <c r="D32" s="3" t="n">
        <v>16</v>
      </c>
    </row>
    <row r="33" customFormat="false" ht="15" hidden="false" customHeight="true" outlineLevel="0" collapsed="false">
      <c r="A33" s="3" t="n">
        <v>85338</v>
      </c>
      <c r="B33" s="3" t="s">
        <v>218</v>
      </c>
      <c r="C33" s="3" t="n">
        <v>15</v>
      </c>
      <c r="D33" s="3" t="n">
        <v>18</v>
      </c>
    </row>
    <row r="34" customFormat="false" ht="15" hidden="false" customHeight="true" outlineLevel="0" collapsed="false">
      <c r="A34" s="3" t="n">
        <v>63418</v>
      </c>
      <c r="B34" s="3" t="s">
        <v>114</v>
      </c>
      <c r="C34" s="3" t="n">
        <v>5</v>
      </c>
      <c r="D34" s="3" t="n">
        <v>6</v>
      </c>
    </row>
    <row r="35" customFormat="false" ht="15" hidden="false" customHeight="true" outlineLevel="0" collapsed="false">
      <c r="A35" s="3" t="n">
        <v>63419</v>
      </c>
      <c r="B35" s="3" t="s">
        <v>115</v>
      </c>
      <c r="C35" s="3" t="n">
        <v>5</v>
      </c>
      <c r="D35" s="3" t="n">
        <v>6</v>
      </c>
    </row>
    <row r="36" customFormat="false" ht="15" hidden="false" customHeight="true" outlineLevel="0" collapsed="false">
      <c r="A36" s="3" t="n">
        <v>53789</v>
      </c>
      <c r="B36" s="3" t="s">
        <v>75</v>
      </c>
      <c r="C36" s="3" t="n">
        <v>12</v>
      </c>
      <c r="D36" s="3" t="n">
        <v>14</v>
      </c>
    </row>
    <row r="37" customFormat="false" ht="15" hidden="false" customHeight="true" outlineLevel="0" collapsed="false">
      <c r="A37" s="3" t="n">
        <v>80182</v>
      </c>
      <c r="B37" s="3" t="s">
        <v>207</v>
      </c>
      <c r="C37" s="3" t="n">
        <v>12</v>
      </c>
      <c r="D37" s="3" t="n">
        <v>14</v>
      </c>
    </row>
    <row r="38" customFormat="false" ht="15" hidden="false" customHeight="true" outlineLevel="0" collapsed="false">
      <c r="A38" s="3" t="n">
        <v>20998</v>
      </c>
      <c r="B38" s="3" t="s">
        <v>27</v>
      </c>
      <c r="C38" s="3" t="n">
        <v>6</v>
      </c>
      <c r="D38" s="3" t="n">
        <v>7</v>
      </c>
    </row>
    <row r="39" customFormat="false" ht="15" hidden="false" customHeight="true" outlineLevel="0" collapsed="false">
      <c r="A39" s="3" t="n">
        <v>88474</v>
      </c>
      <c r="B39" s="3" t="s">
        <v>222</v>
      </c>
      <c r="C39" s="3" t="n">
        <v>6</v>
      </c>
      <c r="D39" s="3" t="n">
        <v>7</v>
      </c>
    </row>
    <row r="40" customFormat="false" ht="15" hidden="false" customHeight="true" outlineLevel="0" collapsed="false">
      <c r="A40" s="3" t="n">
        <v>74764</v>
      </c>
      <c r="B40" s="3" t="s">
        <v>169</v>
      </c>
      <c r="C40" s="3" t="n">
        <v>6</v>
      </c>
      <c r="D40" s="3" t="n">
        <v>7</v>
      </c>
    </row>
    <row r="41" customFormat="false" ht="15" hidden="false" customHeight="true" outlineLevel="0" collapsed="false">
      <c r="A41" s="3" t="n">
        <v>9772</v>
      </c>
      <c r="B41" s="3" t="s">
        <v>12</v>
      </c>
      <c r="C41" s="3" t="n">
        <v>20</v>
      </c>
      <c r="D41" s="3" t="n">
        <v>23</v>
      </c>
    </row>
    <row r="42" customFormat="false" ht="15" hidden="false" customHeight="true" outlineLevel="0" collapsed="false">
      <c r="A42" s="3" t="n">
        <v>74799</v>
      </c>
      <c r="B42" s="3" t="s">
        <v>170</v>
      </c>
      <c r="C42" s="3" t="n">
        <v>30</v>
      </c>
      <c r="D42" s="3" t="n">
        <v>34</v>
      </c>
    </row>
    <row r="43" customFormat="false" ht="15" hidden="false" customHeight="true" outlineLevel="0" collapsed="false">
      <c r="A43" s="3" t="n">
        <v>67960</v>
      </c>
      <c r="B43" s="3" t="s">
        <v>146</v>
      </c>
      <c r="C43" s="3" t="n">
        <v>8</v>
      </c>
      <c r="D43" s="3" t="n">
        <v>9</v>
      </c>
    </row>
    <row r="44" customFormat="false" ht="15" hidden="false" customHeight="true" outlineLevel="0" collapsed="false">
      <c r="A44" s="3" t="n">
        <v>21004</v>
      </c>
      <c r="B44" s="3" t="s">
        <v>29</v>
      </c>
      <c r="C44" s="3" t="n">
        <v>9</v>
      </c>
      <c r="D44" s="3" t="n">
        <v>10</v>
      </c>
    </row>
    <row r="45" customFormat="false" ht="15" hidden="false" customHeight="true" outlineLevel="0" collapsed="false">
      <c r="A45" s="3" t="n">
        <v>24612</v>
      </c>
      <c r="B45" s="3" t="s">
        <v>33</v>
      </c>
      <c r="C45" s="3" t="n">
        <v>38</v>
      </c>
      <c r="D45" s="3" t="n">
        <v>42</v>
      </c>
    </row>
    <row r="46" customFormat="false" ht="15" hidden="false" customHeight="true" outlineLevel="0" collapsed="false">
      <c r="A46" s="3" t="n">
        <v>74801</v>
      </c>
      <c r="B46" s="3" t="s">
        <v>172</v>
      </c>
      <c r="C46" s="3" t="n">
        <v>19</v>
      </c>
      <c r="D46" s="3" t="n">
        <v>21</v>
      </c>
    </row>
    <row r="47" customFormat="false" ht="15" hidden="false" customHeight="true" outlineLevel="0" collapsed="false">
      <c r="A47" s="3" t="n">
        <v>71087</v>
      </c>
      <c r="B47" s="3" t="s">
        <v>151</v>
      </c>
      <c r="C47" s="3" t="n">
        <v>10</v>
      </c>
      <c r="D47" s="3" t="n">
        <v>11</v>
      </c>
    </row>
    <row r="48" customFormat="false" ht="15" hidden="false" customHeight="true" outlineLevel="0" collapsed="false">
      <c r="A48" s="3" t="n">
        <v>19082</v>
      </c>
      <c r="B48" s="3" t="s">
        <v>23</v>
      </c>
      <c r="C48" s="3" t="n">
        <v>11</v>
      </c>
      <c r="D48" s="3" t="n">
        <v>12</v>
      </c>
    </row>
    <row r="49" customFormat="false" ht="15" hidden="false" customHeight="true" outlineLevel="0" collapsed="false">
      <c r="A49" s="3" t="n">
        <v>71204</v>
      </c>
      <c r="B49" s="3" t="s">
        <v>153</v>
      </c>
      <c r="C49" s="3" t="n">
        <v>97</v>
      </c>
      <c r="D49" s="3" t="n">
        <v>105</v>
      </c>
    </row>
    <row r="50" customFormat="false" ht="15" hidden="false" customHeight="true" outlineLevel="0" collapsed="false">
      <c r="A50" s="3" t="n">
        <v>63415</v>
      </c>
      <c r="B50" s="3" t="s">
        <v>111</v>
      </c>
      <c r="C50" s="3" t="n">
        <v>33</v>
      </c>
      <c r="D50" s="3" t="n">
        <v>35</v>
      </c>
    </row>
    <row r="51" customFormat="false" ht="15" hidden="false" customHeight="true" outlineLevel="0" collapsed="false">
      <c r="A51" s="3" t="n">
        <v>51568</v>
      </c>
      <c r="B51" s="3" t="s">
        <v>69</v>
      </c>
      <c r="C51" s="3" t="n">
        <v>57</v>
      </c>
      <c r="D51" s="3" t="n">
        <v>60</v>
      </c>
    </row>
    <row r="52" customFormat="false" ht="15" hidden="false" customHeight="true" outlineLevel="0" collapsed="false">
      <c r="A52" s="3" t="n">
        <v>23008</v>
      </c>
      <c r="B52" s="3" t="s">
        <v>32</v>
      </c>
      <c r="C52" s="3" t="n">
        <v>22</v>
      </c>
      <c r="D52" s="3" t="n">
        <v>23</v>
      </c>
    </row>
    <row r="53" customFormat="false" ht="15" hidden="false" customHeight="true" outlineLevel="0" collapsed="false">
      <c r="A53" s="3" t="n">
        <v>52323</v>
      </c>
      <c r="B53" s="3" t="s">
        <v>71</v>
      </c>
      <c r="C53" s="3" t="n">
        <v>27</v>
      </c>
      <c r="D53" s="3" t="n">
        <v>27</v>
      </c>
    </row>
    <row r="54" customFormat="false" ht="15" hidden="false" customHeight="true" outlineLevel="0" collapsed="false">
      <c r="A54" s="3" t="n">
        <v>59656</v>
      </c>
      <c r="B54" s="3" t="s">
        <v>84</v>
      </c>
      <c r="C54" s="3" t="n">
        <v>19</v>
      </c>
      <c r="D54" s="3" t="n">
        <v>19</v>
      </c>
    </row>
    <row r="55" customFormat="false" ht="15" hidden="false" customHeight="true" outlineLevel="0" collapsed="false">
      <c r="A55" s="3" t="n">
        <v>65243</v>
      </c>
      <c r="B55" s="3" t="s">
        <v>131</v>
      </c>
      <c r="C55" s="3" t="n">
        <v>14</v>
      </c>
      <c r="D55" s="3" t="n">
        <v>14</v>
      </c>
    </row>
    <row r="56" customFormat="false" ht="15" hidden="false" customHeight="true" outlineLevel="0" collapsed="false">
      <c r="A56" s="3" t="n">
        <v>66485</v>
      </c>
      <c r="B56" s="3" t="s">
        <v>133</v>
      </c>
      <c r="C56" s="3" t="n">
        <v>10</v>
      </c>
      <c r="D56" s="3" t="n">
        <v>10</v>
      </c>
    </row>
    <row r="57" customFormat="false" ht="15" hidden="false" customHeight="true" outlineLevel="0" collapsed="false">
      <c r="A57" s="3" t="n">
        <v>79327</v>
      </c>
      <c r="B57" s="3" t="s">
        <v>206</v>
      </c>
      <c r="C57" s="3" t="n">
        <v>8</v>
      </c>
      <c r="D57" s="3" t="n">
        <v>8</v>
      </c>
    </row>
    <row r="58" customFormat="false" ht="15" hidden="false" customHeight="true" outlineLevel="0" collapsed="false">
      <c r="A58" s="3" t="n">
        <v>64635</v>
      </c>
      <c r="B58" s="3" t="s">
        <v>125</v>
      </c>
      <c r="C58" s="3" t="n">
        <v>7</v>
      </c>
      <c r="D58" s="3" t="n">
        <v>7</v>
      </c>
    </row>
    <row r="59" customFormat="false" ht="15" hidden="false" customHeight="true" outlineLevel="0" collapsed="false">
      <c r="A59" s="3" t="n">
        <v>75763</v>
      </c>
      <c r="B59" s="3" t="s">
        <v>199</v>
      </c>
      <c r="C59" s="3" t="n">
        <v>6</v>
      </c>
      <c r="D59" s="3" t="n">
        <v>6</v>
      </c>
    </row>
    <row r="60" customFormat="false" ht="15" hidden="false" customHeight="true" outlineLevel="0" collapsed="false">
      <c r="A60" s="3" t="n">
        <v>74671</v>
      </c>
      <c r="B60" s="3" t="s">
        <v>156</v>
      </c>
      <c r="C60" s="3" t="n">
        <v>3</v>
      </c>
      <c r="D60" s="3" t="n">
        <v>3</v>
      </c>
    </row>
    <row r="61" customFormat="false" ht="15" hidden="false" customHeight="true" outlineLevel="0" collapsed="false">
      <c r="A61" s="3" t="n">
        <v>88476</v>
      </c>
      <c r="B61" s="3" t="s">
        <v>224</v>
      </c>
      <c r="C61" s="3" t="n">
        <v>3</v>
      </c>
      <c r="D61" s="3" t="n">
        <v>3</v>
      </c>
    </row>
    <row r="62" customFormat="false" ht="15" hidden="false" customHeight="true" outlineLevel="0" collapsed="false">
      <c r="A62" s="3" t="n">
        <v>74821</v>
      </c>
      <c r="B62" s="3" t="s">
        <v>177</v>
      </c>
      <c r="C62" s="3" t="n">
        <v>2</v>
      </c>
      <c r="D62" s="3" t="n">
        <v>2</v>
      </c>
    </row>
    <row r="63" customFormat="false" ht="15" hidden="false" customHeight="true" outlineLevel="0" collapsed="false">
      <c r="A63" s="3" t="n">
        <v>63407</v>
      </c>
      <c r="B63" s="3" t="s">
        <v>109</v>
      </c>
      <c r="C63" s="3" t="n">
        <v>1</v>
      </c>
      <c r="D63" s="3" t="n">
        <v>1</v>
      </c>
    </row>
    <row r="64" customFormat="false" ht="15" hidden="false" customHeight="true" outlineLevel="0" collapsed="false">
      <c r="A64" s="3" t="n">
        <v>64636</v>
      </c>
      <c r="B64" s="3" t="s">
        <v>126</v>
      </c>
      <c r="C64" s="3" t="n">
        <v>1</v>
      </c>
      <c r="D64" s="3" t="n">
        <v>1</v>
      </c>
    </row>
    <row r="65" customFormat="false" ht="15" hidden="false" customHeight="true" outlineLevel="0" collapsed="false">
      <c r="A65" s="3" t="n">
        <v>50057</v>
      </c>
      <c r="B65" s="3" t="s">
        <v>66</v>
      </c>
      <c r="C65" s="3" t="n">
        <v>1</v>
      </c>
      <c r="D65" s="3" t="n">
        <v>1</v>
      </c>
    </row>
    <row r="66" customFormat="false" ht="15" hidden="false" customHeight="true" outlineLevel="0" collapsed="false">
      <c r="A66" s="3" t="n">
        <v>28323</v>
      </c>
      <c r="B66" s="3" t="s">
        <v>37</v>
      </c>
      <c r="C66" s="3" t="n">
        <v>1</v>
      </c>
      <c r="D66" s="3" t="n">
        <v>1</v>
      </c>
    </row>
    <row r="67" customFormat="false" ht="15" hidden="false" customHeight="true" outlineLevel="0" collapsed="false">
      <c r="A67" s="3" t="n">
        <v>74805</v>
      </c>
      <c r="B67" s="3" t="s">
        <v>173</v>
      </c>
      <c r="C67" s="3" t="n">
        <v>1</v>
      </c>
      <c r="D67" s="3" t="n">
        <v>1</v>
      </c>
    </row>
    <row r="68" customFormat="false" ht="15" hidden="false" customHeight="true" outlineLevel="0" collapsed="false">
      <c r="A68" s="3" t="n">
        <v>31183</v>
      </c>
      <c r="B68" s="3" t="s">
        <v>47</v>
      </c>
      <c r="C68" s="3" t="n">
        <v>35</v>
      </c>
      <c r="D68" s="3" t="n">
        <v>34</v>
      </c>
    </row>
    <row r="69" customFormat="false" ht="15" hidden="false" customHeight="true" outlineLevel="0" collapsed="false">
      <c r="A69" s="3" t="n">
        <v>52328</v>
      </c>
      <c r="B69" s="3" t="s">
        <v>74</v>
      </c>
      <c r="C69" s="3" t="n">
        <v>19</v>
      </c>
      <c r="D69" s="3" t="n">
        <v>18</v>
      </c>
    </row>
    <row r="70" customFormat="false" ht="15" hidden="false" customHeight="true" outlineLevel="0" collapsed="false">
      <c r="A70" s="3" t="n">
        <v>74709</v>
      </c>
      <c r="B70" s="3" t="s">
        <v>165</v>
      </c>
      <c r="C70" s="3" t="n">
        <v>40</v>
      </c>
      <c r="D70" s="3" t="n">
        <v>37</v>
      </c>
    </row>
    <row r="71" customFormat="false" ht="15" hidden="false" customHeight="true" outlineLevel="0" collapsed="false">
      <c r="A71" s="3" t="n">
        <v>31190</v>
      </c>
      <c r="B71" s="3" t="s">
        <v>49</v>
      </c>
      <c r="C71" s="3" t="n">
        <v>22</v>
      </c>
      <c r="D71" s="3" t="n">
        <v>20</v>
      </c>
    </row>
    <row r="72" customFormat="false" ht="15" hidden="false" customHeight="true" outlineLevel="0" collapsed="false">
      <c r="A72" s="3" t="n">
        <v>59679</v>
      </c>
      <c r="B72" s="3" t="s">
        <v>87</v>
      </c>
      <c r="C72" s="3" t="n">
        <v>60</v>
      </c>
      <c r="D72" s="3" t="n">
        <v>54</v>
      </c>
    </row>
    <row r="73" customFormat="false" ht="15" hidden="false" customHeight="true" outlineLevel="0" collapsed="false">
      <c r="A73" s="3" t="n">
        <v>51567</v>
      </c>
      <c r="B73" s="3" t="s">
        <v>68</v>
      </c>
      <c r="C73" s="3" t="n">
        <v>134</v>
      </c>
      <c r="D73" s="3" t="n">
        <v>120</v>
      </c>
    </row>
    <row r="74" customFormat="false" ht="15" hidden="false" customHeight="true" outlineLevel="0" collapsed="false">
      <c r="A74" s="3" t="n">
        <v>67925</v>
      </c>
      <c r="B74" s="3" t="s">
        <v>141</v>
      </c>
      <c r="C74" s="3" t="n">
        <v>9</v>
      </c>
      <c r="D74" s="3" t="n">
        <v>8</v>
      </c>
    </row>
    <row r="75" customFormat="false" ht="15" hidden="false" customHeight="true" outlineLevel="0" collapsed="false">
      <c r="A75" s="3" t="n">
        <v>60472</v>
      </c>
      <c r="B75" s="3" t="s">
        <v>90</v>
      </c>
      <c r="C75" s="3" t="n">
        <v>40</v>
      </c>
      <c r="D75" s="3" t="n">
        <v>35</v>
      </c>
    </row>
    <row r="76" customFormat="false" ht="15" hidden="false" customHeight="true" outlineLevel="0" collapsed="false">
      <c r="A76" s="3" t="n">
        <v>63449</v>
      </c>
      <c r="B76" s="3" t="s">
        <v>119</v>
      </c>
      <c r="C76" s="3" t="n">
        <v>8</v>
      </c>
      <c r="D76" s="3" t="n">
        <v>7</v>
      </c>
    </row>
    <row r="77" customFormat="false" ht="15" hidden="false" customHeight="true" outlineLevel="0" collapsed="false">
      <c r="A77" s="3" t="n">
        <v>63368</v>
      </c>
      <c r="B77" s="3" t="s">
        <v>105</v>
      </c>
      <c r="C77" s="3" t="n">
        <v>15</v>
      </c>
      <c r="D77" s="3" t="n">
        <v>13</v>
      </c>
    </row>
    <row r="78" customFormat="false" ht="15" hidden="false" customHeight="true" outlineLevel="0" collapsed="false">
      <c r="A78" s="3" t="n">
        <v>9771</v>
      </c>
      <c r="B78" s="3" t="s">
        <v>11</v>
      </c>
      <c r="C78" s="3" t="n">
        <v>21</v>
      </c>
      <c r="D78" s="3" t="n">
        <v>18</v>
      </c>
    </row>
    <row r="79" customFormat="false" ht="15" hidden="false" customHeight="true" outlineLevel="0" collapsed="false">
      <c r="A79" s="3" t="n">
        <v>61962</v>
      </c>
      <c r="B79" s="3" t="s">
        <v>99</v>
      </c>
      <c r="C79" s="3" t="n">
        <v>14</v>
      </c>
      <c r="D79" s="3" t="n">
        <v>12</v>
      </c>
    </row>
    <row r="80" customFormat="false" ht="15" hidden="false" customHeight="true" outlineLevel="0" collapsed="false">
      <c r="A80" s="3" t="n">
        <v>60485</v>
      </c>
      <c r="B80" s="3" t="s">
        <v>96</v>
      </c>
      <c r="C80" s="3" t="n">
        <v>32</v>
      </c>
      <c r="D80" s="3" t="n">
        <v>27</v>
      </c>
    </row>
    <row r="81" customFormat="false" ht="15" hidden="false" customHeight="true" outlineLevel="0" collapsed="false">
      <c r="A81" s="3" t="n">
        <v>16211</v>
      </c>
      <c r="B81" s="3" t="s">
        <v>13</v>
      </c>
      <c r="C81" s="3" t="n">
        <v>6</v>
      </c>
      <c r="D81" s="3" t="n">
        <v>5</v>
      </c>
    </row>
    <row r="82" customFormat="false" ht="15" hidden="false" customHeight="true" outlineLevel="0" collapsed="false">
      <c r="A82" s="3" t="n">
        <v>60478</v>
      </c>
      <c r="B82" s="3" t="s">
        <v>94</v>
      </c>
      <c r="C82" s="3" t="n">
        <v>6</v>
      </c>
      <c r="D82" s="3" t="n">
        <v>5</v>
      </c>
    </row>
    <row r="83" customFormat="false" ht="15" hidden="false" customHeight="true" outlineLevel="0" collapsed="false">
      <c r="A83" s="3" t="n">
        <v>63360</v>
      </c>
      <c r="B83" s="3" t="s">
        <v>101</v>
      </c>
      <c r="C83" s="3" t="n">
        <v>48</v>
      </c>
      <c r="D83" s="3" t="n">
        <v>39</v>
      </c>
    </row>
    <row r="84" customFormat="false" ht="15" hidden="false" customHeight="true" outlineLevel="0" collapsed="false">
      <c r="A84" s="3" t="n">
        <v>64637</v>
      </c>
      <c r="B84" s="3" t="s">
        <v>127</v>
      </c>
      <c r="C84" s="3" t="n">
        <v>5</v>
      </c>
      <c r="D84" s="3" t="n">
        <v>4</v>
      </c>
    </row>
    <row r="85" customFormat="false" ht="15" hidden="false" customHeight="true" outlineLevel="0" collapsed="false">
      <c r="A85" s="3" t="n">
        <v>75762</v>
      </c>
      <c r="B85" s="3" t="s">
        <v>198</v>
      </c>
      <c r="C85" s="3" t="n">
        <v>5</v>
      </c>
      <c r="D85" s="3" t="n">
        <v>4</v>
      </c>
    </row>
    <row r="86" customFormat="false" ht="15" hidden="false" customHeight="true" outlineLevel="0" collapsed="false">
      <c r="A86" s="3" t="n">
        <v>65242</v>
      </c>
      <c r="B86" s="3" t="s">
        <v>130</v>
      </c>
      <c r="C86" s="3" t="n">
        <v>24</v>
      </c>
      <c r="D86" s="3" t="n">
        <v>19</v>
      </c>
    </row>
    <row r="87" customFormat="false" ht="15" hidden="false" customHeight="true" outlineLevel="0" collapsed="false">
      <c r="A87" s="3" t="n">
        <v>63420</v>
      </c>
      <c r="B87" s="3" t="s">
        <v>116</v>
      </c>
      <c r="C87" s="3" t="n">
        <v>24</v>
      </c>
      <c r="D87" s="3" t="n">
        <v>19</v>
      </c>
    </row>
    <row r="88" customFormat="false" ht="15" hidden="false" customHeight="true" outlineLevel="0" collapsed="false">
      <c r="A88" s="3" t="n">
        <v>76452</v>
      </c>
      <c r="B88" s="3" t="s">
        <v>204</v>
      </c>
      <c r="C88" s="3" t="n">
        <v>18</v>
      </c>
      <c r="D88" s="3" t="n">
        <v>14</v>
      </c>
    </row>
    <row r="89" customFormat="false" ht="15" hidden="false" customHeight="true" outlineLevel="0" collapsed="false">
      <c r="A89" s="3" t="n">
        <v>74762</v>
      </c>
      <c r="B89" s="3" t="s">
        <v>167</v>
      </c>
      <c r="C89" s="3" t="n">
        <v>9</v>
      </c>
      <c r="D89" s="3" t="n">
        <v>7</v>
      </c>
    </row>
    <row r="90" customFormat="false" ht="15" hidden="false" customHeight="true" outlineLevel="0" collapsed="false">
      <c r="A90" s="3" t="n">
        <v>47877</v>
      </c>
      <c r="B90" s="3" t="s">
        <v>60</v>
      </c>
      <c r="C90" s="3" t="n">
        <v>17</v>
      </c>
      <c r="D90" s="3" t="n">
        <v>13</v>
      </c>
    </row>
    <row r="91" customFormat="false" ht="15" hidden="false" customHeight="true" outlineLevel="0" collapsed="false">
      <c r="A91" s="3" t="n">
        <v>31188</v>
      </c>
      <c r="B91" s="3" t="s">
        <v>48</v>
      </c>
      <c r="C91" s="3" t="n">
        <v>67</v>
      </c>
      <c r="D91" s="3" t="n">
        <v>50</v>
      </c>
    </row>
    <row r="92" customFormat="false" ht="15" hidden="false" customHeight="true" outlineLevel="0" collapsed="false">
      <c r="A92" s="3" t="n">
        <v>74710</v>
      </c>
      <c r="B92" s="3" t="s">
        <v>166</v>
      </c>
      <c r="C92" s="3" t="n">
        <v>19</v>
      </c>
      <c r="D92" s="3" t="n">
        <v>14</v>
      </c>
    </row>
    <row r="93" customFormat="false" ht="15" hidden="false" customHeight="true" outlineLevel="0" collapsed="false">
      <c r="A93" s="3" t="n">
        <v>74684</v>
      </c>
      <c r="B93" s="3" t="s">
        <v>160</v>
      </c>
      <c r="C93" s="3" t="n">
        <v>11</v>
      </c>
      <c r="D93" s="3" t="n">
        <v>8</v>
      </c>
    </row>
    <row r="94" customFormat="false" ht="15" hidden="false" customHeight="true" outlineLevel="0" collapsed="false">
      <c r="A94" s="3" t="n">
        <v>18559</v>
      </c>
      <c r="B94" s="3" t="s">
        <v>22</v>
      </c>
      <c r="C94" s="3" t="n">
        <v>7</v>
      </c>
      <c r="D94" s="3" t="n">
        <v>5</v>
      </c>
    </row>
    <row r="95" customFormat="false" ht="15" hidden="false" customHeight="true" outlineLevel="0" collapsed="false">
      <c r="A95" s="3" t="n">
        <v>63366</v>
      </c>
      <c r="B95" s="3" t="s">
        <v>103</v>
      </c>
      <c r="C95" s="3" t="n">
        <v>24</v>
      </c>
      <c r="D95" s="3" t="n">
        <v>17</v>
      </c>
    </row>
    <row r="96" customFormat="false" ht="15" hidden="false" customHeight="true" outlineLevel="0" collapsed="false">
      <c r="A96" s="3" t="n">
        <v>65241</v>
      </c>
      <c r="B96" s="3" t="s">
        <v>129</v>
      </c>
      <c r="C96" s="3" t="n">
        <v>20</v>
      </c>
      <c r="D96" s="3" t="n">
        <v>14</v>
      </c>
    </row>
    <row r="97" customFormat="false" ht="15" hidden="false" customHeight="true" outlineLevel="0" collapsed="false">
      <c r="A97" s="3" t="n">
        <v>8616</v>
      </c>
      <c r="B97" s="3" t="s">
        <v>9</v>
      </c>
      <c r="C97" s="3" t="n">
        <v>22</v>
      </c>
      <c r="D97" s="3" t="n">
        <v>15</v>
      </c>
    </row>
    <row r="98" customFormat="false" ht="15" hidden="false" customHeight="true" outlineLevel="0" collapsed="false">
      <c r="A98" s="3" t="n">
        <v>63361</v>
      </c>
      <c r="B98" s="3" t="s">
        <v>102</v>
      </c>
      <c r="C98" s="3" t="n">
        <v>36</v>
      </c>
      <c r="D98" s="3" t="n">
        <v>24</v>
      </c>
    </row>
    <row r="99" customFormat="false" ht="15" hidden="false" customHeight="true" outlineLevel="0" collapsed="false">
      <c r="A99" s="3" t="n">
        <v>60474</v>
      </c>
      <c r="B99" s="3" t="s">
        <v>92</v>
      </c>
      <c r="C99" s="3" t="n">
        <v>12</v>
      </c>
      <c r="D99" s="3" t="n">
        <v>8</v>
      </c>
    </row>
    <row r="100" customFormat="false" ht="15" hidden="false" customHeight="true" outlineLevel="0" collapsed="false">
      <c r="A100" s="3" t="n">
        <v>63422</v>
      </c>
      <c r="B100" s="3" t="s">
        <v>118</v>
      </c>
      <c r="C100" s="3" t="n">
        <v>6</v>
      </c>
      <c r="D100" s="3" t="n">
        <v>4</v>
      </c>
    </row>
    <row r="101" customFormat="false" ht="15" hidden="false" customHeight="true" outlineLevel="0" collapsed="false">
      <c r="A101" s="3" t="n">
        <v>20996</v>
      </c>
      <c r="B101" s="3" t="s">
        <v>26</v>
      </c>
      <c r="C101" s="3" t="n">
        <v>3</v>
      </c>
      <c r="D101" s="3" t="n">
        <v>2</v>
      </c>
    </row>
    <row r="102" customFormat="false" ht="15" hidden="false" customHeight="true" outlineLevel="0" collapsed="false">
      <c r="A102" s="3" t="n">
        <v>74846</v>
      </c>
      <c r="B102" s="3" t="s">
        <v>186</v>
      </c>
      <c r="C102" s="3" t="n">
        <v>3</v>
      </c>
      <c r="D102" s="3" t="n">
        <v>2</v>
      </c>
    </row>
    <row r="103" customFormat="false" ht="15" hidden="false" customHeight="true" outlineLevel="0" collapsed="false">
      <c r="A103" s="3" t="n">
        <v>74708</v>
      </c>
      <c r="B103" s="3" t="s">
        <v>164</v>
      </c>
      <c r="C103" s="3" t="n">
        <v>29</v>
      </c>
      <c r="D103" s="3" t="n">
        <v>19</v>
      </c>
    </row>
    <row r="104" customFormat="false" ht="15" hidden="false" customHeight="true" outlineLevel="0" collapsed="false">
      <c r="A104" s="3" t="n">
        <v>63359</v>
      </c>
      <c r="B104" s="3" t="s">
        <v>100</v>
      </c>
      <c r="C104" s="3" t="n">
        <v>46</v>
      </c>
      <c r="D104" s="3" t="n">
        <v>30</v>
      </c>
    </row>
    <row r="105" customFormat="false" ht="15" hidden="false" customHeight="true" outlineLevel="0" collapsed="false">
      <c r="A105" s="3" t="n">
        <v>61961</v>
      </c>
      <c r="B105" s="3" t="s">
        <v>98</v>
      </c>
      <c r="C105" s="3" t="n">
        <v>14</v>
      </c>
      <c r="D105" s="3" t="n">
        <v>9</v>
      </c>
    </row>
    <row r="106" customFormat="false" ht="15" hidden="false" customHeight="true" outlineLevel="0" collapsed="false">
      <c r="A106" s="3" t="n">
        <v>35339</v>
      </c>
      <c r="B106" s="3" t="s">
        <v>51</v>
      </c>
      <c r="C106" s="3" t="n">
        <v>8</v>
      </c>
      <c r="D106" s="3" t="n">
        <v>5</v>
      </c>
    </row>
    <row r="107" customFormat="false" ht="15" hidden="false" customHeight="true" outlineLevel="0" collapsed="false">
      <c r="A107" s="3" t="n">
        <v>71088</v>
      </c>
      <c r="B107" s="3" t="s">
        <v>152</v>
      </c>
      <c r="C107" s="3" t="n">
        <v>8</v>
      </c>
      <c r="D107" s="3" t="n">
        <v>5</v>
      </c>
    </row>
    <row r="108" customFormat="false" ht="15" hidden="false" customHeight="true" outlineLevel="0" collapsed="false">
      <c r="A108" s="3" t="n">
        <v>16213</v>
      </c>
      <c r="B108" s="3" t="s">
        <v>15</v>
      </c>
      <c r="C108" s="3" t="n">
        <v>23</v>
      </c>
      <c r="D108" s="3" t="n">
        <v>14</v>
      </c>
    </row>
    <row r="109" customFormat="false" ht="15" hidden="false" customHeight="true" outlineLevel="0" collapsed="false">
      <c r="A109" s="3" t="n">
        <v>59694</v>
      </c>
      <c r="B109" s="3" t="s">
        <v>88</v>
      </c>
      <c r="C109" s="3" t="n">
        <v>39</v>
      </c>
      <c r="D109" s="3" t="n">
        <v>23</v>
      </c>
    </row>
    <row r="110" customFormat="false" ht="15" hidden="false" customHeight="true" outlineLevel="0" collapsed="false">
      <c r="A110" s="3" t="n">
        <v>76453</v>
      </c>
      <c r="B110" s="3" t="s">
        <v>205</v>
      </c>
      <c r="C110" s="3" t="n">
        <v>12</v>
      </c>
      <c r="D110" s="3" t="n">
        <v>7</v>
      </c>
    </row>
    <row r="111" customFormat="false" ht="15" hidden="false" customHeight="true" outlineLevel="0" collapsed="false">
      <c r="A111" s="3" t="n">
        <v>63421</v>
      </c>
      <c r="B111" s="3" t="s">
        <v>117</v>
      </c>
      <c r="C111" s="3" t="n">
        <v>12</v>
      </c>
      <c r="D111" s="3" t="n">
        <v>7</v>
      </c>
    </row>
    <row r="112" customFormat="false" ht="15" hidden="false" customHeight="true" outlineLevel="0" collapsed="false">
      <c r="A112" s="3" t="n">
        <v>63367</v>
      </c>
      <c r="B112" s="3" t="s">
        <v>104</v>
      </c>
      <c r="C112" s="3" t="n">
        <v>33</v>
      </c>
      <c r="D112" s="3" t="n">
        <v>19</v>
      </c>
    </row>
    <row r="113" customFormat="false" ht="15" hidden="false" customHeight="true" outlineLevel="0" collapsed="false">
      <c r="A113" s="3" t="n">
        <v>67957</v>
      </c>
      <c r="B113" s="3" t="s">
        <v>145</v>
      </c>
      <c r="C113" s="3" t="n">
        <v>14</v>
      </c>
      <c r="D113" s="3" t="n">
        <v>8</v>
      </c>
    </row>
    <row r="114" customFormat="false" ht="15" hidden="false" customHeight="true" outlineLevel="0" collapsed="false">
      <c r="A114" s="3" t="n">
        <v>74763</v>
      </c>
      <c r="B114" s="3" t="s">
        <v>168</v>
      </c>
      <c r="C114" s="3" t="n">
        <v>9</v>
      </c>
      <c r="D114" s="3" t="n">
        <v>5</v>
      </c>
    </row>
    <row r="115" customFormat="false" ht="15" hidden="false" customHeight="true" outlineLevel="0" collapsed="false">
      <c r="A115" s="3" t="n">
        <v>80668</v>
      </c>
      <c r="B115" s="3" t="s">
        <v>208</v>
      </c>
      <c r="C115" s="3" t="n">
        <v>15</v>
      </c>
      <c r="D115" s="3" t="n">
        <v>8</v>
      </c>
    </row>
    <row r="116" customFormat="false" ht="15" hidden="false" customHeight="true" outlineLevel="0" collapsed="false">
      <c r="A116" s="3" t="n">
        <v>74800</v>
      </c>
      <c r="B116" s="3" t="s">
        <v>171</v>
      </c>
      <c r="C116" s="3" t="n">
        <v>34</v>
      </c>
      <c r="D116" s="3" t="n">
        <v>17</v>
      </c>
    </row>
    <row r="117" customFormat="false" ht="15" hidden="false" customHeight="true" outlineLevel="0" collapsed="false">
      <c r="A117" s="3" t="n">
        <v>52324</v>
      </c>
      <c r="B117" s="3" t="s">
        <v>72</v>
      </c>
      <c r="C117" s="3" t="n">
        <v>16</v>
      </c>
      <c r="D117" s="3" t="n">
        <v>8</v>
      </c>
    </row>
    <row r="118" customFormat="false" ht="15" hidden="false" customHeight="true" outlineLevel="0" collapsed="false">
      <c r="A118" s="3" t="n">
        <v>61344</v>
      </c>
      <c r="B118" s="3" t="s">
        <v>97</v>
      </c>
      <c r="C118" s="3" t="n">
        <v>8</v>
      </c>
      <c r="D118" s="3" t="n">
        <v>4</v>
      </c>
    </row>
    <row r="119" customFormat="false" ht="15" hidden="false" customHeight="true" outlineLevel="0" collapsed="false">
      <c r="A119" s="3" t="n">
        <v>74670</v>
      </c>
      <c r="B119" s="3" t="s">
        <v>155</v>
      </c>
      <c r="C119" s="3" t="n">
        <v>8</v>
      </c>
      <c r="D119" s="3" t="n">
        <v>4</v>
      </c>
    </row>
    <row r="120" customFormat="false" ht="15" hidden="false" customHeight="true" outlineLevel="0" collapsed="false">
      <c r="A120" s="3" t="n">
        <v>42964</v>
      </c>
      <c r="B120" s="3" t="s">
        <v>52</v>
      </c>
      <c r="C120" s="3" t="n">
        <v>6</v>
      </c>
      <c r="D120" s="3" t="n">
        <v>3</v>
      </c>
    </row>
    <row r="121" customFormat="false" ht="15" hidden="false" customHeight="true" outlineLevel="0" collapsed="false">
      <c r="A121" s="3" t="n">
        <v>71683</v>
      </c>
      <c r="B121" s="3" t="s">
        <v>154</v>
      </c>
      <c r="C121" s="3" t="n">
        <v>6</v>
      </c>
      <c r="D121" s="3" t="n">
        <v>3</v>
      </c>
    </row>
    <row r="122" customFormat="false" ht="15" hidden="false" customHeight="true" outlineLevel="0" collapsed="false">
      <c r="A122" s="3" t="n">
        <v>21896</v>
      </c>
      <c r="B122" s="3" t="s">
        <v>30</v>
      </c>
      <c r="C122" s="3" t="n">
        <v>4</v>
      </c>
      <c r="D122" s="3" t="n">
        <v>2</v>
      </c>
    </row>
    <row r="123" customFormat="false" ht="15" hidden="false" customHeight="true" outlineLevel="0" collapsed="false">
      <c r="A123" s="3" t="n">
        <v>75764</v>
      </c>
      <c r="B123" s="3" t="s">
        <v>200</v>
      </c>
      <c r="C123" s="3" t="n">
        <v>4</v>
      </c>
      <c r="D123" s="3" t="n">
        <v>2</v>
      </c>
    </row>
    <row r="124" customFormat="false" ht="15" hidden="false" customHeight="true" outlineLevel="0" collapsed="false">
      <c r="A124" s="3" t="n">
        <v>16214</v>
      </c>
      <c r="B124" s="3" t="s">
        <v>16</v>
      </c>
      <c r="C124" s="3" t="n">
        <v>2</v>
      </c>
      <c r="D124" s="3" t="n">
        <v>1</v>
      </c>
    </row>
    <row r="125" customFormat="false" ht="15" hidden="false" customHeight="true" outlineLevel="0" collapsed="false">
      <c r="A125" s="3" t="n">
        <v>74807</v>
      </c>
      <c r="B125" s="3" t="s">
        <v>175</v>
      </c>
      <c r="C125" s="3" t="n">
        <v>2</v>
      </c>
      <c r="D125" s="3" t="n">
        <v>1</v>
      </c>
    </row>
    <row r="126" customFormat="false" ht="15" hidden="false" customHeight="true" outlineLevel="0" collapsed="false">
      <c r="A126" s="3" t="n">
        <v>50022</v>
      </c>
      <c r="B126" s="3" t="s">
        <v>64</v>
      </c>
      <c r="C126" s="3" t="n">
        <v>2</v>
      </c>
      <c r="D126" s="3" t="n">
        <v>1</v>
      </c>
    </row>
    <row r="127" customFormat="false" ht="15" hidden="false" customHeight="true" outlineLevel="0" collapsed="false">
      <c r="A127" s="3" t="n">
        <v>74687</v>
      </c>
      <c r="B127" s="3" t="s">
        <v>162</v>
      </c>
      <c r="C127" s="3" t="n">
        <v>2</v>
      </c>
      <c r="D127" s="3" t="n">
        <v>1</v>
      </c>
    </row>
    <row r="128" customFormat="false" ht="15" hidden="false" customHeight="true" outlineLevel="0" collapsed="false">
      <c r="A128" s="3" t="n">
        <v>67895</v>
      </c>
      <c r="B128" s="3" t="s">
        <v>139</v>
      </c>
      <c r="C128" s="3" t="n">
        <v>2</v>
      </c>
      <c r="D128" s="3" t="n">
        <v>1</v>
      </c>
    </row>
    <row r="129" customFormat="false" ht="15" hidden="false" customHeight="true" outlineLevel="0" collapsed="false">
      <c r="A129" s="3" t="n">
        <v>74848</v>
      </c>
      <c r="B129" s="3" t="s">
        <v>188</v>
      </c>
      <c r="C129" s="3" t="n">
        <v>2</v>
      </c>
      <c r="D129" s="3" t="n">
        <v>1</v>
      </c>
    </row>
    <row r="130" customFormat="false" ht="15" hidden="false" customHeight="true" outlineLevel="0" collapsed="false">
      <c r="A130" s="3" t="n">
        <v>83668</v>
      </c>
      <c r="B130" s="3" t="s">
        <v>216</v>
      </c>
      <c r="C130" s="3" t="n">
        <v>145</v>
      </c>
      <c r="D130" s="3" t="n">
        <v>67</v>
      </c>
    </row>
    <row r="131" customFormat="false" ht="15" hidden="false" customHeight="true" outlineLevel="0" collapsed="false">
      <c r="A131" s="3" t="n">
        <v>19083</v>
      </c>
      <c r="B131" s="3" t="s">
        <v>24</v>
      </c>
      <c r="C131" s="3" t="n">
        <v>7</v>
      </c>
      <c r="D131" s="3" t="n">
        <v>3</v>
      </c>
    </row>
    <row r="132" customFormat="false" ht="15" hidden="false" customHeight="true" outlineLevel="0" collapsed="false">
      <c r="A132" s="3" t="n">
        <v>53791</v>
      </c>
      <c r="B132" s="3" t="s">
        <v>77</v>
      </c>
      <c r="C132" s="3" t="n">
        <v>31</v>
      </c>
      <c r="D132" s="3" t="n">
        <v>13</v>
      </c>
    </row>
    <row r="133" customFormat="false" ht="15" hidden="false" customHeight="true" outlineLevel="0" collapsed="false">
      <c r="A133" s="3" t="n">
        <v>16212</v>
      </c>
      <c r="B133" s="3" t="s">
        <v>14</v>
      </c>
      <c r="C133" s="3" t="n">
        <v>15</v>
      </c>
      <c r="D133" s="3" t="n">
        <v>6</v>
      </c>
    </row>
    <row r="134" customFormat="false" ht="15" hidden="false" customHeight="true" outlineLevel="0" collapsed="false">
      <c r="A134" s="3" t="n">
        <v>29881</v>
      </c>
      <c r="B134" s="3" t="s">
        <v>43</v>
      </c>
      <c r="C134" s="3" t="n">
        <v>10</v>
      </c>
      <c r="D134" s="3" t="n">
        <v>4</v>
      </c>
    </row>
    <row r="135" customFormat="false" ht="15" hidden="false" customHeight="true" outlineLevel="0" collapsed="false">
      <c r="A135" s="3" t="n">
        <v>67385</v>
      </c>
      <c r="B135" s="3" t="s">
        <v>138</v>
      </c>
      <c r="C135" s="3" t="n">
        <v>39</v>
      </c>
      <c r="D135" s="3" t="n">
        <v>14</v>
      </c>
    </row>
    <row r="136" customFormat="false" ht="15" hidden="false" customHeight="true" outlineLevel="0" collapsed="false">
      <c r="A136" s="3" t="n">
        <v>86583</v>
      </c>
      <c r="B136" s="3" t="s">
        <v>219</v>
      </c>
      <c r="C136" s="3" t="n">
        <v>3</v>
      </c>
      <c r="D136" s="3" t="n">
        <v>1</v>
      </c>
    </row>
    <row r="137" customFormat="false" ht="15" hidden="false" customHeight="true" outlineLevel="0" collapsed="false">
      <c r="A137" s="3" t="n">
        <v>64631</v>
      </c>
      <c r="B137" s="3" t="s">
        <v>121</v>
      </c>
      <c r="C137" s="3" t="n">
        <v>7</v>
      </c>
      <c r="D137" s="3" t="n">
        <v>2</v>
      </c>
    </row>
    <row r="138" customFormat="false" ht="15" hidden="false" customHeight="true" outlineLevel="0" collapsed="false">
      <c r="A138" s="3" t="n">
        <v>74682</v>
      </c>
      <c r="B138" s="3" t="s">
        <v>158</v>
      </c>
      <c r="C138" s="3" t="n">
        <v>11</v>
      </c>
      <c r="D138" s="3" t="n">
        <v>3</v>
      </c>
    </row>
    <row r="139" customFormat="false" ht="15" hidden="false" customHeight="true" outlineLevel="0" collapsed="false">
      <c r="A139" s="3" t="n">
        <v>60484</v>
      </c>
      <c r="B139" s="3" t="s">
        <v>95</v>
      </c>
      <c r="C139" s="3" t="n">
        <v>18</v>
      </c>
      <c r="D139" s="3" t="n">
        <v>4</v>
      </c>
    </row>
    <row r="140" customFormat="false" ht="15" hidden="false" customHeight="true" outlineLevel="0" collapsed="false">
      <c r="A140" s="3" t="n">
        <v>21897</v>
      </c>
      <c r="B140" s="3" t="s">
        <v>31</v>
      </c>
      <c r="C140" s="3" t="n">
        <v>5</v>
      </c>
      <c r="D140" s="3" t="n">
        <v>1</v>
      </c>
    </row>
    <row r="141" customFormat="false" ht="15" hidden="false" customHeight="true" outlineLevel="0" collapsed="false">
      <c r="A141" s="3" t="n">
        <v>65743</v>
      </c>
      <c r="B141" s="3" t="s">
        <v>132</v>
      </c>
      <c r="C141" s="3" t="n">
        <v>5</v>
      </c>
      <c r="D141" s="3" t="n">
        <v>1</v>
      </c>
    </row>
    <row r="142" customFormat="false" ht="15" hidden="false" customHeight="true" outlineLevel="0" collapsed="false">
      <c r="A142" s="3" t="n">
        <v>88477</v>
      </c>
      <c r="B142" s="3" t="s">
        <v>225</v>
      </c>
      <c r="C142" s="3" t="n">
        <v>7</v>
      </c>
      <c r="D142" s="3" t="n">
        <v>1</v>
      </c>
    </row>
    <row r="143" customFormat="false" ht="15" hidden="false" customHeight="true" outlineLevel="0" collapsed="false">
      <c r="A143" s="3" t="n">
        <v>63417</v>
      </c>
      <c r="B143" s="3" t="s">
        <v>113</v>
      </c>
      <c r="C143" s="3" t="n">
        <v>6</v>
      </c>
      <c r="D143" s="3" t="n">
        <v>0</v>
      </c>
    </row>
    <row r="144" customFormat="false" ht="15" hidden="false" customHeight="true" outlineLevel="0" collapsed="false">
      <c r="A144" s="3" t="n">
        <v>16217</v>
      </c>
      <c r="B144" s="3" t="s">
        <v>17</v>
      </c>
      <c r="C144" s="3" t="n">
        <v>5</v>
      </c>
      <c r="D144" s="3" t="n">
        <v>0</v>
      </c>
    </row>
    <row r="145" customFormat="false" ht="15" hidden="false" customHeight="true" outlineLevel="0" collapsed="false">
      <c r="A145" s="3" t="n">
        <v>16237</v>
      </c>
      <c r="B145" s="3" t="s">
        <v>18</v>
      </c>
      <c r="C145" s="3" t="n">
        <v>4</v>
      </c>
      <c r="D145" s="3" t="n">
        <v>0</v>
      </c>
    </row>
    <row r="146" customFormat="false" ht="15" hidden="false" customHeight="true" outlineLevel="0" collapsed="false">
      <c r="A146" s="3" t="n">
        <v>63406</v>
      </c>
      <c r="B146" s="3" t="s">
        <v>108</v>
      </c>
      <c r="C146" s="3" t="n">
        <v>3</v>
      </c>
      <c r="D146" s="3" t="n">
        <v>0</v>
      </c>
    </row>
    <row r="147" customFormat="false" ht="15" hidden="false" customHeight="true" outlineLevel="0" collapsed="false">
      <c r="A147" s="3" t="n">
        <v>45264</v>
      </c>
      <c r="B147" s="3" t="s">
        <v>56</v>
      </c>
      <c r="C147" s="3" t="n">
        <v>2</v>
      </c>
      <c r="D147" s="3" t="n">
        <v>0</v>
      </c>
    </row>
    <row r="148" customFormat="false" ht="15" hidden="false" customHeight="true" outlineLevel="0" collapsed="false">
      <c r="A148" s="3" t="n">
        <v>74686</v>
      </c>
      <c r="B148" s="3" t="s">
        <v>161</v>
      </c>
      <c r="C148" s="3" t="n">
        <v>1</v>
      </c>
      <c r="D148" s="3" t="n">
        <v>0</v>
      </c>
    </row>
    <row r="149" customFormat="false" ht="15" hidden="false" customHeight="true" outlineLevel="0" collapsed="false">
      <c r="A149" s="3" t="n">
        <v>28331</v>
      </c>
      <c r="B149" s="3" t="s">
        <v>38</v>
      </c>
      <c r="C149" s="3" t="n">
        <v>1</v>
      </c>
      <c r="D149" s="3" t="n">
        <v>0</v>
      </c>
    </row>
    <row r="150" customFormat="false" ht="15" hidden="false" customHeight="true" outlineLevel="0" collapsed="false">
      <c r="A150" s="3" t="n">
        <v>67939</v>
      </c>
      <c r="B150" s="3" t="s">
        <v>143</v>
      </c>
      <c r="C150" s="3" t="n">
        <v>1</v>
      </c>
      <c r="D150" s="3" t="n">
        <v>0</v>
      </c>
    </row>
    <row r="151" customFormat="false" ht="15" hidden="false" customHeight="true" outlineLevel="0" collapsed="false">
      <c r="A151" s="3" t="n">
        <v>67056</v>
      </c>
      <c r="B151" s="3" t="s">
        <v>137</v>
      </c>
      <c r="C151" s="3" t="n">
        <v>1</v>
      </c>
      <c r="D151" s="3" t="n">
        <v>0</v>
      </c>
    </row>
    <row r="152" customFormat="false" ht="15" hidden="false" customHeight="true" outlineLevel="0" collapsed="false">
      <c r="A152" s="3" t="n">
        <v>67949</v>
      </c>
      <c r="B152" s="3" t="s">
        <v>144</v>
      </c>
      <c r="C152" s="3" t="n">
        <v>1</v>
      </c>
      <c r="D152" s="3" t="n">
        <v>0</v>
      </c>
    </row>
    <row r="153" customFormat="false" ht="15" hidden="false" customHeight="true" outlineLevel="0" collapsed="false">
      <c r="A153" s="3" t="n">
        <v>50061</v>
      </c>
      <c r="B153" s="3" t="s">
        <v>67</v>
      </c>
      <c r="C153" s="3" t="n">
        <v>1</v>
      </c>
      <c r="D153" s="3" t="n">
        <v>0</v>
      </c>
    </row>
    <row r="154" customFormat="false" ht="15" hidden="false" customHeight="true" outlineLevel="0" collapsed="false">
      <c r="A154" s="3" t="n">
        <v>29984</v>
      </c>
      <c r="B154" s="3" t="s">
        <v>46</v>
      </c>
      <c r="C154" s="3" t="n">
        <v>1</v>
      </c>
      <c r="D154" s="3" t="n">
        <v>0</v>
      </c>
    </row>
    <row r="155" customFormat="false" ht="15" hidden="false" customHeight="true" outlineLevel="0" collapsed="false">
      <c r="A155" s="3" t="n">
        <v>74847</v>
      </c>
      <c r="B155" s="3" t="s">
        <v>187</v>
      </c>
      <c r="C155" s="3" t="n">
        <v>1</v>
      </c>
      <c r="D155" s="3" t="n">
        <v>0</v>
      </c>
    </row>
    <row r="156" customFormat="false" ht="15" hidden="false" customHeight="true" outlineLevel="0" collapsed="false">
      <c r="A156" s="3" t="n">
        <v>64633</v>
      </c>
      <c r="B156" s="3" t="s">
        <v>123</v>
      </c>
      <c r="C156" s="3" t="n">
        <v>-2</v>
      </c>
      <c r="D156" s="3" t="n">
        <v>2</v>
      </c>
    </row>
    <row r="157" customFormat="false" ht="15" hidden="false" customHeight="true" outlineLevel="0" collapsed="false">
      <c r="A157" s="3" t="n">
        <v>74987</v>
      </c>
      <c r="B157" s="3" t="s">
        <v>195</v>
      </c>
      <c r="C157" s="3" t="n">
        <v>-1</v>
      </c>
      <c r="D157" s="3" t="n">
        <v>2</v>
      </c>
    </row>
    <row r="158" customFormat="false" ht="15" hidden="false" customHeight="true" outlineLevel="0" collapsed="false">
      <c r="A158" s="3" t="n">
        <v>82206</v>
      </c>
      <c r="B158" s="3" t="s">
        <v>210</v>
      </c>
      <c r="C158" s="3" t="n">
        <v>0</v>
      </c>
      <c r="D158" s="3" t="n">
        <v>57</v>
      </c>
    </row>
    <row r="159" customFormat="false" ht="15" hidden="false" customHeight="true" outlineLevel="0" collapsed="false">
      <c r="A159" s="3" t="n">
        <v>66745</v>
      </c>
      <c r="B159" s="3" t="s">
        <v>134</v>
      </c>
      <c r="C159" s="3" t="n">
        <v>0</v>
      </c>
      <c r="D159" s="3" t="n">
        <v>32</v>
      </c>
    </row>
    <row r="160" customFormat="false" ht="15" hidden="false" customHeight="true" outlineLevel="0" collapsed="false">
      <c r="A160" s="3" t="n">
        <v>82213</v>
      </c>
      <c r="B160" s="3" t="s">
        <v>213</v>
      </c>
      <c r="C160" s="3" t="n">
        <v>0</v>
      </c>
      <c r="D160" s="3" t="n">
        <v>19</v>
      </c>
    </row>
    <row r="161" customFormat="false" ht="15" hidden="false" customHeight="true" outlineLevel="0" collapsed="false">
      <c r="A161" s="3" t="n">
        <v>82208</v>
      </c>
      <c r="B161" s="3" t="s">
        <v>212</v>
      </c>
      <c r="C161" s="3" t="n">
        <v>0</v>
      </c>
      <c r="D161" s="3" t="n">
        <v>18</v>
      </c>
    </row>
    <row r="162" customFormat="false" ht="15" hidden="false" customHeight="true" outlineLevel="0" collapsed="false">
      <c r="A162" s="3" t="n">
        <v>82202</v>
      </c>
      <c r="B162" s="3" t="s">
        <v>209</v>
      </c>
      <c r="C162" s="3" t="n">
        <v>0</v>
      </c>
      <c r="D162" s="3" t="n">
        <v>15</v>
      </c>
    </row>
    <row r="163" customFormat="false" ht="15" hidden="false" customHeight="true" outlineLevel="0" collapsed="false">
      <c r="A163" s="3" t="n">
        <v>82207</v>
      </c>
      <c r="B163" s="3" t="s">
        <v>211</v>
      </c>
      <c r="C163" s="3" t="n">
        <v>0</v>
      </c>
      <c r="D163" s="3" t="n">
        <v>13</v>
      </c>
    </row>
    <row r="164" customFormat="false" ht="15" hidden="false" customHeight="true" outlineLevel="0" collapsed="false">
      <c r="A164" s="3" t="n">
        <v>57664</v>
      </c>
      <c r="B164" s="3" t="s">
        <v>81</v>
      </c>
      <c r="C164" s="3" t="n">
        <v>0</v>
      </c>
      <c r="D164" s="3" t="n">
        <v>11</v>
      </c>
    </row>
    <row r="165" customFormat="false" ht="15" hidden="false" customHeight="true" outlineLevel="0" collapsed="false">
      <c r="A165" s="3" t="n">
        <v>57696</v>
      </c>
      <c r="B165" s="3" t="s">
        <v>83</v>
      </c>
      <c r="C165" s="3" t="n">
        <v>0</v>
      </c>
      <c r="D165" s="3" t="n">
        <v>10</v>
      </c>
    </row>
    <row r="166" customFormat="false" ht="15" hidden="false" customHeight="true" outlineLevel="0" collapsed="false">
      <c r="A166" s="3" t="n">
        <v>57690</v>
      </c>
      <c r="B166" s="3" t="s">
        <v>82</v>
      </c>
      <c r="C166" s="3" t="n">
        <v>0</v>
      </c>
      <c r="D166" s="3" t="n">
        <v>9</v>
      </c>
    </row>
    <row r="167" customFormat="false" ht="15" hidden="false" customHeight="true" outlineLevel="0" collapsed="false">
      <c r="A167" s="3" t="n">
        <v>83420</v>
      </c>
      <c r="B167" s="3" t="s">
        <v>215</v>
      </c>
      <c r="C167" s="3" t="n">
        <v>0</v>
      </c>
      <c r="D167" s="3" t="n">
        <v>8</v>
      </c>
    </row>
    <row r="168" customFormat="false" ht="15" hidden="false" customHeight="true" outlineLevel="0" collapsed="false">
      <c r="A168" s="3" t="n">
        <v>25386</v>
      </c>
      <c r="B168" s="3" t="s">
        <v>34</v>
      </c>
      <c r="C168" s="3" t="n">
        <v>0</v>
      </c>
      <c r="D168" s="3" t="n">
        <v>3</v>
      </c>
    </row>
    <row r="169" customFormat="false" ht="15" hidden="false" customHeight="true" outlineLevel="0" collapsed="false">
      <c r="A169" s="3" t="n">
        <v>52326</v>
      </c>
      <c r="B169" s="3" t="s">
        <v>73</v>
      </c>
      <c r="C169" s="3" t="n">
        <v>0</v>
      </c>
      <c r="D169" s="3" t="n">
        <v>3</v>
      </c>
    </row>
    <row r="170" customFormat="false" ht="15" hidden="false" customHeight="true" outlineLevel="0" collapsed="false">
      <c r="A170" s="3" t="n">
        <v>87819</v>
      </c>
      <c r="B170" s="3" t="s">
        <v>220</v>
      </c>
      <c r="C170" s="3" t="n">
        <v>0</v>
      </c>
      <c r="D170" s="3" t="n">
        <v>3</v>
      </c>
    </row>
    <row r="171" customFormat="false" ht="15" hidden="false" customHeight="true" outlineLevel="0" collapsed="false">
      <c r="A171" s="3" t="n">
        <v>57662</v>
      </c>
      <c r="B171" s="3" t="s">
        <v>80</v>
      </c>
      <c r="C171" s="3" t="n">
        <v>0</v>
      </c>
      <c r="D171" s="3" t="n">
        <v>2</v>
      </c>
    </row>
    <row r="172" customFormat="false" ht="15" hidden="false" customHeight="true" outlineLevel="0" collapsed="false">
      <c r="A172" s="3" t="n">
        <v>46309</v>
      </c>
      <c r="B172" s="3" t="s">
        <v>58</v>
      </c>
      <c r="C172" s="3" t="n">
        <v>0</v>
      </c>
      <c r="D172" s="3" t="n">
        <v>2</v>
      </c>
    </row>
    <row r="173" customFormat="false" ht="15" hidden="false" customHeight="true" outlineLevel="0" collapsed="false">
      <c r="A173" s="3" t="n">
        <v>74988</v>
      </c>
      <c r="B173" s="3" t="s">
        <v>196</v>
      </c>
      <c r="C173" s="3" t="n">
        <v>0</v>
      </c>
      <c r="D173" s="3" t="n">
        <v>1</v>
      </c>
    </row>
    <row r="174" customFormat="false" ht="15" hidden="false" customHeight="true" outlineLevel="0" collapsed="false">
      <c r="A174" s="3" t="n">
        <v>29790</v>
      </c>
      <c r="B174" s="3" t="s">
        <v>39</v>
      </c>
      <c r="C174" s="3" t="n">
        <v>0</v>
      </c>
      <c r="D174" s="3" t="n">
        <v>1</v>
      </c>
    </row>
    <row r="175" customFormat="false" ht="15" hidden="false" customHeight="true" outlineLevel="0" collapsed="false">
      <c r="A175" s="3" t="n">
        <v>76244</v>
      </c>
      <c r="B175" s="3" t="s">
        <v>201</v>
      </c>
      <c r="C175" s="3" t="n">
        <v>0</v>
      </c>
      <c r="D175" s="3" t="n">
        <v>1</v>
      </c>
    </row>
    <row r="176" customFormat="false" ht="15" hidden="false" customHeight="true" outlineLevel="0" collapsed="false">
      <c r="A176" s="3" t="n">
        <v>64630</v>
      </c>
      <c r="B176" s="3" t="s">
        <v>120</v>
      </c>
      <c r="C176" s="3" t="n">
        <v>0</v>
      </c>
      <c r="D176" s="3" t="n">
        <v>1</v>
      </c>
    </row>
    <row r="177" customFormat="false" ht="15" hidden="false" customHeight="true" outlineLevel="0" collapsed="false">
      <c r="A177" s="3" t="n">
        <v>71085</v>
      </c>
      <c r="B177" s="3" t="s">
        <v>149</v>
      </c>
      <c r="C177" s="3" t="n">
        <v>0</v>
      </c>
      <c r="D177" s="3" t="n">
        <v>1</v>
      </c>
    </row>
    <row r="178" customFormat="false" ht="15" hidden="false" customHeight="true" outlineLevel="0" collapsed="false">
      <c r="A178" s="3" t="n">
        <v>74920</v>
      </c>
      <c r="B178" s="3" t="s">
        <v>191</v>
      </c>
      <c r="C178" s="3" t="n">
        <v>0</v>
      </c>
      <c r="D178" s="3" t="n">
        <v>1</v>
      </c>
    </row>
    <row r="179" customFormat="false" ht="15" hidden="false" customHeight="true" outlineLevel="0" collapsed="false">
      <c r="A179" s="3" t="n">
        <v>74806</v>
      </c>
      <c r="B179" s="3" t="s">
        <v>174</v>
      </c>
      <c r="C179" s="3" t="n">
        <v>0</v>
      </c>
      <c r="D179" s="3" t="n">
        <v>1</v>
      </c>
    </row>
    <row r="180" customFormat="false" ht="15" hidden="false" customHeight="true" outlineLevel="0" collapsed="false">
      <c r="A180" s="3" t="n">
        <v>74820</v>
      </c>
      <c r="B180" s="3" t="s">
        <v>176</v>
      </c>
      <c r="C180" s="3" t="n">
        <v>0</v>
      </c>
      <c r="D180" s="3" t="n">
        <v>1</v>
      </c>
    </row>
    <row r="181" customFormat="false" ht="15" hidden="false" customHeight="true" outlineLevel="0" collapsed="false">
      <c r="A181" s="3" t="n">
        <v>49770</v>
      </c>
      <c r="B181" s="3" t="s">
        <v>62</v>
      </c>
      <c r="C181" s="3" t="n">
        <v>0</v>
      </c>
      <c r="D181" s="3" t="n">
        <v>1</v>
      </c>
    </row>
    <row r="182" customFormat="false" ht="15" hidden="false" customHeight="true" outlineLevel="0" collapsed="false">
      <c r="A182" s="3" t="n">
        <v>74823</v>
      </c>
      <c r="B182" s="3" t="s">
        <v>179</v>
      </c>
      <c r="C182" s="3" t="n">
        <v>0</v>
      </c>
      <c r="D182" s="3" t="n">
        <v>1</v>
      </c>
    </row>
    <row r="183" customFormat="false" ht="15" hidden="false" customHeight="true" outlineLevel="0" collapsed="false">
      <c r="A183" s="3" t="n">
        <v>82551</v>
      </c>
      <c r="B183" s="3" t="s">
        <v>214</v>
      </c>
      <c r="C183" s="3" t="n">
        <v>0</v>
      </c>
      <c r="D183" s="3" t="n">
        <v>1</v>
      </c>
    </row>
    <row r="184" customFormat="false" ht="15" hidden="false" customHeight="true" outlineLevel="0" collapsed="false">
      <c r="A184" s="3" t="n">
        <v>29977</v>
      </c>
      <c r="B184" s="3" t="s">
        <v>44</v>
      </c>
      <c r="C184" s="3" t="n">
        <v>0</v>
      </c>
      <c r="D184" s="3" t="n">
        <v>1</v>
      </c>
    </row>
    <row r="185" customFormat="false" ht="15" hidden="false" customHeight="true" outlineLevel="0" collapsed="false">
      <c r="A185" s="3" t="n">
        <v>74826</v>
      </c>
      <c r="B185" s="3" t="s">
        <v>182</v>
      </c>
      <c r="C185" s="3" t="n">
        <v>0</v>
      </c>
      <c r="D185" s="3" t="n">
        <v>1</v>
      </c>
    </row>
    <row r="186" customFormat="false" ht="15" hidden="false" customHeight="true" outlineLevel="0" collapsed="false">
      <c r="A186" s="3" t="n">
        <v>74827</v>
      </c>
      <c r="B186" s="3" t="s">
        <v>183</v>
      </c>
      <c r="C186" s="3" t="n">
        <v>0</v>
      </c>
      <c r="D186" s="3" t="n">
        <v>1</v>
      </c>
    </row>
    <row r="187" customFormat="false" ht="15" hidden="false" customHeight="true" outlineLevel="0" collapsed="false">
      <c r="A187" s="3" t="n">
        <v>88480</v>
      </c>
      <c r="B187" s="3" t="s">
        <v>227</v>
      </c>
      <c r="C187" s="3" t="n">
        <v>0</v>
      </c>
      <c r="D187" s="3" t="n">
        <v>1</v>
      </c>
    </row>
    <row r="188" customFormat="false" ht="15" hidden="false" customHeight="true" outlineLevel="0" collapsed="false">
      <c r="A188" s="3" t="n">
        <v>34874</v>
      </c>
      <c r="B188" s="3" t="s">
        <v>50</v>
      </c>
      <c r="C188" s="3" t="n">
        <v>0</v>
      </c>
      <c r="D188" s="3" t="n">
        <v>1</v>
      </c>
    </row>
    <row r="189" customFormat="false" ht="15" hidden="false" customHeight="true" outlineLevel="0" collapsed="false">
      <c r="A189" s="3" t="n">
        <v>63404</v>
      </c>
      <c r="B189" s="3" t="s">
        <v>106</v>
      </c>
      <c r="C189" s="3" t="n">
        <v>0</v>
      </c>
      <c r="D189" s="3" t="n">
        <v>0</v>
      </c>
    </row>
    <row r="190" customFormat="false" ht="15" hidden="false" customHeight="true" outlineLevel="0" collapsed="false">
      <c r="A190" s="3" t="n">
        <v>74918</v>
      </c>
      <c r="B190" s="3" t="s">
        <v>189</v>
      </c>
      <c r="C190" s="3" t="n">
        <v>0</v>
      </c>
      <c r="D190" s="3" t="n">
        <v>0</v>
      </c>
    </row>
    <row r="191" customFormat="false" ht="15" hidden="false" customHeight="true" outlineLevel="0" collapsed="false">
      <c r="A191" s="3" t="n">
        <v>74825</v>
      </c>
      <c r="B191" s="3" t="s">
        <v>181</v>
      </c>
      <c r="C191" s="3" t="n">
        <v>0</v>
      </c>
      <c r="D191" s="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273</v>
      </c>
    </row>
    <row r="2" customFormat="false" ht="15" hidden="false" customHeight="true" outlineLevel="0" collapsed="false">
      <c r="A2" s="17" t="s">
        <v>3</v>
      </c>
      <c r="B2" s="17" t="s">
        <v>4</v>
      </c>
      <c r="C2" s="17" t="s">
        <v>274</v>
      </c>
      <c r="D2" s="17" t="s">
        <v>275</v>
      </c>
    </row>
    <row r="3" customFormat="false" ht="15" hidden="false" customHeight="true" outlineLevel="0" collapsed="false">
      <c r="A3" s="3" t="n">
        <v>75762</v>
      </c>
      <c r="B3" s="3" t="s">
        <v>198</v>
      </c>
      <c r="C3" s="3" t="n">
        <v>2</v>
      </c>
      <c r="D3" s="3" t="n">
        <v>14</v>
      </c>
    </row>
    <row r="4" customFormat="false" ht="15" hidden="false" customHeight="true" outlineLevel="0" collapsed="false">
      <c r="A4" s="3" t="n">
        <v>60478</v>
      </c>
      <c r="B4" s="3" t="s">
        <v>94</v>
      </c>
      <c r="C4" s="3" t="n">
        <v>1</v>
      </c>
      <c r="D4" s="3" t="n">
        <v>5</v>
      </c>
    </row>
    <row r="5" customFormat="false" ht="15" hidden="false" customHeight="true" outlineLevel="0" collapsed="false">
      <c r="A5" s="3" t="n">
        <v>8616</v>
      </c>
      <c r="B5" s="3" t="s">
        <v>9</v>
      </c>
      <c r="C5" s="3" t="n">
        <v>5</v>
      </c>
      <c r="D5" s="3" t="n">
        <v>20</v>
      </c>
    </row>
    <row r="6" customFormat="false" ht="15" hidden="false" customHeight="true" outlineLevel="0" collapsed="false">
      <c r="A6" s="3" t="n">
        <v>25386</v>
      </c>
      <c r="B6" s="3" t="s">
        <v>34</v>
      </c>
      <c r="C6" s="3" t="n">
        <v>2</v>
      </c>
      <c r="D6" s="3" t="n">
        <v>7</v>
      </c>
    </row>
    <row r="7" customFormat="false" ht="15" hidden="false" customHeight="true" outlineLevel="0" collapsed="false">
      <c r="A7" s="3" t="n">
        <v>67960</v>
      </c>
      <c r="B7" s="3" t="s">
        <v>146</v>
      </c>
      <c r="C7" s="3" t="n">
        <v>3</v>
      </c>
      <c r="D7" s="3" t="n">
        <v>10</v>
      </c>
    </row>
    <row r="8" customFormat="false" ht="15" hidden="false" customHeight="true" outlineLevel="0" collapsed="false">
      <c r="A8" s="3" t="n">
        <v>63421</v>
      </c>
      <c r="B8" s="3" t="s">
        <v>117</v>
      </c>
      <c r="C8" s="3" t="n">
        <v>5</v>
      </c>
      <c r="D8" s="3" t="n">
        <v>15</v>
      </c>
    </row>
    <row r="9" customFormat="false" ht="15" hidden="false" customHeight="true" outlineLevel="0" collapsed="false">
      <c r="A9" s="3" t="n">
        <v>71683</v>
      </c>
      <c r="B9" s="3" t="s">
        <v>154</v>
      </c>
      <c r="C9" s="3" t="n">
        <v>3</v>
      </c>
      <c r="D9" s="3" t="n">
        <v>9</v>
      </c>
    </row>
    <row r="10" customFormat="false" ht="15" hidden="false" customHeight="true" outlineLevel="0" collapsed="false">
      <c r="A10" s="3" t="n">
        <v>71088</v>
      </c>
      <c r="B10" s="3" t="s">
        <v>152</v>
      </c>
      <c r="C10" s="3" t="n">
        <v>4</v>
      </c>
      <c r="D10" s="3" t="n">
        <v>10</v>
      </c>
    </row>
    <row r="11" customFormat="false" ht="15" hidden="false" customHeight="true" outlineLevel="0" collapsed="false">
      <c r="A11" s="3" t="n">
        <v>75764</v>
      </c>
      <c r="B11" s="3" t="s">
        <v>200</v>
      </c>
      <c r="C11" s="3" t="n">
        <v>2</v>
      </c>
      <c r="D11" s="3" t="n">
        <v>5</v>
      </c>
    </row>
    <row r="12" customFormat="false" ht="15" hidden="false" customHeight="true" outlineLevel="0" collapsed="false">
      <c r="A12" s="3" t="n">
        <v>64632</v>
      </c>
      <c r="B12" s="3" t="s">
        <v>122</v>
      </c>
      <c r="C12" s="3" t="n">
        <v>2</v>
      </c>
      <c r="D12" s="3" t="n">
        <v>5</v>
      </c>
    </row>
    <row r="13" customFormat="false" ht="15" hidden="false" customHeight="true" outlineLevel="0" collapsed="false">
      <c r="A13" s="3" t="n">
        <v>63418</v>
      </c>
      <c r="B13" s="3" t="s">
        <v>114</v>
      </c>
      <c r="C13" s="3" t="n">
        <v>5</v>
      </c>
      <c r="D13" s="3" t="n">
        <v>12</v>
      </c>
    </row>
    <row r="14" customFormat="false" ht="15" hidden="false" customHeight="true" outlineLevel="0" collapsed="false">
      <c r="A14" s="3" t="n">
        <v>61962</v>
      </c>
      <c r="B14" s="3" t="s">
        <v>99</v>
      </c>
      <c r="C14" s="3" t="n">
        <v>3</v>
      </c>
      <c r="D14" s="3" t="n">
        <v>7</v>
      </c>
    </row>
    <row r="15" customFormat="false" ht="15" hidden="false" customHeight="true" outlineLevel="0" collapsed="false">
      <c r="A15" s="3" t="n">
        <v>9771</v>
      </c>
      <c r="B15" s="3" t="s">
        <v>11</v>
      </c>
      <c r="C15" s="3" t="n">
        <v>10</v>
      </c>
      <c r="D15" s="3" t="n">
        <v>23</v>
      </c>
    </row>
    <row r="16" customFormat="false" ht="15" hidden="false" customHeight="true" outlineLevel="0" collapsed="false">
      <c r="A16" s="3" t="n">
        <v>64635</v>
      </c>
      <c r="B16" s="3" t="s">
        <v>125</v>
      </c>
      <c r="C16" s="3" t="n">
        <v>9</v>
      </c>
      <c r="D16" s="3" t="n">
        <v>19</v>
      </c>
    </row>
    <row r="17" customFormat="false" ht="15" hidden="false" customHeight="true" outlineLevel="0" collapsed="false">
      <c r="A17" s="3" t="n">
        <v>34874</v>
      </c>
      <c r="B17" s="3" t="s">
        <v>50</v>
      </c>
      <c r="C17" s="3" t="n">
        <v>2</v>
      </c>
      <c r="D17" s="3" t="n">
        <v>4</v>
      </c>
    </row>
    <row r="18" customFormat="false" ht="15" hidden="false" customHeight="true" outlineLevel="0" collapsed="false">
      <c r="A18" s="3" t="n">
        <v>20998</v>
      </c>
      <c r="B18" s="3" t="s">
        <v>27</v>
      </c>
      <c r="C18" s="3" t="n">
        <v>2</v>
      </c>
      <c r="D18" s="3" t="n">
        <v>4</v>
      </c>
    </row>
    <row r="19" customFormat="false" ht="15" hidden="false" customHeight="true" outlineLevel="0" collapsed="false">
      <c r="A19" s="3" t="n">
        <v>28297</v>
      </c>
      <c r="B19" s="3" t="s">
        <v>35</v>
      </c>
      <c r="C19" s="3" t="n">
        <v>1</v>
      </c>
      <c r="D19" s="3" t="n">
        <v>2</v>
      </c>
    </row>
    <row r="20" customFormat="false" ht="15" hidden="false" customHeight="true" outlineLevel="0" collapsed="false">
      <c r="A20" s="3" t="n">
        <v>67053</v>
      </c>
      <c r="B20" s="3" t="s">
        <v>135</v>
      </c>
      <c r="C20" s="3" t="n">
        <v>1</v>
      </c>
      <c r="D20" s="3" t="n">
        <v>2</v>
      </c>
    </row>
    <row r="21" customFormat="false" ht="15" hidden="false" customHeight="true" outlineLevel="0" collapsed="false">
      <c r="A21" s="3" t="n">
        <v>63406</v>
      </c>
      <c r="B21" s="3" t="s">
        <v>108</v>
      </c>
      <c r="C21" s="3" t="n">
        <v>1</v>
      </c>
      <c r="D21" s="3" t="n">
        <v>2</v>
      </c>
    </row>
    <row r="22" customFormat="false" ht="15" hidden="false" customHeight="true" outlineLevel="0" collapsed="false">
      <c r="A22" s="3" t="n">
        <v>52147</v>
      </c>
      <c r="B22" s="3" t="s">
        <v>70</v>
      </c>
      <c r="C22" s="3" t="n">
        <v>9</v>
      </c>
      <c r="D22" s="3" t="n">
        <v>17</v>
      </c>
    </row>
    <row r="23" customFormat="false" ht="15" hidden="false" customHeight="true" outlineLevel="0" collapsed="false">
      <c r="A23" s="3" t="n">
        <v>16244</v>
      </c>
      <c r="B23" s="3" t="s">
        <v>20</v>
      </c>
      <c r="C23" s="3" t="n">
        <v>4</v>
      </c>
      <c r="D23" s="3" t="n">
        <v>7</v>
      </c>
    </row>
    <row r="24" customFormat="false" ht="15" hidden="false" customHeight="true" outlineLevel="0" collapsed="false">
      <c r="A24" s="3" t="n">
        <v>60471</v>
      </c>
      <c r="B24" s="3" t="s">
        <v>89</v>
      </c>
      <c r="C24" s="3" t="n">
        <v>9</v>
      </c>
      <c r="D24" s="3" t="n">
        <v>15</v>
      </c>
    </row>
    <row r="25" customFormat="false" ht="15" hidden="false" customHeight="true" outlineLevel="0" collapsed="false">
      <c r="A25" s="3" t="n">
        <v>74764</v>
      </c>
      <c r="B25" s="3" t="s">
        <v>169</v>
      </c>
      <c r="C25" s="3" t="n">
        <v>3</v>
      </c>
      <c r="D25" s="3" t="n">
        <v>5</v>
      </c>
    </row>
    <row r="26" customFormat="false" ht="15" hidden="false" customHeight="true" outlineLevel="0" collapsed="false">
      <c r="A26" s="3" t="n">
        <v>63416</v>
      </c>
      <c r="B26" s="3" t="s">
        <v>112</v>
      </c>
      <c r="C26" s="3" t="n">
        <v>8</v>
      </c>
      <c r="D26" s="3" t="n">
        <v>13</v>
      </c>
    </row>
    <row r="27" customFormat="false" ht="15" hidden="false" customHeight="true" outlineLevel="0" collapsed="false">
      <c r="A27" s="3" t="n">
        <v>76452</v>
      </c>
      <c r="B27" s="3" t="s">
        <v>204</v>
      </c>
      <c r="C27" s="3" t="n">
        <v>10</v>
      </c>
      <c r="D27" s="3" t="n">
        <v>16</v>
      </c>
    </row>
    <row r="28" customFormat="false" ht="15" hidden="false" customHeight="true" outlineLevel="0" collapsed="false">
      <c r="A28" s="3" t="n">
        <v>85165</v>
      </c>
      <c r="B28" s="3" t="s">
        <v>217</v>
      </c>
      <c r="C28" s="3" t="n">
        <v>5</v>
      </c>
      <c r="D28" s="3" t="n">
        <v>8</v>
      </c>
    </row>
    <row r="29" customFormat="false" ht="15" hidden="false" customHeight="true" outlineLevel="0" collapsed="false">
      <c r="A29" s="3" t="n">
        <v>63367</v>
      </c>
      <c r="B29" s="3" t="s">
        <v>104</v>
      </c>
      <c r="C29" s="3" t="n">
        <v>18</v>
      </c>
      <c r="D29" s="3" t="n">
        <v>28</v>
      </c>
    </row>
    <row r="30" customFormat="false" ht="15" hidden="false" customHeight="true" outlineLevel="0" collapsed="false">
      <c r="A30" s="3" t="n">
        <v>61961</v>
      </c>
      <c r="B30" s="3" t="s">
        <v>98</v>
      </c>
      <c r="C30" s="3" t="n">
        <v>13</v>
      </c>
      <c r="D30" s="3" t="n">
        <v>20</v>
      </c>
    </row>
    <row r="31" customFormat="false" ht="15" hidden="false" customHeight="true" outlineLevel="0" collapsed="false">
      <c r="A31" s="3" t="n">
        <v>63414</v>
      </c>
      <c r="B31" s="3" t="s">
        <v>110</v>
      </c>
      <c r="C31" s="3" t="n">
        <v>18</v>
      </c>
      <c r="D31" s="3" t="n">
        <v>27</v>
      </c>
    </row>
    <row r="32" customFormat="false" ht="15" hidden="false" customHeight="true" outlineLevel="0" collapsed="false">
      <c r="A32" s="3" t="n">
        <v>74710</v>
      </c>
      <c r="B32" s="3" t="s">
        <v>166</v>
      </c>
      <c r="C32" s="3" t="n">
        <v>6</v>
      </c>
      <c r="D32" s="3" t="n">
        <v>9</v>
      </c>
    </row>
    <row r="33" customFormat="false" ht="15" hidden="false" customHeight="true" outlineLevel="0" collapsed="false">
      <c r="A33" s="3" t="n">
        <v>74682</v>
      </c>
      <c r="B33" s="3" t="s">
        <v>158</v>
      </c>
      <c r="C33" s="3" t="n">
        <v>4</v>
      </c>
      <c r="D33" s="3" t="n">
        <v>6</v>
      </c>
    </row>
    <row r="34" customFormat="false" ht="15" hidden="false" customHeight="true" outlineLevel="0" collapsed="false">
      <c r="A34" s="3" t="n">
        <v>29881</v>
      </c>
      <c r="B34" s="3" t="s">
        <v>43</v>
      </c>
      <c r="C34" s="3" t="n">
        <v>2</v>
      </c>
      <c r="D34" s="3" t="n">
        <v>3</v>
      </c>
    </row>
    <row r="35" customFormat="false" ht="15" hidden="false" customHeight="true" outlineLevel="0" collapsed="false">
      <c r="A35" s="3" t="n">
        <v>88474</v>
      </c>
      <c r="B35" s="3" t="s">
        <v>222</v>
      </c>
      <c r="C35" s="3" t="n">
        <v>2</v>
      </c>
      <c r="D35" s="3" t="n">
        <v>3</v>
      </c>
    </row>
    <row r="36" customFormat="false" ht="15" hidden="false" customHeight="true" outlineLevel="0" collapsed="false">
      <c r="A36" s="3" t="n">
        <v>63420</v>
      </c>
      <c r="B36" s="3" t="s">
        <v>116</v>
      </c>
      <c r="C36" s="3" t="n">
        <v>17</v>
      </c>
      <c r="D36" s="3" t="n">
        <v>25</v>
      </c>
    </row>
    <row r="37" customFormat="false" ht="15" hidden="false" customHeight="true" outlineLevel="0" collapsed="false">
      <c r="A37" s="3" t="n">
        <v>59694</v>
      </c>
      <c r="B37" s="3" t="s">
        <v>88</v>
      </c>
      <c r="C37" s="3" t="n">
        <v>26</v>
      </c>
      <c r="D37" s="3" t="n">
        <v>38</v>
      </c>
    </row>
    <row r="38" customFormat="false" ht="15" hidden="false" customHeight="true" outlineLevel="0" collapsed="false">
      <c r="A38" s="3" t="n">
        <v>67957</v>
      </c>
      <c r="B38" s="3" t="s">
        <v>145</v>
      </c>
      <c r="C38" s="3" t="n">
        <v>11</v>
      </c>
      <c r="D38" s="3" t="n">
        <v>16</v>
      </c>
    </row>
    <row r="39" customFormat="false" ht="15" hidden="false" customHeight="true" outlineLevel="0" collapsed="false">
      <c r="A39" s="3" t="n">
        <v>65242</v>
      </c>
      <c r="B39" s="3" t="s">
        <v>130</v>
      </c>
      <c r="C39" s="3" t="n">
        <v>16</v>
      </c>
      <c r="D39" s="3" t="n">
        <v>23</v>
      </c>
    </row>
    <row r="40" customFormat="false" ht="15" hidden="false" customHeight="true" outlineLevel="0" collapsed="false">
      <c r="A40" s="3" t="n">
        <v>21004</v>
      </c>
      <c r="B40" s="3" t="s">
        <v>29</v>
      </c>
      <c r="C40" s="3" t="n">
        <v>5</v>
      </c>
      <c r="D40" s="3" t="n">
        <v>7</v>
      </c>
    </row>
    <row r="41" customFormat="false" ht="15" hidden="false" customHeight="true" outlineLevel="0" collapsed="false">
      <c r="A41" s="3" t="n">
        <v>21003</v>
      </c>
      <c r="B41" s="3" t="s">
        <v>28</v>
      </c>
      <c r="C41" s="3" t="n">
        <v>13</v>
      </c>
      <c r="D41" s="3" t="n">
        <v>18</v>
      </c>
    </row>
    <row r="42" customFormat="false" ht="15" hidden="false" customHeight="true" outlineLevel="0" collapsed="false">
      <c r="A42" s="3" t="n">
        <v>74684</v>
      </c>
      <c r="B42" s="3" t="s">
        <v>160</v>
      </c>
      <c r="C42" s="3" t="n">
        <v>6</v>
      </c>
      <c r="D42" s="3" t="n">
        <v>8</v>
      </c>
    </row>
    <row r="43" customFormat="false" ht="15" hidden="false" customHeight="true" outlineLevel="0" collapsed="false">
      <c r="A43" s="3" t="n">
        <v>75763</v>
      </c>
      <c r="B43" s="3" t="s">
        <v>199</v>
      </c>
      <c r="C43" s="3" t="n">
        <v>3</v>
      </c>
      <c r="D43" s="3" t="n">
        <v>4</v>
      </c>
    </row>
    <row r="44" customFormat="false" ht="15" hidden="false" customHeight="true" outlineLevel="0" collapsed="false">
      <c r="A44" s="3" t="n">
        <v>63417</v>
      </c>
      <c r="B44" s="3" t="s">
        <v>113</v>
      </c>
      <c r="C44" s="3" t="n">
        <v>3</v>
      </c>
      <c r="D44" s="3" t="n">
        <v>4</v>
      </c>
    </row>
    <row r="45" customFormat="false" ht="15" hidden="false" customHeight="true" outlineLevel="0" collapsed="false">
      <c r="A45" s="3" t="n">
        <v>63422</v>
      </c>
      <c r="B45" s="3" t="s">
        <v>118</v>
      </c>
      <c r="C45" s="3" t="n">
        <v>7</v>
      </c>
      <c r="D45" s="3" t="n">
        <v>9</v>
      </c>
    </row>
    <row r="46" customFormat="false" ht="15" hidden="false" customHeight="true" outlineLevel="0" collapsed="false">
      <c r="A46" s="3" t="n">
        <v>9772</v>
      </c>
      <c r="B46" s="3" t="s">
        <v>12</v>
      </c>
      <c r="C46" s="3" t="n">
        <v>15</v>
      </c>
      <c r="D46" s="3" t="n">
        <v>19</v>
      </c>
    </row>
    <row r="47" customFormat="false" ht="15" hidden="false" customHeight="true" outlineLevel="0" collapsed="false">
      <c r="A47" s="3" t="n">
        <v>63415</v>
      </c>
      <c r="B47" s="3" t="s">
        <v>111</v>
      </c>
      <c r="C47" s="3" t="n">
        <v>24</v>
      </c>
      <c r="D47" s="3" t="n">
        <v>30</v>
      </c>
    </row>
    <row r="48" customFormat="false" ht="15" hidden="false" customHeight="true" outlineLevel="0" collapsed="false">
      <c r="A48" s="3" t="n">
        <v>42964</v>
      </c>
      <c r="B48" s="3" t="s">
        <v>52</v>
      </c>
      <c r="C48" s="3" t="n">
        <v>8</v>
      </c>
      <c r="D48" s="3" t="n">
        <v>10</v>
      </c>
    </row>
    <row r="49" customFormat="false" ht="15" hidden="false" customHeight="true" outlineLevel="0" collapsed="false">
      <c r="A49" s="3" t="n">
        <v>52324</v>
      </c>
      <c r="B49" s="3" t="s">
        <v>72</v>
      </c>
      <c r="C49" s="3" t="n">
        <v>8</v>
      </c>
      <c r="D49" s="3" t="n">
        <v>10</v>
      </c>
    </row>
    <row r="50" customFormat="false" ht="15" hidden="false" customHeight="true" outlineLevel="0" collapsed="false">
      <c r="A50" s="3" t="n">
        <v>53789</v>
      </c>
      <c r="B50" s="3" t="s">
        <v>75</v>
      </c>
      <c r="C50" s="3" t="n">
        <v>8</v>
      </c>
      <c r="D50" s="3" t="n">
        <v>10</v>
      </c>
    </row>
    <row r="51" customFormat="false" ht="15" hidden="false" customHeight="true" outlineLevel="0" collapsed="false">
      <c r="A51" s="3" t="n">
        <v>76453</v>
      </c>
      <c r="B51" s="3" t="s">
        <v>205</v>
      </c>
      <c r="C51" s="3" t="n">
        <v>8</v>
      </c>
      <c r="D51" s="3" t="n">
        <v>10</v>
      </c>
    </row>
    <row r="52" customFormat="false" ht="15" hidden="false" customHeight="true" outlineLevel="0" collapsed="false">
      <c r="A52" s="3" t="n">
        <v>74801</v>
      </c>
      <c r="B52" s="3" t="s">
        <v>172</v>
      </c>
      <c r="C52" s="3" t="n">
        <v>18</v>
      </c>
      <c r="D52" s="3" t="n">
        <v>22</v>
      </c>
    </row>
    <row r="53" customFormat="false" ht="15" hidden="false" customHeight="true" outlineLevel="0" collapsed="false">
      <c r="A53" s="3" t="n">
        <v>74709</v>
      </c>
      <c r="B53" s="3" t="s">
        <v>165</v>
      </c>
      <c r="C53" s="3" t="n">
        <v>33</v>
      </c>
      <c r="D53" s="3" t="n">
        <v>40</v>
      </c>
    </row>
    <row r="54" customFormat="false" ht="15" hidden="false" customHeight="true" outlineLevel="0" collapsed="false">
      <c r="A54" s="3" t="n">
        <v>85338</v>
      </c>
      <c r="B54" s="3" t="s">
        <v>218</v>
      </c>
      <c r="C54" s="3" t="n">
        <v>17</v>
      </c>
      <c r="D54" s="3" t="n">
        <v>20</v>
      </c>
    </row>
    <row r="55" customFormat="false" ht="15" hidden="false" customHeight="true" outlineLevel="0" collapsed="false">
      <c r="A55" s="3" t="n">
        <v>67935</v>
      </c>
      <c r="B55" s="3" t="s">
        <v>142</v>
      </c>
      <c r="C55" s="3" t="n">
        <v>12</v>
      </c>
      <c r="D55" s="3" t="n">
        <v>14</v>
      </c>
    </row>
    <row r="56" customFormat="false" ht="15" hidden="false" customHeight="true" outlineLevel="0" collapsed="false">
      <c r="A56" s="3" t="n">
        <v>59656</v>
      </c>
      <c r="B56" s="3" t="s">
        <v>84</v>
      </c>
      <c r="C56" s="3" t="n">
        <v>14</v>
      </c>
      <c r="D56" s="3" t="n">
        <v>16</v>
      </c>
    </row>
    <row r="57" customFormat="false" ht="15" hidden="false" customHeight="true" outlineLevel="0" collapsed="false">
      <c r="A57" s="3" t="n">
        <v>8618</v>
      </c>
      <c r="B57" s="3" t="s">
        <v>10</v>
      </c>
      <c r="C57" s="3" t="n">
        <v>18</v>
      </c>
      <c r="D57" s="3" t="n">
        <v>20</v>
      </c>
    </row>
    <row r="58" customFormat="false" ht="15" hidden="false" customHeight="true" outlineLevel="0" collapsed="false">
      <c r="A58" s="3" t="n">
        <v>79327</v>
      </c>
      <c r="B58" s="3" t="s">
        <v>206</v>
      </c>
      <c r="C58" s="3" t="n">
        <v>9</v>
      </c>
      <c r="D58" s="3" t="n">
        <v>10</v>
      </c>
    </row>
    <row r="59" customFormat="false" ht="15" hidden="false" customHeight="true" outlineLevel="0" collapsed="false">
      <c r="A59" s="3" t="n">
        <v>67925</v>
      </c>
      <c r="B59" s="3" t="s">
        <v>141</v>
      </c>
      <c r="C59" s="3" t="n">
        <v>9</v>
      </c>
      <c r="D59" s="3" t="n">
        <v>10</v>
      </c>
    </row>
    <row r="60" customFormat="false" ht="15" hidden="false" customHeight="true" outlineLevel="0" collapsed="false">
      <c r="A60" s="3" t="n">
        <v>51568</v>
      </c>
      <c r="B60" s="3" t="s">
        <v>69</v>
      </c>
      <c r="C60" s="3" t="n">
        <v>60</v>
      </c>
      <c r="D60" s="3" t="n">
        <v>65</v>
      </c>
    </row>
    <row r="61" customFormat="false" ht="15" hidden="false" customHeight="true" outlineLevel="0" collapsed="false">
      <c r="A61" s="3" t="n">
        <v>60484</v>
      </c>
      <c r="B61" s="3" t="s">
        <v>95</v>
      </c>
      <c r="C61" s="3" t="n">
        <v>13</v>
      </c>
      <c r="D61" s="3" t="n">
        <v>14</v>
      </c>
    </row>
    <row r="62" customFormat="false" ht="15" hidden="false" customHeight="true" outlineLevel="0" collapsed="false">
      <c r="A62" s="3" t="n">
        <v>51567</v>
      </c>
      <c r="B62" s="3" t="s">
        <v>68</v>
      </c>
      <c r="C62" s="3" t="n">
        <v>126</v>
      </c>
      <c r="D62" s="3" t="n">
        <v>135</v>
      </c>
    </row>
    <row r="63" customFormat="false" ht="15" hidden="false" customHeight="true" outlineLevel="0" collapsed="false">
      <c r="A63" s="3" t="n">
        <v>52328</v>
      </c>
      <c r="B63" s="3" t="s">
        <v>74</v>
      </c>
      <c r="C63" s="3" t="n">
        <v>16</v>
      </c>
      <c r="D63" s="3" t="n">
        <v>17</v>
      </c>
    </row>
    <row r="64" customFormat="false" ht="15" hidden="false" customHeight="true" outlineLevel="0" collapsed="false">
      <c r="A64" s="3" t="n">
        <v>31183</v>
      </c>
      <c r="B64" s="3" t="s">
        <v>47</v>
      </c>
      <c r="C64" s="3" t="n">
        <v>25</v>
      </c>
      <c r="D64" s="3" t="n">
        <v>26</v>
      </c>
    </row>
    <row r="65" customFormat="false" ht="15" hidden="false" customHeight="true" outlineLevel="0" collapsed="false">
      <c r="A65" s="3" t="n">
        <v>23008</v>
      </c>
      <c r="B65" s="3" t="s">
        <v>32</v>
      </c>
      <c r="C65" s="3" t="n">
        <v>32</v>
      </c>
      <c r="D65" s="3" t="n">
        <v>33</v>
      </c>
    </row>
    <row r="66" customFormat="false" ht="15" hidden="false" customHeight="true" outlineLevel="0" collapsed="false">
      <c r="A66" s="3" t="n">
        <v>59679</v>
      </c>
      <c r="B66" s="3" t="s">
        <v>87</v>
      </c>
      <c r="C66" s="3" t="n">
        <v>50</v>
      </c>
      <c r="D66" s="3" t="n">
        <v>50</v>
      </c>
    </row>
    <row r="67" customFormat="false" ht="15" hidden="false" customHeight="true" outlineLevel="0" collapsed="false">
      <c r="A67" s="3" t="n">
        <v>63361</v>
      </c>
      <c r="B67" s="3" t="s">
        <v>102</v>
      </c>
      <c r="C67" s="3" t="n">
        <v>25</v>
      </c>
      <c r="D67" s="3" t="n">
        <v>25</v>
      </c>
    </row>
    <row r="68" customFormat="false" ht="15" hidden="false" customHeight="true" outlineLevel="0" collapsed="false">
      <c r="A68" s="3" t="n">
        <v>31190</v>
      </c>
      <c r="B68" s="3" t="s">
        <v>49</v>
      </c>
      <c r="C68" s="3" t="n">
        <v>18</v>
      </c>
      <c r="D68" s="3" t="n">
        <v>18</v>
      </c>
    </row>
    <row r="69" customFormat="false" ht="15" hidden="false" customHeight="true" outlineLevel="0" collapsed="false">
      <c r="A69" s="3" t="n">
        <v>80182</v>
      </c>
      <c r="B69" s="3" t="s">
        <v>207</v>
      </c>
      <c r="C69" s="3" t="n">
        <v>11</v>
      </c>
      <c r="D69" s="3" t="n">
        <v>11</v>
      </c>
    </row>
    <row r="70" customFormat="false" ht="15" hidden="false" customHeight="true" outlineLevel="0" collapsed="false">
      <c r="A70" s="3" t="n">
        <v>64634</v>
      </c>
      <c r="B70" s="3" t="s">
        <v>124</v>
      </c>
      <c r="C70" s="3" t="n">
        <v>5</v>
      </c>
      <c r="D70" s="3" t="n">
        <v>5</v>
      </c>
    </row>
    <row r="71" customFormat="false" ht="15" hidden="false" customHeight="true" outlineLevel="0" collapsed="false">
      <c r="A71" s="3" t="n">
        <v>71086</v>
      </c>
      <c r="B71" s="3" t="s">
        <v>150</v>
      </c>
      <c r="C71" s="3" t="n">
        <v>4</v>
      </c>
      <c r="D71" s="3" t="n">
        <v>4</v>
      </c>
    </row>
    <row r="72" customFormat="false" ht="15" hidden="false" customHeight="true" outlineLevel="0" collapsed="false">
      <c r="A72" s="3" t="n">
        <v>49772</v>
      </c>
      <c r="B72" s="3" t="s">
        <v>63</v>
      </c>
      <c r="C72" s="3" t="n">
        <v>3</v>
      </c>
      <c r="D72" s="3" t="n">
        <v>3</v>
      </c>
    </row>
    <row r="73" customFormat="false" ht="15" hidden="false" customHeight="true" outlineLevel="0" collapsed="false">
      <c r="A73" s="3" t="n">
        <v>88477</v>
      </c>
      <c r="B73" s="3" t="s">
        <v>225</v>
      </c>
      <c r="C73" s="3" t="n">
        <v>3</v>
      </c>
      <c r="D73" s="3" t="n">
        <v>3</v>
      </c>
    </row>
    <row r="74" customFormat="false" ht="15" hidden="false" customHeight="true" outlineLevel="0" collapsed="false">
      <c r="A74" s="3" t="n">
        <v>16214</v>
      </c>
      <c r="B74" s="3" t="s">
        <v>16</v>
      </c>
      <c r="C74" s="3" t="n">
        <v>3</v>
      </c>
      <c r="D74" s="3" t="n">
        <v>3</v>
      </c>
    </row>
    <row r="75" customFormat="false" ht="15" hidden="false" customHeight="true" outlineLevel="0" collapsed="false">
      <c r="A75" s="3" t="n">
        <v>28302</v>
      </c>
      <c r="B75" s="3" t="s">
        <v>36</v>
      </c>
      <c r="C75" s="3" t="n">
        <v>2</v>
      </c>
      <c r="D75" s="3" t="n">
        <v>2</v>
      </c>
    </row>
    <row r="76" customFormat="false" ht="15" hidden="false" customHeight="true" outlineLevel="0" collapsed="false">
      <c r="A76" s="3" t="n">
        <v>74807</v>
      </c>
      <c r="B76" s="3" t="s">
        <v>175</v>
      </c>
      <c r="C76" s="3" t="n">
        <v>1</v>
      </c>
      <c r="D76" s="3" t="n">
        <v>1</v>
      </c>
    </row>
    <row r="77" customFormat="false" ht="15" hidden="false" customHeight="true" outlineLevel="0" collapsed="false">
      <c r="A77" s="3" t="n">
        <v>74688</v>
      </c>
      <c r="B77" s="3" t="s">
        <v>163</v>
      </c>
      <c r="C77" s="3" t="n">
        <v>1</v>
      </c>
      <c r="D77" s="3" t="n">
        <v>1</v>
      </c>
    </row>
    <row r="78" customFormat="false" ht="15" hidden="false" customHeight="true" outlineLevel="0" collapsed="false">
      <c r="A78" s="3" t="n">
        <v>74918</v>
      </c>
      <c r="B78" s="3" t="s">
        <v>189</v>
      </c>
      <c r="C78" s="3" t="n">
        <v>1</v>
      </c>
      <c r="D78" s="3" t="n">
        <v>1</v>
      </c>
    </row>
    <row r="79" customFormat="false" ht="15" hidden="false" customHeight="true" outlineLevel="0" collapsed="false">
      <c r="A79" s="3" t="n">
        <v>74805</v>
      </c>
      <c r="B79" s="3" t="s">
        <v>173</v>
      </c>
      <c r="C79" s="3" t="n">
        <v>1</v>
      </c>
      <c r="D79" s="3" t="n">
        <v>1</v>
      </c>
    </row>
    <row r="80" customFormat="false" ht="15" hidden="false" customHeight="true" outlineLevel="0" collapsed="false">
      <c r="A80" s="3" t="n">
        <v>74687</v>
      </c>
      <c r="B80" s="3" t="s">
        <v>162</v>
      </c>
      <c r="C80" s="3" t="n">
        <v>1</v>
      </c>
      <c r="D80" s="3" t="n">
        <v>1</v>
      </c>
    </row>
    <row r="81" customFormat="false" ht="15" hidden="false" customHeight="true" outlineLevel="0" collapsed="false">
      <c r="A81" s="3" t="n">
        <v>74987</v>
      </c>
      <c r="B81" s="3" t="s">
        <v>195</v>
      </c>
      <c r="C81" s="3" t="n">
        <v>1</v>
      </c>
      <c r="D81" s="3" t="n">
        <v>1</v>
      </c>
    </row>
    <row r="82" customFormat="false" ht="15" hidden="false" customHeight="true" outlineLevel="0" collapsed="false">
      <c r="A82" s="3" t="n">
        <v>74686</v>
      </c>
      <c r="B82" s="3" t="s">
        <v>161</v>
      </c>
      <c r="C82" s="3" t="n">
        <v>1</v>
      </c>
      <c r="D82" s="3" t="n">
        <v>1</v>
      </c>
    </row>
    <row r="83" customFormat="false" ht="15" hidden="false" customHeight="true" outlineLevel="0" collapsed="false">
      <c r="A83" s="3" t="n">
        <v>74708</v>
      </c>
      <c r="B83" s="3" t="s">
        <v>164</v>
      </c>
      <c r="C83" s="3" t="n">
        <v>29</v>
      </c>
      <c r="D83" s="3" t="n">
        <v>27</v>
      </c>
    </row>
    <row r="84" customFormat="false" ht="15" hidden="false" customHeight="true" outlineLevel="0" collapsed="false">
      <c r="A84" s="3" t="n">
        <v>71087</v>
      </c>
      <c r="B84" s="3" t="s">
        <v>151</v>
      </c>
      <c r="C84" s="3" t="n">
        <v>12</v>
      </c>
      <c r="D84" s="3" t="n">
        <v>11</v>
      </c>
    </row>
    <row r="85" customFormat="false" ht="15" hidden="false" customHeight="true" outlineLevel="0" collapsed="false">
      <c r="A85" s="3" t="n">
        <v>71204</v>
      </c>
      <c r="B85" s="3" t="s">
        <v>153</v>
      </c>
      <c r="C85" s="3" t="n">
        <v>99</v>
      </c>
      <c r="D85" s="3" t="n">
        <v>89</v>
      </c>
    </row>
    <row r="86" customFormat="false" ht="15" hidden="false" customHeight="true" outlineLevel="0" collapsed="false">
      <c r="A86" s="3" t="n">
        <v>66485</v>
      </c>
      <c r="B86" s="3" t="s">
        <v>133</v>
      </c>
      <c r="C86" s="3" t="n">
        <v>9</v>
      </c>
      <c r="D86" s="3" t="n">
        <v>8</v>
      </c>
    </row>
    <row r="87" customFormat="false" ht="15" hidden="false" customHeight="true" outlineLevel="0" collapsed="false">
      <c r="A87" s="3" t="n">
        <v>60472</v>
      </c>
      <c r="B87" s="3" t="s">
        <v>90</v>
      </c>
      <c r="C87" s="3" t="n">
        <v>34</v>
      </c>
      <c r="D87" s="3" t="n">
        <v>30</v>
      </c>
    </row>
    <row r="88" customFormat="false" ht="15" hidden="false" customHeight="true" outlineLevel="0" collapsed="false">
      <c r="A88" s="3" t="n">
        <v>63366</v>
      </c>
      <c r="B88" s="3" t="s">
        <v>103</v>
      </c>
      <c r="C88" s="3" t="n">
        <v>17</v>
      </c>
      <c r="D88" s="3" t="n">
        <v>15</v>
      </c>
    </row>
    <row r="89" customFormat="false" ht="15" hidden="false" customHeight="true" outlineLevel="0" collapsed="false">
      <c r="A89" s="3" t="n">
        <v>59659</v>
      </c>
      <c r="B89" s="3" t="s">
        <v>86</v>
      </c>
      <c r="C89" s="3" t="n">
        <v>17</v>
      </c>
      <c r="D89" s="3" t="n">
        <v>15</v>
      </c>
    </row>
    <row r="90" customFormat="false" ht="15" hidden="false" customHeight="true" outlineLevel="0" collapsed="false">
      <c r="A90" s="3" t="n">
        <v>74763</v>
      </c>
      <c r="B90" s="3" t="s">
        <v>168</v>
      </c>
      <c r="C90" s="3" t="n">
        <v>8</v>
      </c>
      <c r="D90" s="3" t="n">
        <v>7</v>
      </c>
    </row>
    <row r="91" customFormat="false" ht="15" hidden="false" customHeight="true" outlineLevel="0" collapsed="false">
      <c r="A91" s="3" t="n">
        <v>63368</v>
      </c>
      <c r="B91" s="3" t="s">
        <v>105</v>
      </c>
      <c r="C91" s="3" t="n">
        <v>14</v>
      </c>
      <c r="D91" s="3" t="n">
        <v>12</v>
      </c>
    </row>
    <row r="92" customFormat="false" ht="15" hidden="false" customHeight="true" outlineLevel="0" collapsed="false">
      <c r="A92" s="3" t="n">
        <v>60476</v>
      </c>
      <c r="B92" s="3" t="s">
        <v>93</v>
      </c>
      <c r="C92" s="3" t="n">
        <v>25</v>
      </c>
      <c r="D92" s="3" t="n">
        <v>21</v>
      </c>
    </row>
    <row r="93" customFormat="false" ht="15" hidden="false" customHeight="true" outlineLevel="0" collapsed="false">
      <c r="A93" s="3" t="n">
        <v>83668</v>
      </c>
      <c r="B93" s="3" t="s">
        <v>216</v>
      </c>
      <c r="C93" s="3" t="n">
        <v>80</v>
      </c>
      <c r="D93" s="3" t="n">
        <v>67</v>
      </c>
    </row>
    <row r="94" customFormat="false" ht="15" hidden="false" customHeight="true" outlineLevel="0" collapsed="false">
      <c r="A94" s="3" t="n">
        <v>19083</v>
      </c>
      <c r="B94" s="3" t="s">
        <v>24</v>
      </c>
      <c r="C94" s="3" t="n">
        <v>6</v>
      </c>
      <c r="D94" s="3" t="n">
        <v>5</v>
      </c>
    </row>
    <row r="95" customFormat="false" ht="15" hidden="false" customHeight="true" outlineLevel="0" collapsed="false">
      <c r="A95" s="3" t="n">
        <v>31188</v>
      </c>
      <c r="B95" s="3" t="s">
        <v>48</v>
      </c>
      <c r="C95" s="3" t="n">
        <v>39</v>
      </c>
      <c r="D95" s="3" t="n">
        <v>32</v>
      </c>
    </row>
    <row r="96" customFormat="false" ht="15" hidden="false" customHeight="true" outlineLevel="0" collapsed="false">
      <c r="A96" s="3" t="n">
        <v>63360</v>
      </c>
      <c r="B96" s="3" t="s">
        <v>101</v>
      </c>
      <c r="C96" s="3" t="n">
        <v>56</v>
      </c>
      <c r="D96" s="3" t="n">
        <v>45</v>
      </c>
    </row>
    <row r="97" customFormat="false" ht="15" hidden="false" customHeight="true" outlineLevel="0" collapsed="false">
      <c r="A97" s="3" t="n">
        <v>16213</v>
      </c>
      <c r="B97" s="3" t="s">
        <v>15</v>
      </c>
      <c r="C97" s="3" t="n">
        <v>15</v>
      </c>
      <c r="D97" s="3" t="n">
        <v>12</v>
      </c>
    </row>
    <row r="98" customFormat="false" ht="15" hidden="false" customHeight="true" outlineLevel="0" collapsed="false">
      <c r="A98" s="3" t="n">
        <v>35339</v>
      </c>
      <c r="B98" s="3" t="s">
        <v>51</v>
      </c>
      <c r="C98" s="3" t="n">
        <v>5</v>
      </c>
      <c r="D98" s="3" t="n">
        <v>4</v>
      </c>
    </row>
    <row r="99" customFormat="false" ht="15" hidden="false" customHeight="true" outlineLevel="0" collapsed="false">
      <c r="A99" s="3" t="n">
        <v>19082</v>
      </c>
      <c r="B99" s="3" t="s">
        <v>23</v>
      </c>
      <c r="C99" s="3" t="n">
        <v>5</v>
      </c>
      <c r="D99" s="3" t="n">
        <v>4</v>
      </c>
    </row>
    <row r="100" customFormat="false" ht="15" hidden="false" customHeight="true" outlineLevel="0" collapsed="false">
      <c r="A100" s="3" t="n">
        <v>74762</v>
      </c>
      <c r="B100" s="3" t="s">
        <v>167</v>
      </c>
      <c r="C100" s="3" t="n">
        <v>9</v>
      </c>
      <c r="D100" s="3" t="n">
        <v>7</v>
      </c>
    </row>
    <row r="101" customFormat="false" ht="15" hidden="false" customHeight="true" outlineLevel="0" collapsed="false">
      <c r="A101" s="3" t="n">
        <v>63359</v>
      </c>
      <c r="B101" s="3" t="s">
        <v>100</v>
      </c>
      <c r="C101" s="3" t="n">
        <v>47</v>
      </c>
      <c r="D101" s="3" t="n">
        <v>36</v>
      </c>
    </row>
    <row r="102" customFormat="false" ht="15" hidden="false" customHeight="true" outlineLevel="0" collapsed="false">
      <c r="A102" s="3" t="n">
        <v>65241</v>
      </c>
      <c r="B102" s="3" t="s">
        <v>129</v>
      </c>
      <c r="C102" s="3" t="n">
        <v>17</v>
      </c>
      <c r="D102" s="3" t="n">
        <v>13</v>
      </c>
    </row>
    <row r="103" customFormat="false" ht="15" hidden="false" customHeight="true" outlineLevel="0" collapsed="false">
      <c r="A103" s="3" t="n">
        <v>80668</v>
      </c>
      <c r="B103" s="3" t="s">
        <v>208</v>
      </c>
      <c r="C103" s="3" t="n">
        <v>12</v>
      </c>
      <c r="D103" s="3" t="n">
        <v>9</v>
      </c>
    </row>
    <row r="104" customFormat="false" ht="15" hidden="false" customHeight="true" outlineLevel="0" collapsed="false">
      <c r="A104" s="3" t="n">
        <v>18559</v>
      </c>
      <c r="B104" s="3" t="s">
        <v>22</v>
      </c>
      <c r="C104" s="3" t="n">
        <v>4</v>
      </c>
      <c r="D104" s="3" t="n">
        <v>3</v>
      </c>
    </row>
    <row r="105" customFormat="false" ht="15" hidden="false" customHeight="true" outlineLevel="0" collapsed="false">
      <c r="A105" s="3" t="n">
        <v>64633</v>
      </c>
      <c r="B105" s="3" t="s">
        <v>123</v>
      </c>
      <c r="C105" s="3" t="n">
        <v>4</v>
      </c>
      <c r="D105" s="3" t="n">
        <v>3</v>
      </c>
    </row>
    <row r="106" customFormat="false" ht="15" hidden="false" customHeight="true" outlineLevel="0" collapsed="false">
      <c r="A106" s="3" t="n">
        <v>55868</v>
      </c>
      <c r="B106" s="3" t="s">
        <v>79</v>
      </c>
      <c r="C106" s="3" t="n">
        <v>11</v>
      </c>
      <c r="D106" s="3" t="n">
        <v>8</v>
      </c>
    </row>
    <row r="107" customFormat="false" ht="15" hidden="false" customHeight="true" outlineLevel="0" collapsed="false">
      <c r="A107" s="3" t="n">
        <v>24612</v>
      </c>
      <c r="B107" s="3" t="s">
        <v>33</v>
      </c>
      <c r="C107" s="3" t="n">
        <v>48</v>
      </c>
      <c r="D107" s="3" t="n">
        <v>34</v>
      </c>
    </row>
    <row r="108" customFormat="false" ht="15" hidden="false" customHeight="true" outlineLevel="0" collapsed="false">
      <c r="A108" s="3" t="n">
        <v>52323</v>
      </c>
      <c r="B108" s="3" t="s">
        <v>71</v>
      </c>
      <c r="C108" s="3" t="n">
        <v>30</v>
      </c>
      <c r="D108" s="3" t="n">
        <v>21</v>
      </c>
    </row>
    <row r="109" customFormat="false" ht="15" hidden="false" customHeight="true" outlineLevel="0" collapsed="false">
      <c r="A109" s="3" t="n">
        <v>16217</v>
      </c>
      <c r="B109" s="3" t="s">
        <v>17</v>
      </c>
      <c r="C109" s="3" t="n">
        <v>6</v>
      </c>
      <c r="D109" s="3" t="n">
        <v>4</v>
      </c>
    </row>
    <row r="110" customFormat="false" ht="15" hidden="false" customHeight="true" outlineLevel="0" collapsed="false">
      <c r="A110" s="3" t="n">
        <v>65743</v>
      </c>
      <c r="B110" s="3" t="s">
        <v>132</v>
      </c>
      <c r="C110" s="3" t="n">
        <v>3</v>
      </c>
      <c r="D110" s="3" t="n">
        <v>2</v>
      </c>
    </row>
    <row r="111" customFormat="false" ht="15" hidden="false" customHeight="true" outlineLevel="0" collapsed="false">
      <c r="A111" s="3" t="n">
        <v>45264</v>
      </c>
      <c r="B111" s="3" t="s">
        <v>56</v>
      </c>
      <c r="C111" s="3" t="n">
        <v>3</v>
      </c>
      <c r="D111" s="3" t="n">
        <v>2</v>
      </c>
    </row>
    <row r="112" customFormat="false" ht="15" hidden="false" customHeight="true" outlineLevel="0" collapsed="false">
      <c r="A112" s="3" t="n">
        <v>74683</v>
      </c>
      <c r="B112" s="3" t="s">
        <v>159</v>
      </c>
      <c r="C112" s="3" t="n">
        <v>3</v>
      </c>
      <c r="D112" s="3" t="n">
        <v>2</v>
      </c>
    </row>
    <row r="113" customFormat="false" ht="15" hidden="false" customHeight="true" outlineLevel="0" collapsed="false">
      <c r="A113" s="3" t="n">
        <v>29984</v>
      </c>
      <c r="B113" s="3" t="s">
        <v>46</v>
      </c>
      <c r="C113" s="3" t="n">
        <v>3</v>
      </c>
      <c r="D113" s="3" t="n">
        <v>2</v>
      </c>
    </row>
    <row r="114" customFormat="false" ht="15" hidden="false" customHeight="true" outlineLevel="0" collapsed="false">
      <c r="A114" s="3" t="n">
        <v>47877</v>
      </c>
      <c r="B114" s="3" t="s">
        <v>60</v>
      </c>
      <c r="C114" s="3" t="n">
        <v>17</v>
      </c>
      <c r="D114" s="3" t="n">
        <v>11</v>
      </c>
    </row>
    <row r="115" customFormat="false" ht="15" hidden="false" customHeight="true" outlineLevel="0" collapsed="false">
      <c r="A115" s="3" t="n">
        <v>53791</v>
      </c>
      <c r="B115" s="3" t="s">
        <v>77</v>
      </c>
      <c r="C115" s="3" t="n">
        <v>22</v>
      </c>
      <c r="D115" s="3" t="n">
        <v>14</v>
      </c>
    </row>
    <row r="116" customFormat="false" ht="15" hidden="false" customHeight="true" outlineLevel="0" collapsed="false">
      <c r="A116" s="3" t="n">
        <v>74670</v>
      </c>
      <c r="B116" s="3" t="s">
        <v>155</v>
      </c>
      <c r="C116" s="3" t="n">
        <v>8</v>
      </c>
      <c r="D116" s="3" t="n">
        <v>5</v>
      </c>
    </row>
    <row r="117" customFormat="false" ht="15" hidden="false" customHeight="true" outlineLevel="0" collapsed="false">
      <c r="A117" s="3" t="n">
        <v>65243</v>
      </c>
      <c r="B117" s="3" t="s">
        <v>131</v>
      </c>
      <c r="C117" s="3" t="n">
        <v>18</v>
      </c>
      <c r="D117" s="3" t="n">
        <v>11</v>
      </c>
    </row>
    <row r="118" customFormat="false" ht="15" hidden="false" customHeight="true" outlineLevel="0" collapsed="false">
      <c r="A118" s="3" t="n">
        <v>53790</v>
      </c>
      <c r="B118" s="3" t="s">
        <v>76</v>
      </c>
      <c r="C118" s="3" t="n">
        <v>23</v>
      </c>
      <c r="D118" s="3" t="n">
        <v>14</v>
      </c>
    </row>
    <row r="119" customFormat="false" ht="15" hidden="false" customHeight="true" outlineLevel="0" collapsed="false">
      <c r="A119" s="3" t="n">
        <v>63449</v>
      </c>
      <c r="B119" s="3" t="s">
        <v>119</v>
      </c>
      <c r="C119" s="3" t="n">
        <v>10</v>
      </c>
      <c r="D119" s="3" t="n">
        <v>6</v>
      </c>
    </row>
    <row r="120" customFormat="false" ht="15" hidden="false" customHeight="true" outlineLevel="0" collapsed="false">
      <c r="A120" s="3" t="n">
        <v>20996</v>
      </c>
      <c r="B120" s="3" t="s">
        <v>26</v>
      </c>
      <c r="C120" s="3" t="n">
        <v>5</v>
      </c>
      <c r="D120" s="3" t="n">
        <v>3</v>
      </c>
    </row>
    <row r="121" customFormat="false" ht="15" hidden="false" customHeight="true" outlineLevel="0" collapsed="false">
      <c r="A121" s="3" t="n">
        <v>74799</v>
      </c>
      <c r="B121" s="3" t="s">
        <v>170</v>
      </c>
      <c r="C121" s="3" t="n">
        <v>42</v>
      </c>
      <c r="D121" s="3" t="n">
        <v>25</v>
      </c>
    </row>
    <row r="122" customFormat="false" ht="15" hidden="false" customHeight="true" outlineLevel="0" collapsed="false">
      <c r="A122" s="3" t="n">
        <v>60485</v>
      </c>
      <c r="B122" s="3" t="s">
        <v>96</v>
      </c>
      <c r="C122" s="3" t="n">
        <v>33</v>
      </c>
      <c r="D122" s="3" t="n">
        <v>19</v>
      </c>
    </row>
    <row r="123" customFormat="false" ht="15" hidden="false" customHeight="true" outlineLevel="0" collapsed="false">
      <c r="A123" s="3" t="n">
        <v>16245</v>
      </c>
      <c r="B123" s="3" t="s">
        <v>21</v>
      </c>
      <c r="C123" s="3" t="n">
        <v>7</v>
      </c>
      <c r="D123" s="3" t="n">
        <v>4</v>
      </c>
    </row>
    <row r="124" customFormat="false" ht="15" hidden="false" customHeight="true" outlineLevel="0" collapsed="false">
      <c r="A124" s="3" t="n">
        <v>74800</v>
      </c>
      <c r="B124" s="3" t="s">
        <v>171</v>
      </c>
      <c r="C124" s="3" t="n">
        <v>39</v>
      </c>
      <c r="D124" s="3" t="n">
        <v>22</v>
      </c>
    </row>
    <row r="125" customFormat="false" ht="15" hidden="false" customHeight="true" outlineLevel="0" collapsed="false">
      <c r="A125" s="3" t="n">
        <v>59657</v>
      </c>
      <c r="B125" s="3" t="s">
        <v>85</v>
      </c>
      <c r="C125" s="3" t="n">
        <v>13</v>
      </c>
      <c r="D125" s="3" t="n">
        <v>7</v>
      </c>
    </row>
    <row r="126" customFormat="false" ht="15" hidden="false" customHeight="true" outlineLevel="0" collapsed="false">
      <c r="A126" s="3" t="n">
        <v>16237</v>
      </c>
      <c r="B126" s="3" t="s">
        <v>18</v>
      </c>
      <c r="C126" s="3" t="n">
        <v>10</v>
      </c>
      <c r="D126" s="3" t="n">
        <v>5</v>
      </c>
    </row>
    <row r="127" customFormat="false" ht="15" hidden="false" customHeight="true" outlineLevel="0" collapsed="false">
      <c r="A127" s="3" t="n">
        <v>64638</v>
      </c>
      <c r="B127" s="3" t="s">
        <v>128</v>
      </c>
      <c r="C127" s="3" t="n">
        <v>4</v>
      </c>
      <c r="D127" s="3" t="n">
        <v>2</v>
      </c>
    </row>
    <row r="128" customFormat="false" ht="15" hidden="false" customHeight="true" outlineLevel="0" collapsed="false">
      <c r="A128" s="3" t="n">
        <v>74848</v>
      </c>
      <c r="B128" s="3" t="s">
        <v>188</v>
      </c>
      <c r="C128" s="3" t="n">
        <v>2</v>
      </c>
      <c r="D128" s="3" t="n">
        <v>1</v>
      </c>
    </row>
    <row r="129" customFormat="false" ht="15" hidden="false" customHeight="true" outlineLevel="0" collapsed="false">
      <c r="A129" s="3" t="n">
        <v>74847</v>
      </c>
      <c r="B129" s="3" t="s">
        <v>187</v>
      </c>
      <c r="C129" s="3" t="n">
        <v>2</v>
      </c>
      <c r="D129" s="3" t="n">
        <v>1</v>
      </c>
    </row>
    <row r="130" customFormat="false" ht="15" hidden="false" customHeight="true" outlineLevel="0" collapsed="false">
      <c r="A130" s="3" t="n">
        <v>52326</v>
      </c>
      <c r="B130" s="3" t="s">
        <v>73</v>
      </c>
      <c r="C130" s="3" t="n">
        <v>2</v>
      </c>
      <c r="D130" s="3" t="n">
        <v>1</v>
      </c>
    </row>
    <row r="131" customFormat="false" ht="15" hidden="false" customHeight="true" outlineLevel="0" collapsed="false">
      <c r="A131" s="3" t="n">
        <v>16239</v>
      </c>
      <c r="B131" s="3" t="s">
        <v>19</v>
      </c>
      <c r="C131" s="3" t="n">
        <v>2</v>
      </c>
      <c r="D131" s="3" t="n">
        <v>1</v>
      </c>
    </row>
    <row r="132" customFormat="false" ht="15" hidden="false" customHeight="true" outlineLevel="0" collapsed="false">
      <c r="A132" s="3" t="n">
        <v>60474</v>
      </c>
      <c r="B132" s="3" t="s">
        <v>92</v>
      </c>
      <c r="C132" s="3" t="n">
        <v>13</v>
      </c>
      <c r="D132" s="3" t="n">
        <v>6</v>
      </c>
    </row>
    <row r="133" customFormat="false" ht="15" hidden="false" customHeight="true" outlineLevel="0" collapsed="false">
      <c r="A133" s="3" t="n">
        <v>74672</v>
      </c>
      <c r="B133" s="3" t="s">
        <v>157</v>
      </c>
      <c r="C133" s="3" t="n">
        <v>9</v>
      </c>
      <c r="D133" s="3" t="n">
        <v>4</v>
      </c>
    </row>
    <row r="134" customFormat="false" ht="15" hidden="false" customHeight="true" outlineLevel="0" collapsed="false">
      <c r="A134" s="3" t="n">
        <v>67385</v>
      </c>
      <c r="B134" s="3" t="s">
        <v>138</v>
      </c>
      <c r="C134" s="3" t="n">
        <v>23</v>
      </c>
      <c r="D134" s="3" t="n">
        <v>10</v>
      </c>
    </row>
    <row r="135" customFormat="false" ht="15" hidden="false" customHeight="true" outlineLevel="0" collapsed="false">
      <c r="A135" s="3" t="n">
        <v>29981</v>
      </c>
      <c r="B135" s="3" t="s">
        <v>45</v>
      </c>
      <c r="C135" s="3" t="n">
        <v>6</v>
      </c>
      <c r="D135" s="3" t="n">
        <v>2</v>
      </c>
    </row>
    <row r="136" customFormat="false" ht="15" hidden="false" customHeight="true" outlineLevel="0" collapsed="false">
      <c r="A136" s="3" t="n">
        <v>16211</v>
      </c>
      <c r="B136" s="3" t="s">
        <v>13</v>
      </c>
      <c r="C136" s="3" t="n">
        <v>6</v>
      </c>
      <c r="D136" s="3" t="n">
        <v>2</v>
      </c>
    </row>
    <row r="137" customFormat="false" ht="15" hidden="false" customHeight="true" outlineLevel="0" collapsed="false">
      <c r="A137" s="3" t="n">
        <v>88476</v>
      </c>
      <c r="B137" s="3" t="s">
        <v>224</v>
      </c>
      <c r="C137" s="3" t="n">
        <v>6</v>
      </c>
      <c r="D137" s="3" t="n">
        <v>2</v>
      </c>
    </row>
    <row r="138" customFormat="false" ht="15" hidden="false" customHeight="true" outlineLevel="0" collapsed="false">
      <c r="A138" s="3" t="n">
        <v>86583</v>
      </c>
      <c r="B138" s="3" t="s">
        <v>219</v>
      </c>
      <c r="C138" s="3" t="n">
        <v>3</v>
      </c>
      <c r="D138" s="3" t="n">
        <v>1</v>
      </c>
    </row>
    <row r="139" customFormat="false" ht="15" hidden="false" customHeight="true" outlineLevel="0" collapsed="false">
      <c r="A139" s="3" t="n">
        <v>64636</v>
      </c>
      <c r="B139" s="3" t="s">
        <v>126</v>
      </c>
      <c r="C139" s="3" t="n">
        <v>3</v>
      </c>
      <c r="D139" s="3" t="n">
        <v>1</v>
      </c>
    </row>
    <row r="140" customFormat="false" ht="15" hidden="false" customHeight="true" outlineLevel="0" collapsed="false">
      <c r="A140" s="3" t="n">
        <v>74846</v>
      </c>
      <c r="B140" s="3" t="s">
        <v>186</v>
      </c>
      <c r="C140" s="3" t="n">
        <v>3</v>
      </c>
      <c r="D140" s="3" t="n">
        <v>1</v>
      </c>
    </row>
    <row r="141" customFormat="false" ht="15" hidden="false" customHeight="true" outlineLevel="0" collapsed="false">
      <c r="A141" s="3" t="n">
        <v>21896</v>
      </c>
      <c r="B141" s="3" t="s">
        <v>30</v>
      </c>
      <c r="C141" s="3" t="n">
        <v>4</v>
      </c>
      <c r="D141" s="3" t="n">
        <v>1</v>
      </c>
    </row>
    <row r="142" customFormat="false" ht="15" hidden="false" customHeight="true" outlineLevel="0" collapsed="false">
      <c r="A142" s="3" t="n">
        <v>16212</v>
      </c>
      <c r="B142" s="3" t="s">
        <v>14</v>
      </c>
      <c r="C142" s="3" t="n">
        <v>26</v>
      </c>
      <c r="D142" s="3" t="n">
        <v>6</v>
      </c>
    </row>
    <row r="143" customFormat="false" ht="15" hidden="false" customHeight="true" outlineLevel="0" collapsed="false">
      <c r="A143" s="3" t="n">
        <v>64637</v>
      </c>
      <c r="B143" s="3" t="s">
        <v>127</v>
      </c>
      <c r="C143" s="3" t="n">
        <v>6</v>
      </c>
      <c r="D143" s="3" t="n">
        <v>1</v>
      </c>
    </row>
    <row r="144" customFormat="false" ht="15" hidden="false" customHeight="true" outlineLevel="0" collapsed="false">
      <c r="A144" s="3" t="n">
        <v>61344</v>
      </c>
      <c r="B144" s="3" t="s">
        <v>97</v>
      </c>
      <c r="C144" s="3" t="n">
        <v>7</v>
      </c>
      <c r="D144" s="3" t="n">
        <v>0</v>
      </c>
    </row>
    <row r="145" customFormat="false" ht="15" hidden="false" customHeight="true" outlineLevel="0" collapsed="false">
      <c r="A145" s="3" t="n">
        <v>21897</v>
      </c>
      <c r="B145" s="3" t="s">
        <v>31</v>
      </c>
      <c r="C145" s="3" t="n">
        <v>4</v>
      </c>
      <c r="D145" s="3" t="n">
        <v>0</v>
      </c>
    </row>
    <row r="146" customFormat="false" ht="15" hidden="false" customHeight="true" outlineLevel="0" collapsed="false">
      <c r="A146" s="3" t="n">
        <v>88475</v>
      </c>
      <c r="B146" s="3" t="s">
        <v>223</v>
      </c>
      <c r="C146" s="3" t="n">
        <v>2</v>
      </c>
      <c r="D146" s="3" t="n">
        <v>0</v>
      </c>
    </row>
    <row r="147" customFormat="false" ht="15" hidden="false" customHeight="true" outlineLevel="0" collapsed="false">
      <c r="A147" s="3" t="n">
        <v>29977</v>
      </c>
      <c r="B147" s="3" t="s">
        <v>44</v>
      </c>
      <c r="C147" s="3" t="n">
        <v>1</v>
      </c>
      <c r="D147" s="3" t="n">
        <v>0</v>
      </c>
    </row>
    <row r="148" customFormat="false" ht="15" hidden="false" customHeight="true" outlineLevel="0" collapsed="false">
      <c r="A148" s="3" t="n">
        <v>20948</v>
      </c>
      <c r="B148" s="3" t="s">
        <v>25</v>
      </c>
      <c r="C148" s="3" t="n">
        <v>1</v>
      </c>
      <c r="D148" s="3" t="n">
        <v>0</v>
      </c>
    </row>
    <row r="149" customFormat="false" ht="15" hidden="false" customHeight="true" outlineLevel="0" collapsed="false">
      <c r="A149" s="3" t="n">
        <v>74988</v>
      </c>
      <c r="B149" s="3" t="s">
        <v>196</v>
      </c>
      <c r="C149" s="3" t="n">
        <v>1</v>
      </c>
      <c r="D149" s="3" t="n">
        <v>0</v>
      </c>
    </row>
    <row r="150" customFormat="false" ht="15" hidden="false" customHeight="true" outlineLevel="0" collapsed="false">
      <c r="A150" s="3" t="n">
        <v>74806</v>
      </c>
      <c r="B150" s="3" t="s">
        <v>174</v>
      </c>
      <c r="C150" s="3" t="n">
        <v>1</v>
      </c>
      <c r="D150" s="3" t="n">
        <v>0</v>
      </c>
    </row>
    <row r="151" customFormat="false" ht="15" hidden="false" customHeight="true" outlineLevel="0" collapsed="false">
      <c r="A151" s="3" t="n">
        <v>74820</v>
      </c>
      <c r="B151" s="3" t="s">
        <v>176</v>
      </c>
      <c r="C151" s="3" t="n">
        <v>1</v>
      </c>
      <c r="D151" s="3" t="n">
        <v>0</v>
      </c>
    </row>
    <row r="152" customFormat="false" ht="15" hidden="false" customHeight="true" outlineLevel="0" collapsed="false">
      <c r="A152" s="3" t="n">
        <v>74821</v>
      </c>
      <c r="B152" s="3" t="s">
        <v>177</v>
      </c>
      <c r="C152" s="3" t="n">
        <v>1</v>
      </c>
      <c r="D152" s="3" t="n">
        <v>0</v>
      </c>
    </row>
    <row r="153" customFormat="false" ht="15" hidden="false" customHeight="true" outlineLevel="0" collapsed="false">
      <c r="A153" s="3" t="n">
        <v>74842</v>
      </c>
      <c r="B153" s="3" t="s">
        <v>185</v>
      </c>
      <c r="C153" s="3" t="n">
        <v>1</v>
      </c>
      <c r="D153" s="3" t="n">
        <v>0</v>
      </c>
    </row>
    <row r="154" customFormat="false" ht="15" hidden="false" customHeight="true" outlineLevel="0" collapsed="false">
      <c r="A154" s="3" t="n">
        <v>50057</v>
      </c>
      <c r="B154" s="3" t="s">
        <v>66</v>
      </c>
      <c r="C154" s="3" t="n">
        <v>1</v>
      </c>
      <c r="D154" s="3" t="n">
        <v>0</v>
      </c>
    </row>
    <row r="155" customFormat="false" ht="15" hidden="false" customHeight="true" outlineLevel="0" collapsed="false">
      <c r="A155" s="3" t="n">
        <v>64631</v>
      </c>
      <c r="B155" s="3" t="s">
        <v>121</v>
      </c>
      <c r="C155" s="3" t="n">
        <v>-1</v>
      </c>
      <c r="D155" s="3" t="n">
        <v>1</v>
      </c>
    </row>
    <row r="156" customFormat="false" ht="15" hidden="false" customHeight="true" outlineLevel="0" collapsed="false">
      <c r="A156" s="3" t="n">
        <v>66745</v>
      </c>
      <c r="B156" s="3" t="s">
        <v>134</v>
      </c>
      <c r="C156" s="3" t="n">
        <v>0</v>
      </c>
      <c r="D156" s="3" t="n">
        <v>65</v>
      </c>
    </row>
    <row r="157" customFormat="false" ht="15" hidden="false" customHeight="true" outlineLevel="0" collapsed="false">
      <c r="A157" s="3" t="n">
        <v>82206</v>
      </c>
      <c r="B157" s="3" t="s">
        <v>210</v>
      </c>
      <c r="C157" s="3" t="n">
        <v>0</v>
      </c>
      <c r="D157" s="3" t="n">
        <v>55</v>
      </c>
    </row>
    <row r="158" customFormat="false" ht="15" hidden="false" customHeight="true" outlineLevel="0" collapsed="false">
      <c r="A158" s="3" t="n">
        <v>82213</v>
      </c>
      <c r="B158" s="3" t="s">
        <v>213</v>
      </c>
      <c r="C158" s="3" t="n">
        <v>0</v>
      </c>
      <c r="D158" s="3" t="n">
        <v>31</v>
      </c>
    </row>
    <row r="159" customFormat="false" ht="15" hidden="false" customHeight="true" outlineLevel="0" collapsed="false">
      <c r="A159" s="3" t="n">
        <v>82208</v>
      </c>
      <c r="B159" s="3" t="s">
        <v>212</v>
      </c>
      <c r="C159" s="3" t="n">
        <v>0</v>
      </c>
      <c r="D159" s="3" t="n">
        <v>23</v>
      </c>
    </row>
    <row r="160" customFormat="false" ht="15" hidden="false" customHeight="true" outlineLevel="0" collapsed="false">
      <c r="A160" s="3" t="n">
        <v>82202</v>
      </c>
      <c r="B160" s="3" t="s">
        <v>209</v>
      </c>
      <c r="C160" s="3" t="n">
        <v>0</v>
      </c>
      <c r="D160" s="3" t="n">
        <v>23</v>
      </c>
    </row>
    <row r="161" customFormat="false" ht="15" hidden="false" customHeight="true" outlineLevel="0" collapsed="false">
      <c r="A161" s="3" t="n">
        <v>83420</v>
      </c>
      <c r="B161" s="3" t="s">
        <v>215</v>
      </c>
      <c r="C161" s="3" t="n">
        <v>0</v>
      </c>
      <c r="D161" s="3" t="n">
        <v>17</v>
      </c>
    </row>
    <row r="162" customFormat="false" ht="15" hidden="false" customHeight="true" outlineLevel="0" collapsed="false">
      <c r="A162" s="3" t="n">
        <v>60473</v>
      </c>
      <c r="B162" s="3" t="s">
        <v>91</v>
      </c>
      <c r="C162" s="3" t="n">
        <v>0</v>
      </c>
      <c r="D162" s="3" t="n">
        <v>11</v>
      </c>
    </row>
    <row r="163" customFormat="false" ht="15" hidden="false" customHeight="true" outlineLevel="0" collapsed="false">
      <c r="A163" s="3" t="n">
        <v>82207</v>
      </c>
      <c r="B163" s="3" t="s">
        <v>211</v>
      </c>
      <c r="C163" s="3" t="n">
        <v>0</v>
      </c>
      <c r="D163" s="3" t="n">
        <v>9</v>
      </c>
    </row>
    <row r="164" customFormat="false" ht="15" hidden="false" customHeight="true" outlineLevel="0" collapsed="false">
      <c r="A164" s="3" t="n">
        <v>57690</v>
      </c>
      <c r="B164" s="3" t="s">
        <v>82</v>
      </c>
      <c r="C164" s="3" t="n">
        <v>0</v>
      </c>
      <c r="D164" s="3" t="n">
        <v>8</v>
      </c>
    </row>
    <row r="165" customFormat="false" ht="15" hidden="false" customHeight="true" outlineLevel="0" collapsed="false">
      <c r="A165" s="3" t="n">
        <v>57664</v>
      </c>
      <c r="B165" s="3" t="s">
        <v>81</v>
      </c>
      <c r="C165" s="3" t="n">
        <v>0</v>
      </c>
      <c r="D165" s="3" t="n">
        <v>8</v>
      </c>
    </row>
    <row r="166" customFormat="false" ht="15" hidden="false" customHeight="true" outlineLevel="0" collapsed="false">
      <c r="A166" s="3" t="n">
        <v>57662</v>
      </c>
      <c r="B166" s="3" t="s">
        <v>80</v>
      </c>
      <c r="C166" s="3" t="n">
        <v>0</v>
      </c>
      <c r="D166" s="3" t="n">
        <v>7</v>
      </c>
    </row>
    <row r="167" customFormat="false" ht="15" hidden="false" customHeight="true" outlineLevel="0" collapsed="false">
      <c r="A167" s="3" t="n">
        <v>57696</v>
      </c>
      <c r="B167" s="3" t="s">
        <v>83</v>
      </c>
      <c r="C167" s="3" t="n">
        <v>0</v>
      </c>
      <c r="D167" s="3" t="n">
        <v>7</v>
      </c>
    </row>
    <row r="168" customFormat="false" ht="15" hidden="false" customHeight="true" outlineLevel="0" collapsed="false">
      <c r="A168" s="3" t="n">
        <v>63419</v>
      </c>
      <c r="B168" s="3" t="s">
        <v>115</v>
      </c>
      <c r="C168" s="3" t="n">
        <v>0</v>
      </c>
      <c r="D168" s="3" t="n">
        <v>6</v>
      </c>
    </row>
    <row r="169" customFormat="false" ht="15" hidden="false" customHeight="true" outlineLevel="0" collapsed="false">
      <c r="A169" s="3" t="n">
        <v>82551</v>
      </c>
      <c r="B169" s="3" t="s">
        <v>214</v>
      </c>
      <c r="C169" s="3" t="n">
        <v>0</v>
      </c>
      <c r="D169" s="3" t="n">
        <v>4</v>
      </c>
    </row>
    <row r="170" customFormat="false" ht="15" hidden="false" customHeight="true" outlineLevel="0" collapsed="false">
      <c r="A170" s="3" t="n">
        <v>46306</v>
      </c>
      <c r="B170" s="3" t="s">
        <v>57</v>
      </c>
      <c r="C170" s="3" t="n">
        <v>0</v>
      </c>
      <c r="D170" s="3" t="n">
        <v>3</v>
      </c>
    </row>
    <row r="171" customFormat="false" ht="15" hidden="false" customHeight="true" outlineLevel="0" collapsed="false">
      <c r="A171" s="3" t="n">
        <v>87819</v>
      </c>
      <c r="B171" s="3" t="s">
        <v>220</v>
      </c>
      <c r="C171" s="3" t="n">
        <v>0</v>
      </c>
      <c r="D171" s="3" t="n">
        <v>3</v>
      </c>
    </row>
    <row r="172" customFormat="false" ht="15" hidden="false" customHeight="true" outlineLevel="0" collapsed="false">
      <c r="A172" s="3" t="n">
        <v>46309</v>
      </c>
      <c r="B172" s="3" t="s">
        <v>58</v>
      </c>
      <c r="C172" s="3" t="n">
        <v>0</v>
      </c>
      <c r="D172" s="3" t="n">
        <v>2</v>
      </c>
    </row>
    <row r="173" customFormat="false" ht="15" hidden="false" customHeight="true" outlineLevel="0" collapsed="false">
      <c r="A173" s="3" t="n">
        <v>67898</v>
      </c>
      <c r="B173" s="3" t="s">
        <v>140</v>
      </c>
      <c r="C173" s="3" t="n">
        <v>0</v>
      </c>
      <c r="D173" s="3" t="n">
        <v>2</v>
      </c>
    </row>
    <row r="174" customFormat="false" ht="15" hidden="false" customHeight="true" outlineLevel="0" collapsed="false">
      <c r="A174" s="3" t="n">
        <v>74932</v>
      </c>
      <c r="B174" s="3" t="s">
        <v>194</v>
      </c>
      <c r="C174" s="3" t="n">
        <v>0</v>
      </c>
      <c r="D174" s="3" t="n">
        <v>2</v>
      </c>
    </row>
    <row r="175" customFormat="false" ht="15" hidden="false" customHeight="true" outlineLevel="0" collapsed="false">
      <c r="A175" s="3" t="n">
        <v>68750</v>
      </c>
      <c r="B175" s="3" t="s">
        <v>147</v>
      </c>
      <c r="C175" s="3" t="n">
        <v>0</v>
      </c>
      <c r="D175" s="3" t="n">
        <v>1</v>
      </c>
    </row>
    <row r="176" customFormat="false" ht="15" hidden="false" customHeight="true" outlineLevel="0" collapsed="false">
      <c r="A176" s="3" t="n">
        <v>63407</v>
      </c>
      <c r="B176" s="3" t="s">
        <v>109</v>
      </c>
      <c r="C176" s="3" t="n">
        <v>0</v>
      </c>
      <c r="D176" s="3" t="n">
        <v>1</v>
      </c>
    </row>
    <row r="177" customFormat="false" ht="15" hidden="false" customHeight="true" outlineLevel="0" collapsed="false">
      <c r="A177" s="3" t="n">
        <v>76247</v>
      </c>
      <c r="B177" s="3" t="s">
        <v>202</v>
      </c>
      <c r="C177" s="3" t="n">
        <v>0</v>
      </c>
      <c r="D177" s="3" t="n">
        <v>1</v>
      </c>
    </row>
    <row r="178" customFormat="false" ht="15" hidden="false" customHeight="true" outlineLevel="0" collapsed="false">
      <c r="A178" s="3" t="n">
        <v>67055</v>
      </c>
      <c r="B178" s="3" t="s">
        <v>136</v>
      </c>
      <c r="C178" s="3" t="n">
        <v>0</v>
      </c>
      <c r="D178" s="3" t="n">
        <v>1</v>
      </c>
    </row>
    <row r="179" customFormat="false" ht="15" hidden="false" customHeight="true" outlineLevel="0" collapsed="false">
      <c r="A179" s="3" t="n">
        <v>74920</v>
      </c>
      <c r="B179" s="3" t="s">
        <v>191</v>
      </c>
      <c r="C179" s="3" t="n">
        <v>0</v>
      </c>
      <c r="D179" s="3" t="n">
        <v>1</v>
      </c>
    </row>
    <row r="180" customFormat="false" ht="15" hidden="false" customHeight="true" outlineLevel="0" collapsed="false">
      <c r="A180" s="3" t="n">
        <v>74823</v>
      </c>
      <c r="B180" s="3" t="s">
        <v>179</v>
      </c>
      <c r="C180" s="3" t="n">
        <v>0</v>
      </c>
      <c r="D180" s="3" t="n">
        <v>1</v>
      </c>
    </row>
    <row r="181" customFormat="false" ht="15" hidden="false" customHeight="true" outlineLevel="0" collapsed="false">
      <c r="A181" s="3" t="n">
        <v>74824</v>
      </c>
      <c r="B181" s="3" t="s">
        <v>180</v>
      </c>
      <c r="C181" s="3" t="n">
        <v>0</v>
      </c>
      <c r="D181" s="3" t="n">
        <v>1</v>
      </c>
    </row>
    <row r="182" customFormat="false" ht="15" hidden="false" customHeight="true" outlineLevel="0" collapsed="false">
      <c r="A182" s="3" t="n">
        <v>74828</v>
      </c>
      <c r="B182" s="3" t="s">
        <v>184</v>
      </c>
      <c r="C182" s="3" t="n">
        <v>0</v>
      </c>
      <c r="D182" s="3" t="n">
        <v>1</v>
      </c>
    </row>
    <row r="183" customFormat="false" ht="15" hidden="false" customHeight="true" outlineLevel="0" collapsed="false">
      <c r="A183" s="3" t="n">
        <v>67939</v>
      </c>
      <c r="B183" s="3" t="s">
        <v>143</v>
      </c>
      <c r="C183" s="3" t="n">
        <v>0</v>
      </c>
      <c r="D183" s="3" t="n">
        <v>1</v>
      </c>
    </row>
    <row r="184" customFormat="false" ht="15" hidden="false" customHeight="true" outlineLevel="0" collapsed="false">
      <c r="A184" s="3" t="n">
        <v>67895</v>
      </c>
      <c r="B184" s="3" t="s">
        <v>139</v>
      </c>
      <c r="C184" s="3" t="n">
        <v>0</v>
      </c>
      <c r="D184" s="3" t="n">
        <v>1</v>
      </c>
    </row>
    <row r="185" customFormat="false" ht="15" hidden="false" customHeight="true" outlineLevel="0" collapsed="false">
      <c r="A185" s="3" t="n">
        <v>29790</v>
      </c>
      <c r="B185" s="3" t="s">
        <v>39</v>
      </c>
      <c r="C185" s="3" t="n">
        <v>0</v>
      </c>
      <c r="D185" s="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276</v>
      </c>
    </row>
    <row r="2" customFormat="false" ht="15" hidden="false" customHeight="true" outlineLevel="0" collapsed="false">
      <c r="A2" s="17" t="s">
        <v>3</v>
      </c>
      <c r="B2" s="17" t="s">
        <v>4</v>
      </c>
      <c r="C2" s="17" t="s">
        <v>277</v>
      </c>
      <c r="D2" s="17" t="s">
        <v>278</v>
      </c>
    </row>
    <row r="3" customFormat="false" ht="15" hidden="false" customHeight="true" outlineLevel="0" collapsed="false">
      <c r="A3" s="3" t="n">
        <v>45264</v>
      </c>
      <c r="B3" s="3" t="s">
        <v>56</v>
      </c>
      <c r="C3" s="3" t="n">
        <v>1</v>
      </c>
      <c r="D3" s="3" t="n">
        <v>6</v>
      </c>
    </row>
    <row r="4" customFormat="false" ht="15" hidden="false" customHeight="true" outlineLevel="0" collapsed="false">
      <c r="A4" s="3" t="n">
        <v>86583</v>
      </c>
      <c r="B4" s="3" t="s">
        <v>219</v>
      </c>
      <c r="C4" s="3" t="n">
        <v>1</v>
      </c>
      <c r="D4" s="3" t="n">
        <v>5</v>
      </c>
    </row>
    <row r="5" customFormat="false" ht="15" hidden="false" customHeight="true" outlineLevel="0" collapsed="false">
      <c r="A5" s="3" t="n">
        <v>29881</v>
      </c>
      <c r="B5" s="3" t="s">
        <v>43</v>
      </c>
      <c r="C5" s="3" t="n">
        <v>1</v>
      </c>
      <c r="D5" s="3" t="n">
        <v>4</v>
      </c>
    </row>
    <row r="6" customFormat="false" ht="15" hidden="false" customHeight="true" outlineLevel="0" collapsed="false">
      <c r="A6" s="3" t="n">
        <v>60473</v>
      </c>
      <c r="B6" s="3" t="s">
        <v>91</v>
      </c>
      <c r="C6" s="3" t="n">
        <v>1</v>
      </c>
      <c r="D6" s="3" t="n">
        <v>4</v>
      </c>
    </row>
    <row r="7" customFormat="false" ht="15" hidden="false" customHeight="true" outlineLevel="0" collapsed="false">
      <c r="A7" s="3" t="n">
        <v>64634</v>
      </c>
      <c r="B7" s="3" t="s">
        <v>124</v>
      </c>
      <c r="C7" s="3" t="n">
        <v>1</v>
      </c>
      <c r="D7" s="3" t="n">
        <v>4</v>
      </c>
    </row>
    <row r="8" customFormat="false" ht="15" hidden="false" customHeight="true" outlineLevel="0" collapsed="false">
      <c r="A8" s="3" t="n">
        <v>71086</v>
      </c>
      <c r="B8" s="3" t="s">
        <v>150</v>
      </c>
      <c r="C8" s="3" t="n">
        <v>2</v>
      </c>
      <c r="D8" s="3" t="n">
        <v>6</v>
      </c>
    </row>
    <row r="9" customFormat="false" ht="15" hidden="false" customHeight="true" outlineLevel="0" collapsed="false">
      <c r="A9" s="3" t="n">
        <v>64631</v>
      </c>
      <c r="B9" s="3" t="s">
        <v>121</v>
      </c>
      <c r="C9" s="3" t="n">
        <v>1</v>
      </c>
      <c r="D9" s="3" t="n">
        <v>3</v>
      </c>
    </row>
    <row r="10" customFormat="false" ht="15" hidden="false" customHeight="true" outlineLevel="0" collapsed="false">
      <c r="A10" s="3" t="n">
        <v>63419</v>
      </c>
      <c r="B10" s="3" t="s">
        <v>115</v>
      </c>
      <c r="C10" s="3" t="n">
        <v>2</v>
      </c>
      <c r="D10" s="3" t="n">
        <v>5</v>
      </c>
    </row>
    <row r="11" customFormat="false" ht="15" hidden="false" customHeight="true" outlineLevel="0" collapsed="false">
      <c r="A11" s="3" t="n">
        <v>63421</v>
      </c>
      <c r="B11" s="3" t="s">
        <v>117</v>
      </c>
      <c r="C11" s="3" t="n">
        <v>6</v>
      </c>
      <c r="D11" s="3" t="n">
        <v>14</v>
      </c>
    </row>
    <row r="12" customFormat="false" ht="15" hidden="false" customHeight="true" outlineLevel="0" collapsed="false">
      <c r="A12" s="3" t="n">
        <v>60478</v>
      </c>
      <c r="B12" s="3" t="s">
        <v>94</v>
      </c>
      <c r="C12" s="3" t="n">
        <v>2</v>
      </c>
      <c r="D12" s="3" t="n">
        <v>4</v>
      </c>
    </row>
    <row r="13" customFormat="false" ht="15" hidden="false" customHeight="true" outlineLevel="0" collapsed="false">
      <c r="A13" s="3" t="n">
        <v>29977</v>
      </c>
      <c r="B13" s="3" t="s">
        <v>44</v>
      </c>
      <c r="C13" s="3" t="n">
        <v>1</v>
      </c>
      <c r="D13" s="3" t="n">
        <v>2</v>
      </c>
    </row>
    <row r="14" customFormat="false" ht="15" hidden="false" customHeight="true" outlineLevel="0" collapsed="false">
      <c r="A14" s="3" t="n">
        <v>63407</v>
      </c>
      <c r="B14" s="3" t="s">
        <v>109</v>
      </c>
      <c r="C14" s="3" t="n">
        <v>1</v>
      </c>
      <c r="D14" s="3" t="n">
        <v>2</v>
      </c>
    </row>
    <row r="15" customFormat="false" ht="15" hidden="false" customHeight="true" outlineLevel="0" collapsed="false">
      <c r="A15" s="3" t="n">
        <v>74988</v>
      </c>
      <c r="B15" s="3" t="s">
        <v>196</v>
      </c>
      <c r="C15" s="3" t="n">
        <v>1</v>
      </c>
      <c r="D15" s="3" t="n">
        <v>2</v>
      </c>
    </row>
    <row r="16" customFormat="false" ht="15" hidden="false" customHeight="true" outlineLevel="0" collapsed="false">
      <c r="A16" s="3" t="n">
        <v>51568</v>
      </c>
      <c r="B16" s="3" t="s">
        <v>69</v>
      </c>
      <c r="C16" s="3" t="n">
        <v>34</v>
      </c>
      <c r="D16" s="3" t="n">
        <v>62</v>
      </c>
    </row>
    <row r="17" customFormat="false" ht="15" hidden="false" customHeight="true" outlineLevel="0" collapsed="false">
      <c r="A17" s="3" t="n">
        <v>67925</v>
      </c>
      <c r="B17" s="3" t="s">
        <v>141</v>
      </c>
      <c r="C17" s="3" t="n">
        <v>4</v>
      </c>
      <c r="D17" s="3" t="n">
        <v>7</v>
      </c>
    </row>
    <row r="18" customFormat="false" ht="15" hidden="false" customHeight="true" outlineLevel="0" collapsed="false">
      <c r="A18" s="3" t="n">
        <v>74762</v>
      </c>
      <c r="B18" s="3" t="s">
        <v>167</v>
      </c>
      <c r="C18" s="3" t="n">
        <v>6</v>
      </c>
      <c r="D18" s="3" t="n">
        <v>10</v>
      </c>
    </row>
    <row r="19" customFormat="false" ht="15" hidden="false" customHeight="true" outlineLevel="0" collapsed="false">
      <c r="A19" s="3" t="n">
        <v>74672</v>
      </c>
      <c r="B19" s="3" t="s">
        <v>157</v>
      </c>
      <c r="C19" s="3" t="n">
        <v>3</v>
      </c>
      <c r="D19" s="3" t="n">
        <v>5</v>
      </c>
    </row>
    <row r="20" customFormat="false" ht="15" hidden="false" customHeight="true" outlineLevel="0" collapsed="false">
      <c r="A20" s="3" t="n">
        <v>71087</v>
      </c>
      <c r="B20" s="3" t="s">
        <v>151</v>
      </c>
      <c r="C20" s="3" t="n">
        <v>10</v>
      </c>
      <c r="D20" s="3" t="n">
        <v>16</v>
      </c>
    </row>
    <row r="21" customFormat="false" ht="15" hidden="false" customHeight="true" outlineLevel="0" collapsed="false">
      <c r="A21" s="3" t="n">
        <v>60484</v>
      </c>
      <c r="B21" s="3" t="s">
        <v>95</v>
      </c>
      <c r="C21" s="3" t="n">
        <v>14</v>
      </c>
      <c r="D21" s="3" t="n">
        <v>22</v>
      </c>
    </row>
    <row r="22" customFormat="false" ht="15" hidden="false" customHeight="true" outlineLevel="0" collapsed="false">
      <c r="A22" s="3" t="n">
        <v>67957</v>
      </c>
      <c r="B22" s="3" t="s">
        <v>145</v>
      </c>
      <c r="C22" s="3" t="n">
        <v>12</v>
      </c>
      <c r="D22" s="3" t="n">
        <v>18</v>
      </c>
    </row>
    <row r="23" customFormat="false" ht="15" hidden="false" customHeight="true" outlineLevel="0" collapsed="false">
      <c r="A23" s="3" t="n">
        <v>63422</v>
      </c>
      <c r="B23" s="3" t="s">
        <v>118</v>
      </c>
      <c r="C23" s="3" t="n">
        <v>4</v>
      </c>
      <c r="D23" s="3" t="n">
        <v>6</v>
      </c>
    </row>
    <row r="24" customFormat="false" ht="15" hidden="false" customHeight="true" outlineLevel="0" collapsed="false">
      <c r="A24" s="3" t="n">
        <v>67960</v>
      </c>
      <c r="B24" s="3" t="s">
        <v>146</v>
      </c>
      <c r="C24" s="3" t="n">
        <v>4</v>
      </c>
      <c r="D24" s="3" t="n">
        <v>6</v>
      </c>
    </row>
    <row r="25" customFormat="false" ht="15" hidden="false" customHeight="true" outlineLevel="0" collapsed="false">
      <c r="A25" s="3" t="n">
        <v>75764</v>
      </c>
      <c r="B25" s="3" t="s">
        <v>200</v>
      </c>
      <c r="C25" s="3" t="n">
        <v>2</v>
      </c>
      <c r="D25" s="3" t="n">
        <v>3</v>
      </c>
    </row>
    <row r="26" customFormat="false" ht="15" hidden="false" customHeight="true" outlineLevel="0" collapsed="false">
      <c r="A26" s="3" t="n">
        <v>66485</v>
      </c>
      <c r="B26" s="3" t="s">
        <v>133</v>
      </c>
      <c r="C26" s="3" t="n">
        <v>15</v>
      </c>
      <c r="D26" s="3" t="n">
        <v>22</v>
      </c>
    </row>
    <row r="27" customFormat="false" ht="15" hidden="false" customHeight="true" outlineLevel="0" collapsed="false">
      <c r="A27" s="3" t="n">
        <v>52324</v>
      </c>
      <c r="B27" s="3" t="s">
        <v>72</v>
      </c>
      <c r="C27" s="3" t="n">
        <v>12</v>
      </c>
      <c r="D27" s="3" t="n">
        <v>17</v>
      </c>
    </row>
    <row r="28" customFormat="false" ht="15" hidden="false" customHeight="true" outlineLevel="0" collapsed="false">
      <c r="A28" s="3" t="n">
        <v>85165</v>
      </c>
      <c r="B28" s="3" t="s">
        <v>217</v>
      </c>
      <c r="C28" s="3" t="n">
        <v>8</v>
      </c>
      <c r="D28" s="3" t="n">
        <v>11</v>
      </c>
    </row>
    <row r="29" customFormat="false" ht="15" hidden="false" customHeight="true" outlineLevel="0" collapsed="false">
      <c r="A29" s="3" t="n">
        <v>60474</v>
      </c>
      <c r="B29" s="3" t="s">
        <v>92</v>
      </c>
      <c r="C29" s="3" t="n">
        <v>12</v>
      </c>
      <c r="D29" s="3" t="n">
        <v>16</v>
      </c>
    </row>
    <row r="30" customFormat="false" ht="15" hidden="false" customHeight="true" outlineLevel="0" collapsed="false">
      <c r="A30" s="3" t="n">
        <v>52328</v>
      </c>
      <c r="B30" s="3" t="s">
        <v>74</v>
      </c>
      <c r="C30" s="3" t="n">
        <v>17</v>
      </c>
      <c r="D30" s="3" t="n">
        <v>22</v>
      </c>
    </row>
    <row r="31" customFormat="false" ht="15" hidden="false" customHeight="true" outlineLevel="0" collapsed="false">
      <c r="A31" s="3" t="n">
        <v>63416</v>
      </c>
      <c r="B31" s="3" t="s">
        <v>112</v>
      </c>
      <c r="C31" s="3" t="n">
        <v>7</v>
      </c>
      <c r="D31" s="3" t="n">
        <v>9</v>
      </c>
    </row>
    <row r="32" customFormat="false" ht="15" hidden="false" customHeight="true" outlineLevel="0" collapsed="false">
      <c r="A32" s="3" t="n">
        <v>61344</v>
      </c>
      <c r="B32" s="3" t="s">
        <v>97</v>
      </c>
      <c r="C32" s="3" t="n">
        <v>4</v>
      </c>
      <c r="D32" s="3" t="n">
        <v>5</v>
      </c>
    </row>
    <row r="33" customFormat="false" ht="15" hidden="false" customHeight="true" outlineLevel="0" collapsed="false">
      <c r="A33" s="3" t="n">
        <v>31183</v>
      </c>
      <c r="B33" s="3" t="s">
        <v>47</v>
      </c>
      <c r="C33" s="3" t="n">
        <v>25</v>
      </c>
      <c r="D33" s="3" t="n">
        <v>30</v>
      </c>
    </row>
    <row r="34" customFormat="false" ht="15" hidden="false" customHeight="true" outlineLevel="0" collapsed="false">
      <c r="A34" s="3" t="n">
        <v>80182</v>
      </c>
      <c r="B34" s="3" t="s">
        <v>207</v>
      </c>
      <c r="C34" s="3" t="n">
        <v>10</v>
      </c>
      <c r="D34" s="3" t="n">
        <v>12</v>
      </c>
    </row>
    <row r="35" customFormat="false" ht="15" hidden="false" customHeight="true" outlineLevel="0" collapsed="false">
      <c r="A35" s="3" t="n">
        <v>64635</v>
      </c>
      <c r="B35" s="3" t="s">
        <v>125</v>
      </c>
      <c r="C35" s="3" t="n">
        <v>5</v>
      </c>
      <c r="D35" s="3" t="n">
        <v>6</v>
      </c>
    </row>
    <row r="36" customFormat="false" ht="15" hidden="false" customHeight="true" outlineLevel="0" collapsed="false">
      <c r="A36" s="3" t="n">
        <v>63368</v>
      </c>
      <c r="B36" s="3" t="s">
        <v>105</v>
      </c>
      <c r="C36" s="3" t="n">
        <v>13</v>
      </c>
      <c r="D36" s="3" t="n">
        <v>15</v>
      </c>
    </row>
    <row r="37" customFormat="false" ht="15" hidden="false" customHeight="true" outlineLevel="0" collapsed="false">
      <c r="A37" s="3" t="n">
        <v>60476</v>
      </c>
      <c r="B37" s="3" t="s">
        <v>93</v>
      </c>
      <c r="C37" s="3" t="n">
        <v>19</v>
      </c>
      <c r="D37" s="3" t="n">
        <v>21</v>
      </c>
    </row>
    <row r="38" customFormat="false" ht="15" hidden="false" customHeight="true" outlineLevel="0" collapsed="false">
      <c r="A38" s="3" t="n">
        <v>63415</v>
      </c>
      <c r="B38" s="3" t="s">
        <v>111</v>
      </c>
      <c r="C38" s="3" t="n">
        <v>25</v>
      </c>
      <c r="D38" s="3" t="n">
        <v>27</v>
      </c>
    </row>
    <row r="39" customFormat="false" ht="15" hidden="false" customHeight="true" outlineLevel="0" collapsed="false">
      <c r="A39" s="3" t="n">
        <v>52147</v>
      </c>
      <c r="B39" s="3" t="s">
        <v>70</v>
      </c>
      <c r="C39" s="3" t="n">
        <v>13</v>
      </c>
      <c r="D39" s="3" t="n">
        <v>14</v>
      </c>
    </row>
    <row r="40" customFormat="false" ht="15" hidden="false" customHeight="true" outlineLevel="0" collapsed="false">
      <c r="A40" s="3" t="n">
        <v>59659</v>
      </c>
      <c r="B40" s="3" t="s">
        <v>86</v>
      </c>
      <c r="C40" s="3" t="n">
        <v>20</v>
      </c>
      <c r="D40" s="3" t="n">
        <v>21</v>
      </c>
    </row>
    <row r="41" customFormat="false" ht="15" hidden="false" customHeight="true" outlineLevel="0" collapsed="false">
      <c r="A41" s="3" t="n">
        <v>59656</v>
      </c>
      <c r="B41" s="3" t="s">
        <v>84</v>
      </c>
      <c r="C41" s="3" t="n">
        <v>11</v>
      </c>
      <c r="D41" s="3" t="n">
        <v>11</v>
      </c>
    </row>
    <row r="42" customFormat="false" ht="15" hidden="false" customHeight="true" outlineLevel="0" collapsed="false">
      <c r="A42" s="3" t="n">
        <v>55868</v>
      </c>
      <c r="B42" s="3" t="s">
        <v>79</v>
      </c>
      <c r="C42" s="3" t="n">
        <v>7</v>
      </c>
      <c r="D42" s="3" t="n">
        <v>7</v>
      </c>
    </row>
    <row r="43" customFormat="false" ht="15" hidden="false" customHeight="true" outlineLevel="0" collapsed="false">
      <c r="A43" s="3" t="n">
        <v>63417</v>
      </c>
      <c r="B43" s="3" t="s">
        <v>113</v>
      </c>
      <c r="C43" s="3" t="n">
        <v>6</v>
      </c>
      <c r="D43" s="3" t="n">
        <v>6</v>
      </c>
    </row>
    <row r="44" customFormat="false" ht="15" hidden="false" customHeight="true" outlineLevel="0" collapsed="false">
      <c r="A44" s="3" t="n">
        <v>74670</v>
      </c>
      <c r="B44" s="3" t="s">
        <v>155</v>
      </c>
      <c r="C44" s="3" t="n">
        <v>3</v>
      </c>
      <c r="D44" s="3" t="n">
        <v>3</v>
      </c>
    </row>
    <row r="45" customFormat="false" ht="15" hidden="false" customHeight="true" outlineLevel="0" collapsed="false">
      <c r="A45" s="3" t="n">
        <v>64636</v>
      </c>
      <c r="B45" s="3" t="s">
        <v>126</v>
      </c>
      <c r="C45" s="3" t="n">
        <v>2</v>
      </c>
      <c r="D45" s="3" t="n">
        <v>2</v>
      </c>
    </row>
    <row r="46" customFormat="false" ht="15" hidden="false" customHeight="true" outlineLevel="0" collapsed="false">
      <c r="A46" s="3" t="n">
        <v>74688</v>
      </c>
      <c r="B46" s="3" t="s">
        <v>163</v>
      </c>
      <c r="C46" s="3" t="n">
        <v>2</v>
      </c>
      <c r="D46" s="3" t="n">
        <v>2</v>
      </c>
    </row>
    <row r="47" customFormat="false" ht="15" hidden="false" customHeight="true" outlineLevel="0" collapsed="false">
      <c r="A47" s="3" t="n">
        <v>16237</v>
      </c>
      <c r="B47" s="3" t="s">
        <v>18</v>
      </c>
      <c r="C47" s="3" t="n">
        <v>1</v>
      </c>
      <c r="D47" s="3" t="n">
        <v>1</v>
      </c>
    </row>
    <row r="48" customFormat="false" ht="15" hidden="false" customHeight="true" outlineLevel="0" collapsed="false">
      <c r="A48" s="3" t="n">
        <v>50055</v>
      </c>
      <c r="B48" s="3" t="s">
        <v>65</v>
      </c>
      <c r="C48" s="3" t="n">
        <v>1</v>
      </c>
      <c r="D48" s="3" t="n">
        <v>1</v>
      </c>
    </row>
    <row r="49" customFormat="false" ht="15" hidden="false" customHeight="true" outlineLevel="0" collapsed="false">
      <c r="A49" s="3" t="n">
        <v>74671</v>
      </c>
      <c r="B49" s="3" t="s">
        <v>156</v>
      </c>
      <c r="C49" s="3" t="n">
        <v>1</v>
      </c>
      <c r="D49" s="3" t="n">
        <v>1</v>
      </c>
    </row>
    <row r="50" customFormat="false" ht="15" hidden="false" customHeight="true" outlineLevel="0" collapsed="false">
      <c r="A50" s="3" t="n">
        <v>74687</v>
      </c>
      <c r="B50" s="3" t="s">
        <v>162</v>
      </c>
      <c r="C50" s="3" t="n">
        <v>1</v>
      </c>
      <c r="D50" s="3" t="n">
        <v>1</v>
      </c>
    </row>
    <row r="51" customFormat="false" ht="15" hidden="false" customHeight="true" outlineLevel="0" collapsed="false">
      <c r="A51" s="3" t="n">
        <v>74824</v>
      </c>
      <c r="B51" s="3" t="s">
        <v>180</v>
      </c>
      <c r="C51" s="3" t="n">
        <v>1</v>
      </c>
      <c r="D51" s="3" t="n">
        <v>1</v>
      </c>
    </row>
    <row r="52" customFormat="false" ht="15" hidden="false" customHeight="true" outlineLevel="0" collapsed="false">
      <c r="A52" s="3" t="n">
        <v>74920</v>
      </c>
      <c r="B52" s="3" t="s">
        <v>191</v>
      </c>
      <c r="C52" s="3" t="n">
        <v>1</v>
      </c>
      <c r="D52" s="3" t="n">
        <v>1</v>
      </c>
    </row>
    <row r="53" customFormat="false" ht="15" hidden="false" customHeight="true" outlineLevel="0" collapsed="false">
      <c r="A53" s="3" t="n">
        <v>74799</v>
      </c>
      <c r="B53" s="3" t="s">
        <v>170</v>
      </c>
      <c r="C53" s="3" t="n">
        <v>34</v>
      </c>
      <c r="D53" s="3" t="n">
        <v>32</v>
      </c>
    </row>
    <row r="54" customFormat="false" ht="15" hidden="false" customHeight="true" outlineLevel="0" collapsed="false">
      <c r="A54" s="3" t="n">
        <v>8616</v>
      </c>
      <c r="B54" s="3" t="s">
        <v>9</v>
      </c>
      <c r="C54" s="3" t="n">
        <v>13</v>
      </c>
      <c r="D54" s="3" t="n">
        <v>12</v>
      </c>
    </row>
    <row r="55" customFormat="false" ht="15" hidden="false" customHeight="true" outlineLevel="0" collapsed="false">
      <c r="A55" s="3" t="n">
        <v>21003</v>
      </c>
      <c r="B55" s="3" t="s">
        <v>28</v>
      </c>
      <c r="C55" s="3" t="n">
        <v>12</v>
      </c>
      <c r="D55" s="3" t="n">
        <v>11</v>
      </c>
    </row>
    <row r="56" customFormat="false" ht="15" hidden="false" customHeight="true" outlineLevel="0" collapsed="false">
      <c r="A56" s="3" t="n">
        <v>71088</v>
      </c>
      <c r="B56" s="3" t="s">
        <v>152</v>
      </c>
      <c r="C56" s="3" t="n">
        <v>12</v>
      </c>
      <c r="D56" s="3" t="n">
        <v>11</v>
      </c>
    </row>
    <row r="57" customFormat="false" ht="15" hidden="false" customHeight="true" outlineLevel="0" collapsed="false">
      <c r="A57" s="3" t="n">
        <v>51567</v>
      </c>
      <c r="B57" s="3" t="s">
        <v>68</v>
      </c>
      <c r="C57" s="3" t="n">
        <v>153</v>
      </c>
      <c r="D57" s="3" t="n">
        <v>136</v>
      </c>
    </row>
    <row r="58" customFormat="false" ht="15" hidden="false" customHeight="true" outlineLevel="0" collapsed="false">
      <c r="A58" s="3" t="n">
        <v>63361</v>
      </c>
      <c r="B58" s="3" t="s">
        <v>102</v>
      </c>
      <c r="C58" s="3" t="n">
        <v>24</v>
      </c>
      <c r="D58" s="3" t="n">
        <v>21</v>
      </c>
    </row>
    <row r="59" customFormat="false" ht="15" hidden="false" customHeight="true" outlineLevel="0" collapsed="false">
      <c r="A59" s="3" t="n">
        <v>42964</v>
      </c>
      <c r="B59" s="3" t="s">
        <v>52</v>
      </c>
      <c r="C59" s="3" t="n">
        <v>8</v>
      </c>
      <c r="D59" s="3" t="n">
        <v>7</v>
      </c>
    </row>
    <row r="60" customFormat="false" ht="15" hidden="false" customHeight="true" outlineLevel="0" collapsed="false">
      <c r="A60" s="3" t="n">
        <v>63414</v>
      </c>
      <c r="B60" s="3" t="s">
        <v>110</v>
      </c>
      <c r="C60" s="3" t="n">
        <v>23</v>
      </c>
      <c r="D60" s="3" t="n">
        <v>20</v>
      </c>
    </row>
    <row r="61" customFormat="false" ht="15" hidden="false" customHeight="true" outlineLevel="0" collapsed="false">
      <c r="A61" s="3" t="n">
        <v>63360</v>
      </c>
      <c r="B61" s="3" t="s">
        <v>101</v>
      </c>
      <c r="C61" s="3" t="n">
        <v>41</v>
      </c>
      <c r="D61" s="3" t="n">
        <v>35</v>
      </c>
    </row>
    <row r="62" customFormat="false" ht="15" hidden="false" customHeight="true" outlineLevel="0" collapsed="false">
      <c r="A62" s="3" t="n">
        <v>47877</v>
      </c>
      <c r="B62" s="3" t="s">
        <v>60</v>
      </c>
      <c r="C62" s="3" t="n">
        <v>13</v>
      </c>
      <c r="D62" s="3" t="n">
        <v>11</v>
      </c>
    </row>
    <row r="63" customFormat="false" ht="15" hidden="false" customHeight="true" outlineLevel="0" collapsed="false">
      <c r="A63" s="3" t="n">
        <v>65243</v>
      </c>
      <c r="B63" s="3" t="s">
        <v>131</v>
      </c>
      <c r="C63" s="3" t="n">
        <v>13</v>
      </c>
      <c r="D63" s="3" t="n">
        <v>11</v>
      </c>
    </row>
    <row r="64" customFormat="false" ht="15" hidden="false" customHeight="true" outlineLevel="0" collapsed="false">
      <c r="A64" s="3" t="n">
        <v>76452</v>
      </c>
      <c r="B64" s="3" t="s">
        <v>204</v>
      </c>
      <c r="C64" s="3" t="n">
        <v>19</v>
      </c>
      <c r="D64" s="3" t="n">
        <v>16</v>
      </c>
    </row>
    <row r="65" customFormat="false" ht="15" hidden="false" customHeight="true" outlineLevel="0" collapsed="false">
      <c r="A65" s="3" t="n">
        <v>60471</v>
      </c>
      <c r="B65" s="3" t="s">
        <v>89</v>
      </c>
      <c r="C65" s="3" t="n">
        <v>12</v>
      </c>
      <c r="D65" s="3" t="n">
        <v>10</v>
      </c>
    </row>
    <row r="66" customFormat="false" ht="15" hidden="false" customHeight="true" outlineLevel="0" collapsed="false">
      <c r="A66" s="3" t="n">
        <v>74710</v>
      </c>
      <c r="B66" s="3" t="s">
        <v>166</v>
      </c>
      <c r="C66" s="3" t="n">
        <v>12</v>
      </c>
      <c r="D66" s="3" t="n">
        <v>10</v>
      </c>
    </row>
    <row r="67" customFormat="false" ht="15" hidden="false" customHeight="true" outlineLevel="0" collapsed="false">
      <c r="A67" s="3" t="n">
        <v>25386</v>
      </c>
      <c r="B67" s="3" t="s">
        <v>34</v>
      </c>
      <c r="C67" s="3" t="n">
        <v>6</v>
      </c>
      <c r="D67" s="3" t="n">
        <v>5</v>
      </c>
    </row>
    <row r="68" customFormat="false" ht="15" hidden="false" customHeight="true" outlineLevel="0" collapsed="false">
      <c r="A68" s="3" t="n">
        <v>52323</v>
      </c>
      <c r="B68" s="3" t="s">
        <v>71</v>
      </c>
      <c r="C68" s="3" t="n">
        <v>29</v>
      </c>
      <c r="D68" s="3" t="n">
        <v>24</v>
      </c>
    </row>
    <row r="69" customFormat="false" ht="15" hidden="false" customHeight="true" outlineLevel="0" collapsed="false">
      <c r="A69" s="3" t="n">
        <v>59679</v>
      </c>
      <c r="B69" s="3" t="s">
        <v>87</v>
      </c>
      <c r="C69" s="3" t="n">
        <v>61</v>
      </c>
      <c r="D69" s="3" t="n">
        <v>50</v>
      </c>
    </row>
    <row r="70" customFormat="false" ht="15" hidden="false" customHeight="true" outlineLevel="0" collapsed="false">
      <c r="A70" s="3" t="n">
        <v>31188</v>
      </c>
      <c r="B70" s="3" t="s">
        <v>48</v>
      </c>
      <c r="C70" s="3" t="n">
        <v>49</v>
      </c>
      <c r="D70" s="3" t="n">
        <v>40</v>
      </c>
    </row>
    <row r="71" customFormat="false" ht="15" hidden="false" customHeight="true" outlineLevel="0" collapsed="false">
      <c r="A71" s="3" t="n">
        <v>74682</v>
      </c>
      <c r="B71" s="3" t="s">
        <v>158</v>
      </c>
      <c r="C71" s="3" t="n">
        <v>5</v>
      </c>
      <c r="D71" s="3" t="n">
        <v>4</v>
      </c>
    </row>
    <row r="72" customFormat="false" ht="15" hidden="false" customHeight="true" outlineLevel="0" collapsed="false">
      <c r="A72" s="3" t="n">
        <v>88476</v>
      </c>
      <c r="B72" s="3" t="s">
        <v>224</v>
      </c>
      <c r="C72" s="3" t="n">
        <v>5</v>
      </c>
      <c r="D72" s="3" t="n">
        <v>4</v>
      </c>
    </row>
    <row r="73" customFormat="false" ht="15" hidden="false" customHeight="true" outlineLevel="0" collapsed="false">
      <c r="A73" s="3" t="n">
        <v>60472</v>
      </c>
      <c r="B73" s="3" t="s">
        <v>90</v>
      </c>
      <c r="C73" s="3" t="n">
        <v>39</v>
      </c>
      <c r="D73" s="3" t="n">
        <v>30</v>
      </c>
    </row>
    <row r="74" customFormat="false" ht="15" hidden="false" customHeight="true" outlineLevel="0" collapsed="false">
      <c r="A74" s="3" t="n">
        <v>23008</v>
      </c>
      <c r="B74" s="3" t="s">
        <v>32</v>
      </c>
      <c r="C74" s="3" t="n">
        <v>34</v>
      </c>
      <c r="D74" s="3" t="n">
        <v>26</v>
      </c>
    </row>
    <row r="75" customFormat="false" ht="15" hidden="false" customHeight="true" outlineLevel="0" collapsed="false">
      <c r="A75" s="3" t="n">
        <v>65242</v>
      </c>
      <c r="B75" s="3" t="s">
        <v>130</v>
      </c>
      <c r="C75" s="3" t="n">
        <v>24</v>
      </c>
      <c r="D75" s="3" t="n">
        <v>18</v>
      </c>
    </row>
    <row r="76" customFormat="false" ht="15" hidden="false" customHeight="true" outlineLevel="0" collapsed="false">
      <c r="A76" s="3" t="n">
        <v>59657</v>
      </c>
      <c r="B76" s="3" t="s">
        <v>85</v>
      </c>
      <c r="C76" s="3" t="n">
        <v>8</v>
      </c>
      <c r="D76" s="3" t="n">
        <v>6</v>
      </c>
    </row>
    <row r="77" customFormat="false" ht="15" hidden="false" customHeight="true" outlineLevel="0" collapsed="false">
      <c r="A77" s="3" t="n">
        <v>63366</v>
      </c>
      <c r="B77" s="3" t="s">
        <v>103</v>
      </c>
      <c r="C77" s="3" t="n">
        <v>26</v>
      </c>
      <c r="D77" s="3" t="n">
        <v>19</v>
      </c>
    </row>
    <row r="78" customFormat="false" ht="15" hidden="false" customHeight="true" outlineLevel="0" collapsed="false">
      <c r="A78" s="3" t="n">
        <v>74708</v>
      </c>
      <c r="B78" s="3" t="s">
        <v>164</v>
      </c>
      <c r="C78" s="3" t="n">
        <v>26</v>
      </c>
      <c r="D78" s="3" t="n">
        <v>19</v>
      </c>
    </row>
    <row r="79" customFormat="false" ht="15" hidden="false" customHeight="true" outlineLevel="0" collapsed="false">
      <c r="A79" s="3" t="n">
        <v>16211</v>
      </c>
      <c r="B79" s="3" t="s">
        <v>13</v>
      </c>
      <c r="C79" s="3" t="n">
        <v>7</v>
      </c>
      <c r="D79" s="3" t="n">
        <v>5</v>
      </c>
    </row>
    <row r="80" customFormat="false" ht="15" hidden="false" customHeight="true" outlineLevel="0" collapsed="false">
      <c r="A80" s="3" t="n">
        <v>19082</v>
      </c>
      <c r="B80" s="3" t="s">
        <v>23</v>
      </c>
      <c r="C80" s="3" t="n">
        <v>7</v>
      </c>
      <c r="D80" s="3" t="n">
        <v>5</v>
      </c>
    </row>
    <row r="81" customFormat="false" ht="15" hidden="false" customHeight="true" outlineLevel="0" collapsed="false">
      <c r="A81" s="3" t="n">
        <v>65241</v>
      </c>
      <c r="B81" s="3" t="s">
        <v>129</v>
      </c>
      <c r="C81" s="3" t="n">
        <v>24</v>
      </c>
      <c r="D81" s="3" t="n">
        <v>17</v>
      </c>
    </row>
    <row r="82" customFormat="false" ht="15" hidden="false" customHeight="true" outlineLevel="0" collapsed="false">
      <c r="A82" s="3" t="n">
        <v>74800</v>
      </c>
      <c r="B82" s="3" t="s">
        <v>171</v>
      </c>
      <c r="C82" s="3" t="n">
        <v>30</v>
      </c>
      <c r="D82" s="3" t="n">
        <v>21</v>
      </c>
    </row>
    <row r="83" customFormat="false" ht="15" hidden="false" customHeight="true" outlineLevel="0" collapsed="false">
      <c r="A83" s="3" t="n">
        <v>21004</v>
      </c>
      <c r="B83" s="3" t="s">
        <v>29</v>
      </c>
      <c r="C83" s="3" t="n">
        <v>10</v>
      </c>
      <c r="D83" s="3" t="n">
        <v>7</v>
      </c>
    </row>
    <row r="84" customFormat="false" ht="15" hidden="false" customHeight="true" outlineLevel="0" collapsed="false">
      <c r="A84" s="3" t="n">
        <v>74801</v>
      </c>
      <c r="B84" s="3" t="s">
        <v>172</v>
      </c>
      <c r="C84" s="3" t="n">
        <v>22</v>
      </c>
      <c r="D84" s="3" t="n">
        <v>15</v>
      </c>
    </row>
    <row r="85" customFormat="false" ht="15" hidden="false" customHeight="true" outlineLevel="0" collapsed="false">
      <c r="A85" s="3" t="n">
        <v>74763</v>
      </c>
      <c r="B85" s="3" t="s">
        <v>168</v>
      </c>
      <c r="C85" s="3" t="n">
        <v>6</v>
      </c>
      <c r="D85" s="3" t="n">
        <v>4</v>
      </c>
    </row>
    <row r="86" customFormat="false" ht="15" hidden="false" customHeight="true" outlineLevel="0" collapsed="false">
      <c r="A86" s="3" t="n">
        <v>75762</v>
      </c>
      <c r="B86" s="3" t="s">
        <v>198</v>
      </c>
      <c r="C86" s="3" t="n">
        <v>6</v>
      </c>
      <c r="D86" s="3" t="n">
        <v>4</v>
      </c>
    </row>
    <row r="87" customFormat="false" ht="15" hidden="false" customHeight="true" outlineLevel="0" collapsed="false">
      <c r="A87" s="3" t="n">
        <v>19083</v>
      </c>
      <c r="B87" s="3" t="s">
        <v>24</v>
      </c>
      <c r="C87" s="3" t="n">
        <v>3</v>
      </c>
      <c r="D87" s="3" t="n">
        <v>2</v>
      </c>
    </row>
    <row r="88" customFormat="false" ht="15" hidden="false" customHeight="true" outlineLevel="0" collapsed="false">
      <c r="A88" s="3" t="n">
        <v>63449</v>
      </c>
      <c r="B88" s="3" t="s">
        <v>119</v>
      </c>
      <c r="C88" s="3" t="n">
        <v>8</v>
      </c>
      <c r="D88" s="3" t="n">
        <v>5</v>
      </c>
    </row>
    <row r="89" customFormat="false" ht="15" hidden="false" customHeight="true" outlineLevel="0" collapsed="false">
      <c r="A89" s="3" t="n">
        <v>71204</v>
      </c>
      <c r="B89" s="3" t="s">
        <v>153</v>
      </c>
      <c r="C89" s="3" t="n">
        <v>98</v>
      </c>
      <c r="D89" s="3" t="n">
        <v>60</v>
      </c>
    </row>
    <row r="90" customFormat="false" ht="15" hidden="false" customHeight="true" outlineLevel="0" collapsed="false">
      <c r="A90" s="3" t="n">
        <v>74709</v>
      </c>
      <c r="B90" s="3" t="s">
        <v>165</v>
      </c>
      <c r="C90" s="3" t="n">
        <v>40</v>
      </c>
      <c r="D90" s="3" t="n">
        <v>24</v>
      </c>
    </row>
    <row r="91" customFormat="false" ht="15" hidden="false" customHeight="true" outlineLevel="0" collapsed="false">
      <c r="A91" s="3" t="n">
        <v>18559</v>
      </c>
      <c r="B91" s="3" t="s">
        <v>22</v>
      </c>
      <c r="C91" s="3" t="n">
        <v>5</v>
      </c>
      <c r="D91" s="3" t="n">
        <v>3</v>
      </c>
    </row>
    <row r="92" customFormat="false" ht="15" hidden="false" customHeight="true" outlineLevel="0" collapsed="false">
      <c r="A92" s="3" t="n">
        <v>63359</v>
      </c>
      <c r="B92" s="3" t="s">
        <v>100</v>
      </c>
      <c r="C92" s="3" t="n">
        <v>49</v>
      </c>
      <c r="D92" s="3" t="n">
        <v>29</v>
      </c>
    </row>
    <row r="93" customFormat="false" ht="15" hidden="false" customHeight="true" outlineLevel="0" collapsed="false">
      <c r="A93" s="3" t="n">
        <v>74764</v>
      </c>
      <c r="B93" s="3" t="s">
        <v>169</v>
      </c>
      <c r="C93" s="3" t="n">
        <v>7</v>
      </c>
      <c r="D93" s="3" t="n">
        <v>4</v>
      </c>
    </row>
    <row r="94" customFormat="false" ht="15" hidden="false" customHeight="true" outlineLevel="0" collapsed="false">
      <c r="A94" s="3" t="n">
        <v>61962</v>
      </c>
      <c r="B94" s="3" t="s">
        <v>99</v>
      </c>
      <c r="C94" s="3" t="n">
        <v>11</v>
      </c>
      <c r="D94" s="3" t="n">
        <v>6</v>
      </c>
    </row>
    <row r="95" customFormat="false" ht="15" hidden="false" customHeight="true" outlineLevel="0" collapsed="false">
      <c r="A95" s="3" t="n">
        <v>9771</v>
      </c>
      <c r="B95" s="3" t="s">
        <v>11</v>
      </c>
      <c r="C95" s="3" t="n">
        <v>24</v>
      </c>
      <c r="D95" s="3" t="n">
        <v>13</v>
      </c>
    </row>
    <row r="96" customFormat="false" ht="15" hidden="false" customHeight="true" outlineLevel="0" collapsed="false">
      <c r="A96" s="3" t="n">
        <v>31190</v>
      </c>
      <c r="B96" s="3" t="s">
        <v>49</v>
      </c>
      <c r="C96" s="3" t="n">
        <v>19</v>
      </c>
      <c r="D96" s="3" t="n">
        <v>10</v>
      </c>
    </row>
    <row r="97" customFormat="false" ht="15" hidden="false" customHeight="true" outlineLevel="0" collapsed="false">
      <c r="A97" s="3" t="n">
        <v>63420</v>
      </c>
      <c r="B97" s="3" t="s">
        <v>116</v>
      </c>
      <c r="C97" s="3" t="n">
        <v>19</v>
      </c>
      <c r="D97" s="3" t="n">
        <v>10</v>
      </c>
    </row>
    <row r="98" customFormat="false" ht="15" hidden="false" customHeight="true" outlineLevel="0" collapsed="false">
      <c r="A98" s="3" t="n">
        <v>8618</v>
      </c>
      <c r="B98" s="3" t="s">
        <v>10</v>
      </c>
      <c r="C98" s="3" t="n">
        <v>21</v>
      </c>
      <c r="D98" s="3" t="n">
        <v>11</v>
      </c>
    </row>
    <row r="99" customFormat="false" ht="15" hidden="false" customHeight="true" outlineLevel="0" collapsed="false">
      <c r="A99" s="3" t="n">
        <v>63367</v>
      </c>
      <c r="B99" s="3" t="s">
        <v>104</v>
      </c>
      <c r="C99" s="3" t="n">
        <v>32</v>
      </c>
      <c r="D99" s="3" t="n">
        <v>16</v>
      </c>
    </row>
    <row r="100" customFormat="false" ht="15" hidden="false" customHeight="true" outlineLevel="0" collapsed="false">
      <c r="A100" s="3" t="n">
        <v>9772</v>
      </c>
      <c r="B100" s="3" t="s">
        <v>12</v>
      </c>
      <c r="C100" s="3" t="n">
        <v>20</v>
      </c>
      <c r="D100" s="3" t="n">
        <v>10</v>
      </c>
    </row>
    <row r="101" customFormat="false" ht="15" hidden="false" customHeight="true" outlineLevel="0" collapsed="false">
      <c r="A101" s="3" t="n">
        <v>16239</v>
      </c>
      <c r="B101" s="3" t="s">
        <v>19</v>
      </c>
      <c r="C101" s="3" t="n">
        <v>8</v>
      </c>
      <c r="D101" s="3" t="n">
        <v>4</v>
      </c>
    </row>
    <row r="102" customFormat="false" ht="15" hidden="false" customHeight="true" outlineLevel="0" collapsed="false">
      <c r="A102" s="3" t="n">
        <v>76453</v>
      </c>
      <c r="B102" s="3" t="s">
        <v>205</v>
      </c>
      <c r="C102" s="3" t="n">
        <v>6</v>
      </c>
      <c r="D102" s="3" t="n">
        <v>3</v>
      </c>
    </row>
    <row r="103" customFormat="false" ht="15" hidden="false" customHeight="true" outlineLevel="0" collapsed="false">
      <c r="A103" s="3" t="n">
        <v>16244</v>
      </c>
      <c r="B103" s="3" t="s">
        <v>20</v>
      </c>
      <c r="C103" s="3" t="n">
        <v>4</v>
      </c>
      <c r="D103" s="3" t="n">
        <v>2</v>
      </c>
    </row>
    <row r="104" customFormat="false" ht="15" hidden="false" customHeight="true" outlineLevel="0" collapsed="false">
      <c r="A104" s="3" t="n">
        <v>16214</v>
      </c>
      <c r="B104" s="3" t="s">
        <v>16</v>
      </c>
      <c r="C104" s="3" t="n">
        <v>2</v>
      </c>
      <c r="D104" s="3" t="n">
        <v>1</v>
      </c>
    </row>
    <row r="105" customFormat="false" ht="15" hidden="false" customHeight="true" outlineLevel="0" collapsed="false">
      <c r="A105" s="3" t="n">
        <v>64637</v>
      </c>
      <c r="B105" s="3" t="s">
        <v>127</v>
      </c>
      <c r="C105" s="3" t="n">
        <v>2</v>
      </c>
      <c r="D105" s="3" t="n">
        <v>1</v>
      </c>
    </row>
    <row r="106" customFormat="false" ht="15" hidden="false" customHeight="true" outlineLevel="0" collapsed="false">
      <c r="A106" s="3" t="n">
        <v>74807</v>
      </c>
      <c r="B106" s="3" t="s">
        <v>175</v>
      </c>
      <c r="C106" s="3" t="n">
        <v>2</v>
      </c>
      <c r="D106" s="3" t="n">
        <v>1</v>
      </c>
    </row>
    <row r="107" customFormat="false" ht="15" hidden="false" customHeight="true" outlineLevel="0" collapsed="false">
      <c r="A107" s="3" t="n">
        <v>88477</v>
      </c>
      <c r="B107" s="3" t="s">
        <v>225</v>
      </c>
      <c r="C107" s="3" t="n">
        <v>2</v>
      </c>
      <c r="D107" s="3" t="n">
        <v>1</v>
      </c>
    </row>
    <row r="108" customFormat="false" ht="15" hidden="false" customHeight="true" outlineLevel="0" collapsed="false">
      <c r="A108" s="3" t="n">
        <v>83668</v>
      </c>
      <c r="B108" s="3" t="s">
        <v>216</v>
      </c>
      <c r="C108" s="3" t="n">
        <v>101</v>
      </c>
      <c r="D108" s="3" t="n">
        <v>49</v>
      </c>
    </row>
    <row r="109" customFormat="false" ht="15" hidden="false" customHeight="true" outlineLevel="0" collapsed="false">
      <c r="A109" s="3" t="n">
        <v>16213</v>
      </c>
      <c r="B109" s="3" t="s">
        <v>15</v>
      </c>
      <c r="C109" s="3" t="n">
        <v>17</v>
      </c>
      <c r="D109" s="3" t="n">
        <v>8</v>
      </c>
    </row>
    <row r="110" customFormat="false" ht="15" hidden="false" customHeight="true" outlineLevel="0" collapsed="false">
      <c r="A110" s="3" t="n">
        <v>60485</v>
      </c>
      <c r="B110" s="3" t="s">
        <v>96</v>
      </c>
      <c r="C110" s="3" t="n">
        <v>30</v>
      </c>
      <c r="D110" s="3" t="n">
        <v>14</v>
      </c>
    </row>
    <row r="111" customFormat="false" ht="15" hidden="false" customHeight="true" outlineLevel="0" collapsed="false">
      <c r="A111" s="3" t="n">
        <v>16212</v>
      </c>
      <c r="B111" s="3" t="s">
        <v>14</v>
      </c>
      <c r="C111" s="3" t="n">
        <v>13</v>
      </c>
      <c r="D111" s="3" t="n">
        <v>6</v>
      </c>
    </row>
    <row r="112" customFormat="false" ht="15" hidden="false" customHeight="true" outlineLevel="0" collapsed="false">
      <c r="A112" s="3" t="n">
        <v>80668</v>
      </c>
      <c r="B112" s="3" t="s">
        <v>208</v>
      </c>
      <c r="C112" s="3" t="n">
        <v>16</v>
      </c>
      <c r="D112" s="3" t="n">
        <v>7</v>
      </c>
    </row>
    <row r="113" customFormat="false" ht="15" hidden="false" customHeight="true" outlineLevel="0" collapsed="false">
      <c r="A113" s="3" t="n">
        <v>63418</v>
      </c>
      <c r="B113" s="3" t="s">
        <v>114</v>
      </c>
      <c r="C113" s="3" t="n">
        <v>7</v>
      </c>
      <c r="D113" s="3" t="n">
        <v>3</v>
      </c>
    </row>
    <row r="114" customFormat="false" ht="15" hidden="false" customHeight="true" outlineLevel="0" collapsed="false">
      <c r="A114" s="3" t="n">
        <v>59694</v>
      </c>
      <c r="B114" s="3" t="s">
        <v>88</v>
      </c>
      <c r="C114" s="3" t="n">
        <v>47</v>
      </c>
      <c r="D114" s="3" t="n">
        <v>20</v>
      </c>
    </row>
    <row r="115" customFormat="false" ht="15" hidden="false" customHeight="true" outlineLevel="0" collapsed="false">
      <c r="A115" s="3" t="n">
        <v>24612</v>
      </c>
      <c r="B115" s="3" t="s">
        <v>33</v>
      </c>
      <c r="C115" s="3" t="n">
        <v>53</v>
      </c>
      <c r="D115" s="3" t="n">
        <v>22</v>
      </c>
    </row>
    <row r="116" customFormat="false" ht="15" hidden="false" customHeight="true" outlineLevel="0" collapsed="false">
      <c r="A116" s="3" t="n">
        <v>85338</v>
      </c>
      <c r="B116" s="3" t="s">
        <v>218</v>
      </c>
      <c r="C116" s="3" t="n">
        <v>17</v>
      </c>
      <c r="D116" s="3" t="n">
        <v>7</v>
      </c>
    </row>
    <row r="117" customFormat="false" ht="15" hidden="false" customHeight="true" outlineLevel="0" collapsed="false">
      <c r="A117" s="3" t="n">
        <v>49772</v>
      </c>
      <c r="B117" s="3" t="s">
        <v>63</v>
      </c>
      <c r="C117" s="3" t="n">
        <v>10</v>
      </c>
      <c r="D117" s="3" t="n">
        <v>4</v>
      </c>
    </row>
    <row r="118" customFormat="false" ht="15" hidden="false" customHeight="true" outlineLevel="0" collapsed="false">
      <c r="A118" s="3" t="n">
        <v>67935</v>
      </c>
      <c r="B118" s="3" t="s">
        <v>142</v>
      </c>
      <c r="C118" s="3" t="n">
        <v>10</v>
      </c>
      <c r="D118" s="3" t="n">
        <v>4</v>
      </c>
    </row>
    <row r="119" customFormat="false" ht="15" hidden="false" customHeight="true" outlineLevel="0" collapsed="false">
      <c r="A119" s="3" t="n">
        <v>35339</v>
      </c>
      <c r="B119" s="3" t="s">
        <v>51</v>
      </c>
      <c r="C119" s="3" t="n">
        <v>5</v>
      </c>
      <c r="D119" s="3" t="n">
        <v>2</v>
      </c>
    </row>
    <row r="120" customFormat="false" ht="15" hidden="false" customHeight="true" outlineLevel="0" collapsed="false">
      <c r="A120" s="3" t="n">
        <v>61961</v>
      </c>
      <c r="B120" s="3" t="s">
        <v>98</v>
      </c>
      <c r="C120" s="3" t="n">
        <v>24</v>
      </c>
      <c r="D120" s="3" t="n">
        <v>8</v>
      </c>
    </row>
    <row r="121" customFormat="false" ht="15" hidden="false" customHeight="true" outlineLevel="0" collapsed="false">
      <c r="A121" s="3" t="n">
        <v>71683</v>
      </c>
      <c r="B121" s="3" t="s">
        <v>154</v>
      </c>
      <c r="C121" s="3" t="n">
        <v>6</v>
      </c>
      <c r="D121" s="3" t="n">
        <v>2</v>
      </c>
    </row>
    <row r="122" customFormat="false" ht="15" hidden="false" customHeight="true" outlineLevel="0" collapsed="false">
      <c r="A122" s="3" t="n">
        <v>75763</v>
      </c>
      <c r="B122" s="3" t="s">
        <v>199</v>
      </c>
      <c r="C122" s="3" t="n">
        <v>6</v>
      </c>
      <c r="D122" s="3" t="n">
        <v>2</v>
      </c>
    </row>
    <row r="123" customFormat="false" ht="15" hidden="false" customHeight="true" outlineLevel="0" collapsed="false">
      <c r="A123" s="3" t="n">
        <v>65743</v>
      </c>
      <c r="B123" s="3" t="s">
        <v>132</v>
      </c>
      <c r="C123" s="3" t="n">
        <v>3</v>
      </c>
      <c r="D123" s="3" t="n">
        <v>1</v>
      </c>
    </row>
    <row r="124" customFormat="false" ht="15" hidden="false" customHeight="true" outlineLevel="0" collapsed="false">
      <c r="A124" s="3" t="n">
        <v>67895</v>
      </c>
      <c r="B124" s="3" t="s">
        <v>139</v>
      </c>
      <c r="C124" s="3" t="n">
        <v>3</v>
      </c>
      <c r="D124" s="3" t="n">
        <v>1</v>
      </c>
    </row>
    <row r="125" customFormat="false" ht="15" hidden="false" customHeight="true" outlineLevel="0" collapsed="false">
      <c r="A125" s="3" t="n">
        <v>74684</v>
      </c>
      <c r="B125" s="3" t="s">
        <v>160</v>
      </c>
      <c r="C125" s="3" t="n">
        <v>13</v>
      </c>
      <c r="D125" s="3" t="n">
        <v>4</v>
      </c>
    </row>
    <row r="126" customFormat="false" ht="15" hidden="false" customHeight="true" outlineLevel="0" collapsed="false">
      <c r="A126" s="3" t="n">
        <v>79327</v>
      </c>
      <c r="B126" s="3" t="s">
        <v>206</v>
      </c>
      <c r="C126" s="3" t="n">
        <v>13</v>
      </c>
      <c r="D126" s="3" t="n">
        <v>4</v>
      </c>
    </row>
    <row r="127" customFormat="false" ht="15" hidden="false" customHeight="true" outlineLevel="0" collapsed="false">
      <c r="A127" s="3" t="n">
        <v>29984</v>
      </c>
      <c r="B127" s="3" t="s">
        <v>46</v>
      </c>
      <c r="C127" s="3" t="n">
        <v>5</v>
      </c>
      <c r="D127" s="3" t="n">
        <v>1</v>
      </c>
    </row>
    <row r="128" customFormat="false" ht="15" hidden="false" customHeight="true" outlineLevel="0" collapsed="false">
      <c r="A128" s="3" t="n">
        <v>34874</v>
      </c>
      <c r="B128" s="3" t="s">
        <v>50</v>
      </c>
      <c r="C128" s="3" t="n">
        <v>5</v>
      </c>
      <c r="D128" s="3" t="n">
        <v>1</v>
      </c>
    </row>
    <row r="129" customFormat="false" ht="15" hidden="false" customHeight="true" outlineLevel="0" collapsed="false">
      <c r="A129" s="3" t="n">
        <v>88474</v>
      </c>
      <c r="B129" s="3" t="s">
        <v>222</v>
      </c>
      <c r="C129" s="3" t="n">
        <v>5</v>
      </c>
      <c r="D129" s="3" t="n">
        <v>1</v>
      </c>
    </row>
    <row r="130" customFormat="false" ht="15" hidden="false" customHeight="true" outlineLevel="0" collapsed="false">
      <c r="A130" s="3" t="n">
        <v>16217</v>
      </c>
      <c r="B130" s="3" t="s">
        <v>17</v>
      </c>
      <c r="C130" s="3" t="n">
        <v>11</v>
      </c>
      <c r="D130" s="3" t="n">
        <v>2</v>
      </c>
    </row>
    <row r="131" customFormat="false" ht="15" hidden="false" customHeight="true" outlineLevel="0" collapsed="false">
      <c r="A131" s="3" t="n">
        <v>20998</v>
      </c>
      <c r="B131" s="3" t="s">
        <v>27</v>
      </c>
      <c r="C131" s="3" t="n">
        <v>7</v>
      </c>
      <c r="D131" s="3" t="n">
        <v>1</v>
      </c>
    </row>
    <row r="132" customFormat="false" ht="15" hidden="false" customHeight="true" outlineLevel="0" collapsed="false">
      <c r="A132" s="3" t="n">
        <v>67385</v>
      </c>
      <c r="B132" s="3" t="s">
        <v>138</v>
      </c>
      <c r="C132" s="3" t="n">
        <v>33</v>
      </c>
      <c r="D132" s="3" t="n">
        <v>4</v>
      </c>
    </row>
    <row r="133" customFormat="false" ht="15" hidden="false" customHeight="true" outlineLevel="0" collapsed="false">
      <c r="A133" s="3" t="n">
        <v>29981</v>
      </c>
      <c r="B133" s="3" t="s">
        <v>45</v>
      </c>
      <c r="C133" s="3" t="n">
        <v>9</v>
      </c>
      <c r="D133" s="3" t="n">
        <v>1</v>
      </c>
    </row>
    <row r="134" customFormat="false" ht="15" hidden="false" customHeight="true" outlineLevel="0" collapsed="false">
      <c r="A134" s="3" t="n">
        <v>74683</v>
      </c>
      <c r="B134" s="3" t="s">
        <v>159</v>
      </c>
      <c r="C134" s="3" t="n">
        <v>10</v>
      </c>
      <c r="D134" s="3" t="n">
        <v>1</v>
      </c>
    </row>
    <row r="135" customFormat="false" ht="15" hidden="false" customHeight="true" outlineLevel="0" collapsed="false">
      <c r="A135" s="3" t="n">
        <v>64632</v>
      </c>
      <c r="B135" s="3" t="s">
        <v>122</v>
      </c>
      <c r="C135" s="3" t="n">
        <v>2</v>
      </c>
      <c r="D135" s="3" t="n">
        <v>0</v>
      </c>
    </row>
    <row r="136" customFormat="false" ht="15" hidden="false" customHeight="true" outlineLevel="0" collapsed="false">
      <c r="A136" s="3" t="n">
        <v>74820</v>
      </c>
      <c r="B136" s="3" t="s">
        <v>176</v>
      </c>
      <c r="C136" s="3" t="n">
        <v>1</v>
      </c>
      <c r="D136" s="3" t="n">
        <v>0</v>
      </c>
    </row>
    <row r="137" customFormat="false" ht="15" hidden="false" customHeight="true" outlineLevel="0" collapsed="false">
      <c r="A137" s="3" t="n">
        <v>74827</v>
      </c>
      <c r="B137" s="3" t="s">
        <v>183</v>
      </c>
      <c r="C137" s="3" t="n">
        <v>1</v>
      </c>
      <c r="D137" s="3" t="n">
        <v>0</v>
      </c>
    </row>
    <row r="138" customFormat="false" ht="15" hidden="false" customHeight="true" outlineLevel="0" collapsed="false">
      <c r="A138" s="3" t="n">
        <v>16245</v>
      </c>
      <c r="B138" s="3" t="s">
        <v>21</v>
      </c>
      <c r="C138" s="3" t="n">
        <v>6</v>
      </c>
      <c r="D138" s="3" t="n">
        <v>0</v>
      </c>
    </row>
    <row r="139" customFormat="false" ht="15" hidden="false" customHeight="true" outlineLevel="0" collapsed="false">
      <c r="A139" s="3" t="n">
        <v>20948</v>
      </c>
      <c r="B139" s="3" t="s">
        <v>25</v>
      </c>
      <c r="C139" s="3" t="n">
        <v>2</v>
      </c>
      <c r="D139" s="3" t="n">
        <v>0</v>
      </c>
    </row>
    <row r="140" customFormat="false" ht="15" hidden="false" customHeight="true" outlineLevel="0" collapsed="false">
      <c r="A140" s="3" t="n">
        <v>28302</v>
      </c>
      <c r="B140" s="3" t="s">
        <v>36</v>
      </c>
      <c r="C140" s="3" t="n">
        <v>4</v>
      </c>
      <c r="D140" s="3" t="n">
        <v>0</v>
      </c>
    </row>
    <row r="141" customFormat="false" ht="15" hidden="false" customHeight="true" outlineLevel="0" collapsed="false">
      <c r="A141" s="3" t="n">
        <v>29794</v>
      </c>
      <c r="B141" s="3" t="s">
        <v>42</v>
      </c>
      <c r="C141" s="3" t="n">
        <v>1</v>
      </c>
      <c r="D141" s="3" t="n">
        <v>0</v>
      </c>
    </row>
    <row r="142" customFormat="false" ht="15" hidden="false" customHeight="true" outlineLevel="0" collapsed="false">
      <c r="A142" s="3" t="n">
        <v>50057</v>
      </c>
      <c r="B142" s="3" t="s">
        <v>66</v>
      </c>
      <c r="C142" s="3" t="n">
        <v>1</v>
      </c>
      <c r="D142" s="3" t="n">
        <v>0</v>
      </c>
    </row>
    <row r="143" customFormat="false" ht="15" hidden="false" customHeight="true" outlineLevel="0" collapsed="false">
      <c r="A143" s="3" t="n">
        <v>63406</v>
      </c>
      <c r="B143" s="3" t="s">
        <v>108</v>
      </c>
      <c r="C143" s="3" t="n">
        <v>1</v>
      </c>
      <c r="D143" s="3" t="n">
        <v>0</v>
      </c>
    </row>
    <row r="144" customFormat="false" ht="15" hidden="false" customHeight="true" outlineLevel="0" collapsed="false">
      <c r="A144" s="3" t="n">
        <v>64633</v>
      </c>
      <c r="B144" s="3" t="s">
        <v>123</v>
      </c>
      <c r="C144" s="3" t="n">
        <v>1</v>
      </c>
      <c r="D144" s="3" t="n">
        <v>0</v>
      </c>
    </row>
    <row r="145" customFormat="false" ht="15" hidden="false" customHeight="true" outlineLevel="0" collapsed="false">
      <c r="A145" s="3" t="n">
        <v>64638</v>
      </c>
      <c r="B145" s="3" t="s">
        <v>128</v>
      </c>
      <c r="C145" s="3" t="n">
        <v>3</v>
      </c>
      <c r="D145" s="3" t="n">
        <v>0</v>
      </c>
    </row>
    <row r="146" customFormat="false" ht="15" hidden="false" customHeight="true" outlineLevel="0" collapsed="false">
      <c r="A146" s="3" t="n">
        <v>67949</v>
      </c>
      <c r="B146" s="3" t="s">
        <v>144</v>
      </c>
      <c r="C146" s="3" t="n">
        <v>1</v>
      </c>
      <c r="D146" s="3" t="n">
        <v>0</v>
      </c>
    </row>
    <row r="147" customFormat="false" ht="15" hidden="false" customHeight="true" outlineLevel="0" collapsed="false">
      <c r="A147" s="3" t="n">
        <v>74805</v>
      </c>
      <c r="B147" s="3" t="s">
        <v>173</v>
      </c>
      <c r="C147" s="3" t="n">
        <v>1</v>
      </c>
      <c r="D147" s="3" t="n">
        <v>0</v>
      </c>
    </row>
    <row r="148" customFormat="false" ht="15" hidden="false" customHeight="true" outlineLevel="0" collapsed="false">
      <c r="A148" s="3" t="n">
        <v>74821</v>
      </c>
      <c r="B148" s="3" t="s">
        <v>177</v>
      </c>
      <c r="C148" s="3" t="n">
        <v>1</v>
      </c>
      <c r="D148" s="3" t="n">
        <v>0</v>
      </c>
    </row>
    <row r="149" customFormat="false" ht="15" hidden="false" customHeight="true" outlineLevel="0" collapsed="false">
      <c r="A149" s="3" t="n">
        <v>74826</v>
      </c>
      <c r="B149" s="3" t="s">
        <v>182</v>
      </c>
      <c r="C149" s="3" t="n">
        <v>1</v>
      </c>
      <c r="D149" s="3" t="n">
        <v>0</v>
      </c>
    </row>
    <row r="150" customFormat="false" ht="15" hidden="false" customHeight="true" outlineLevel="0" collapsed="false">
      <c r="A150" s="3" t="n">
        <v>74847</v>
      </c>
      <c r="B150" s="3" t="s">
        <v>187</v>
      </c>
      <c r="C150" s="3" t="n">
        <v>2</v>
      </c>
      <c r="D150" s="3" t="n">
        <v>0</v>
      </c>
    </row>
    <row r="151" customFormat="false" ht="15" hidden="false" customHeight="true" outlineLevel="0" collapsed="false">
      <c r="A151" s="3" t="n">
        <v>74848</v>
      </c>
      <c r="B151" s="3" t="s">
        <v>188</v>
      </c>
      <c r="C151" s="3" t="n">
        <v>1</v>
      </c>
      <c r="D151" s="3" t="n">
        <v>0</v>
      </c>
    </row>
    <row r="152" customFormat="false" ht="15" hidden="false" customHeight="true" outlineLevel="0" collapsed="false">
      <c r="A152" s="3" t="n">
        <v>74918</v>
      </c>
      <c r="B152" s="3" t="s">
        <v>189</v>
      </c>
      <c r="C152" s="3" t="n">
        <v>1</v>
      </c>
      <c r="D152" s="3" t="n">
        <v>0</v>
      </c>
    </row>
    <row r="153" customFormat="false" ht="15" hidden="false" customHeight="true" outlineLevel="0" collapsed="false">
      <c r="A153" s="3" t="n">
        <v>74919</v>
      </c>
      <c r="B153" s="3" t="s">
        <v>190</v>
      </c>
      <c r="C153" s="3" t="n">
        <v>1</v>
      </c>
      <c r="D153" s="3" t="n">
        <v>0</v>
      </c>
    </row>
    <row r="154" customFormat="false" ht="15" hidden="false" customHeight="true" outlineLevel="0" collapsed="false">
      <c r="A154" s="3" t="n">
        <v>76244</v>
      </c>
      <c r="B154" s="3" t="s">
        <v>201</v>
      </c>
      <c r="C154" s="3" t="n">
        <v>1</v>
      </c>
      <c r="D154" s="3" t="n">
        <v>0</v>
      </c>
    </row>
    <row r="155" customFormat="false" ht="15" hidden="false" customHeight="true" outlineLevel="0" collapsed="false">
      <c r="A155" s="3" t="n">
        <v>76248</v>
      </c>
      <c r="B155" s="3" t="s">
        <v>203</v>
      </c>
      <c r="C155" s="3" t="n">
        <v>1</v>
      </c>
      <c r="D155" s="3" t="n">
        <v>0</v>
      </c>
    </row>
    <row r="156" customFormat="false" ht="15" hidden="false" customHeight="true" outlineLevel="0" collapsed="false">
      <c r="A156" s="3" t="n">
        <v>74987</v>
      </c>
      <c r="B156" s="3" t="s">
        <v>195</v>
      </c>
      <c r="C156" s="3" t="n">
        <v>-1</v>
      </c>
      <c r="D156" s="3" t="n">
        <v>2</v>
      </c>
    </row>
    <row r="157" customFormat="false" ht="15" hidden="false" customHeight="true" outlineLevel="0" collapsed="false">
      <c r="A157" s="3" t="n">
        <v>82206</v>
      </c>
      <c r="B157" s="3" t="s">
        <v>210</v>
      </c>
      <c r="C157" s="3" t="n">
        <v>0</v>
      </c>
      <c r="D157" s="3" t="n">
        <v>42</v>
      </c>
    </row>
    <row r="158" customFormat="false" ht="15" hidden="false" customHeight="true" outlineLevel="0" collapsed="false">
      <c r="A158" s="3" t="n">
        <v>66745</v>
      </c>
      <c r="B158" s="3" t="s">
        <v>134</v>
      </c>
      <c r="C158" s="3" t="n">
        <v>0</v>
      </c>
      <c r="D158" s="3" t="n">
        <v>29</v>
      </c>
    </row>
    <row r="159" customFormat="false" ht="15" hidden="false" customHeight="true" outlineLevel="0" collapsed="false">
      <c r="A159" s="3" t="n">
        <v>82213</v>
      </c>
      <c r="B159" s="3" t="s">
        <v>213</v>
      </c>
      <c r="C159" s="3" t="n">
        <v>0</v>
      </c>
      <c r="D159" s="3" t="n">
        <v>23</v>
      </c>
    </row>
    <row r="160" customFormat="false" ht="15" hidden="false" customHeight="true" outlineLevel="0" collapsed="false">
      <c r="A160" s="3" t="n">
        <v>82202</v>
      </c>
      <c r="B160" s="3" t="s">
        <v>209</v>
      </c>
      <c r="C160" s="3" t="n">
        <v>0</v>
      </c>
      <c r="D160" s="3" t="n">
        <v>19</v>
      </c>
    </row>
    <row r="161" customFormat="false" ht="15" hidden="false" customHeight="true" outlineLevel="0" collapsed="false">
      <c r="A161" s="3" t="n">
        <v>82208</v>
      </c>
      <c r="B161" s="3" t="s">
        <v>212</v>
      </c>
      <c r="C161" s="3" t="n">
        <v>0</v>
      </c>
      <c r="D161" s="3" t="n">
        <v>19</v>
      </c>
    </row>
    <row r="162" customFormat="false" ht="15" hidden="false" customHeight="true" outlineLevel="0" collapsed="false">
      <c r="A162" s="3" t="n">
        <v>82207</v>
      </c>
      <c r="B162" s="3" t="s">
        <v>211</v>
      </c>
      <c r="C162" s="3" t="n">
        <v>0</v>
      </c>
      <c r="D162" s="3" t="n">
        <v>12</v>
      </c>
    </row>
    <row r="163" customFormat="false" ht="15" hidden="false" customHeight="true" outlineLevel="0" collapsed="false">
      <c r="A163" s="3" t="n">
        <v>83420</v>
      </c>
      <c r="B163" s="3" t="s">
        <v>215</v>
      </c>
      <c r="C163" s="3" t="n">
        <v>0</v>
      </c>
      <c r="D163" s="3" t="n">
        <v>12</v>
      </c>
    </row>
    <row r="164" customFormat="false" ht="15" hidden="false" customHeight="true" outlineLevel="0" collapsed="false">
      <c r="A164" s="3" t="n">
        <v>57696</v>
      </c>
      <c r="B164" s="3" t="s">
        <v>83</v>
      </c>
      <c r="C164" s="3" t="n">
        <v>0</v>
      </c>
      <c r="D164" s="3" t="n">
        <v>11</v>
      </c>
    </row>
    <row r="165" customFormat="false" ht="15" hidden="false" customHeight="true" outlineLevel="0" collapsed="false">
      <c r="A165" s="3" t="n">
        <v>57662</v>
      </c>
      <c r="B165" s="3" t="s">
        <v>80</v>
      </c>
      <c r="C165" s="3" t="n">
        <v>0</v>
      </c>
      <c r="D165" s="3" t="n">
        <v>7</v>
      </c>
    </row>
    <row r="166" customFormat="false" ht="15" hidden="false" customHeight="true" outlineLevel="0" collapsed="false">
      <c r="A166" s="3" t="n">
        <v>57690</v>
      </c>
      <c r="B166" s="3" t="s">
        <v>82</v>
      </c>
      <c r="C166" s="3" t="n">
        <v>0</v>
      </c>
      <c r="D166" s="3" t="n">
        <v>6</v>
      </c>
    </row>
    <row r="167" customFormat="false" ht="15" hidden="false" customHeight="true" outlineLevel="0" collapsed="false">
      <c r="A167" s="3" t="n">
        <v>20996</v>
      </c>
      <c r="B167" s="3" t="s">
        <v>26</v>
      </c>
      <c r="C167" s="3" t="n">
        <v>0</v>
      </c>
      <c r="D167" s="3" t="n">
        <v>5</v>
      </c>
    </row>
    <row r="168" customFormat="false" ht="15" hidden="false" customHeight="true" outlineLevel="0" collapsed="false">
      <c r="A168" s="3" t="n">
        <v>57664</v>
      </c>
      <c r="B168" s="3" t="s">
        <v>81</v>
      </c>
      <c r="C168" s="3" t="n">
        <v>0</v>
      </c>
      <c r="D168" s="3" t="n">
        <v>4</v>
      </c>
    </row>
    <row r="169" customFormat="false" ht="15" hidden="false" customHeight="true" outlineLevel="0" collapsed="false">
      <c r="A169" s="3" t="n">
        <v>82551</v>
      </c>
      <c r="B169" s="3" t="s">
        <v>214</v>
      </c>
      <c r="C169" s="3" t="n">
        <v>0</v>
      </c>
      <c r="D169" s="3" t="n">
        <v>3</v>
      </c>
    </row>
    <row r="170" customFormat="false" ht="15" hidden="false" customHeight="true" outlineLevel="0" collapsed="false">
      <c r="A170" s="3" t="n">
        <v>46309</v>
      </c>
      <c r="B170" s="3" t="s">
        <v>58</v>
      </c>
      <c r="C170" s="3" t="n">
        <v>0</v>
      </c>
      <c r="D170" s="3" t="n">
        <v>2</v>
      </c>
    </row>
    <row r="171" customFormat="false" ht="15" hidden="false" customHeight="true" outlineLevel="0" collapsed="false">
      <c r="A171" s="3" t="n">
        <v>64630</v>
      </c>
      <c r="B171" s="3" t="s">
        <v>120</v>
      </c>
      <c r="C171" s="3" t="n">
        <v>0</v>
      </c>
      <c r="D171" s="3" t="n">
        <v>2</v>
      </c>
    </row>
    <row r="172" customFormat="false" ht="15" hidden="false" customHeight="true" outlineLevel="0" collapsed="false">
      <c r="A172" s="3" t="n">
        <v>68751</v>
      </c>
      <c r="B172" s="3" t="s">
        <v>148</v>
      </c>
      <c r="C172" s="3" t="n">
        <v>0</v>
      </c>
      <c r="D172" s="3" t="n">
        <v>2</v>
      </c>
    </row>
    <row r="173" customFormat="false" ht="15" hidden="false" customHeight="true" outlineLevel="0" collapsed="false">
      <c r="A173" s="3" t="n">
        <v>74823</v>
      </c>
      <c r="B173" s="3" t="s">
        <v>179</v>
      </c>
      <c r="C173" s="3" t="n">
        <v>0</v>
      </c>
      <c r="D173" s="3" t="n">
        <v>2</v>
      </c>
    </row>
    <row r="174" customFormat="false" ht="15" hidden="false" customHeight="true" outlineLevel="0" collapsed="false">
      <c r="A174" s="3" t="n">
        <v>74932</v>
      </c>
      <c r="B174" s="3" t="s">
        <v>194</v>
      </c>
      <c r="C174" s="3" t="n">
        <v>0</v>
      </c>
      <c r="D174" s="3" t="n">
        <v>2</v>
      </c>
    </row>
    <row r="175" customFormat="false" ht="15" hidden="false" customHeight="true" outlineLevel="0" collapsed="false">
      <c r="A175" s="3" t="n">
        <v>44007</v>
      </c>
      <c r="B175" s="3" t="s">
        <v>55</v>
      </c>
      <c r="C175" s="3" t="n">
        <v>0</v>
      </c>
      <c r="D175" s="3" t="n">
        <v>1</v>
      </c>
    </row>
    <row r="176" customFormat="false" ht="15" hidden="false" customHeight="true" outlineLevel="0" collapsed="false">
      <c r="A176" s="3" t="n">
        <v>46306</v>
      </c>
      <c r="B176" s="3" t="s">
        <v>57</v>
      </c>
      <c r="C176" s="3" t="n">
        <v>0</v>
      </c>
      <c r="D176" s="3" t="n">
        <v>1</v>
      </c>
    </row>
    <row r="177" customFormat="false" ht="15" hidden="false" customHeight="true" outlineLevel="0" collapsed="false">
      <c r="A177" s="3" t="n">
        <v>50022</v>
      </c>
      <c r="B177" s="3" t="s">
        <v>64</v>
      </c>
      <c r="C177" s="3" t="n">
        <v>0</v>
      </c>
      <c r="D177" s="3" t="n">
        <v>1</v>
      </c>
    </row>
    <row r="178" customFormat="false" ht="15" hidden="false" customHeight="true" outlineLevel="0" collapsed="false">
      <c r="A178" s="3" t="n">
        <v>67056</v>
      </c>
      <c r="B178" s="3" t="s">
        <v>137</v>
      </c>
      <c r="C178" s="3" t="n">
        <v>0</v>
      </c>
      <c r="D178" s="3" t="n">
        <v>1</v>
      </c>
    </row>
    <row r="179" customFormat="false" ht="15" hidden="false" customHeight="true" outlineLevel="0" collapsed="false">
      <c r="A179" s="3" t="n">
        <v>67898</v>
      </c>
      <c r="B179" s="3" t="s">
        <v>140</v>
      </c>
      <c r="C179" s="3" t="n">
        <v>0</v>
      </c>
      <c r="D179" s="3" t="n">
        <v>1</v>
      </c>
    </row>
    <row r="180" customFormat="false" ht="15" hidden="false" customHeight="true" outlineLevel="0" collapsed="false">
      <c r="A180" s="3" t="n">
        <v>68750</v>
      </c>
      <c r="B180" s="3" t="s">
        <v>147</v>
      </c>
      <c r="C180" s="3" t="n">
        <v>0</v>
      </c>
      <c r="D180" s="3" t="n">
        <v>1</v>
      </c>
    </row>
    <row r="181" customFormat="false" ht="15" hidden="false" customHeight="true" outlineLevel="0" collapsed="false">
      <c r="A181" s="3" t="n">
        <v>71085</v>
      </c>
      <c r="B181" s="3" t="s">
        <v>149</v>
      </c>
      <c r="C181" s="3" t="n">
        <v>0</v>
      </c>
      <c r="D181" s="3" t="n">
        <v>1</v>
      </c>
    </row>
    <row r="182" customFormat="false" ht="15" hidden="false" customHeight="true" outlineLevel="0" collapsed="false">
      <c r="A182" s="3" t="n">
        <v>74842</v>
      </c>
      <c r="B182" s="3" t="s">
        <v>185</v>
      </c>
      <c r="C182" s="3" t="n">
        <v>0</v>
      </c>
      <c r="D182" s="3" t="n">
        <v>1</v>
      </c>
    </row>
    <row r="183" customFormat="false" ht="15" hidden="false" customHeight="true" outlineLevel="0" collapsed="false">
      <c r="A183" s="3" t="n">
        <v>74846</v>
      </c>
      <c r="B183" s="3" t="s">
        <v>186</v>
      </c>
      <c r="C183" s="3" t="n">
        <v>0</v>
      </c>
      <c r="D183" s="3" t="n">
        <v>1</v>
      </c>
    </row>
    <row r="184" customFormat="false" ht="15" hidden="false" customHeight="true" outlineLevel="0" collapsed="false">
      <c r="A184" s="3" t="n">
        <v>74930</v>
      </c>
      <c r="B184" s="3" t="s">
        <v>192</v>
      </c>
      <c r="C184" s="3" t="n">
        <v>0</v>
      </c>
      <c r="D184" s="3" t="n">
        <v>1</v>
      </c>
    </row>
    <row r="185" customFormat="false" ht="15" hidden="false" customHeight="true" outlineLevel="0" collapsed="false">
      <c r="A185" s="3" t="n">
        <v>74931</v>
      </c>
      <c r="B185" s="3" t="s">
        <v>193</v>
      </c>
      <c r="C185" s="3" t="n">
        <v>0</v>
      </c>
      <c r="D185" s="3" t="n">
        <v>1</v>
      </c>
    </row>
    <row r="186" customFormat="false" ht="15" hidden="false" customHeight="true" outlineLevel="0" collapsed="false">
      <c r="A186" s="3" t="n">
        <v>74989</v>
      </c>
      <c r="B186" s="3" t="s">
        <v>197</v>
      </c>
      <c r="C186" s="3" t="n">
        <v>0</v>
      </c>
      <c r="D186" s="3" t="n">
        <v>1</v>
      </c>
    </row>
    <row r="187" customFormat="false" ht="15" hidden="false" customHeight="true" outlineLevel="0" collapsed="false">
      <c r="A187" s="3" t="n">
        <v>87828</v>
      </c>
      <c r="B187" s="3" t="s">
        <v>221</v>
      </c>
      <c r="C187" s="3" t="n">
        <v>0</v>
      </c>
      <c r="D187" s="3" t="n">
        <v>1</v>
      </c>
    </row>
    <row r="188" customFormat="false" ht="15" hidden="false" customHeight="true" outlineLevel="0" collapsed="false">
      <c r="A188" s="3" t="n">
        <v>88479</v>
      </c>
      <c r="B188" s="3" t="s">
        <v>226</v>
      </c>
      <c r="C188" s="3" t="n">
        <v>0</v>
      </c>
      <c r="D188" s="3" t="n">
        <v>1</v>
      </c>
    </row>
    <row r="189" customFormat="false" ht="15" hidden="false" customHeight="true" outlineLevel="0" collapsed="false">
      <c r="A189" s="3" t="n">
        <v>74825</v>
      </c>
      <c r="B189" s="3" t="s">
        <v>181</v>
      </c>
      <c r="C189" s="3" t="n">
        <v>0</v>
      </c>
      <c r="D189" s="3" t="n">
        <v>0</v>
      </c>
    </row>
    <row r="190" customFormat="false" ht="15" hidden="false" customHeight="true" outlineLevel="0" collapsed="false">
      <c r="A190" s="3" t="n">
        <v>87819</v>
      </c>
      <c r="B190" s="3" t="s">
        <v>220</v>
      </c>
      <c r="C190" s="3" t="n">
        <v>0</v>
      </c>
      <c r="D190" s="3" t="n">
        <v>0</v>
      </c>
    </row>
    <row r="191" customFormat="false" ht="15" hidden="false" customHeight="true" outlineLevel="0" collapsed="false">
      <c r="A191" s="3" t="n">
        <v>50061</v>
      </c>
      <c r="B191" s="3" t="s">
        <v>67</v>
      </c>
      <c r="C191" s="3" t="n">
        <v>0</v>
      </c>
      <c r="D191" s="3"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279</v>
      </c>
    </row>
    <row r="2" customFormat="false" ht="15" hidden="false" customHeight="true" outlineLevel="0" collapsed="false">
      <c r="A2" s="17" t="s">
        <v>3</v>
      </c>
      <c r="B2" s="17" t="s">
        <v>4</v>
      </c>
      <c r="C2" s="17" t="s">
        <v>280</v>
      </c>
      <c r="D2" s="17" t="s">
        <v>281</v>
      </c>
    </row>
    <row r="3" customFormat="false" ht="15" hidden="false" customHeight="true" outlineLevel="0" collapsed="false">
      <c r="A3" s="3" t="n">
        <v>25386</v>
      </c>
      <c r="B3" s="3" t="s">
        <v>34</v>
      </c>
      <c r="C3" s="3" t="n">
        <v>1</v>
      </c>
      <c r="D3" s="3" t="n">
        <v>6</v>
      </c>
    </row>
    <row r="4" customFormat="false" ht="15" hidden="false" customHeight="true" outlineLevel="0" collapsed="false">
      <c r="A4" s="3" t="n">
        <v>64635</v>
      </c>
      <c r="B4" s="3" t="s">
        <v>125</v>
      </c>
      <c r="C4" s="3" t="n">
        <v>2</v>
      </c>
      <c r="D4" s="3" t="n">
        <v>11</v>
      </c>
    </row>
    <row r="5" customFormat="false" ht="15" hidden="false" customHeight="true" outlineLevel="0" collapsed="false">
      <c r="A5" s="3" t="n">
        <v>16217</v>
      </c>
      <c r="B5" s="3" t="s">
        <v>17</v>
      </c>
      <c r="C5" s="3" t="n">
        <v>1</v>
      </c>
      <c r="D5" s="3" t="n">
        <v>5</v>
      </c>
    </row>
    <row r="6" customFormat="false" ht="15" hidden="false" customHeight="true" outlineLevel="0" collapsed="false">
      <c r="A6" s="3" t="n">
        <v>67925</v>
      </c>
      <c r="B6" s="3" t="s">
        <v>141</v>
      </c>
      <c r="C6" s="3" t="n">
        <v>3</v>
      </c>
      <c r="D6" s="3" t="n">
        <v>10</v>
      </c>
    </row>
    <row r="7" customFormat="false" ht="15" hidden="false" customHeight="true" outlineLevel="0" collapsed="false">
      <c r="A7" s="3" t="n">
        <v>74846</v>
      </c>
      <c r="B7" s="3" t="s">
        <v>186</v>
      </c>
      <c r="C7" s="3" t="n">
        <v>2</v>
      </c>
      <c r="D7" s="3" t="n">
        <v>6</v>
      </c>
    </row>
    <row r="8" customFormat="false" ht="15" hidden="false" customHeight="true" outlineLevel="0" collapsed="false">
      <c r="A8" s="3" t="n">
        <v>74806</v>
      </c>
      <c r="B8" s="3" t="s">
        <v>174</v>
      </c>
      <c r="C8" s="3" t="n">
        <v>1</v>
      </c>
      <c r="D8" s="3" t="n">
        <v>3</v>
      </c>
    </row>
    <row r="9" customFormat="false" ht="15" hidden="false" customHeight="true" outlineLevel="0" collapsed="false">
      <c r="A9" s="3" t="n">
        <v>21004</v>
      </c>
      <c r="B9" s="3" t="s">
        <v>29</v>
      </c>
      <c r="C9" s="3" t="n">
        <v>4</v>
      </c>
      <c r="D9" s="3" t="n">
        <v>10</v>
      </c>
    </row>
    <row r="10" customFormat="false" ht="15" hidden="false" customHeight="true" outlineLevel="0" collapsed="false">
      <c r="A10" s="3" t="n">
        <v>52324</v>
      </c>
      <c r="B10" s="3" t="s">
        <v>72</v>
      </c>
      <c r="C10" s="3" t="n">
        <v>4</v>
      </c>
      <c r="D10" s="3" t="n">
        <v>10</v>
      </c>
    </row>
    <row r="11" customFormat="false" ht="15" hidden="false" customHeight="true" outlineLevel="0" collapsed="false">
      <c r="A11" s="3" t="n">
        <v>20998</v>
      </c>
      <c r="B11" s="3" t="s">
        <v>27</v>
      </c>
      <c r="C11" s="3" t="n">
        <v>2</v>
      </c>
      <c r="D11" s="3" t="n">
        <v>5</v>
      </c>
    </row>
    <row r="12" customFormat="false" ht="15" hidden="false" customHeight="true" outlineLevel="0" collapsed="false">
      <c r="A12" s="3" t="n">
        <v>71086</v>
      </c>
      <c r="B12" s="3" t="s">
        <v>150</v>
      </c>
      <c r="C12" s="3" t="n">
        <v>2</v>
      </c>
      <c r="D12" s="3" t="n">
        <v>5</v>
      </c>
    </row>
    <row r="13" customFormat="false" ht="15" hidden="false" customHeight="true" outlineLevel="0" collapsed="false">
      <c r="A13" s="3" t="n">
        <v>74684</v>
      </c>
      <c r="B13" s="3" t="s">
        <v>160</v>
      </c>
      <c r="C13" s="3" t="n">
        <v>4</v>
      </c>
      <c r="D13" s="3" t="n">
        <v>9</v>
      </c>
    </row>
    <row r="14" customFormat="false" ht="15" hidden="false" customHeight="true" outlineLevel="0" collapsed="false">
      <c r="A14" s="3" t="n">
        <v>52147</v>
      </c>
      <c r="B14" s="3" t="s">
        <v>70</v>
      </c>
      <c r="C14" s="3" t="n">
        <v>5</v>
      </c>
      <c r="D14" s="3" t="n">
        <v>11</v>
      </c>
    </row>
    <row r="15" customFormat="false" ht="15" hidden="false" customHeight="true" outlineLevel="0" collapsed="false">
      <c r="A15" s="3" t="n">
        <v>71683</v>
      </c>
      <c r="B15" s="3" t="s">
        <v>154</v>
      </c>
      <c r="C15" s="3" t="n">
        <v>5</v>
      </c>
      <c r="D15" s="3" t="n">
        <v>11</v>
      </c>
    </row>
    <row r="16" customFormat="false" ht="15" hidden="false" customHeight="true" outlineLevel="0" collapsed="false">
      <c r="A16" s="3" t="n">
        <v>16211</v>
      </c>
      <c r="B16" s="3" t="s">
        <v>13</v>
      </c>
      <c r="C16" s="3" t="n">
        <v>3</v>
      </c>
      <c r="D16" s="3" t="n">
        <v>6</v>
      </c>
    </row>
    <row r="17" customFormat="false" ht="15" hidden="false" customHeight="true" outlineLevel="0" collapsed="false">
      <c r="A17" s="3" t="n">
        <v>74671</v>
      </c>
      <c r="B17" s="3" t="s">
        <v>156</v>
      </c>
      <c r="C17" s="3" t="n">
        <v>2</v>
      </c>
      <c r="D17" s="3" t="n">
        <v>4</v>
      </c>
    </row>
    <row r="18" customFormat="false" ht="15" hidden="false" customHeight="true" outlineLevel="0" collapsed="false">
      <c r="A18" s="3" t="n">
        <v>50022</v>
      </c>
      <c r="B18" s="3" t="s">
        <v>64</v>
      </c>
      <c r="C18" s="3" t="n">
        <v>1</v>
      </c>
      <c r="D18" s="3" t="n">
        <v>2</v>
      </c>
    </row>
    <row r="19" customFormat="false" ht="15" hidden="false" customHeight="true" outlineLevel="0" collapsed="false">
      <c r="A19" s="3" t="n">
        <v>64636</v>
      </c>
      <c r="B19" s="3" t="s">
        <v>126</v>
      </c>
      <c r="C19" s="3" t="n">
        <v>1</v>
      </c>
      <c r="D19" s="3" t="n">
        <v>2</v>
      </c>
    </row>
    <row r="20" customFormat="false" ht="15" hidden="false" customHeight="true" outlineLevel="0" collapsed="false">
      <c r="A20" s="3" t="n">
        <v>67053</v>
      </c>
      <c r="B20" s="3" t="s">
        <v>135</v>
      </c>
      <c r="C20" s="3" t="n">
        <v>1</v>
      </c>
      <c r="D20" s="3" t="n">
        <v>2</v>
      </c>
    </row>
    <row r="21" customFormat="false" ht="15" hidden="false" customHeight="true" outlineLevel="0" collapsed="false">
      <c r="A21" s="3" t="n">
        <v>86583</v>
      </c>
      <c r="B21" s="3" t="s">
        <v>219</v>
      </c>
      <c r="C21" s="3" t="n">
        <v>1</v>
      </c>
      <c r="D21" s="3" t="n">
        <v>2</v>
      </c>
    </row>
    <row r="22" customFormat="false" ht="15" hidden="false" customHeight="true" outlineLevel="0" collapsed="false">
      <c r="A22" s="3" t="n">
        <v>63359</v>
      </c>
      <c r="B22" s="3" t="s">
        <v>100</v>
      </c>
      <c r="C22" s="3" t="n">
        <v>19</v>
      </c>
      <c r="D22" s="3" t="n">
        <v>35</v>
      </c>
    </row>
    <row r="23" customFormat="false" ht="15" hidden="false" customHeight="true" outlineLevel="0" collapsed="false">
      <c r="A23" s="3" t="n">
        <v>19082</v>
      </c>
      <c r="B23" s="3" t="s">
        <v>23</v>
      </c>
      <c r="C23" s="3" t="n">
        <v>5</v>
      </c>
      <c r="D23" s="3" t="n">
        <v>9</v>
      </c>
    </row>
    <row r="24" customFormat="false" ht="15" hidden="false" customHeight="true" outlineLevel="0" collapsed="false">
      <c r="A24" s="3" t="n">
        <v>88476</v>
      </c>
      <c r="B24" s="3" t="s">
        <v>224</v>
      </c>
      <c r="C24" s="3" t="n">
        <v>4</v>
      </c>
      <c r="D24" s="3" t="n">
        <v>7</v>
      </c>
    </row>
    <row r="25" customFormat="false" ht="15" hidden="false" customHeight="true" outlineLevel="0" collapsed="false">
      <c r="A25" s="3" t="n">
        <v>88477</v>
      </c>
      <c r="B25" s="3" t="s">
        <v>225</v>
      </c>
      <c r="C25" s="3" t="n">
        <v>4</v>
      </c>
      <c r="D25" s="3" t="n">
        <v>7</v>
      </c>
    </row>
    <row r="26" customFormat="false" ht="15" hidden="false" customHeight="true" outlineLevel="0" collapsed="false">
      <c r="A26" s="3" t="n">
        <v>67960</v>
      </c>
      <c r="B26" s="3" t="s">
        <v>146</v>
      </c>
      <c r="C26" s="3" t="n">
        <v>9</v>
      </c>
      <c r="D26" s="3" t="n">
        <v>15</v>
      </c>
    </row>
    <row r="27" customFormat="false" ht="15" hidden="false" customHeight="true" outlineLevel="0" collapsed="false">
      <c r="A27" s="3" t="n">
        <v>51568</v>
      </c>
      <c r="B27" s="3" t="s">
        <v>69</v>
      </c>
      <c r="C27" s="3" t="n">
        <v>27</v>
      </c>
      <c r="D27" s="3" t="n">
        <v>41</v>
      </c>
    </row>
    <row r="28" customFormat="false" ht="15" hidden="false" customHeight="true" outlineLevel="0" collapsed="false">
      <c r="A28" s="3" t="n">
        <v>65243</v>
      </c>
      <c r="B28" s="3" t="s">
        <v>131</v>
      </c>
      <c r="C28" s="3" t="n">
        <v>16</v>
      </c>
      <c r="D28" s="3" t="n">
        <v>24</v>
      </c>
    </row>
    <row r="29" customFormat="false" ht="15" hidden="false" customHeight="true" outlineLevel="0" collapsed="false">
      <c r="A29" s="3" t="n">
        <v>71088</v>
      </c>
      <c r="B29" s="3" t="s">
        <v>152</v>
      </c>
      <c r="C29" s="3" t="n">
        <v>10</v>
      </c>
      <c r="D29" s="3" t="n">
        <v>15</v>
      </c>
    </row>
    <row r="30" customFormat="false" ht="15" hidden="false" customHeight="true" outlineLevel="0" collapsed="false">
      <c r="A30" s="3" t="n">
        <v>63422</v>
      </c>
      <c r="B30" s="3" t="s">
        <v>118</v>
      </c>
      <c r="C30" s="3" t="n">
        <v>4</v>
      </c>
      <c r="D30" s="3" t="n">
        <v>6</v>
      </c>
    </row>
    <row r="31" customFormat="false" ht="15" hidden="false" customHeight="true" outlineLevel="0" collapsed="false">
      <c r="A31" s="3" t="n">
        <v>35339</v>
      </c>
      <c r="B31" s="3" t="s">
        <v>51</v>
      </c>
      <c r="C31" s="3" t="n">
        <v>2</v>
      </c>
      <c r="D31" s="3" t="n">
        <v>3</v>
      </c>
    </row>
    <row r="32" customFormat="false" ht="15" hidden="false" customHeight="true" outlineLevel="0" collapsed="false">
      <c r="A32" s="3" t="n">
        <v>74687</v>
      </c>
      <c r="B32" s="3" t="s">
        <v>162</v>
      </c>
      <c r="C32" s="3" t="n">
        <v>2</v>
      </c>
      <c r="D32" s="3" t="n">
        <v>3</v>
      </c>
    </row>
    <row r="33" customFormat="false" ht="15" hidden="false" customHeight="true" outlineLevel="0" collapsed="false">
      <c r="A33" s="3" t="n">
        <v>63420</v>
      </c>
      <c r="B33" s="3" t="s">
        <v>116</v>
      </c>
      <c r="C33" s="3" t="n">
        <v>20</v>
      </c>
      <c r="D33" s="3" t="n">
        <v>29</v>
      </c>
    </row>
    <row r="34" customFormat="false" ht="15" hidden="false" customHeight="true" outlineLevel="0" collapsed="false">
      <c r="A34" s="3" t="n">
        <v>71087</v>
      </c>
      <c r="B34" s="3" t="s">
        <v>151</v>
      </c>
      <c r="C34" s="3" t="n">
        <v>9</v>
      </c>
      <c r="D34" s="3" t="n">
        <v>13</v>
      </c>
    </row>
    <row r="35" customFormat="false" ht="15" hidden="false" customHeight="true" outlineLevel="0" collapsed="false">
      <c r="A35" s="3" t="n">
        <v>42964</v>
      </c>
      <c r="B35" s="3" t="s">
        <v>52</v>
      </c>
      <c r="C35" s="3" t="n">
        <v>7</v>
      </c>
      <c r="D35" s="3" t="n">
        <v>10</v>
      </c>
    </row>
    <row r="36" customFormat="false" ht="15" hidden="false" customHeight="true" outlineLevel="0" collapsed="false">
      <c r="A36" s="3" t="n">
        <v>60472</v>
      </c>
      <c r="B36" s="3" t="s">
        <v>90</v>
      </c>
      <c r="C36" s="3" t="n">
        <v>31</v>
      </c>
      <c r="D36" s="3" t="n">
        <v>44</v>
      </c>
    </row>
    <row r="37" customFormat="false" ht="15" hidden="false" customHeight="true" outlineLevel="0" collapsed="false">
      <c r="A37" s="3" t="n">
        <v>61961</v>
      </c>
      <c r="B37" s="3" t="s">
        <v>98</v>
      </c>
      <c r="C37" s="3" t="n">
        <v>9</v>
      </c>
      <c r="D37" s="3" t="n">
        <v>12</v>
      </c>
    </row>
    <row r="38" customFormat="false" ht="15" hidden="false" customHeight="true" outlineLevel="0" collapsed="false">
      <c r="A38" s="3" t="n">
        <v>75763</v>
      </c>
      <c r="B38" s="3" t="s">
        <v>199</v>
      </c>
      <c r="C38" s="3" t="n">
        <v>3</v>
      </c>
      <c r="D38" s="3" t="n">
        <v>4</v>
      </c>
    </row>
    <row r="39" customFormat="false" ht="15" hidden="false" customHeight="true" outlineLevel="0" collapsed="false">
      <c r="A39" s="3" t="n">
        <v>74672</v>
      </c>
      <c r="B39" s="3" t="s">
        <v>157</v>
      </c>
      <c r="C39" s="3" t="n">
        <v>7</v>
      </c>
      <c r="D39" s="3" t="n">
        <v>9</v>
      </c>
    </row>
    <row r="40" customFormat="false" ht="15" hidden="false" customHeight="true" outlineLevel="0" collapsed="false">
      <c r="A40" s="3" t="n">
        <v>61962</v>
      </c>
      <c r="B40" s="3" t="s">
        <v>99</v>
      </c>
      <c r="C40" s="3" t="n">
        <v>4</v>
      </c>
      <c r="D40" s="3" t="n">
        <v>5</v>
      </c>
    </row>
    <row r="41" customFormat="false" ht="15" hidden="false" customHeight="true" outlineLevel="0" collapsed="false">
      <c r="A41" s="3" t="n">
        <v>31183</v>
      </c>
      <c r="B41" s="3" t="s">
        <v>47</v>
      </c>
      <c r="C41" s="3" t="n">
        <v>27</v>
      </c>
      <c r="D41" s="3" t="n">
        <v>33</v>
      </c>
    </row>
    <row r="42" customFormat="false" ht="15" hidden="false" customHeight="true" outlineLevel="0" collapsed="false">
      <c r="A42" s="3" t="n">
        <v>74710</v>
      </c>
      <c r="B42" s="3" t="s">
        <v>166</v>
      </c>
      <c r="C42" s="3" t="n">
        <v>9</v>
      </c>
      <c r="D42" s="3" t="n">
        <v>11</v>
      </c>
    </row>
    <row r="43" customFormat="false" ht="15" hidden="false" customHeight="true" outlineLevel="0" collapsed="false">
      <c r="A43" s="3" t="n">
        <v>74682</v>
      </c>
      <c r="B43" s="3" t="s">
        <v>158</v>
      </c>
      <c r="C43" s="3" t="n">
        <v>5</v>
      </c>
      <c r="D43" s="3" t="n">
        <v>6</v>
      </c>
    </row>
    <row r="44" customFormat="false" ht="15" hidden="false" customHeight="true" outlineLevel="0" collapsed="false">
      <c r="A44" s="3" t="n">
        <v>21003</v>
      </c>
      <c r="B44" s="3" t="s">
        <v>28</v>
      </c>
      <c r="C44" s="3" t="n">
        <v>11</v>
      </c>
      <c r="D44" s="3" t="n">
        <v>13</v>
      </c>
    </row>
    <row r="45" customFormat="false" ht="15" hidden="false" customHeight="true" outlineLevel="0" collapsed="false">
      <c r="A45" s="3" t="n">
        <v>80668</v>
      </c>
      <c r="B45" s="3" t="s">
        <v>208</v>
      </c>
      <c r="C45" s="3" t="n">
        <v>18</v>
      </c>
      <c r="D45" s="3" t="n">
        <v>21</v>
      </c>
    </row>
    <row r="46" customFormat="false" ht="15" hidden="false" customHeight="true" outlineLevel="0" collapsed="false">
      <c r="A46" s="3" t="n">
        <v>63367</v>
      </c>
      <c r="B46" s="3" t="s">
        <v>104</v>
      </c>
      <c r="C46" s="3" t="n">
        <v>19</v>
      </c>
      <c r="D46" s="3" t="n">
        <v>22</v>
      </c>
    </row>
    <row r="47" customFormat="false" ht="15" hidden="false" customHeight="true" outlineLevel="0" collapsed="false">
      <c r="A47" s="3" t="n">
        <v>74801</v>
      </c>
      <c r="B47" s="3" t="s">
        <v>172</v>
      </c>
      <c r="C47" s="3" t="n">
        <v>19</v>
      </c>
      <c r="D47" s="3" t="n">
        <v>21</v>
      </c>
    </row>
    <row r="48" customFormat="false" ht="15" hidden="false" customHeight="true" outlineLevel="0" collapsed="false">
      <c r="A48" s="3" t="n">
        <v>59694</v>
      </c>
      <c r="B48" s="3" t="s">
        <v>88</v>
      </c>
      <c r="C48" s="3" t="n">
        <v>29</v>
      </c>
      <c r="D48" s="3" t="n">
        <v>32</v>
      </c>
    </row>
    <row r="49" customFormat="false" ht="15" hidden="false" customHeight="true" outlineLevel="0" collapsed="false">
      <c r="A49" s="3" t="n">
        <v>63360</v>
      </c>
      <c r="B49" s="3" t="s">
        <v>101</v>
      </c>
      <c r="C49" s="3" t="n">
        <v>44</v>
      </c>
      <c r="D49" s="3" t="n">
        <v>46</v>
      </c>
    </row>
    <row r="50" customFormat="false" ht="15" hidden="false" customHeight="true" outlineLevel="0" collapsed="false">
      <c r="A50" s="3" t="n">
        <v>31188</v>
      </c>
      <c r="B50" s="3" t="s">
        <v>48</v>
      </c>
      <c r="C50" s="3" t="n">
        <v>45</v>
      </c>
      <c r="D50" s="3" t="n">
        <v>47</v>
      </c>
    </row>
    <row r="51" customFormat="false" ht="15" hidden="false" customHeight="true" outlineLevel="0" collapsed="false">
      <c r="A51" s="3" t="n">
        <v>23008</v>
      </c>
      <c r="B51" s="3" t="s">
        <v>32</v>
      </c>
      <c r="C51" s="3" t="n">
        <v>33</v>
      </c>
      <c r="D51" s="3" t="n">
        <v>34</v>
      </c>
    </row>
    <row r="52" customFormat="false" ht="15" hidden="false" customHeight="true" outlineLevel="0" collapsed="false">
      <c r="A52" s="3" t="n">
        <v>52323</v>
      </c>
      <c r="B52" s="3" t="s">
        <v>71</v>
      </c>
      <c r="C52" s="3" t="n">
        <v>25</v>
      </c>
      <c r="D52" s="3" t="n">
        <v>25</v>
      </c>
    </row>
    <row r="53" customFormat="false" ht="15" hidden="false" customHeight="true" outlineLevel="0" collapsed="false">
      <c r="A53" s="3" t="n">
        <v>59656</v>
      </c>
      <c r="B53" s="3" t="s">
        <v>84</v>
      </c>
      <c r="C53" s="3" t="n">
        <v>19</v>
      </c>
      <c r="D53" s="3" t="n">
        <v>19</v>
      </c>
    </row>
    <row r="54" customFormat="false" ht="15" hidden="false" customHeight="true" outlineLevel="0" collapsed="false">
      <c r="A54" s="3" t="n">
        <v>67957</v>
      </c>
      <c r="B54" s="3" t="s">
        <v>145</v>
      </c>
      <c r="C54" s="3" t="n">
        <v>17</v>
      </c>
      <c r="D54" s="3" t="n">
        <v>17</v>
      </c>
    </row>
    <row r="55" customFormat="false" ht="15" hidden="false" customHeight="true" outlineLevel="0" collapsed="false">
      <c r="A55" s="3" t="n">
        <v>63368</v>
      </c>
      <c r="B55" s="3" t="s">
        <v>105</v>
      </c>
      <c r="C55" s="3" t="n">
        <v>11</v>
      </c>
      <c r="D55" s="3" t="n">
        <v>11</v>
      </c>
    </row>
    <row r="56" customFormat="false" ht="15" hidden="false" customHeight="true" outlineLevel="0" collapsed="false">
      <c r="A56" s="3" t="n">
        <v>55868</v>
      </c>
      <c r="B56" s="3" t="s">
        <v>79</v>
      </c>
      <c r="C56" s="3" t="n">
        <v>9</v>
      </c>
      <c r="D56" s="3" t="n">
        <v>9</v>
      </c>
    </row>
    <row r="57" customFormat="false" ht="15" hidden="false" customHeight="true" outlineLevel="0" collapsed="false">
      <c r="A57" s="3" t="n">
        <v>74764</v>
      </c>
      <c r="B57" s="3" t="s">
        <v>169</v>
      </c>
      <c r="C57" s="3" t="n">
        <v>6</v>
      </c>
      <c r="D57" s="3" t="n">
        <v>6</v>
      </c>
    </row>
    <row r="58" customFormat="false" ht="15" hidden="false" customHeight="true" outlineLevel="0" collapsed="false">
      <c r="A58" s="3" t="n">
        <v>75762</v>
      </c>
      <c r="B58" s="3" t="s">
        <v>198</v>
      </c>
      <c r="C58" s="3" t="n">
        <v>5</v>
      </c>
      <c r="D58" s="3" t="n">
        <v>5</v>
      </c>
    </row>
    <row r="59" customFormat="false" ht="15" hidden="false" customHeight="true" outlineLevel="0" collapsed="false">
      <c r="A59" s="3" t="n">
        <v>29881</v>
      </c>
      <c r="B59" s="3" t="s">
        <v>43</v>
      </c>
      <c r="C59" s="3" t="n">
        <v>4</v>
      </c>
      <c r="D59" s="3" t="n">
        <v>4</v>
      </c>
    </row>
    <row r="60" customFormat="false" ht="15" hidden="false" customHeight="true" outlineLevel="0" collapsed="false">
      <c r="A60" s="3" t="n">
        <v>63449</v>
      </c>
      <c r="B60" s="3" t="s">
        <v>119</v>
      </c>
      <c r="C60" s="3" t="n">
        <v>4</v>
      </c>
      <c r="D60" s="3" t="n">
        <v>4</v>
      </c>
    </row>
    <row r="61" customFormat="false" ht="15" hidden="false" customHeight="true" outlineLevel="0" collapsed="false">
      <c r="A61" s="3" t="n">
        <v>65743</v>
      </c>
      <c r="B61" s="3" t="s">
        <v>132</v>
      </c>
      <c r="C61" s="3" t="n">
        <v>4</v>
      </c>
      <c r="D61" s="3" t="n">
        <v>4</v>
      </c>
    </row>
    <row r="62" customFormat="false" ht="15" hidden="false" customHeight="true" outlineLevel="0" collapsed="false">
      <c r="A62" s="3" t="n">
        <v>16245</v>
      </c>
      <c r="B62" s="3" t="s">
        <v>21</v>
      </c>
      <c r="C62" s="3" t="n">
        <v>3</v>
      </c>
      <c r="D62" s="3" t="n">
        <v>3</v>
      </c>
    </row>
    <row r="63" customFormat="false" ht="15" hidden="false" customHeight="true" outlineLevel="0" collapsed="false">
      <c r="A63" s="3" t="n">
        <v>63406</v>
      </c>
      <c r="B63" s="3" t="s">
        <v>108</v>
      </c>
      <c r="C63" s="3" t="n">
        <v>2</v>
      </c>
      <c r="D63" s="3" t="n">
        <v>2</v>
      </c>
    </row>
    <row r="64" customFormat="false" ht="15" hidden="false" customHeight="true" outlineLevel="0" collapsed="false">
      <c r="A64" s="3" t="n">
        <v>74688</v>
      </c>
      <c r="B64" s="3" t="s">
        <v>163</v>
      </c>
      <c r="C64" s="3" t="n">
        <v>2</v>
      </c>
      <c r="D64" s="3" t="n">
        <v>2</v>
      </c>
    </row>
    <row r="65" customFormat="false" ht="15" hidden="false" customHeight="true" outlineLevel="0" collapsed="false">
      <c r="A65" s="3" t="n">
        <v>74821</v>
      </c>
      <c r="B65" s="3" t="s">
        <v>177</v>
      </c>
      <c r="C65" s="3" t="n">
        <v>2</v>
      </c>
      <c r="D65" s="3" t="n">
        <v>2</v>
      </c>
    </row>
    <row r="66" customFormat="false" ht="15" hidden="false" customHeight="true" outlineLevel="0" collapsed="false">
      <c r="A66" s="3" t="n">
        <v>29793</v>
      </c>
      <c r="B66" s="3" t="s">
        <v>41</v>
      </c>
      <c r="C66" s="3" t="n">
        <v>1</v>
      </c>
      <c r="D66" s="3" t="n">
        <v>1</v>
      </c>
    </row>
    <row r="67" customFormat="false" ht="15" hidden="false" customHeight="true" outlineLevel="0" collapsed="false">
      <c r="A67" s="3" t="n">
        <v>74820</v>
      </c>
      <c r="B67" s="3" t="s">
        <v>176</v>
      </c>
      <c r="C67" s="3" t="n">
        <v>1</v>
      </c>
      <c r="D67" s="3" t="n">
        <v>1</v>
      </c>
    </row>
    <row r="68" customFormat="false" ht="15" hidden="false" customHeight="true" outlineLevel="0" collapsed="false">
      <c r="A68" s="3" t="n">
        <v>74920</v>
      </c>
      <c r="B68" s="3" t="s">
        <v>191</v>
      </c>
      <c r="C68" s="3" t="n">
        <v>1</v>
      </c>
      <c r="D68" s="3" t="n">
        <v>1</v>
      </c>
    </row>
    <row r="69" customFormat="false" ht="15" hidden="false" customHeight="true" outlineLevel="0" collapsed="false">
      <c r="A69" s="3" t="n">
        <v>75764</v>
      </c>
      <c r="B69" s="3" t="s">
        <v>200</v>
      </c>
      <c r="C69" s="3" t="n">
        <v>1</v>
      </c>
      <c r="D69" s="3" t="n">
        <v>1</v>
      </c>
    </row>
    <row r="70" customFormat="false" ht="15" hidden="false" customHeight="true" outlineLevel="0" collapsed="false">
      <c r="A70" s="3" t="n">
        <v>63414</v>
      </c>
      <c r="B70" s="3" t="s">
        <v>110</v>
      </c>
      <c r="C70" s="3" t="n">
        <v>19</v>
      </c>
      <c r="D70" s="3" t="n">
        <v>18</v>
      </c>
    </row>
    <row r="71" customFormat="false" ht="15" hidden="false" customHeight="true" outlineLevel="0" collapsed="false">
      <c r="A71" s="3" t="n">
        <v>65242</v>
      </c>
      <c r="B71" s="3" t="s">
        <v>130</v>
      </c>
      <c r="C71" s="3" t="n">
        <v>19</v>
      </c>
      <c r="D71" s="3" t="n">
        <v>18</v>
      </c>
    </row>
    <row r="72" customFormat="false" ht="15" hidden="false" customHeight="true" outlineLevel="0" collapsed="false">
      <c r="A72" s="3" t="n">
        <v>51567</v>
      </c>
      <c r="B72" s="3" t="s">
        <v>68</v>
      </c>
      <c r="C72" s="3" t="n">
        <v>141</v>
      </c>
      <c r="D72" s="3" t="n">
        <v>132</v>
      </c>
    </row>
    <row r="73" customFormat="false" ht="15" hidden="false" customHeight="true" outlineLevel="0" collapsed="false">
      <c r="A73" s="3" t="n">
        <v>60471</v>
      </c>
      <c r="B73" s="3" t="s">
        <v>89</v>
      </c>
      <c r="C73" s="3" t="n">
        <v>14</v>
      </c>
      <c r="D73" s="3" t="n">
        <v>13</v>
      </c>
    </row>
    <row r="74" customFormat="false" ht="15" hidden="false" customHeight="true" outlineLevel="0" collapsed="false">
      <c r="A74" s="3" t="n">
        <v>63415</v>
      </c>
      <c r="B74" s="3" t="s">
        <v>111</v>
      </c>
      <c r="C74" s="3" t="n">
        <v>26</v>
      </c>
      <c r="D74" s="3" t="n">
        <v>24</v>
      </c>
    </row>
    <row r="75" customFormat="false" ht="15" hidden="false" customHeight="true" outlineLevel="0" collapsed="false">
      <c r="A75" s="3" t="n">
        <v>8616</v>
      </c>
      <c r="B75" s="3" t="s">
        <v>9</v>
      </c>
      <c r="C75" s="3" t="n">
        <v>13</v>
      </c>
      <c r="D75" s="3" t="n">
        <v>12</v>
      </c>
    </row>
    <row r="76" customFormat="false" ht="15" hidden="false" customHeight="true" outlineLevel="0" collapsed="false">
      <c r="A76" s="3" t="n">
        <v>24612</v>
      </c>
      <c r="B76" s="3" t="s">
        <v>33</v>
      </c>
      <c r="C76" s="3" t="n">
        <v>56</v>
      </c>
      <c r="D76" s="3" t="n">
        <v>51</v>
      </c>
    </row>
    <row r="77" customFormat="false" ht="15" hidden="false" customHeight="true" outlineLevel="0" collapsed="false">
      <c r="A77" s="3" t="n">
        <v>71204</v>
      </c>
      <c r="B77" s="3" t="s">
        <v>153</v>
      </c>
      <c r="C77" s="3" t="n">
        <v>89</v>
      </c>
      <c r="D77" s="3" t="n">
        <v>80</v>
      </c>
    </row>
    <row r="78" customFormat="false" ht="15" hidden="false" customHeight="true" outlineLevel="0" collapsed="false">
      <c r="A78" s="3" t="n">
        <v>63361</v>
      </c>
      <c r="B78" s="3" t="s">
        <v>102</v>
      </c>
      <c r="C78" s="3" t="n">
        <v>28</v>
      </c>
      <c r="D78" s="3" t="n">
        <v>25</v>
      </c>
    </row>
    <row r="79" customFormat="false" ht="15" hidden="false" customHeight="true" outlineLevel="0" collapsed="false">
      <c r="A79" s="3" t="n">
        <v>59659</v>
      </c>
      <c r="B79" s="3" t="s">
        <v>86</v>
      </c>
      <c r="C79" s="3" t="n">
        <v>15</v>
      </c>
      <c r="D79" s="3" t="n">
        <v>13</v>
      </c>
    </row>
    <row r="80" customFormat="false" ht="15" hidden="false" customHeight="true" outlineLevel="0" collapsed="false">
      <c r="A80" s="3" t="n">
        <v>61344</v>
      </c>
      <c r="B80" s="3" t="s">
        <v>97</v>
      </c>
      <c r="C80" s="3" t="n">
        <v>7</v>
      </c>
      <c r="D80" s="3" t="n">
        <v>6</v>
      </c>
    </row>
    <row r="81" customFormat="false" ht="15" hidden="false" customHeight="true" outlineLevel="0" collapsed="false">
      <c r="A81" s="3" t="n">
        <v>63418</v>
      </c>
      <c r="B81" s="3" t="s">
        <v>114</v>
      </c>
      <c r="C81" s="3" t="n">
        <v>7</v>
      </c>
      <c r="D81" s="3" t="n">
        <v>6</v>
      </c>
    </row>
    <row r="82" customFormat="false" ht="15" hidden="false" customHeight="true" outlineLevel="0" collapsed="false">
      <c r="A82" s="3" t="n">
        <v>65241</v>
      </c>
      <c r="B82" s="3" t="s">
        <v>129</v>
      </c>
      <c r="C82" s="3" t="n">
        <v>24</v>
      </c>
      <c r="D82" s="3" t="n">
        <v>20</v>
      </c>
    </row>
    <row r="83" customFormat="false" ht="15" hidden="false" customHeight="true" outlineLevel="0" collapsed="false">
      <c r="A83" s="3" t="n">
        <v>88474</v>
      </c>
      <c r="B83" s="3" t="s">
        <v>222</v>
      </c>
      <c r="C83" s="3" t="n">
        <v>6</v>
      </c>
      <c r="D83" s="3" t="n">
        <v>5</v>
      </c>
    </row>
    <row r="84" customFormat="false" ht="15" hidden="false" customHeight="true" outlineLevel="0" collapsed="false">
      <c r="A84" s="3" t="n">
        <v>52328</v>
      </c>
      <c r="B84" s="3" t="s">
        <v>74</v>
      </c>
      <c r="C84" s="3" t="n">
        <v>21</v>
      </c>
      <c r="D84" s="3" t="n">
        <v>17</v>
      </c>
    </row>
    <row r="85" customFormat="false" ht="15" hidden="false" customHeight="true" outlineLevel="0" collapsed="false">
      <c r="A85" s="3" t="n">
        <v>59679</v>
      </c>
      <c r="B85" s="3" t="s">
        <v>87</v>
      </c>
      <c r="C85" s="3" t="n">
        <v>65</v>
      </c>
      <c r="D85" s="3" t="n">
        <v>52</v>
      </c>
    </row>
    <row r="86" customFormat="false" ht="15" hidden="false" customHeight="true" outlineLevel="0" collapsed="false">
      <c r="A86" s="3" t="n">
        <v>63366</v>
      </c>
      <c r="B86" s="3" t="s">
        <v>103</v>
      </c>
      <c r="C86" s="3" t="n">
        <v>25</v>
      </c>
      <c r="D86" s="3" t="n">
        <v>20</v>
      </c>
    </row>
    <row r="87" customFormat="false" ht="15" hidden="false" customHeight="true" outlineLevel="0" collapsed="false">
      <c r="A87" s="3" t="n">
        <v>31190</v>
      </c>
      <c r="B87" s="3" t="s">
        <v>49</v>
      </c>
      <c r="C87" s="3" t="n">
        <v>15</v>
      </c>
      <c r="D87" s="3" t="n">
        <v>12</v>
      </c>
    </row>
    <row r="88" customFormat="false" ht="15" hidden="false" customHeight="true" outlineLevel="0" collapsed="false">
      <c r="A88" s="3" t="n">
        <v>85165</v>
      </c>
      <c r="B88" s="3" t="s">
        <v>217</v>
      </c>
      <c r="C88" s="3" t="n">
        <v>10</v>
      </c>
      <c r="D88" s="3" t="n">
        <v>8</v>
      </c>
    </row>
    <row r="89" customFormat="false" ht="15" hidden="false" customHeight="true" outlineLevel="0" collapsed="false">
      <c r="A89" s="3" t="n">
        <v>49772</v>
      </c>
      <c r="B89" s="3" t="s">
        <v>63</v>
      </c>
      <c r="C89" s="3" t="n">
        <v>5</v>
      </c>
      <c r="D89" s="3" t="n">
        <v>4</v>
      </c>
    </row>
    <row r="90" customFormat="false" ht="15" hidden="false" customHeight="true" outlineLevel="0" collapsed="false">
      <c r="A90" s="3" t="n">
        <v>60478</v>
      </c>
      <c r="B90" s="3" t="s">
        <v>94</v>
      </c>
      <c r="C90" s="3" t="n">
        <v>5</v>
      </c>
      <c r="D90" s="3" t="n">
        <v>4</v>
      </c>
    </row>
    <row r="91" customFormat="false" ht="15" hidden="false" customHeight="true" outlineLevel="0" collapsed="false">
      <c r="A91" s="3" t="n">
        <v>74683</v>
      </c>
      <c r="B91" s="3" t="s">
        <v>159</v>
      </c>
      <c r="C91" s="3" t="n">
        <v>5</v>
      </c>
      <c r="D91" s="3" t="n">
        <v>4</v>
      </c>
    </row>
    <row r="92" customFormat="false" ht="15" hidden="false" customHeight="true" outlineLevel="0" collapsed="false">
      <c r="A92" s="3" t="n">
        <v>74708</v>
      </c>
      <c r="B92" s="3" t="s">
        <v>164</v>
      </c>
      <c r="C92" s="3" t="n">
        <v>24</v>
      </c>
      <c r="D92" s="3" t="n">
        <v>19</v>
      </c>
    </row>
    <row r="93" customFormat="false" ht="15" hidden="false" customHeight="true" outlineLevel="0" collapsed="false">
      <c r="A93" s="3" t="n">
        <v>63421</v>
      </c>
      <c r="B93" s="3" t="s">
        <v>117</v>
      </c>
      <c r="C93" s="3" t="n">
        <v>23</v>
      </c>
      <c r="D93" s="3" t="n">
        <v>18</v>
      </c>
    </row>
    <row r="94" customFormat="false" ht="15" hidden="false" customHeight="true" outlineLevel="0" collapsed="false">
      <c r="A94" s="3" t="n">
        <v>16212</v>
      </c>
      <c r="B94" s="3" t="s">
        <v>14</v>
      </c>
      <c r="C94" s="3" t="n">
        <v>9</v>
      </c>
      <c r="D94" s="3" t="n">
        <v>7</v>
      </c>
    </row>
    <row r="95" customFormat="false" ht="15" hidden="false" customHeight="true" outlineLevel="0" collapsed="false">
      <c r="A95" s="3" t="n">
        <v>74762</v>
      </c>
      <c r="B95" s="3" t="s">
        <v>167</v>
      </c>
      <c r="C95" s="3" t="n">
        <v>9</v>
      </c>
      <c r="D95" s="3" t="n">
        <v>7</v>
      </c>
    </row>
    <row r="96" customFormat="false" ht="15" hidden="false" customHeight="true" outlineLevel="0" collapsed="false">
      <c r="A96" s="3" t="n">
        <v>47877</v>
      </c>
      <c r="B96" s="3" t="s">
        <v>60</v>
      </c>
      <c r="C96" s="3" t="n">
        <v>8</v>
      </c>
      <c r="D96" s="3" t="n">
        <v>6</v>
      </c>
    </row>
    <row r="97" customFormat="false" ht="15" hidden="false" customHeight="true" outlineLevel="0" collapsed="false">
      <c r="A97" s="3" t="n">
        <v>9772</v>
      </c>
      <c r="B97" s="3" t="s">
        <v>12</v>
      </c>
      <c r="C97" s="3" t="n">
        <v>26</v>
      </c>
      <c r="D97" s="3" t="n">
        <v>19</v>
      </c>
    </row>
    <row r="98" customFormat="false" ht="15" hidden="false" customHeight="true" outlineLevel="0" collapsed="false">
      <c r="A98" s="3" t="n">
        <v>74709</v>
      </c>
      <c r="B98" s="3" t="s">
        <v>165</v>
      </c>
      <c r="C98" s="3" t="n">
        <v>51</v>
      </c>
      <c r="D98" s="3" t="n">
        <v>35</v>
      </c>
    </row>
    <row r="99" customFormat="false" ht="15" hidden="false" customHeight="true" outlineLevel="0" collapsed="false">
      <c r="A99" s="3" t="n">
        <v>60485</v>
      </c>
      <c r="B99" s="3" t="s">
        <v>96</v>
      </c>
      <c r="C99" s="3" t="n">
        <v>24</v>
      </c>
      <c r="D99" s="3" t="n">
        <v>16</v>
      </c>
    </row>
    <row r="100" customFormat="false" ht="15" hidden="false" customHeight="true" outlineLevel="0" collapsed="false">
      <c r="A100" s="3" t="n">
        <v>80182</v>
      </c>
      <c r="B100" s="3" t="s">
        <v>207</v>
      </c>
      <c r="C100" s="3" t="n">
        <v>18</v>
      </c>
      <c r="D100" s="3" t="n">
        <v>12</v>
      </c>
    </row>
    <row r="101" customFormat="false" ht="15" hidden="false" customHeight="true" outlineLevel="0" collapsed="false">
      <c r="A101" s="3" t="n">
        <v>34874</v>
      </c>
      <c r="B101" s="3" t="s">
        <v>50</v>
      </c>
      <c r="C101" s="3" t="n">
        <v>3</v>
      </c>
      <c r="D101" s="3" t="n">
        <v>2</v>
      </c>
    </row>
    <row r="102" customFormat="false" ht="15" hidden="false" customHeight="true" outlineLevel="0" collapsed="false">
      <c r="A102" s="3" t="n">
        <v>74799</v>
      </c>
      <c r="B102" s="3" t="s">
        <v>170</v>
      </c>
      <c r="C102" s="3" t="n">
        <v>31</v>
      </c>
      <c r="D102" s="3" t="n">
        <v>20</v>
      </c>
    </row>
    <row r="103" customFormat="false" ht="15" hidden="false" customHeight="true" outlineLevel="0" collapsed="false">
      <c r="A103" s="3" t="n">
        <v>76452</v>
      </c>
      <c r="B103" s="3" t="s">
        <v>204</v>
      </c>
      <c r="C103" s="3" t="n">
        <v>16</v>
      </c>
      <c r="D103" s="3" t="n">
        <v>10</v>
      </c>
    </row>
    <row r="104" customFormat="false" ht="15" hidden="false" customHeight="true" outlineLevel="0" collapsed="false">
      <c r="A104" s="3" t="n">
        <v>45264</v>
      </c>
      <c r="B104" s="3" t="s">
        <v>56</v>
      </c>
      <c r="C104" s="3" t="n">
        <v>5</v>
      </c>
      <c r="D104" s="3" t="n">
        <v>3</v>
      </c>
    </row>
    <row r="105" customFormat="false" ht="15" hidden="false" customHeight="true" outlineLevel="0" collapsed="false">
      <c r="A105" s="3" t="n">
        <v>63419</v>
      </c>
      <c r="B105" s="3" t="s">
        <v>115</v>
      </c>
      <c r="C105" s="3" t="n">
        <v>5</v>
      </c>
      <c r="D105" s="3" t="n">
        <v>3</v>
      </c>
    </row>
    <row r="106" customFormat="false" ht="15" hidden="false" customHeight="true" outlineLevel="0" collapsed="false">
      <c r="A106" s="3" t="n">
        <v>60476</v>
      </c>
      <c r="B106" s="3" t="s">
        <v>93</v>
      </c>
      <c r="C106" s="3" t="n">
        <v>32</v>
      </c>
      <c r="D106" s="3" t="n">
        <v>19</v>
      </c>
    </row>
    <row r="107" customFormat="false" ht="15" hidden="false" customHeight="true" outlineLevel="0" collapsed="false">
      <c r="A107" s="3" t="n">
        <v>59657</v>
      </c>
      <c r="B107" s="3" t="s">
        <v>85</v>
      </c>
      <c r="C107" s="3" t="n">
        <v>17</v>
      </c>
      <c r="D107" s="3" t="n">
        <v>10</v>
      </c>
    </row>
    <row r="108" customFormat="false" ht="15" hidden="false" customHeight="true" outlineLevel="0" collapsed="false">
      <c r="A108" s="3" t="n">
        <v>67935</v>
      </c>
      <c r="B108" s="3" t="s">
        <v>142</v>
      </c>
      <c r="C108" s="3" t="n">
        <v>14</v>
      </c>
      <c r="D108" s="3" t="n">
        <v>8</v>
      </c>
    </row>
    <row r="109" customFormat="false" ht="15" hidden="false" customHeight="true" outlineLevel="0" collapsed="false">
      <c r="A109" s="3" t="n">
        <v>29981</v>
      </c>
      <c r="B109" s="3" t="s">
        <v>45</v>
      </c>
      <c r="C109" s="3" t="n">
        <v>7</v>
      </c>
      <c r="D109" s="3" t="n">
        <v>4</v>
      </c>
    </row>
    <row r="110" customFormat="false" ht="15" hidden="false" customHeight="true" outlineLevel="0" collapsed="false">
      <c r="A110" s="3" t="n">
        <v>9771</v>
      </c>
      <c r="B110" s="3" t="s">
        <v>11</v>
      </c>
      <c r="C110" s="3" t="n">
        <v>27</v>
      </c>
      <c r="D110" s="3" t="n">
        <v>15</v>
      </c>
    </row>
    <row r="111" customFormat="false" ht="15" hidden="false" customHeight="true" outlineLevel="0" collapsed="false">
      <c r="A111" s="3" t="n">
        <v>67385</v>
      </c>
      <c r="B111" s="3" t="s">
        <v>138</v>
      </c>
      <c r="C111" s="3" t="n">
        <v>27</v>
      </c>
      <c r="D111" s="3" t="n">
        <v>15</v>
      </c>
    </row>
    <row r="112" customFormat="false" ht="15" hidden="false" customHeight="true" outlineLevel="0" collapsed="false">
      <c r="A112" s="3" t="n">
        <v>76453</v>
      </c>
      <c r="B112" s="3" t="s">
        <v>205</v>
      </c>
      <c r="C112" s="3" t="n">
        <v>9</v>
      </c>
      <c r="D112" s="3" t="n">
        <v>5</v>
      </c>
    </row>
    <row r="113" customFormat="false" ht="15" hidden="false" customHeight="true" outlineLevel="0" collapsed="false">
      <c r="A113" s="3" t="n">
        <v>79327</v>
      </c>
      <c r="B113" s="3" t="s">
        <v>206</v>
      </c>
      <c r="C113" s="3" t="n">
        <v>11</v>
      </c>
      <c r="D113" s="3" t="n">
        <v>6</v>
      </c>
    </row>
    <row r="114" customFormat="false" ht="15" hidden="false" customHeight="true" outlineLevel="0" collapsed="false">
      <c r="A114" s="3" t="n">
        <v>8618</v>
      </c>
      <c r="B114" s="3" t="s">
        <v>10</v>
      </c>
      <c r="C114" s="3" t="n">
        <v>39</v>
      </c>
      <c r="D114" s="3" t="n">
        <v>21</v>
      </c>
    </row>
    <row r="115" customFormat="false" ht="15" hidden="false" customHeight="true" outlineLevel="0" collapsed="false">
      <c r="A115" s="3" t="n">
        <v>83668</v>
      </c>
      <c r="B115" s="3" t="s">
        <v>216</v>
      </c>
      <c r="C115" s="3" t="n">
        <v>110</v>
      </c>
      <c r="D115" s="3" t="n">
        <v>59</v>
      </c>
    </row>
    <row r="116" customFormat="false" ht="15" hidden="false" customHeight="true" outlineLevel="0" collapsed="false">
      <c r="A116" s="3" t="n">
        <v>16237</v>
      </c>
      <c r="B116" s="3" t="s">
        <v>18</v>
      </c>
      <c r="C116" s="3" t="n">
        <v>4</v>
      </c>
      <c r="D116" s="3" t="n">
        <v>2</v>
      </c>
    </row>
    <row r="117" customFormat="false" ht="15" hidden="false" customHeight="true" outlineLevel="0" collapsed="false">
      <c r="A117" s="3" t="n">
        <v>20996</v>
      </c>
      <c r="B117" s="3" t="s">
        <v>26</v>
      </c>
      <c r="C117" s="3" t="n">
        <v>4</v>
      </c>
      <c r="D117" s="3" t="n">
        <v>2</v>
      </c>
    </row>
    <row r="118" customFormat="false" ht="15" hidden="false" customHeight="true" outlineLevel="0" collapsed="false">
      <c r="A118" s="3" t="n">
        <v>64634</v>
      </c>
      <c r="B118" s="3" t="s">
        <v>124</v>
      </c>
      <c r="C118" s="3" t="n">
        <v>2</v>
      </c>
      <c r="D118" s="3" t="n">
        <v>1</v>
      </c>
    </row>
    <row r="119" customFormat="false" ht="15" hidden="false" customHeight="true" outlineLevel="0" collapsed="false">
      <c r="A119" s="3" t="n">
        <v>67056</v>
      </c>
      <c r="B119" s="3" t="s">
        <v>137</v>
      </c>
      <c r="C119" s="3" t="n">
        <v>2</v>
      </c>
      <c r="D119" s="3" t="n">
        <v>1</v>
      </c>
    </row>
    <row r="120" customFormat="false" ht="15" hidden="false" customHeight="true" outlineLevel="0" collapsed="false">
      <c r="A120" s="3" t="n">
        <v>74847</v>
      </c>
      <c r="B120" s="3" t="s">
        <v>187</v>
      </c>
      <c r="C120" s="3" t="n">
        <v>2</v>
      </c>
      <c r="D120" s="3" t="n">
        <v>1</v>
      </c>
    </row>
    <row r="121" customFormat="false" ht="15" hidden="false" customHeight="true" outlineLevel="0" collapsed="false">
      <c r="A121" s="3" t="n">
        <v>63416</v>
      </c>
      <c r="B121" s="3" t="s">
        <v>112</v>
      </c>
      <c r="C121" s="3" t="n">
        <v>17</v>
      </c>
      <c r="D121" s="3" t="n">
        <v>8</v>
      </c>
    </row>
    <row r="122" customFormat="false" ht="15" hidden="false" customHeight="true" outlineLevel="0" collapsed="false">
      <c r="A122" s="3" t="n">
        <v>85338</v>
      </c>
      <c r="B122" s="3" t="s">
        <v>218</v>
      </c>
      <c r="C122" s="3" t="n">
        <v>20</v>
      </c>
      <c r="D122" s="3" t="n">
        <v>9</v>
      </c>
    </row>
    <row r="123" customFormat="false" ht="15" hidden="false" customHeight="true" outlineLevel="0" collapsed="false">
      <c r="A123" s="3" t="n">
        <v>74763</v>
      </c>
      <c r="B123" s="3" t="s">
        <v>168</v>
      </c>
      <c r="C123" s="3" t="n">
        <v>7</v>
      </c>
      <c r="D123" s="3" t="n">
        <v>3</v>
      </c>
    </row>
    <row r="124" customFormat="false" ht="15" hidden="false" customHeight="true" outlineLevel="0" collapsed="false">
      <c r="A124" s="3" t="n">
        <v>60474</v>
      </c>
      <c r="B124" s="3" t="s">
        <v>92</v>
      </c>
      <c r="C124" s="3" t="n">
        <v>19</v>
      </c>
      <c r="D124" s="3" t="n">
        <v>8</v>
      </c>
    </row>
    <row r="125" customFormat="false" ht="15" hidden="false" customHeight="true" outlineLevel="0" collapsed="false">
      <c r="A125" s="3" t="n">
        <v>74800</v>
      </c>
      <c r="B125" s="3" t="s">
        <v>171</v>
      </c>
      <c r="C125" s="3" t="n">
        <v>24</v>
      </c>
      <c r="D125" s="3" t="n">
        <v>10</v>
      </c>
    </row>
    <row r="126" customFormat="false" ht="15" hidden="false" customHeight="true" outlineLevel="0" collapsed="false">
      <c r="A126" s="3" t="n">
        <v>60484</v>
      </c>
      <c r="B126" s="3" t="s">
        <v>95</v>
      </c>
      <c r="C126" s="3" t="n">
        <v>17</v>
      </c>
      <c r="D126" s="3" t="n">
        <v>7</v>
      </c>
    </row>
    <row r="127" customFormat="false" ht="15" hidden="false" customHeight="true" outlineLevel="0" collapsed="false">
      <c r="A127" s="3" t="n">
        <v>16213</v>
      </c>
      <c r="B127" s="3" t="s">
        <v>15</v>
      </c>
      <c r="C127" s="3" t="n">
        <v>22</v>
      </c>
      <c r="D127" s="3" t="n">
        <v>9</v>
      </c>
    </row>
    <row r="128" customFormat="false" ht="15" hidden="false" customHeight="true" outlineLevel="0" collapsed="false">
      <c r="A128" s="3" t="n">
        <v>16214</v>
      </c>
      <c r="B128" s="3" t="s">
        <v>16</v>
      </c>
      <c r="C128" s="3" t="n">
        <v>5</v>
      </c>
      <c r="D128" s="3" t="n">
        <v>2</v>
      </c>
    </row>
    <row r="129" customFormat="false" ht="15" hidden="false" customHeight="true" outlineLevel="0" collapsed="false">
      <c r="A129" s="3" t="n">
        <v>16244</v>
      </c>
      <c r="B129" s="3" t="s">
        <v>20</v>
      </c>
      <c r="C129" s="3" t="n">
        <v>8</v>
      </c>
      <c r="D129" s="3" t="n">
        <v>3</v>
      </c>
    </row>
    <row r="130" customFormat="false" ht="15" hidden="false" customHeight="true" outlineLevel="0" collapsed="false">
      <c r="A130" s="3" t="n">
        <v>74670</v>
      </c>
      <c r="B130" s="3" t="s">
        <v>155</v>
      </c>
      <c r="C130" s="3" t="n">
        <v>8</v>
      </c>
      <c r="D130" s="3" t="n">
        <v>3</v>
      </c>
    </row>
    <row r="131" customFormat="false" ht="15" hidden="false" customHeight="true" outlineLevel="0" collapsed="false">
      <c r="A131" s="3" t="n">
        <v>66485</v>
      </c>
      <c r="B131" s="3" t="s">
        <v>133</v>
      </c>
      <c r="C131" s="3" t="n">
        <v>21</v>
      </c>
      <c r="D131" s="3" t="n">
        <v>7</v>
      </c>
    </row>
    <row r="132" customFormat="false" ht="15" hidden="false" customHeight="true" outlineLevel="0" collapsed="false">
      <c r="A132" s="3" t="n">
        <v>60473</v>
      </c>
      <c r="B132" s="3" t="s">
        <v>91</v>
      </c>
      <c r="C132" s="3" t="n">
        <v>9</v>
      </c>
      <c r="D132" s="3" t="n">
        <v>3</v>
      </c>
    </row>
    <row r="133" customFormat="false" ht="15" hidden="false" customHeight="true" outlineLevel="0" collapsed="false">
      <c r="A133" s="3" t="n">
        <v>19083</v>
      </c>
      <c r="B133" s="3" t="s">
        <v>24</v>
      </c>
      <c r="C133" s="3" t="n">
        <v>3</v>
      </c>
      <c r="D133" s="3" t="n">
        <v>1</v>
      </c>
    </row>
    <row r="134" customFormat="false" ht="15" hidden="false" customHeight="true" outlineLevel="0" collapsed="false">
      <c r="A134" s="3" t="n">
        <v>63417</v>
      </c>
      <c r="B134" s="3" t="s">
        <v>113</v>
      </c>
      <c r="C134" s="3" t="n">
        <v>7</v>
      </c>
      <c r="D134" s="3" t="n">
        <v>2</v>
      </c>
    </row>
    <row r="135" customFormat="false" ht="15" hidden="false" customHeight="true" outlineLevel="0" collapsed="false">
      <c r="A135" s="3" t="n">
        <v>29984</v>
      </c>
      <c r="B135" s="3" t="s">
        <v>46</v>
      </c>
      <c r="C135" s="3" t="n">
        <v>4</v>
      </c>
      <c r="D135" s="3" t="n">
        <v>1</v>
      </c>
    </row>
    <row r="136" customFormat="false" ht="15" hidden="false" customHeight="true" outlineLevel="0" collapsed="false">
      <c r="A136" s="3" t="n">
        <v>18559</v>
      </c>
      <c r="B136" s="3" t="s">
        <v>22</v>
      </c>
      <c r="C136" s="3" t="n">
        <v>11</v>
      </c>
      <c r="D136" s="3" t="n">
        <v>2</v>
      </c>
    </row>
    <row r="137" customFormat="false" ht="15" hidden="false" customHeight="true" outlineLevel="0" collapsed="false">
      <c r="A137" s="3" t="n">
        <v>16239</v>
      </c>
      <c r="B137" s="3" t="s">
        <v>19</v>
      </c>
      <c r="C137" s="3" t="n">
        <v>2</v>
      </c>
      <c r="D137" s="3" t="n">
        <v>0</v>
      </c>
    </row>
    <row r="138" customFormat="false" ht="15" hidden="false" customHeight="true" outlineLevel="0" collapsed="false">
      <c r="A138" s="3" t="n">
        <v>28302</v>
      </c>
      <c r="B138" s="3" t="s">
        <v>36</v>
      </c>
      <c r="C138" s="3" t="n">
        <v>3</v>
      </c>
      <c r="D138" s="3" t="n">
        <v>0</v>
      </c>
    </row>
    <row r="139" customFormat="false" ht="15" hidden="false" customHeight="true" outlineLevel="0" collapsed="false">
      <c r="A139" s="3" t="n">
        <v>29790</v>
      </c>
      <c r="B139" s="3" t="s">
        <v>39</v>
      </c>
      <c r="C139" s="3" t="n">
        <v>1</v>
      </c>
      <c r="D139" s="3" t="n">
        <v>0</v>
      </c>
    </row>
    <row r="140" customFormat="false" ht="15" hidden="false" customHeight="true" outlineLevel="0" collapsed="false">
      <c r="A140" s="3" t="n">
        <v>50055</v>
      </c>
      <c r="B140" s="3" t="s">
        <v>65</v>
      </c>
      <c r="C140" s="3" t="n">
        <v>1</v>
      </c>
      <c r="D140" s="3" t="n">
        <v>0</v>
      </c>
    </row>
    <row r="141" customFormat="false" ht="15" hidden="false" customHeight="true" outlineLevel="0" collapsed="false">
      <c r="A141" s="3" t="n">
        <v>50057</v>
      </c>
      <c r="B141" s="3" t="s">
        <v>66</v>
      </c>
      <c r="C141" s="3" t="n">
        <v>1</v>
      </c>
      <c r="D141" s="3" t="n">
        <v>0</v>
      </c>
    </row>
    <row r="142" customFormat="false" ht="15" hidden="false" customHeight="true" outlineLevel="0" collapsed="false">
      <c r="A142" s="3" t="n">
        <v>63405</v>
      </c>
      <c r="B142" s="3" t="s">
        <v>107</v>
      </c>
      <c r="C142" s="3" t="n">
        <v>1</v>
      </c>
      <c r="D142" s="3" t="n">
        <v>0</v>
      </c>
    </row>
    <row r="143" customFormat="false" ht="15" hidden="false" customHeight="true" outlineLevel="0" collapsed="false">
      <c r="A143" s="3" t="n">
        <v>63407</v>
      </c>
      <c r="B143" s="3" t="s">
        <v>109</v>
      </c>
      <c r="C143" s="3" t="n">
        <v>1</v>
      </c>
      <c r="D143" s="3" t="n">
        <v>0</v>
      </c>
    </row>
    <row r="144" customFormat="false" ht="15" hidden="false" customHeight="true" outlineLevel="0" collapsed="false">
      <c r="A144" s="3" t="n">
        <v>64631</v>
      </c>
      <c r="B144" s="3" t="s">
        <v>121</v>
      </c>
      <c r="C144" s="3" t="n">
        <v>3</v>
      </c>
      <c r="D144" s="3" t="n">
        <v>0</v>
      </c>
    </row>
    <row r="145" customFormat="false" ht="15" hidden="false" customHeight="true" outlineLevel="0" collapsed="false">
      <c r="A145" s="3" t="n">
        <v>64632</v>
      </c>
      <c r="B145" s="3" t="s">
        <v>122</v>
      </c>
      <c r="C145" s="3" t="n">
        <v>2</v>
      </c>
      <c r="D145" s="3" t="n">
        <v>0</v>
      </c>
    </row>
    <row r="146" customFormat="false" ht="15" hidden="false" customHeight="true" outlineLevel="0" collapsed="false">
      <c r="A146" s="3" t="n">
        <v>64637</v>
      </c>
      <c r="B146" s="3" t="s">
        <v>127</v>
      </c>
      <c r="C146" s="3" t="n">
        <v>4</v>
      </c>
      <c r="D146" s="3" t="n">
        <v>0</v>
      </c>
    </row>
    <row r="147" customFormat="false" ht="15" hidden="false" customHeight="true" outlineLevel="0" collapsed="false">
      <c r="A147" s="3" t="n">
        <v>64638</v>
      </c>
      <c r="B147" s="3" t="s">
        <v>128</v>
      </c>
      <c r="C147" s="3" t="n">
        <v>2</v>
      </c>
      <c r="D147" s="3" t="n">
        <v>0</v>
      </c>
    </row>
    <row r="148" customFormat="false" ht="15" hidden="false" customHeight="true" outlineLevel="0" collapsed="false">
      <c r="A148" s="3" t="n">
        <v>67895</v>
      </c>
      <c r="B148" s="3" t="s">
        <v>139</v>
      </c>
      <c r="C148" s="3" t="n">
        <v>1</v>
      </c>
      <c r="D148" s="3" t="n">
        <v>0</v>
      </c>
    </row>
    <row r="149" customFormat="false" ht="15" hidden="false" customHeight="true" outlineLevel="0" collapsed="false">
      <c r="A149" s="3" t="n">
        <v>74807</v>
      </c>
      <c r="B149" s="3" t="s">
        <v>175</v>
      </c>
      <c r="C149" s="3" t="n">
        <v>1</v>
      </c>
      <c r="D149" s="3" t="n">
        <v>0</v>
      </c>
    </row>
    <row r="150" customFormat="false" ht="15" hidden="false" customHeight="true" outlineLevel="0" collapsed="false">
      <c r="A150" s="3" t="n">
        <v>74822</v>
      </c>
      <c r="B150" s="3" t="s">
        <v>178</v>
      </c>
      <c r="C150" s="3" t="n">
        <v>1</v>
      </c>
      <c r="D150" s="3" t="n">
        <v>0</v>
      </c>
    </row>
    <row r="151" customFormat="false" ht="15" hidden="false" customHeight="true" outlineLevel="0" collapsed="false">
      <c r="A151" s="3" t="n">
        <v>74823</v>
      </c>
      <c r="B151" s="3" t="s">
        <v>179</v>
      </c>
      <c r="C151" s="3" t="n">
        <v>1</v>
      </c>
      <c r="D151" s="3" t="n">
        <v>0</v>
      </c>
    </row>
    <row r="152" customFormat="false" ht="15" hidden="false" customHeight="true" outlineLevel="0" collapsed="false">
      <c r="A152" s="3" t="n">
        <v>74824</v>
      </c>
      <c r="B152" s="3" t="s">
        <v>180</v>
      </c>
      <c r="C152" s="3" t="n">
        <v>1</v>
      </c>
      <c r="D152" s="3" t="n">
        <v>0</v>
      </c>
    </row>
    <row r="153" customFormat="false" ht="15" hidden="false" customHeight="true" outlineLevel="0" collapsed="false">
      <c r="A153" s="3" t="n">
        <v>74827</v>
      </c>
      <c r="B153" s="3" t="s">
        <v>183</v>
      </c>
      <c r="C153" s="3" t="n">
        <v>1</v>
      </c>
      <c r="D153" s="3" t="n">
        <v>0</v>
      </c>
    </row>
    <row r="154" customFormat="false" ht="15" hidden="false" customHeight="true" outlineLevel="0" collapsed="false">
      <c r="A154" s="3" t="n">
        <v>74931</v>
      </c>
      <c r="B154" s="3" t="s">
        <v>193</v>
      </c>
      <c r="C154" s="3" t="n">
        <v>1</v>
      </c>
      <c r="D154" s="3" t="n">
        <v>0</v>
      </c>
    </row>
    <row r="155" customFormat="false" ht="15" hidden="false" customHeight="true" outlineLevel="0" collapsed="false">
      <c r="A155" s="3" t="n">
        <v>74987</v>
      </c>
      <c r="B155" s="3" t="s">
        <v>195</v>
      </c>
      <c r="C155" s="3" t="n">
        <v>1</v>
      </c>
      <c r="D155" s="3" t="n">
        <v>0</v>
      </c>
    </row>
    <row r="156" customFormat="false" ht="15" hidden="false" customHeight="true" outlineLevel="0" collapsed="false">
      <c r="A156" s="3" t="n">
        <v>74989</v>
      </c>
      <c r="B156" s="3" t="s">
        <v>197</v>
      </c>
      <c r="C156" s="3" t="n">
        <v>1</v>
      </c>
      <c r="D156" s="3" t="n">
        <v>0</v>
      </c>
    </row>
    <row r="157" customFormat="false" ht="15" hidden="false" customHeight="true" outlineLevel="0" collapsed="false">
      <c r="A157" s="3" t="n">
        <v>71085</v>
      </c>
      <c r="B157" s="3" t="s">
        <v>149</v>
      </c>
      <c r="C157" s="3" t="n">
        <v>2</v>
      </c>
      <c r="D157" s="3" t="n">
        <v>-1</v>
      </c>
    </row>
    <row r="158" customFormat="false" ht="15" hidden="false" customHeight="true" outlineLevel="0" collapsed="false">
      <c r="A158" s="3" t="n">
        <v>82206</v>
      </c>
      <c r="B158" s="3" t="s">
        <v>210</v>
      </c>
      <c r="C158" s="3" t="n">
        <v>0</v>
      </c>
      <c r="D158" s="3" t="n">
        <v>61</v>
      </c>
    </row>
    <row r="159" customFormat="false" ht="15" hidden="false" customHeight="true" outlineLevel="0" collapsed="false">
      <c r="A159" s="3" t="n">
        <v>66745</v>
      </c>
      <c r="B159" s="3" t="s">
        <v>134</v>
      </c>
      <c r="C159" s="3" t="n">
        <v>0</v>
      </c>
      <c r="D159" s="3" t="n">
        <v>39</v>
      </c>
    </row>
    <row r="160" customFormat="false" ht="15" hidden="false" customHeight="true" outlineLevel="0" collapsed="false">
      <c r="A160" s="3" t="n">
        <v>82213</v>
      </c>
      <c r="B160" s="3" t="s">
        <v>213</v>
      </c>
      <c r="C160" s="3" t="n">
        <v>0</v>
      </c>
      <c r="D160" s="3" t="n">
        <v>18</v>
      </c>
    </row>
    <row r="161" customFormat="false" ht="15" hidden="false" customHeight="true" outlineLevel="0" collapsed="false">
      <c r="A161" s="3" t="n">
        <v>82208</v>
      </c>
      <c r="B161" s="3" t="s">
        <v>212</v>
      </c>
      <c r="C161" s="3" t="n">
        <v>0</v>
      </c>
      <c r="D161" s="3" t="n">
        <v>15</v>
      </c>
    </row>
    <row r="162" customFormat="false" ht="15" hidden="false" customHeight="true" outlineLevel="0" collapsed="false">
      <c r="A162" s="3" t="n">
        <v>82202</v>
      </c>
      <c r="B162" s="3" t="s">
        <v>209</v>
      </c>
      <c r="C162" s="3" t="n">
        <v>0</v>
      </c>
      <c r="D162" s="3" t="n">
        <v>13</v>
      </c>
    </row>
    <row r="163" customFormat="false" ht="15" hidden="false" customHeight="true" outlineLevel="0" collapsed="false">
      <c r="A163" s="3" t="n">
        <v>57690</v>
      </c>
      <c r="B163" s="3" t="s">
        <v>82</v>
      </c>
      <c r="C163" s="3" t="n">
        <v>0</v>
      </c>
      <c r="D163" s="3" t="n">
        <v>11</v>
      </c>
    </row>
    <row r="164" customFormat="false" ht="15" hidden="false" customHeight="true" outlineLevel="0" collapsed="false">
      <c r="A164" s="3" t="n">
        <v>82207</v>
      </c>
      <c r="B164" s="3" t="s">
        <v>211</v>
      </c>
      <c r="C164" s="3" t="n">
        <v>0</v>
      </c>
      <c r="D164" s="3" t="n">
        <v>11</v>
      </c>
    </row>
    <row r="165" customFormat="false" ht="15" hidden="false" customHeight="true" outlineLevel="0" collapsed="false">
      <c r="A165" s="3" t="n">
        <v>83420</v>
      </c>
      <c r="B165" s="3" t="s">
        <v>215</v>
      </c>
      <c r="C165" s="3" t="n">
        <v>0</v>
      </c>
      <c r="D165" s="3" t="n">
        <v>10</v>
      </c>
    </row>
    <row r="166" customFormat="false" ht="15" hidden="false" customHeight="true" outlineLevel="0" collapsed="false">
      <c r="A166" s="3" t="n">
        <v>57664</v>
      </c>
      <c r="B166" s="3" t="s">
        <v>81</v>
      </c>
      <c r="C166" s="3" t="n">
        <v>0</v>
      </c>
      <c r="D166" s="3" t="n">
        <v>9</v>
      </c>
    </row>
    <row r="167" customFormat="false" ht="15" hidden="false" customHeight="true" outlineLevel="0" collapsed="false">
      <c r="A167" s="3" t="n">
        <v>57662</v>
      </c>
      <c r="B167" s="3" t="s">
        <v>80</v>
      </c>
      <c r="C167" s="3" t="n">
        <v>0</v>
      </c>
      <c r="D167" s="3" t="n">
        <v>8</v>
      </c>
    </row>
    <row r="168" customFormat="false" ht="15" hidden="false" customHeight="true" outlineLevel="0" collapsed="false">
      <c r="A168" s="3" t="n">
        <v>57696</v>
      </c>
      <c r="B168" s="3" t="s">
        <v>83</v>
      </c>
      <c r="C168" s="3" t="n">
        <v>0</v>
      </c>
      <c r="D168" s="3" t="n">
        <v>5</v>
      </c>
    </row>
    <row r="169" customFormat="false" ht="15" hidden="false" customHeight="true" outlineLevel="0" collapsed="false">
      <c r="A169" s="3" t="n">
        <v>68751</v>
      </c>
      <c r="B169" s="3" t="s">
        <v>148</v>
      </c>
      <c r="C169" s="3" t="n">
        <v>0</v>
      </c>
      <c r="D169" s="3" t="n">
        <v>3</v>
      </c>
    </row>
    <row r="170" customFormat="false" ht="15" hidden="false" customHeight="true" outlineLevel="0" collapsed="false">
      <c r="A170" s="3" t="n">
        <v>87819</v>
      </c>
      <c r="B170" s="3" t="s">
        <v>220</v>
      </c>
      <c r="C170" s="3" t="n">
        <v>0</v>
      </c>
      <c r="D170" s="3" t="n">
        <v>3</v>
      </c>
    </row>
    <row r="171" customFormat="false" ht="15" hidden="false" customHeight="true" outlineLevel="0" collapsed="false">
      <c r="A171" s="3" t="n">
        <v>55066</v>
      </c>
      <c r="B171" s="3" t="s">
        <v>78</v>
      </c>
      <c r="C171" s="3" t="n">
        <v>0</v>
      </c>
      <c r="D171" s="3" t="n">
        <v>2</v>
      </c>
    </row>
    <row r="172" customFormat="false" ht="15" hidden="false" customHeight="true" outlineLevel="0" collapsed="false">
      <c r="A172" s="3" t="n">
        <v>68750</v>
      </c>
      <c r="B172" s="3" t="s">
        <v>147</v>
      </c>
      <c r="C172" s="3" t="n">
        <v>0</v>
      </c>
      <c r="D172" s="3" t="n">
        <v>2</v>
      </c>
    </row>
    <row r="173" customFormat="false" ht="15" hidden="false" customHeight="true" outlineLevel="0" collapsed="false">
      <c r="A173" s="3" t="n">
        <v>74848</v>
      </c>
      <c r="B173" s="3" t="s">
        <v>188</v>
      </c>
      <c r="C173" s="3" t="n">
        <v>0</v>
      </c>
      <c r="D173" s="3" t="n">
        <v>2</v>
      </c>
    </row>
    <row r="174" customFormat="false" ht="15" hidden="false" customHeight="true" outlineLevel="0" collapsed="false">
      <c r="A174" s="3" t="n">
        <v>74988</v>
      </c>
      <c r="B174" s="3" t="s">
        <v>196</v>
      </c>
      <c r="C174" s="3" t="n">
        <v>0</v>
      </c>
      <c r="D174" s="3" t="n">
        <v>2</v>
      </c>
    </row>
    <row r="175" customFormat="false" ht="15" hidden="false" customHeight="true" outlineLevel="0" collapsed="false">
      <c r="A175" s="3" t="n">
        <v>28323</v>
      </c>
      <c r="B175" s="3" t="s">
        <v>37</v>
      </c>
      <c r="C175" s="3" t="n">
        <v>0</v>
      </c>
      <c r="D175" s="3" t="n">
        <v>1</v>
      </c>
    </row>
    <row r="176" customFormat="false" ht="15" hidden="false" customHeight="true" outlineLevel="0" collapsed="false">
      <c r="A176" s="3" t="n">
        <v>28331</v>
      </c>
      <c r="B176" s="3" t="s">
        <v>38</v>
      </c>
      <c r="C176" s="3" t="n">
        <v>0</v>
      </c>
      <c r="D176" s="3" t="n">
        <v>1</v>
      </c>
    </row>
    <row r="177" customFormat="false" ht="15" hidden="false" customHeight="true" outlineLevel="0" collapsed="false">
      <c r="A177" s="3" t="n">
        <v>74686</v>
      </c>
      <c r="B177" s="3" t="s">
        <v>161</v>
      </c>
      <c r="C177" s="3" t="n">
        <v>0</v>
      </c>
      <c r="D177" s="3" t="n">
        <v>1</v>
      </c>
    </row>
    <row r="178" customFormat="false" ht="15" hidden="false" customHeight="true" outlineLevel="0" collapsed="false">
      <c r="A178" s="3" t="n">
        <v>74825</v>
      </c>
      <c r="B178" s="3" t="s">
        <v>181</v>
      </c>
      <c r="C178" s="3" t="n">
        <v>0</v>
      </c>
      <c r="D178" s="3" t="n">
        <v>1</v>
      </c>
    </row>
    <row r="179" customFormat="false" ht="15" hidden="false" customHeight="true" outlineLevel="0" collapsed="false">
      <c r="A179" s="3" t="n">
        <v>74842</v>
      </c>
      <c r="B179" s="3" t="s">
        <v>185</v>
      </c>
      <c r="C179" s="3" t="n">
        <v>0</v>
      </c>
      <c r="D179" s="3" t="n">
        <v>1</v>
      </c>
    </row>
    <row r="180" customFormat="false" ht="15" hidden="false" customHeight="true" outlineLevel="0" collapsed="false">
      <c r="A180" s="3" t="n">
        <v>74919</v>
      </c>
      <c r="B180" s="3" t="s">
        <v>190</v>
      </c>
      <c r="C180" s="3" t="n">
        <v>0</v>
      </c>
      <c r="D180" s="3" t="n">
        <v>1</v>
      </c>
    </row>
    <row r="181" customFormat="false" ht="15" hidden="false" customHeight="true" outlineLevel="0" collapsed="false">
      <c r="A181" s="3" t="n">
        <v>82551</v>
      </c>
      <c r="B181" s="3" t="s">
        <v>214</v>
      </c>
      <c r="C181" s="3" t="n">
        <v>0</v>
      </c>
      <c r="D181" s="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282</v>
      </c>
    </row>
    <row r="2" customFormat="false" ht="15" hidden="false" customHeight="true" outlineLevel="0" collapsed="false">
      <c r="A2" s="17" t="s">
        <v>3</v>
      </c>
      <c r="B2" s="17" t="s">
        <v>4</v>
      </c>
      <c r="C2" s="17" t="s">
        <v>283</v>
      </c>
      <c r="D2" s="17" t="s">
        <v>284</v>
      </c>
    </row>
    <row r="3" customFormat="false" ht="15" hidden="false" customHeight="true" outlineLevel="0" collapsed="false">
      <c r="A3" s="3" t="n">
        <v>82208</v>
      </c>
      <c r="B3" s="3" t="s">
        <v>212</v>
      </c>
      <c r="C3" s="3" t="n">
        <v>2</v>
      </c>
      <c r="D3" s="3" t="n">
        <v>23</v>
      </c>
    </row>
    <row r="4" customFormat="false" ht="15" hidden="false" customHeight="true" outlineLevel="0" collapsed="false">
      <c r="A4" s="3" t="n">
        <v>83420</v>
      </c>
      <c r="B4" s="3" t="s">
        <v>215</v>
      </c>
      <c r="C4" s="3" t="n">
        <v>2</v>
      </c>
      <c r="D4" s="3" t="n">
        <v>17</v>
      </c>
    </row>
    <row r="5" customFormat="false" ht="15" hidden="false" customHeight="true" outlineLevel="0" collapsed="false">
      <c r="A5" s="3" t="n">
        <v>57696</v>
      </c>
      <c r="B5" s="3" t="s">
        <v>83</v>
      </c>
      <c r="C5" s="3" t="n">
        <v>2</v>
      </c>
      <c r="D5" s="3" t="n">
        <v>14</v>
      </c>
    </row>
    <row r="6" customFormat="false" ht="15" hidden="false" customHeight="true" outlineLevel="0" collapsed="false">
      <c r="A6" s="3" t="n">
        <v>82202</v>
      </c>
      <c r="B6" s="3" t="s">
        <v>209</v>
      </c>
      <c r="C6" s="3" t="n">
        <v>4</v>
      </c>
      <c r="D6" s="3" t="n">
        <v>25</v>
      </c>
    </row>
    <row r="7" customFormat="false" ht="15" hidden="false" customHeight="true" outlineLevel="0" collapsed="false">
      <c r="A7" s="3" t="n">
        <v>82206</v>
      </c>
      <c r="B7" s="3" t="s">
        <v>210</v>
      </c>
      <c r="C7" s="3" t="n">
        <v>10</v>
      </c>
      <c r="D7" s="3" t="n">
        <v>61</v>
      </c>
    </row>
    <row r="8" customFormat="false" ht="15" hidden="false" customHeight="true" outlineLevel="0" collapsed="false">
      <c r="A8" s="3" t="n">
        <v>82207</v>
      </c>
      <c r="B8" s="3" t="s">
        <v>211</v>
      </c>
      <c r="C8" s="3" t="n">
        <v>4</v>
      </c>
      <c r="D8" s="3" t="n">
        <v>24</v>
      </c>
    </row>
    <row r="9" customFormat="false" ht="15" hidden="false" customHeight="true" outlineLevel="0" collapsed="false">
      <c r="A9" s="3" t="n">
        <v>57662</v>
      </c>
      <c r="B9" s="3" t="s">
        <v>80</v>
      </c>
      <c r="C9" s="3" t="n">
        <v>2</v>
      </c>
      <c r="D9" s="3" t="n">
        <v>10</v>
      </c>
    </row>
    <row r="10" customFormat="false" ht="15" hidden="false" customHeight="true" outlineLevel="0" collapsed="false">
      <c r="A10" s="3" t="n">
        <v>75764</v>
      </c>
      <c r="B10" s="3" t="s">
        <v>200</v>
      </c>
      <c r="C10" s="3" t="n">
        <v>1</v>
      </c>
      <c r="D10" s="3" t="n">
        <v>5</v>
      </c>
    </row>
    <row r="11" customFormat="false" ht="15" hidden="false" customHeight="true" outlineLevel="0" collapsed="false">
      <c r="A11" s="3" t="n">
        <v>63417</v>
      </c>
      <c r="B11" s="3" t="s">
        <v>113</v>
      </c>
      <c r="C11" s="3" t="n">
        <v>2</v>
      </c>
      <c r="D11" s="3" t="n">
        <v>9</v>
      </c>
    </row>
    <row r="12" customFormat="false" ht="15" hidden="false" customHeight="true" outlineLevel="0" collapsed="false">
      <c r="A12" s="3" t="n">
        <v>19083</v>
      </c>
      <c r="B12" s="3" t="s">
        <v>24</v>
      </c>
      <c r="C12" s="3" t="n">
        <v>1</v>
      </c>
      <c r="D12" s="3" t="n">
        <v>4</v>
      </c>
    </row>
    <row r="13" customFormat="false" ht="15" hidden="false" customHeight="true" outlineLevel="0" collapsed="false">
      <c r="A13" s="3" t="n">
        <v>68750</v>
      </c>
      <c r="B13" s="3" t="s">
        <v>147</v>
      </c>
      <c r="C13" s="3" t="n">
        <v>1</v>
      </c>
      <c r="D13" s="3" t="n">
        <v>4</v>
      </c>
    </row>
    <row r="14" customFormat="false" ht="15" hidden="false" customHeight="true" outlineLevel="0" collapsed="false">
      <c r="A14" s="3" t="n">
        <v>57664</v>
      </c>
      <c r="B14" s="3" t="s">
        <v>81</v>
      </c>
      <c r="C14" s="3" t="n">
        <v>4</v>
      </c>
      <c r="D14" s="3" t="n">
        <v>14</v>
      </c>
    </row>
    <row r="15" customFormat="false" ht="15" hidden="false" customHeight="true" outlineLevel="0" collapsed="false">
      <c r="A15" s="3" t="n">
        <v>87819</v>
      </c>
      <c r="B15" s="3" t="s">
        <v>220</v>
      </c>
      <c r="C15" s="3" t="n">
        <v>2</v>
      </c>
      <c r="D15" s="3" t="n">
        <v>7</v>
      </c>
    </row>
    <row r="16" customFormat="false" ht="15" hidden="false" customHeight="true" outlineLevel="0" collapsed="false">
      <c r="A16" s="3" t="n">
        <v>82213</v>
      </c>
      <c r="B16" s="3" t="s">
        <v>213</v>
      </c>
      <c r="C16" s="3" t="n">
        <v>7</v>
      </c>
      <c r="D16" s="3" t="n">
        <v>24</v>
      </c>
    </row>
    <row r="17" customFormat="false" ht="15" hidden="false" customHeight="true" outlineLevel="0" collapsed="false">
      <c r="A17" s="3" t="n">
        <v>29881</v>
      </c>
      <c r="B17" s="3" t="s">
        <v>43</v>
      </c>
      <c r="C17" s="3" t="n">
        <v>3</v>
      </c>
      <c r="D17" s="3" t="n">
        <v>10</v>
      </c>
    </row>
    <row r="18" customFormat="false" ht="15" hidden="false" customHeight="true" outlineLevel="0" collapsed="false">
      <c r="A18" s="3" t="n">
        <v>64635</v>
      </c>
      <c r="B18" s="3" t="s">
        <v>125</v>
      </c>
      <c r="C18" s="3" t="n">
        <v>1</v>
      </c>
      <c r="D18" s="3" t="n">
        <v>3</v>
      </c>
    </row>
    <row r="19" customFormat="false" ht="15" hidden="false" customHeight="true" outlineLevel="0" collapsed="false">
      <c r="A19" s="3" t="n">
        <v>75763</v>
      </c>
      <c r="B19" s="3" t="s">
        <v>199</v>
      </c>
      <c r="C19" s="3" t="n">
        <v>1</v>
      </c>
      <c r="D19" s="3" t="n">
        <v>3</v>
      </c>
    </row>
    <row r="20" customFormat="false" ht="15" hidden="false" customHeight="true" outlineLevel="0" collapsed="false">
      <c r="A20" s="3" t="n">
        <v>66745</v>
      </c>
      <c r="B20" s="3" t="s">
        <v>134</v>
      </c>
      <c r="C20" s="3" t="n">
        <v>15</v>
      </c>
      <c r="D20" s="3" t="n">
        <v>42</v>
      </c>
    </row>
    <row r="21" customFormat="false" ht="15" hidden="false" customHeight="true" outlineLevel="0" collapsed="false">
      <c r="A21" s="3" t="n">
        <v>52147</v>
      </c>
      <c r="B21" s="3" t="s">
        <v>70</v>
      </c>
      <c r="C21" s="3" t="n">
        <v>10</v>
      </c>
      <c r="D21" s="3" t="n">
        <v>26</v>
      </c>
    </row>
    <row r="22" customFormat="false" ht="15" hidden="false" customHeight="true" outlineLevel="0" collapsed="false">
      <c r="A22" s="3" t="n">
        <v>67935</v>
      </c>
      <c r="B22" s="3" t="s">
        <v>142</v>
      </c>
      <c r="C22" s="3" t="n">
        <v>8</v>
      </c>
      <c r="D22" s="3" t="n">
        <v>19</v>
      </c>
    </row>
    <row r="23" customFormat="false" ht="15" hidden="false" customHeight="true" outlineLevel="0" collapsed="false">
      <c r="A23" s="3" t="n">
        <v>35339</v>
      </c>
      <c r="B23" s="3" t="s">
        <v>51</v>
      </c>
      <c r="C23" s="3" t="n">
        <v>3</v>
      </c>
      <c r="D23" s="3" t="n">
        <v>7</v>
      </c>
    </row>
    <row r="24" customFormat="false" ht="15" hidden="false" customHeight="true" outlineLevel="0" collapsed="false">
      <c r="A24" s="3" t="n">
        <v>42964</v>
      </c>
      <c r="B24" s="3" t="s">
        <v>52</v>
      </c>
      <c r="C24" s="3" t="n">
        <v>4</v>
      </c>
      <c r="D24" s="3" t="n">
        <v>9</v>
      </c>
    </row>
    <row r="25" customFormat="false" ht="15" hidden="false" customHeight="true" outlineLevel="0" collapsed="false">
      <c r="A25" s="3" t="n">
        <v>46306</v>
      </c>
      <c r="B25" s="3" t="s">
        <v>57</v>
      </c>
      <c r="C25" s="3" t="n">
        <v>1</v>
      </c>
      <c r="D25" s="3" t="n">
        <v>2</v>
      </c>
    </row>
    <row r="26" customFormat="false" ht="15" hidden="false" customHeight="true" outlineLevel="0" collapsed="false">
      <c r="A26" s="3" t="n">
        <v>63416</v>
      </c>
      <c r="B26" s="3" t="s">
        <v>112</v>
      </c>
      <c r="C26" s="3" t="n">
        <v>7</v>
      </c>
      <c r="D26" s="3" t="n">
        <v>14</v>
      </c>
    </row>
    <row r="27" customFormat="false" ht="15" hidden="false" customHeight="true" outlineLevel="0" collapsed="false">
      <c r="A27" s="3" t="n">
        <v>67053</v>
      </c>
      <c r="B27" s="3" t="s">
        <v>135</v>
      </c>
      <c r="C27" s="3" t="n">
        <v>1</v>
      </c>
      <c r="D27" s="3" t="n">
        <v>2</v>
      </c>
    </row>
    <row r="28" customFormat="false" ht="15" hidden="false" customHeight="true" outlineLevel="0" collapsed="false">
      <c r="A28" s="3" t="n">
        <v>88475</v>
      </c>
      <c r="B28" s="3" t="s">
        <v>223</v>
      </c>
      <c r="C28" s="3" t="n">
        <v>1</v>
      </c>
      <c r="D28" s="3" t="n">
        <v>2</v>
      </c>
    </row>
    <row r="29" customFormat="false" ht="15" hidden="false" customHeight="true" outlineLevel="0" collapsed="false">
      <c r="A29" s="3" t="n">
        <v>23008</v>
      </c>
      <c r="B29" s="3" t="s">
        <v>32</v>
      </c>
      <c r="C29" s="3" t="n">
        <v>21</v>
      </c>
      <c r="D29" s="3" t="n">
        <v>39</v>
      </c>
    </row>
    <row r="30" customFormat="false" ht="15" hidden="false" customHeight="true" outlineLevel="0" collapsed="false">
      <c r="A30" s="3" t="n">
        <v>16214</v>
      </c>
      <c r="B30" s="3" t="s">
        <v>16</v>
      </c>
      <c r="C30" s="3" t="n">
        <v>4</v>
      </c>
      <c r="D30" s="3" t="n">
        <v>7</v>
      </c>
    </row>
    <row r="31" customFormat="false" ht="15" hidden="false" customHeight="true" outlineLevel="0" collapsed="false">
      <c r="A31" s="3" t="n">
        <v>88477</v>
      </c>
      <c r="B31" s="3" t="s">
        <v>225</v>
      </c>
      <c r="C31" s="3" t="n">
        <v>4</v>
      </c>
      <c r="D31" s="3" t="n">
        <v>7</v>
      </c>
    </row>
    <row r="32" customFormat="false" ht="15" hidden="false" customHeight="true" outlineLevel="0" collapsed="false">
      <c r="A32" s="3" t="n">
        <v>51568</v>
      </c>
      <c r="B32" s="3" t="s">
        <v>69</v>
      </c>
      <c r="C32" s="3" t="n">
        <v>37</v>
      </c>
      <c r="D32" s="3" t="n">
        <v>64</v>
      </c>
    </row>
    <row r="33" customFormat="false" ht="15" hidden="false" customHeight="true" outlineLevel="0" collapsed="false">
      <c r="A33" s="3" t="n">
        <v>67960</v>
      </c>
      <c r="B33" s="3" t="s">
        <v>146</v>
      </c>
      <c r="C33" s="3" t="n">
        <v>9</v>
      </c>
      <c r="D33" s="3" t="n">
        <v>15</v>
      </c>
    </row>
    <row r="34" customFormat="false" ht="15" hidden="false" customHeight="true" outlineLevel="0" collapsed="false">
      <c r="A34" s="3" t="n">
        <v>65241</v>
      </c>
      <c r="B34" s="3" t="s">
        <v>129</v>
      </c>
      <c r="C34" s="3" t="n">
        <v>16</v>
      </c>
      <c r="D34" s="3" t="n">
        <v>26</v>
      </c>
    </row>
    <row r="35" customFormat="false" ht="15" hidden="false" customHeight="true" outlineLevel="0" collapsed="false">
      <c r="A35" s="3" t="n">
        <v>67957</v>
      </c>
      <c r="B35" s="3" t="s">
        <v>145</v>
      </c>
      <c r="C35" s="3" t="n">
        <v>15</v>
      </c>
      <c r="D35" s="3" t="n">
        <v>24</v>
      </c>
    </row>
    <row r="36" customFormat="false" ht="15" hidden="false" customHeight="true" outlineLevel="0" collapsed="false">
      <c r="A36" s="3" t="n">
        <v>63415</v>
      </c>
      <c r="B36" s="3" t="s">
        <v>111</v>
      </c>
      <c r="C36" s="3" t="n">
        <v>21</v>
      </c>
      <c r="D36" s="3" t="n">
        <v>32</v>
      </c>
    </row>
    <row r="37" customFormat="false" ht="15" hidden="false" customHeight="true" outlineLevel="0" collapsed="false">
      <c r="A37" s="3" t="n">
        <v>16217</v>
      </c>
      <c r="B37" s="3" t="s">
        <v>17</v>
      </c>
      <c r="C37" s="3" t="n">
        <v>2</v>
      </c>
      <c r="D37" s="3" t="n">
        <v>3</v>
      </c>
    </row>
    <row r="38" customFormat="false" ht="15" hidden="false" customHeight="true" outlineLevel="0" collapsed="false">
      <c r="A38" s="3" t="n">
        <v>60474</v>
      </c>
      <c r="B38" s="3" t="s">
        <v>92</v>
      </c>
      <c r="C38" s="3" t="n">
        <v>8</v>
      </c>
      <c r="D38" s="3" t="n">
        <v>12</v>
      </c>
    </row>
    <row r="39" customFormat="false" ht="15" hidden="false" customHeight="true" outlineLevel="0" collapsed="false">
      <c r="A39" s="3" t="n">
        <v>74763</v>
      </c>
      <c r="B39" s="3" t="s">
        <v>168</v>
      </c>
      <c r="C39" s="3" t="n">
        <v>8</v>
      </c>
      <c r="D39" s="3" t="n">
        <v>12</v>
      </c>
    </row>
    <row r="40" customFormat="false" ht="15" hidden="false" customHeight="true" outlineLevel="0" collapsed="false">
      <c r="A40" s="3" t="n">
        <v>63422</v>
      </c>
      <c r="B40" s="3" t="s">
        <v>118</v>
      </c>
      <c r="C40" s="3" t="n">
        <v>5</v>
      </c>
      <c r="D40" s="3" t="n">
        <v>7</v>
      </c>
    </row>
    <row r="41" customFormat="false" ht="15" hidden="false" customHeight="true" outlineLevel="0" collapsed="false">
      <c r="A41" s="3" t="n">
        <v>16211</v>
      </c>
      <c r="B41" s="3" t="s">
        <v>13</v>
      </c>
      <c r="C41" s="3" t="n">
        <v>6</v>
      </c>
      <c r="D41" s="3" t="n">
        <v>8</v>
      </c>
    </row>
    <row r="42" customFormat="false" ht="15" hidden="false" customHeight="true" outlineLevel="0" collapsed="false">
      <c r="A42" s="3" t="n">
        <v>74847</v>
      </c>
      <c r="B42" s="3" t="s">
        <v>187</v>
      </c>
      <c r="C42" s="3" t="n">
        <v>3</v>
      </c>
      <c r="D42" s="3" t="n">
        <v>4</v>
      </c>
    </row>
    <row r="43" customFormat="false" ht="15" hidden="false" customHeight="true" outlineLevel="0" collapsed="false">
      <c r="A43" s="3" t="n">
        <v>21003</v>
      </c>
      <c r="B43" s="3" t="s">
        <v>28</v>
      </c>
      <c r="C43" s="3" t="n">
        <v>13</v>
      </c>
      <c r="D43" s="3" t="n">
        <v>17</v>
      </c>
    </row>
    <row r="44" customFormat="false" ht="15" hidden="false" customHeight="true" outlineLevel="0" collapsed="false">
      <c r="A44" s="3" t="n">
        <v>80668</v>
      </c>
      <c r="B44" s="3" t="s">
        <v>208</v>
      </c>
      <c r="C44" s="3" t="n">
        <v>10</v>
      </c>
      <c r="D44" s="3" t="n">
        <v>13</v>
      </c>
    </row>
    <row r="45" customFormat="false" ht="15" hidden="false" customHeight="true" outlineLevel="0" collapsed="false">
      <c r="A45" s="3" t="n">
        <v>71087</v>
      </c>
      <c r="B45" s="3" t="s">
        <v>151</v>
      </c>
      <c r="C45" s="3" t="n">
        <v>14</v>
      </c>
      <c r="D45" s="3" t="n">
        <v>18</v>
      </c>
    </row>
    <row r="46" customFormat="false" ht="15" hidden="false" customHeight="true" outlineLevel="0" collapsed="false">
      <c r="A46" s="3" t="n">
        <v>76453</v>
      </c>
      <c r="B46" s="3" t="s">
        <v>205</v>
      </c>
      <c r="C46" s="3" t="n">
        <v>7</v>
      </c>
      <c r="D46" s="3" t="n">
        <v>9</v>
      </c>
    </row>
    <row r="47" customFormat="false" ht="15" hidden="false" customHeight="true" outlineLevel="0" collapsed="false">
      <c r="A47" s="3" t="n">
        <v>52328</v>
      </c>
      <c r="B47" s="3" t="s">
        <v>74</v>
      </c>
      <c r="C47" s="3" t="n">
        <v>16</v>
      </c>
      <c r="D47" s="3" t="n">
        <v>20</v>
      </c>
    </row>
    <row r="48" customFormat="false" ht="15" hidden="false" customHeight="true" outlineLevel="0" collapsed="false">
      <c r="A48" s="3" t="n">
        <v>85165</v>
      </c>
      <c r="B48" s="3" t="s">
        <v>217</v>
      </c>
      <c r="C48" s="3" t="n">
        <v>8</v>
      </c>
      <c r="D48" s="3" t="n">
        <v>10</v>
      </c>
    </row>
    <row r="49" customFormat="false" ht="15" hidden="false" customHeight="true" outlineLevel="0" collapsed="false">
      <c r="A49" s="3" t="n">
        <v>74800</v>
      </c>
      <c r="B49" s="3" t="s">
        <v>171</v>
      </c>
      <c r="C49" s="3" t="n">
        <v>26</v>
      </c>
      <c r="D49" s="3" t="n">
        <v>32</v>
      </c>
    </row>
    <row r="50" customFormat="false" ht="15" hidden="false" customHeight="true" outlineLevel="0" collapsed="false">
      <c r="A50" s="3" t="n">
        <v>8618</v>
      </c>
      <c r="B50" s="3" t="s">
        <v>10</v>
      </c>
      <c r="C50" s="3" t="n">
        <v>18</v>
      </c>
      <c r="D50" s="3" t="n">
        <v>22</v>
      </c>
    </row>
    <row r="51" customFormat="false" ht="15" hidden="false" customHeight="true" outlineLevel="0" collapsed="false">
      <c r="A51" s="3" t="n">
        <v>59659</v>
      </c>
      <c r="B51" s="3" t="s">
        <v>86</v>
      </c>
      <c r="C51" s="3" t="n">
        <v>15</v>
      </c>
      <c r="D51" s="3" t="n">
        <v>18</v>
      </c>
    </row>
    <row r="52" customFormat="false" ht="15" hidden="false" customHeight="true" outlineLevel="0" collapsed="false">
      <c r="A52" s="3" t="n">
        <v>74683</v>
      </c>
      <c r="B52" s="3" t="s">
        <v>159</v>
      </c>
      <c r="C52" s="3" t="n">
        <v>5</v>
      </c>
      <c r="D52" s="3" t="n">
        <v>6</v>
      </c>
    </row>
    <row r="53" customFormat="false" ht="15" hidden="false" customHeight="true" outlineLevel="0" collapsed="false">
      <c r="A53" s="3" t="n">
        <v>65243</v>
      </c>
      <c r="B53" s="3" t="s">
        <v>131</v>
      </c>
      <c r="C53" s="3" t="n">
        <v>17</v>
      </c>
      <c r="D53" s="3" t="n">
        <v>20</v>
      </c>
    </row>
    <row r="54" customFormat="false" ht="15" hidden="false" customHeight="true" outlineLevel="0" collapsed="false">
      <c r="A54" s="3" t="n">
        <v>71683</v>
      </c>
      <c r="B54" s="3" t="s">
        <v>154</v>
      </c>
      <c r="C54" s="3" t="n">
        <v>6</v>
      </c>
      <c r="D54" s="3" t="n">
        <v>7</v>
      </c>
    </row>
    <row r="55" customFormat="false" ht="15" hidden="false" customHeight="true" outlineLevel="0" collapsed="false">
      <c r="A55" s="3" t="n">
        <v>9772</v>
      </c>
      <c r="B55" s="3" t="s">
        <v>12</v>
      </c>
      <c r="C55" s="3" t="n">
        <v>21</v>
      </c>
      <c r="D55" s="3" t="n">
        <v>23</v>
      </c>
    </row>
    <row r="56" customFormat="false" ht="15" hidden="false" customHeight="true" outlineLevel="0" collapsed="false">
      <c r="A56" s="3" t="n">
        <v>52323</v>
      </c>
      <c r="B56" s="3" t="s">
        <v>71</v>
      </c>
      <c r="C56" s="3" t="n">
        <v>26</v>
      </c>
      <c r="D56" s="3" t="n">
        <v>28</v>
      </c>
    </row>
    <row r="57" customFormat="false" ht="15" hidden="false" customHeight="true" outlineLevel="0" collapsed="false">
      <c r="A57" s="3" t="n">
        <v>60472</v>
      </c>
      <c r="B57" s="3" t="s">
        <v>90</v>
      </c>
      <c r="C57" s="3" t="n">
        <v>39</v>
      </c>
      <c r="D57" s="3" t="n">
        <v>41</v>
      </c>
    </row>
    <row r="58" customFormat="false" ht="15" hidden="false" customHeight="true" outlineLevel="0" collapsed="false">
      <c r="A58" s="3" t="n">
        <v>74799</v>
      </c>
      <c r="B58" s="3" t="s">
        <v>170</v>
      </c>
      <c r="C58" s="3" t="n">
        <v>31</v>
      </c>
      <c r="D58" s="3" t="n">
        <v>32</v>
      </c>
    </row>
    <row r="59" customFormat="false" ht="15" hidden="false" customHeight="true" outlineLevel="0" collapsed="false">
      <c r="A59" s="3" t="n">
        <v>74709</v>
      </c>
      <c r="B59" s="3" t="s">
        <v>165</v>
      </c>
      <c r="C59" s="3" t="n">
        <v>37</v>
      </c>
      <c r="D59" s="3" t="n">
        <v>38</v>
      </c>
    </row>
    <row r="60" customFormat="false" ht="15" hidden="false" customHeight="true" outlineLevel="0" collapsed="false">
      <c r="A60" s="3" t="n">
        <v>21004</v>
      </c>
      <c r="B60" s="3" t="s">
        <v>29</v>
      </c>
      <c r="C60" s="3" t="n">
        <v>7</v>
      </c>
      <c r="D60" s="3" t="n">
        <v>7</v>
      </c>
    </row>
    <row r="61" customFormat="false" ht="15" hidden="false" customHeight="true" outlineLevel="0" collapsed="false">
      <c r="A61" s="3" t="n">
        <v>50055</v>
      </c>
      <c r="B61" s="3" t="s">
        <v>65</v>
      </c>
      <c r="C61" s="3" t="n">
        <v>1</v>
      </c>
      <c r="D61" s="3" t="n">
        <v>1</v>
      </c>
    </row>
    <row r="62" customFormat="false" ht="15" hidden="false" customHeight="true" outlineLevel="0" collapsed="false">
      <c r="A62" s="3" t="n">
        <v>59656</v>
      </c>
      <c r="B62" s="3" t="s">
        <v>84</v>
      </c>
      <c r="C62" s="3" t="n">
        <v>16</v>
      </c>
      <c r="D62" s="3" t="n">
        <v>16</v>
      </c>
    </row>
    <row r="63" customFormat="false" ht="15" hidden="false" customHeight="true" outlineLevel="0" collapsed="false">
      <c r="A63" s="3" t="n">
        <v>60485</v>
      </c>
      <c r="B63" s="3" t="s">
        <v>96</v>
      </c>
      <c r="C63" s="3" t="n">
        <v>26</v>
      </c>
      <c r="D63" s="3" t="n">
        <v>26</v>
      </c>
    </row>
    <row r="64" customFormat="false" ht="15" hidden="false" customHeight="true" outlineLevel="0" collapsed="false">
      <c r="A64" s="3" t="n">
        <v>61962</v>
      </c>
      <c r="B64" s="3" t="s">
        <v>99</v>
      </c>
      <c r="C64" s="3" t="n">
        <v>9</v>
      </c>
      <c r="D64" s="3" t="n">
        <v>9</v>
      </c>
    </row>
    <row r="65" customFormat="false" ht="15" hidden="false" customHeight="true" outlineLevel="0" collapsed="false">
      <c r="A65" s="3" t="n">
        <v>63361</v>
      </c>
      <c r="B65" s="3" t="s">
        <v>102</v>
      </c>
      <c r="C65" s="3" t="n">
        <v>35</v>
      </c>
      <c r="D65" s="3" t="n">
        <v>35</v>
      </c>
    </row>
    <row r="66" customFormat="false" ht="15" hidden="false" customHeight="true" outlineLevel="0" collapsed="false">
      <c r="A66" s="3" t="n">
        <v>63367</v>
      </c>
      <c r="B66" s="3" t="s">
        <v>104</v>
      </c>
      <c r="C66" s="3" t="n">
        <v>34</v>
      </c>
      <c r="D66" s="3" t="n">
        <v>34</v>
      </c>
    </row>
    <row r="67" customFormat="false" ht="15" hidden="false" customHeight="true" outlineLevel="0" collapsed="false">
      <c r="A67" s="3" t="n">
        <v>63406</v>
      </c>
      <c r="B67" s="3" t="s">
        <v>108</v>
      </c>
      <c r="C67" s="3" t="n">
        <v>1</v>
      </c>
      <c r="D67" s="3" t="n">
        <v>1</v>
      </c>
    </row>
    <row r="68" customFormat="false" ht="15" hidden="false" customHeight="true" outlineLevel="0" collapsed="false">
      <c r="A68" s="3" t="n">
        <v>63419</v>
      </c>
      <c r="B68" s="3" t="s">
        <v>115</v>
      </c>
      <c r="C68" s="3" t="n">
        <v>2</v>
      </c>
      <c r="D68" s="3" t="n">
        <v>2</v>
      </c>
    </row>
    <row r="69" customFormat="false" ht="15" hidden="false" customHeight="true" outlineLevel="0" collapsed="false">
      <c r="A69" s="3" t="n">
        <v>63449</v>
      </c>
      <c r="B69" s="3" t="s">
        <v>119</v>
      </c>
      <c r="C69" s="3" t="n">
        <v>4</v>
      </c>
      <c r="D69" s="3" t="n">
        <v>4</v>
      </c>
    </row>
    <row r="70" customFormat="false" ht="15" hidden="false" customHeight="true" outlineLevel="0" collapsed="false">
      <c r="A70" s="3" t="n">
        <v>64630</v>
      </c>
      <c r="B70" s="3" t="s">
        <v>120</v>
      </c>
      <c r="C70" s="3" t="n">
        <v>1</v>
      </c>
      <c r="D70" s="3" t="n">
        <v>1</v>
      </c>
    </row>
    <row r="71" customFormat="false" ht="15" hidden="false" customHeight="true" outlineLevel="0" collapsed="false">
      <c r="A71" s="3" t="n">
        <v>64631</v>
      </c>
      <c r="B71" s="3" t="s">
        <v>121</v>
      </c>
      <c r="C71" s="3" t="n">
        <v>2</v>
      </c>
      <c r="D71" s="3" t="n">
        <v>2</v>
      </c>
    </row>
    <row r="72" customFormat="false" ht="15" hidden="false" customHeight="true" outlineLevel="0" collapsed="false">
      <c r="A72" s="3" t="n">
        <v>64634</v>
      </c>
      <c r="B72" s="3" t="s">
        <v>124</v>
      </c>
      <c r="C72" s="3" t="n">
        <v>3</v>
      </c>
      <c r="D72" s="3" t="n">
        <v>3</v>
      </c>
    </row>
    <row r="73" customFormat="false" ht="15" hidden="false" customHeight="true" outlineLevel="0" collapsed="false">
      <c r="A73" s="3" t="n">
        <v>65743</v>
      </c>
      <c r="B73" s="3" t="s">
        <v>132</v>
      </c>
      <c r="C73" s="3" t="n">
        <v>3</v>
      </c>
      <c r="D73" s="3" t="n">
        <v>3</v>
      </c>
    </row>
    <row r="74" customFormat="false" ht="15" hidden="false" customHeight="true" outlineLevel="0" collapsed="false">
      <c r="A74" s="3" t="n">
        <v>67898</v>
      </c>
      <c r="B74" s="3" t="s">
        <v>140</v>
      </c>
      <c r="C74" s="3" t="n">
        <v>1</v>
      </c>
      <c r="D74" s="3" t="n">
        <v>1</v>
      </c>
    </row>
    <row r="75" customFormat="false" ht="15" hidden="false" customHeight="true" outlineLevel="0" collapsed="false">
      <c r="A75" s="3" t="n">
        <v>74671</v>
      </c>
      <c r="B75" s="3" t="s">
        <v>156</v>
      </c>
      <c r="C75" s="3" t="n">
        <v>2</v>
      </c>
      <c r="D75" s="3" t="n">
        <v>2</v>
      </c>
    </row>
    <row r="76" customFormat="false" ht="15" hidden="false" customHeight="true" outlineLevel="0" collapsed="false">
      <c r="A76" s="3" t="n">
        <v>74672</v>
      </c>
      <c r="B76" s="3" t="s">
        <v>157</v>
      </c>
      <c r="C76" s="3" t="n">
        <v>5</v>
      </c>
      <c r="D76" s="3" t="n">
        <v>5</v>
      </c>
    </row>
    <row r="77" customFormat="false" ht="15" hidden="false" customHeight="true" outlineLevel="0" collapsed="false">
      <c r="A77" s="3" t="n">
        <v>74684</v>
      </c>
      <c r="B77" s="3" t="s">
        <v>160</v>
      </c>
      <c r="C77" s="3" t="n">
        <v>11</v>
      </c>
      <c r="D77" s="3" t="n">
        <v>11</v>
      </c>
    </row>
    <row r="78" customFormat="false" ht="15" hidden="false" customHeight="true" outlineLevel="0" collapsed="false">
      <c r="A78" s="3" t="n">
        <v>74764</v>
      </c>
      <c r="B78" s="3" t="s">
        <v>169</v>
      </c>
      <c r="C78" s="3" t="n">
        <v>4</v>
      </c>
      <c r="D78" s="3" t="n">
        <v>4</v>
      </c>
    </row>
    <row r="79" customFormat="false" ht="15" hidden="false" customHeight="true" outlineLevel="0" collapsed="false">
      <c r="A79" s="3" t="n">
        <v>74805</v>
      </c>
      <c r="B79" s="3" t="s">
        <v>173</v>
      </c>
      <c r="C79" s="3" t="n">
        <v>1</v>
      </c>
      <c r="D79" s="3" t="n">
        <v>1</v>
      </c>
    </row>
    <row r="80" customFormat="false" ht="15" hidden="false" customHeight="true" outlineLevel="0" collapsed="false">
      <c r="A80" s="3" t="n">
        <v>74820</v>
      </c>
      <c r="B80" s="3" t="s">
        <v>176</v>
      </c>
      <c r="C80" s="3" t="n">
        <v>1</v>
      </c>
      <c r="D80" s="3" t="n">
        <v>1</v>
      </c>
    </row>
    <row r="81" customFormat="false" ht="15" hidden="false" customHeight="true" outlineLevel="0" collapsed="false">
      <c r="A81" s="3" t="n">
        <v>74846</v>
      </c>
      <c r="B81" s="3" t="s">
        <v>186</v>
      </c>
      <c r="C81" s="3" t="n">
        <v>2</v>
      </c>
      <c r="D81" s="3" t="n">
        <v>2</v>
      </c>
    </row>
    <row r="82" customFormat="false" ht="15" hidden="false" customHeight="true" outlineLevel="0" collapsed="false">
      <c r="A82" s="3" t="n">
        <v>74918</v>
      </c>
      <c r="B82" s="3" t="s">
        <v>189</v>
      </c>
      <c r="C82" s="3" t="n">
        <v>2</v>
      </c>
      <c r="D82" s="3" t="n">
        <v>2</v>
      </c>
    </row>
    <row r="83" customFormat="false" ht="15" hidden="false" customHeight="true" outlineLevel="0" collapsed="false">
      <c r="A83" s="3" t="n">
        <v>74920</v>
      </c>
      <c r="B83" s="3" t="s">
        <v>191</v>
      </c>
      <c r="C83" s="3" t="n">
        <v>1</v>
      </c>
      <c r="D83" s="3" t="n">
        <v>1</v>
      </c>
    </row>
    <row r="84" customFormat="false" ht="15" hidden="false" customHeight="true" outlineLevel="0" collapsed="false">
      <c r="A84" s="3" t="n">
        <v>82551</v>
      </c>
      <c r="B84" s="3" t="s">
        <v>214</v>
      </c>
      <c r="C84" s="3" t="n">
        <v>1</v>
      </c>
      <c r="D84" s="3" t="n">
        <v>1</v>
      </c>
    </row>
    <row r="85" customFormat="false" ht="15" hidden="false" customHeight="true" outlineLevel="0" collapsed="false">
      <c r="A85" s="3" t="n">
        <v>85338</v>
      </c>
      <c r="B85" s="3" t="s">
        <v>218</v>
      </c>
      <c r="C85" s="3" t="n">
        <v>18</v>
      </c>
      <c r="D85" s="3" t="n">
        <v>18</v>
      </c>
    </row>
    <row r="86" customFormat="false" ht="15" hidden="false" customHeight="true" outlineLevel="0" collapsed="false">
      <c r="A86" s="3" t="n">
        <v>86583</v>
      </c>
      <c r="B86" s="3" t="s">
        <v>219</v>
      </c>
      <c r="C86" s="3" t="n">
        <v>1</v>
      </c>
      <c r="D86" s="3" t="n">
        <v>1</v>
      </c>
    </row>
    <row r="87" customFormat="false" ht="15" hidden="false" customHeight="true" outlineLevel="0" collapsed="false">
      <c r="A87" s="3" t="n">
        <v>51567</v>
      </c>
      <c r="B87" s="3" t="s">
        <v>68</v>
      </c>
      <c r="C87" s="3" t="n">
        <v>157</v>
      </c>
      <c r="D87" s="3" t="n">
        <v>156</v>
      </c>
    </row>
    <row r="88" customFormat="false" ht="15" hidden="false" customHeight="true" outlineLevel="0" collapsed="false">
      <c r="A88" s="3" t="n">
        <v>74708</v>
      </c>
      <c r="B88" s="3" t="s">
        <v>164</v>
      </c>
      <c r="C88" s="3" t="n">
        <v>33</v>
      </c>
      <c r="D88" s="3" t="n">
        <v>32</v>
      </c>
    </row>
    <row r="89" customFormat="false" ht="15" hidden="false" customHeight="true" outlineLevel="0" collapsed="false">
      <c r="A89" s="3" t="n">
        <v>63420</v>
      </c>
      <c r="B89" s="3" t="s">
        <v>116</v>
      </c>
      <c r="C89" s="3" t="n">
        <v>22</v>
      </c>
      <c r="D89" s="3" t="n">
        <v>21</v>
      </c>
    </row>
    <row r="90" customFormat="false" ht="15" hidden="false" customHeight="true" outlineLevel="0" collapsed="false">
      <c r="A90" s="3" t="n">
        <v>63366</v>
      </c>
      <c r="B90" s="3" t="s">
        <v>103</v>
      </c>
      <c r="C90" s="3" t="n">
        <v>29</v>
      </c>
      <c r="D90" s="3" t="n">
        <v>27</v>
      </c>
    </row>
    <row r="91" customFormat="false" ht="15" hidden="false" customHeight="true" outlineLevel="0" collapsed="false">
      <c r="A91" s="3" t="n">
        <v>74762</v>
      </c>
      <c r="B91" s="3" t="s">
        <v>167</v>
      </c>
      <c r="C91" s="3" t="n">
        <v>14</v>
      </c>
      <c r="D91" s="3" t="n">
        <v>13</v>
      </c>
    </row>
    <row r="92" customFormat="false" ht="15" hidden="false" customHeight="true" outlineLevel="0" collapsed="false">
      <c r="A92" s="3" t="n">
        <v>59694</v>
      </c>
      <c r="B92" s="3" t="s">
        <v>88</v>
      </c>
      <c r="C92" s="3" t="n">
        <v>40</v>
      </c>
      <c r="D92" s="3" t="n">
        <v>37</v>
      </c>
    </row>
    <row r="93" customFormat="false" ht="15" hidden="false" customHeight="true" outlineLevel="0" collapsed="false">
      <c r="A93" s="3" t="n">
        <v>74710</v>
      </c>
      <c r="B93" s="3" t="s">
        <v>166</v>
      </c>
      <c r="C93" s="3" t="n">
        <v>12</v>
      </c>
      <c r="D93" s="3" t="n">
        <v>11</v>
      </c>
    </row>
    <row r="94" customFormat="false" ht="15" hidden="false" customHeight="true" outlineLevel="0" collapsed="false">
      <c r="A94" s="3" t="n">
        <v>63359</v>
      </c>
      <c r="B94" s="3" t="s">
        <v>100</v>
      </c>
      <c r="C94" s="3" t="n">
        <v>45</v>
      </c>
      <c r="D94" s="3" t="n">
        <v>41</v>
      </c>
    </row>
    <row r="95" customFormat="false" ht="15" hidden="false" customHeight="true" outlineLevel="0" collapsed="false">
      <c r="A95" s="3" t="n">
        <v>19082</v>
      </c>
      <c r="B95" s="3" t="s">
        <v>23</v>
      </c>
      <c r="C95" s="3" t="n">
        <v>9</v>
      </c>
      <c r="D95" s="3" t="n">
        <v>8</v>
      </c>
    </row>
    <row r="96" customFormat="false" ht="15" hidden="false" customHeight="true" outlineLevel="0" collapsed="false">
      <c r="A96" s="3" t="n">
        <v>71088</v>
      </c>
      <c r="B96" s="3" t="s">
        <v>152</v>
      </c>
      <c r="C96" s="3" t="n">
        <v>9</v>
      </c>
      <c r="D96" s="3" t="n">
        <v>8</v>
      </c>
    </row>
    <row r="97" customFormat="false" ht="15" hidden="false" customHeight="true" outlineLevel="0" collapsed="false">
      <c r="A97" s="3" t="n">
        <v>79327</v>
      </c>
      <c r="B97" s="3" t="s">
        <v>206</v>
      </c>
      <c r="C97" s="3" t="n">
        <v>8</v>
      </c>
      <c r="D97" s="3" t="n">
        <v>7</v>
      </c>
    </row>
    <row r="98" customFormat="false" ht="15" hidden="false" customHeight="true" outlineLevel="0" collapsed="false">
      <c r="A98" s="3" t="n">
        <v>8616</v>
      </c>
      <c r="B98" s="3" t="s">
        <v>9</v>
      </c>
      <c r="C98" s="3" t="n">
        <v>15</v>
      </c>
      <c r="D98" s="3" t="n">
        <v>13</v>
      </c>
    </row>
    <row r="99" customFormat="false" ht="15" hidden="false" customHeight="true" outlineLevel="0" collapsed="false">
      <c r="A99" s="3" t="n">
        <v>16212</v>
      </c>
      <c r="B99" s="3" t="s">
        <v>14</v>
      </c>
      <c r="C99" s="3" t="n">
        <v>15</v>
      </c>
      <c r="D99" s="3" t="n">
        <v>13</v>
      </c>
    </row>
    <row r="100" customFormat="false" ht="15" hidden="false" customHeight="true" outlineLevel="0" collapsed="false">
      <c r="A100" s="3" t="n">
        <v>20998</v>
      </c>
      <c r="B100" s="3" t="s">
        <v>27</v>
      </c>
      <c r="C100" s="3" t="n">
        <v>7</v>
      </c>
      <c r="D100" s="3" t="n">
        <v>6</v>
      </c>
    </row>
    <row r="101" customFormat="false" ht="15" hidden="false" customHeight="true" outlineLevel="0" collapsed="false">
      <c r="A101" s="3" t="n">
        <v>55868</v>
      </c>
      <c r="B101" s="3" t="s">
        <v>79</v>
      </c>
      <c r="C101" s="3" t="n">
        <v>7</v>
      </c>
      <c r="D101" s="3" t="n">
        <v>6</v>
      </c>
    </row>
    <row r="102" customFormat="false" ht="15" hidden="false" customHeight="true" outlineLevel="0" collapsed="false">
      <c r="A102" s="3" t="n">
        <v>88476</v>
      </c>
      <c r="B102" s="3" t="s">
        <v>224</v>
      </c>
      <c r="C102" s="3" t="n">
        <v>7</v>
      </c>
      <c r="D102" s="3" t="n">
        <v>6</v>
      </c>
    </row>
    <row r="103" customFormat="false" ht="15" hidden="false" customHeight="true" outlineLevel="0" collapsed="false">
      <c r="A103" s="3" t="n">
        <v>63414</v>
      </c>
      <c r="B103" s="3" t="s">
        <v>110</v>
      </c>
      <c r="C103" s="3" t="n">
        <v>20</v>
      </c>
      <c r="D103" s="3" t="n">
        <v>17</v>
      </c>
    </row>
    <row r="104" customFormat="false" ht="15" hidden="false" customHeight="true" outlineLevel="0" collapsed="false">
      <c r="A104" s="3" t="n">
        <v>31188</v>
      </c>
      <c r="B104" s="3" t="s">
        <v>48</v>
      </c>
      <c r="C104" s="3" t="n">
        <v>57</v>
      </c>
      <c r="D104" s="3" t="n">
        <v>48</v>
      </c>
    </row>
    <row r="105" customFormat="false" ht="15" hidden="false" customHeight="true" outlineLevel="0" collapsed="false">
      <c r="A105" s="3" t="n">
        <v>16213</v>
      </c>
      <c r="B105" s="3" t="s">
        <v>15</v>
      </c>
      <c r="C105" s="3" t="n">
        <v>12</v>
      </c>
      <c r="D105" s="3" t="n">
        <v>10</v>
      </c>
    </row>
    <row r="106" customFormat="false" ht="15" hidden="false" customHeight="true" outlineLevel="0" collapsed="false">
      <c r="A106" s="3" t="n">
        <v>45264</v>
      </c>
      <c r="B106" s="3" t="s">
        <v>56</v>
      </c>
      <c r="C106" s="3" t="n">
        <v>6</v>
      </c>
      <c r="D106" s="3" t="n">
        <v>5</v>
      </c>
    </row>
    <row r="107" customFormat="false" ht="15" hidden="false" customHeight="true" outlineLevel="0" collapsed="false">
      <c r="A107" s="3" t="n">
        <v>71086</v>
      </c>
      <c r="B107" s="3" t="s">
        <v>150</v>
      </c>
      <c r="C107" s="3" t="n">
        <v>6</v>
      </c>
      <c r="D107" s="3" t="n">
        <v>5</v>
      </c>
    </row>
    <row r="108" customFormat="false" ht="15" hidden="false" customHeight="true" outlineLevel="0" collapsed="false">
      <c r="A108" s="3" t="n">
        <v>71204</v>
      </c>
      <c r="B108" s="3" t="s">
        <v>153</v>
      </c>
      <c r="C108" s="3" t="n">
        <v>99</v>
      </c>
      <c r="D108" s="3" t="n">
        <v>82</v>
      </c>
    </row>
    <row r="109" customFormat="false" ht="15" hidden="false" customHeight="true" outlineLevel="0" collapsed="false">
      <c r="A109" s="3" t="n">
        <v>60476</v>
      </c>
      <c r="B109" s="3" t="s">
        <v>93</v>
      </c>
      <c r="C109" s="3" t="n">
        <v>23</v>
      </c>
      <c r="D109" s="3" t="n">
        <v>19</v>
      </c>
    </row>
    <row r="110" customFormat="false" ht="15" hidden="false" customHeight="true" outlineLevel="0" collapsed="false">
      <c r="A110" s="3" t="n">
        <v>80182</v>
      </c>
      <c r="B110" s="3" t="s">
        <v>207</v>
      </c>
      <c r="C110" s="3" t="n">
        <v>17</v>
      </c>
      <c r="D110" s="3" t="n">
        <v>14</v>
      </c>
    </row>
    <row r="111" customFormat="false" ht="15" hidden="false" customHeight="true" outlineLevel="0" collapsed="false">
      <c r="A111" s="3" t="n">
        <v>16239</v>
      </c>
      <c r="B111" s="3" t="s">
        <v>19</v>
      </c>
      <c r="C111" s="3" t="n">
        <v>5</v>
      </c>
      <c r="D111" s="3" t="n">
        <v>4</v>
      </c>
    </row>
    <row r="112" customFormat="false" ht="15" hidden="false" customHeight="true" outlineLevel="0" collapsed="false">
      <c r="A112" s="3" t="n">
        <v>60478</v>
      </c>
      <c r="B112" s="3" t="s">
        <v>94</v>
      </c>
      <c r="C112" s="3" t="n">
        <v>5</v>
      </c>
      <c r="D112" s="3" t="n">
        <v>4</v>
      </c>
    </row>
    <row r="113" customFormat="false" ht="15" hidden="false" customHeight="true" outlineLevel="0" collapsed="false">
      <c r="A113" s="3" t="n">
        <v>63421</v>
      </c>
      <c r="B113" s="3" t="s">
        <v>117</v>
      </c>
      <c r="C113" s="3" t="n">
        <v>24</v>
      </c>
      <c r="D113" s="3" t="n">
        <v>19</v>
      </c>
    </row>
    <row r="114" customFormat="false" ht="15" hidden="false" customHeight="true" outlineLevel="0" collapsed="false">
      <c r="A114" s="3" t="n">
        <v>60473</v>
      </c>
      <c r="B114" s="3" t="s">
        <v>91</v>
      </c>
      <c r="C114" s="3" t="n">
        <v>9</v>
      </c>
      <c r="D114" s="3" t="n">
        <v>7</v>
      </c>
    </row>
    <row r="115" customFormat="false" ht="15" hidden="false" customHeight="true" outlineLevel="0" collapsed="false">
      <c r="A115" s="3" t="n">
        <v>75762</v>
      </c>
      <c r="B115" s="3" t="s">
        <v>198</v>
      </c>
      <c r="C115" s="3" t="n">
        <v>9</v>
      </c>
      <c r="D115" s="3" t="n">
        <v>7</v>
      </c>
    </row>
    <row r="116" customFormat="false" ht="15" hidden="false" customHeight="true" outlineLevel="0" collapsed="false">
      <c r="A116" s="3" t="n">
        <v>63368</v>
      </c>
      <c r="B116" s="3" t="s">
        <v>105</v>
      </c>
      <c r="C116" s="3" t="n">
        <v>22</v>
      </c>
      <c r="D116" s="3" t="n">
        <v>17</v>
      </c>
    </row>
    <row r="117" customFormat="false" ht="15" hidden="false" customHeight="true" outlineLevel="0" collapsed="false">
      <c r="A117" s="3" t="n">
        <v>47877</v>
      </c>
      <c r="B117" s="3" t="s">
        <v>60</v>
      </c>
      <c r="C117" s="3" t="n">
        <v>17</v>
      </c>
      <c r="D117" s="3" t="n">
        <v>13</v>
      </c>
    </row>
    <row r="118" customFormat="false" ht="15" hidden="false" customHeight="true" outlineLevel="0" collapsed="false">
      <c r="A118" s="3" t="n">
        <v>63360</v>
      </c>
      <c r="B118" s="3" t="s">
        <v>101</v>
      </c>
      <c r="C118" s="3" t="n">
        <v>57</v>
      </c>
      <c r="D118" s="3" t="n">
        <v>43</v>
      </c>
    </row>
    <row r="119" customFormat="false" ht="15" hidden="false" customHeight="true" outlineLevel="0" collapsed="false">
      <c r="A119" s="3" t="n">
        <v>76452</v>
      </c>
      <c r="B119" s="3" t="s">
        <v>204</v>
      </c>
      <c r="C119" s="3" t="n">
        <v>18</v>
      </c>
      <c r="D119" s="3" t="n">
        <v>13</v>
      </c>
    </row>
    <row r="120" customFormat="false" ht="15" hidden="false" customHeight="true" outlineLevel="0" collapsed="false">
      <c r="A120" s="3" t="n">
        <v>67925</v>
      </c>
      <c r="B120" s="3" t="s">
        <v>141</v>
      </c>
      <c r="C120" s="3" t="n">
        <v>10</v>
      </c>
      <c r="D120" s="3" t="n">
        <v>7</v>
      </c>
    </row>
    <row r="121" customFormat="false" ht="15" hidden="false" customHeight="true" outlineLevel="0" collapsed="false">
      <c r="A121" s="3" t="n">
        <v>59679</v>
      </c>
      <c r="B121" s="3" t="s">
        <v>87</v>
      </c>
      <c r="C121" s="3" t="n">
        <v>78</v>
      </c>
      <c r="D121" s="3" t="n">
        <v>54</v>
      </c>
    </row>
    <row r="122" customFormat="false" ht="15" hidden="false" customHeight="true" outlineLevel="0" collapsed="false">
      <c r="A122" s="3" t="n">
        <v>60471</v>
      </c>
      <c r="B122" s="3" t="s">
        <v>89</v>
      </c>
      <c r="C122" s="3" t="n">
        <v>16</v>
      </c>
      <c r="D122" s="3" t="n">
        <v>11</v>
      </c>
    </row>
    <row r="123" customFormat="false" ht="15" hidden="false" customHeight="true" outlineLevel="0" collapsed="false">
      <c r="A123" s="3" t="n">
        <v>61961</v>
      </c>
      <c r="B123" s="3" t="s">
        <v>98</v>
      </c>
      <c r="C123" s="3" t="n">
        <v>16</v>
      </c>
      <c r="D123" s="3" t="n">
        <v>11</v>
      </c>
    </row>
    <row r="124" customFormat="false" ht="15" hidden="false" customHeight="true" outlineLevel="0" collapsed="false">
      <c r="A124" s="3" t="n">
        <v>74801</v>
      </c>
      <c r="B124" s="3" t="s">
        <v>172</v>
      </c>
      <c r="C124" s="3" t="n">
        <v>25</v>
      </c>
      <c r="D124" s="3" t="n">
        <v>17</v>
      </c>
    </row>
    <row r="125" customFormat="false" ht="15" hidden="false" customHeight="true" outlineLevel="0" collapsed="false">
      <c r="A125" s="3" t="n">
        <v>52324</v>
      </c>
      <c r="B125" s="3" t="s">
        <v>72</v>
      </c>
      <c r="C125" s="3" t="n">
        <v>9</v>
      </c>
      <c r="D125" s="3" t="n">
        <v>6</v>
      </c>
    </row>
    <row r="126" customFormat="false" ht="15" hidden="false" customHeight="true" outlineLevel="0" collapsed="false">
      <c r="A126" s="3" t="n">
        <v>67385</v>
      </c>
      <c r="B126" s="3" t="s">
        <v>138</v>
      </c>
      <c r="C126" s="3" t="n">
        <v>38</v>
      </c>
      <c r="D126" s="3" t="n">
        <v>23</v>
      </c>
    </row>
    <row r="127" customFormat="false" ht="15" hidden="false" customHeight="true" outlineLevel="0" collapsed="false">
      <c r="A127" s="3" t="n">
        <v>88474</v>
      </c>
      <c r="B127" s="3" t="s">
        <v>222</v>
      </c>
      <c r="C127" s="3" t="n">
        <v>5</v>
      </c>
      <c r="D127" s="3" t="n">
        <v>3</v>
      </c>
    </row>
    <row r="128" customFormat="false" ht="15" hidden="false" customHeight="true" outlineLevel="0" collapsed="false">
      <c r="A128" s="3" t="n">
        <v>65242</v>
      </c>
      <c r="B128" s="3" t="s">
        <v>130</v>
      </c>
      <c r="C128" s="3" t="n">
        <v>27</v>
      </c>
      <c r="D128" s="3" t="n">
        <v>16</v>
      </c>
    </row>
    <row r="129" customFormat="false" ht="15" hidden="false" customHeight="true" outlineLevel="0" collapsed="false">
      <c r="A129" s="3" t="n">
        <v>9771</v>
      </c>
      <c r="B129" s="3" t="s">
        <v>11</v>
      </c>
      <c r="C129" s="3" t="n">
        <v>22</v>
      </c>
      <c r="D129" s="3" t="n">
        <v>13</v>
      </c>
    </row>
    <row r="130" customFormat="false" ht="15" hidden="false" customHeight="true" outlineLevel="0" collapsed="false">
      <c r="A130" s="3" t="n">
        <v>24612</v>
      </c>
      <c r="B130" s="3" t="s">
        <v>33</v>
      </c>
      <c r="C130" s="3" t="n">
        <v>45</v>
      </c>
      <c r="D130" s="3" t="n">
        <v>26</v>
      </c>
    </row>
    <row r="131" customFormat="false" ht="15" hidden="false" customHeight="true" outlineLevel="0" collapsed="false">
      <c r="A131" s="3" t="n">
        <v>59657</v>
      </c>
      <c r="B131" s="3" t="s">
        <v>85</v>
      </c>
      <c r="C131" s="3" t="n">
        <v>16</v>
      </c>
      <c r="D131" s="3" t="n">
        <v>9</v>
      </c>
    </row>
    <row r="132" customFormat="false" ht="15" hidden="false" customHeight="true" outlineLevel="0" collapsed="false">
      <c r="A132" s="3" t="n">
        <v>61344</v>
      </c>
      <c r="B132" s="3" t="s">
        <v>97</v>
      </c>
      <c r="C132" s="3" t="n">
        <v>13</v>
      </c>
      <c r="D132" s="3" t="n">
        <v>7</v>
      </c>
    </row>
    <row r="133" customFormat="false" ht="15" hidden="false" customHeight="true" outlineLevel="0" collapsed="false">
      <c r="A133" s="3" t="n">
        <v>66485</v>
      </c>
      <c r="B133" s="3" t="s">
        <v>133</v>
      </c>
      <c r="C133" s="3" t="n">
        <v>23</v>
      </c>
      <c r="D133" s="3" t="n">
        <v>12</v>
      </c>
    </row>
    <row r="134" customFormat="false" ht="15" hidden="false" customHeight="true" outlineLevel="0" collapsed="false">
      <c r="A134" s="3" t="n">
        <v>31183</v>
      </c>
      <c r="B134" s="3" t="s">
        <v>47</v>
      </c>
      <c r="C134" s="3" t="n">
        <v>41</v>
      </c>
      <c r="D134" s="3" t="n">
        <v>21</v>
      </c>
    </row>
    <row r="135" customFormat="false" ht="15" hidden="false" customHeight="true" outlineLevel="0" collapsed="false">
      <c r="A135" s="3" t="n">
        <v>29981</v>
      </c>
      <c r="B135" s="3" t="s">
        <v>45</v>
      </c>
      <c r="C135" s="3" t="n">
        <v>4</v>
      </c>
      <c r="D135" s="3" t="n">
        <v>2</v>
      </c>
    </row>
    <row r="136" customFormat="false" ht="15" hidden="false" customHeight="true" outlineLevel="0" collapsed="false">
      <c r="A136" s="3" t="n">
        <v>49772</v>
      </c>
      <c r="B136" s="3" t="s">
        <v>63</v>
      </c>
      <c r="C136" s="3" t="n">
        <v>8</v>
      </c>
      <c r="D136" s="3" t="n">
        <v>4</v>
      </c>
    </row>
    <row r="137" customFormat="false" ht="15" hidden="false" customHeight="true" outlineLevel="0" collapsed="false">
      <c r="A137" s="3" t="n">
        <v>60484</v>
      </c>
      <c r="B137" s="3" t="s">
        <v>95</v>
      </c>
      <c r="C137" s="3" t="n">
        <v>18</v>
      </c>
      <c r="D137" s="3" t="n">
        <v>9</v>
      </c>
    </row>
    <row r="138" customFormat="false" ht="15" hidden="false" customHeight="true" outlineLevel="0" collapsed="false">
      <c r="A138" s="3" t="n">
        <v>74989</v>
      </c>
      <c r="B138" s="3" t="s">
        <v>197</v>
      </c>
      <c r="C138" s="3" t="n">
        <v>2</v>
      </c>
      <c r="D138" s="3" t="n">
        <v>1</v>
      </c>
    </row>
    <row r="139" customFormat="false" ht="15" hidden="false" customHeight="true" outlineLevel="0" collapsed="false">
      <c r="A139" s="3" t="n">
        <v>83668</v>
      </c>
      <c r="B139" s="3" t="s">
        <v>216</v>
      </c>
      <c r="C139" s="3" t="n">
        <v>148</v>
      </c>
      <c r="D139" s="3" t="n">
        <v>68</v>
      </c>
    </row>
    <row r="140" customFormat="false" ht="15" hidden="false" customHeight="true" outlineLevel="0" collapsed="false">
      <c r="A140" s="3" t="n">
        <v>74682</v>
      </c>
      <c r="B140" s="3" t="s">
        <v>158</v>
      </c>
      <c r="C140" s="3" t="n">
        <v>7</v>
      </c>
      <c r="D140" s="3" t="n">
        <v>3</v>
      </c>
    </row>
    <row r="141" customFormat="false" ht="15" hidden="false" customHeight="true" outlineLevel="0" collapsed="false">
      <c r="A141" s="3" t="n">
        <v>25386</v>
      </c>
      <c r="B141" s="3" t="s">
        <v>34</v>
      </c>
      <c r="C141" s="3" t="n">
        <v>5</v>
      </c>
      <c r="D141" s="3" t="n">
        <v>2</v>
      </c>
    </row>
    <row r="142" customFormat="false" ht="15" hidden="false" customHeight="true" outlineLevel="0" collapsed="false">
      <c r="A142" s="3" t="n">
        <v>31190</v>
      </c>
      <c r="B142" s="3" t="s">
        <v>49</v>
      </c>
      <c r="C142" s="3" t="n">
        <v>19</v>
      </c>
      <c r="D142" s="3" t="n">
        <v>7</v>
      </c>
    </row>
    <row r="143" customFormat="false" ht="15" hidden="false" customHeight="true" outlineLevel="0" collapsed="false">
      <c r="A143" s="3" t="n">
        <v>63418</v>
      </c>
      <c r="B143" s="3" t="s">
        <v>114</v>
      </c>
      <c r="C143" s="3" t="n">
        <v>6</v>
      </c>
      <c r="D143" s="3" t="n">
        <v>2</v>
      </c>
    </row>
    <row r="144" customFormat="false" ht="15" hidden="false" customHeight="true" outlineLevel="0" collapsed="false">
      <c r="A144" s="3" t="n">
        <v>18559</v>
      </c>
      <c r="B144" s="3" t="s">
        <v>22</v>
      </c>
      <c r="C144" s="3" t="n">
        <v>10</v>
      </c>
      <c r="D144" s="3" t="n">
        <v>3</v>
      </c>
    </row>
    <row r="145" customFormat="false" ht="15" hidden="false" customHeight="true" outlineLevel="0" collapsed="false">
      <c r="A145" s="3" t="n">
        <v>16244</v>
      </c>
      <c r="B145" s="3" t="s">
        <v>20</v>
      </c>
      <c r="C145" s="3" t="n">
        <v>4</v>
      </c>
      <c r="D145" s="3" t="n">
        <v>1</v>
      </c>
    </row>
    <row r="146" customFormat="false" ht="15" hidden="false" customHeight="true" outlineLevel="0" collapsed="false">
      <c r="A146" s="3" t="n">
        <v>67895</v>
      </c>
      <c r="B146" s="3" t="s">
        <v>139</v>
      </c>
      <c r="C146" s="3" t="n">
        <v>5</v>
      </c>
      <c r="D146" s="3" t="n">
        <v>1</v>
      </c>
    </row>
    <row r="147" customFormat="false" ht="15" hidden="false" customHeight="true" outlineLevel="0" collapsed="false">
      <c r="A147" s="3" t="n">
        <v>20996</v>
      </c>
      <c r="B147" s="3" t="s">
        <v>26</v>
      </c>
      <c r="C147" s="3" t="n">
        <v>6</v>
      </c>
      <c r="D147" s="3" t="n">
        <v>1</v>
      </c>
    </row>
    <row r="148" customFormat="false" ht="15" hidden="false" customHeight="true" outlineLevel="0" collapsed="false">
      <c r="A148" s="3" t="n">
        <v>16237</v>
      </c>
      <c r="B148" s="3" t="s">
        <v>18</v>
      </c>
      <c r="C148" s="3" t="n">
        <v>8</v>
      </c>
      <c r="D148" s="3" t="n">
        <v>0</v>
      </c>
    </row>
    <row r="149" customFormat="false" ht="15" hidden="false" customHeight="true" outlineLevel="0" collapsed="false">
      <c r="A149" s="3" t="n">
        <v>28297</v>
      </c>
      <c r="B149" s="3" t="s">
        <v>35</v>
      </c>
      <c r="C149" s="3" t="n">
        <v>2</v>
      </c>
      <c r="D149" s="3" t="n">
        <v>0</v>
      </c>
    </row>
    <row r="150" customFormat="false" ht="15" hidden="false" customHeight="true" outlineLevel="0" collapsed="false">
      <c r="A150" s="3" t="n">
        <v>29793</v>
      </c>
      <c r="B150" s="3" t="s">
        <v>41</v>
      </c>
      <c r="C150" s="3" t="n">
        <v>1</v>
      </c>
      <c r="D150" s="3" t="n">
        <v>0</v>
      </c>
    </row>
    <row r="151" customFormat="false" ht="15" hidden="false" customHeight="true" outlineLevel="0" collapsed="false">
      <c r="A151" s="3" t="n">
        <v>34874</v>
      </c>
      <c r="B151" s="3" t="s">
        <v>50</v>
      </c>
      <c r="C151" s="3" t="n">
        <v>1</v>
      </c>
      <c r="D151" s="3" t="n">
        <v>0</v>
      </c>
    </row>
    <row r="152" customFormat="false" ht="15" hidden="false" customHeight="true" outlineLevel="0" collapsed="false">
      <c r="A152" s="3" t="n">
        <v>44007</v>
      </c>
      <c r="B152" s="3" t="s">
        <v>55</v>
      </c>
      <c r="C152" s="3" t="n">
        <v>1</v>
      </c>
      <c r="D152" s="3" t="n">
        <v>0</v>
      </c>
    </row>
    <row r="153" customFormat="false" ht="15" hidden="false" customHeight="true" outlineLevel="0" collapsed="false">
      <c r="A153" s="3" t="n">
        <v>49718</v>
      </c>
      <c r="B153" s="3" t="s">
        <v>61</v>
      </c>
      <c r="C153" s="3" t="n">
        <v>1</v>
      </c>
      <c r="D153" s="3" t="n">
        <v>0</v>
      </c>
    </row>
    <row r="154" customFormat="false" ht="15" hidden="false" customHeight="true" outlineLevel="0" collapsed="false">
      <c r="A154" s="3" t="n">
        <v>50022</v>
      </c>
      <c r="B154" s="3" t="s">
        <v>64</v>
      </c>
      <c r="C154" s="3" t="n">
        <v>1</v>
      </c>
      <c r="D154" s="3" t="n">
        <v>0</v>
      </c>
    </row>
    <row r="155" customFormat="false" ht="15" hidden="false" customHeight="true" outlineLevel="0" collapsed="false">
      <c r="A155" s="3" t="n">
        <v>50061</v>
      </c>
      <c r="B155" s="3" t="s">
        <v>67</v>
      </c>
      <c r="C155" s="3" t="n">
        <v>1</v>
      </c>
      <c r="D155" s="3" t="n">
        <v>0</v>
      </c>
    </row>
    <row r="156" customFormat="false" ht="15" hidden="false" customHeight="true" outlineLevel="0" collapsed="false">
      <c r="A156" s="3" t="n">
        <v>64632</v>
      </c>
      <c r="B156" s="3" t="s">
        <v>122</v>
      </c>
      <c r="C156" s="3" t="n">
        <v>1</v>
      </c>
      <c r="D156" s="3" t="n">
        <v>0</v>
      </c>
    </row>
    <row r="157" customFormat="false" ht="15" hidden="false" customHeight="true" outlineLevel="0" collapsed="false">
      <c r="A157" s="3" t="n">
        <v>64633</v>
      </c>
      <c r="B157" s="3" t="s">
        <v>123</v>
      </c>
      <c r="C157" s="3" t="n">
        <v>3</v>
      </c>
      <c r="D157" s="3" t="n">
        <v>0</v>
      </c>
    </row>
    <row r="158" customFormat="false" ht="15" hidden="false" customHeight="true" outlineLevel="0" collapsed="false">
      <c r="A158" s="3" t="n">
        <v>68751</v>
      </c>
      <c r="B158" s="3" t="s">
        <v>148</v>
      </c>
      <c r="C158" s="3" t="n">
        <v>1</v>
      </c>
      <c r="D158" s="3" t="n">
        <v>0</v>
      </c>
    </row>
    <row r="159" customFormat="false" ht="15" hidden="false" customHeight="true" outlineLevel="0" collapsed="false">
      <c r="A159" s="3" t="n">
        <v>74670</v>
      </c>
      <c r="B159" s="3" t="s">
        <v>155</v>
      </c>
      <c r="C159" s="3" t="n">
        <v>3</v>
      </c>
      <c r="D159" s="3" t="n">
        <v>0</v>
      </c>
    </row>
    <row r="160" customFormat="false" ht="15" hidden="false" customHeight="true" outlineLevel="0" collapsed="false">
      <c r="A160" s="3" t="n">
        <v>74824</v>
      </c>
      <c r="B160" s="3" t="s">
        <v>180</v>
      </c>
      <c r="C160" s="3" t="n">
        <v>1</v>
      </c>
      <c r="D160" s="3" t="n">
        <v>0</v>
      </c>
    </row>
    <row r="161" customFormat="false" ht="15" hidden="false" customHeight="true" outlineLevel="0" collapsed="false">
      <c r="A161" s="3" t="n">
        <v>74932</v>
      </c>
      <c r="B161" s="3" t="s">
        <v>194</v>
      </c>
      <c r="C161" s="3" t="n">
        <v>1</v>
      </c>
      <c r="D161" s="3" t="n">
        <v>0</v>
      </c>
    </row>
    <row r="162" customFormat="false" ht="15" hidden="false" customHeight="true" outlineLevel="0" collapsed="false">
      <c r="A162" s="3" t="n">
        <v>74988</v>
      </c>
      <c r="B162" s="3" t="s">
        <v>196</v>
      </c>
      <c r="C162" s="3" t="n">
        <v>1</v>
      </c>
      <c r="D162" s="3" t="n">
        <v>0</v>
      </c>
    </row>
    <row r="163" customFormat="false" ht="15" hidden="false" customHeight="true" outlineLevel="0" collapsed="false">
      <c r="A163" s="3" t="n">
        <v>16245</v>
      </c>
      <c r="B163" s="3" t="s">
        <v>21</v>
      </c>
      <c r="C163" s="3" t="n">
        <v>0</v>
      </c>
      <c r="D163" s="3" t="n">
        <v>5</v>
      </c>
    </row>
    <row r="164" customFormat="false" ht="15" hidden="false" customHeight="true" outlineLevel="0" collapsed="false">
      <c r="A164" s="3" t="n">
        <v>20948</v>
      </c>
      <c r="B164" s="3" t="s">
        <v>25</v>
      </c>
      <c r="C164" s="3" t="n">
        <v>0</v>
      </c>
      <c r="D164" s="3" t="n">
        <v>3</v>
      </c>
    </row>
    <row r="165" customFormat="false" ht="15" hidden="false" customHeight="true" outlineLevel="0" collapsed="false">
      <c r="A165" s="3" t="n">
        <v>28302</v>
      </c>
      <c r="B165" s="3" t="s">
        <v>36</v>
      </c>
      <c r="C165" s="3" t="n">
        <v>0</v>
      </c>
      <c r="D165" s="3" t="n">
        <v>1</v>
      </c>
    </row>
    <row r="166" customFormat="false" ht="15" hidden="false" customHeight="true" outlineLevel="0" collapsed="false">
      <c r="A166" s="3" t="n">
        <v>28331</v>
      </c>
      <c r="B166" s="3" t="s">
        <v>38</v>
      </c>
      <c r="C166" s="3" t="n">
        <v>0</v>
      </c>
      <c r="D166" s="3" t="n">
        <v>1</v>
      </c>
    </row>
    <row r="167" customFormat="false" ht="15" hidden="false" customHeight="true" outlineLevel="0" collapsed="false">
      <c r="A167" s="3" t="n">
        <v>29792</v>
      </c>
      <c r="B167" s="3" t="s">
        <v>40</v>
      </c>
      <c r="C167" s="3" t="n">
        <v>0</v>
      </c>
      <c r="D167" s="3" t="n">
        <v>1</v>
      </c>
    </row>
    <row r="168" customFormat="false" ht="15" hidden="false" customHeight="true" outlineLevel="0" collapsed="false">
      <c r="A168" s="3" t="n">
        <v>29977</v>
      </c>
      <c r="B168" s="3" t="s">
        <v>44</v>
      </c>
      <c r="C168" s="3" t="n">
        <v>0</v>
      </c>
      <c r="D168" s="3" t="n">
        <v>5</v>
      </c>
    </row>
    <row r="169" customFormat="false" ht="15" hidden="false" customHeight="true" outlineLevel="0" collapsed="false">
      <c r="A169" s="3" t="n">
        <v>43277</v>
      </c>
      <c r="B169" s="3" t="s">
        <v>53</v>
      </c>
      <c r="C169" s="3" t="n">
        <v>0</v>
      </c>
      <c r="D169" s="3" t="n">
        <v>1</v>
      </c>
    </row>
    <row r="170" customFormat="false" ht="15" hidden="false" customHeight="true" outlineLevel="0" collapsed="false">
      <c r="A170" s="3" t="n">
        <v>43283</v>
      </c>
      <c r="B170" s="3" t="s">
        <v>54</v>
      </c>
      <c r="C170" s="3" t="n">
        <v>0</v>
      </c>
      <c r="D170" s="3" t="n">
        <v>5</v>
      </c>
    </row>
    <row r="171" customFormat="false" ht="15" hidden="false" customHeight="true" outlineLevel="0" collapsed="false">
      <c r="A171" s="3" t="n">
        <v>46310</v>
      </c>
      <c r="B171" s="3" t="s">
        <v>59</v>
      </c>
      <c r="C171" s="3" t="n">
        <v>0</v>
      </c>
      <c r="D171" s="3" t="n">
        <v>0</v>
      </c>
    </row>
    <row r="172" customFormat="false" ht="15" hidden="false" customHeight="true" outlineLevel="0" collapsed="false">
      <c r="A172" s="3" t="n">
        <v>50057</v>
      </c>
      <c r="B172" s="3" t="s">
        <v>66</v>
      </c>
      <c r="C172" s="3" t="n">
        <v>0</v>
      </c>
      <c r="D172" s="3" t="n">
        <v>1</v>
      </c>
    </row>
    <row r="173" customFormat="false" ht="15" hidden="false" customHeight="true" outlineLevel="0" collapsed="false">
      <c r="A173" s="3" t="n">
        <v>57690</v>
      </c>
      <c r="B173" s="3" t="s">
        <v>82</v>
      </c>
      <c r="C173" s="3" t="n">
        <v>0</v>
      </c>
      <c r="D173" s="3" t="n">
        <v>12</v>
      </c>
    </row>
    <row r="174" customFormat="false" ht="15" hidden="false" customHeight="true" outlineLevel="0" collapsed="false">
      <c r="A174" s="3" t="n">
        <v>63405</v>
      </c>
      <c r="B174" s="3" t="s">
        <v>107</v>
      </c>
      <c r="C174" s="3" t="n">
        <v>0</v>
      </c>
      <c r="D174" s="3" t="n">
        <v>1</v>
      </c>
    </row>
    <row r="175" customFormat="false" ht="15" hidden="false" customHeight="true" outlineLevel="0" collapsed="false">
      <c r="A175" s="3" t="n">
        <v>64636</v>
      </c>
      <c r="B175" s="3" t="s">
        <v>126</v>
      </c>
      <c r="C175" s="3" t="n">
        <v>0</v>
      </c>
      <c r="D175" s="3" t="n">
        <v>1</v>
      </c>
    </row>
    <row r="176" customFormat="false" ht="15" hidden="false" customHeight="true" outlineLevel="0" collapsed="false">
      <c r="A176" s="3" t="n">
        <v>64637</v>
      </c>
      <c r="B176" s="3" t="s">
        <v>127</v>
      </c>
      <c r="C176" s="3" t="n">
        <v>0</v>
      </c>
      <c r="D176" s="3" t="n">
        <v>1</v>
      </c>
    </row>
    <row r="177" customFormat="false" ht="15" hidden="false" customHeight="true" outlineLevel="0" collapsed="false">
      <c r="A177" s="3" t="n">
        <v>64638</v>
      </c>
      <c r="B177" s="3" t="s">
        <v>128</v>
      </c>
      <c r="C177" s="3" t="n">
        <v>0</v>
      </c>
      <c r="D177" s="3" t="n">
        <v>2</v>
      </c>
    </row>
    <row r="178" customFormat="false" ht="15" hidden="false" customHeight="true" outlineLevel="0" collapsed="false">
      <c r="A178" s="3" t="n">
        <v>67056</v>
      </c>
      <c r="B178" s="3" t="s">
        <v>137</v>
      </c>
      <c r="C178" s="3" t="n">
        <v>0</v>
      </c>
      <c r="D178" s="3" t="n">
        <v>1</v>
      </c>
    </row>
    <row r="179" customFormat="false" ht="15" hidden="false" customHeight="true" outlineLevel="0" collapsed="false">
      <c r="A179" s="3" t="n">
        <v>67939</v>
      </c>
      <c r="B179" s="3" t="s">
        <v>143</v>
      </c>
      <c r="C179" s="3" t="n">
        <v>0</v>
      </c>
      <c r="D179" s="3" t="n">
        <v>2</v>
      </c>
    </row>
    <row r="180" customFormat="false" ht="15" hidden="false" customHeight="true" outlineLevel="0" collapsed="false">
      <c r="A180" s="3" t="n">
        <v>71085</v>
      </c>
      <c r="B180" s="3" t="s">
        <v>149</v>
      </c>
      <c r="C180" s="3" t="n">
        <v>0</v>
      </c>
      <c r="D180" s="3" t="n">
        <v>1</v>
      </c>
    </row>
    <row r="181" customFormat="false" ht="15" hidden="false" customHeight="true" outlineLevel="0" collapsed="false">
      <c r="A181" s="3" t="n">
        <v>74687</v>
      </c>
      <c r="B181" s="3" t="s">
        <v>162</v>
      </c>
      <c r="C181" s="3" t="n">
        <v>0</v>
      </c>
      <c r="D181" s="3" t="n">
        <v>2</v>
      </c>
    </row>
    <row r="182" customFormat="false" ht="15" hidden="false" customHeight="true" outlineLevel="0" collapsed="false">
      <c r="A182" s="3" t="n">
        <v>74806</v>
      </c>
      <c r="B182" s="3" t="s">
        <v>174</v>
      </c>
      <c r="C182" s="3" t="n">
        <v>0</v>
      </c>
      <c r="D182" s="3" t="n">
        <v>2</v>
      </c>
    </row>
    <row r="183" customFormat="false" ht="15" hidden="false" customHeight="true" outlineLevel="0" collapsed="false">
      <c r="A183" s="3" t="n">
        <v>74821</v>
      </c>
      <c r="B183" s="3" t="s">
        <v>177</v>
      </c>
      <c r="C183" s="3" t="n">
        <v>0</v>
      </c>
      <c r="D183" s="3" t="n">
        <v>1</v>
      </c>
    </row>
    <row r="184" customFormat="false" ht="15" hidden="false" customHeight="true" outlineLevel="0" collapsed="false">
      <c r="A184" s="3" t="n">
        <v>74823</v>
      </c>
      <c r="B184" s="3" t="s">
        <v>179</v>
      </c>
      <c r="C184" s="3" t="n">
        <v>0</v>
      </c>
      <c r="D184" s="3" t="n">
        <v>1</v>
      </c>
    </row>
    <row r="185" customFormat="false" ht="15" hidden="false" customHeight="true" outlineLevel="0" collapsed="false">
      <c r="A185" s="3" t="n">
        <v>74825</v>
      </c>
      <c r="B185" s="3" t="s">
        <v>181</v>
      </c>
      <c r="C185" s="3" t="n">
        <v>0</v>
      </c>
      <c r="D185" s="3" t="n">
        <v>1</v>
      </c>
    </row>
    <row r="186" customFormat="false" ht="15" hidden="false" customHeight="true" outlineLevel="0" collapsed="false">
      <c r="A186" s="3" t="n">
        <v>74828</v>
      </c>
      <c r="B186" s="3" t="s">
        <v>184</v>
      </c>
      <c r="C186" s="3" t="n">
        <v>0</v>
      </c>
      <c r="D186" s="3" t="n">
        <v>2</v>
      </c>
    </row>
    <row r="187" customFormat="false" ht="15" hidden="false" customHeight="true" outlineLevel="0" collapsed="false">
      <c r="A187" s="3" t="n">
        <v>74842</v>
      </c>
      <c r="B187" s="3" t="s">
        <v>185</v>
      </c>
      <c r="C187" s="3" t="n">
        <v>0</v>
      </c>
      <c r="D187" s="3" t="n">
        <v>1</v>
      </c>
    </row>
    <row r="188" customFormat="false" ht="15" hidden="false" customHeight="true" outlineLevel="0" collapsed="false">
      <c r="A188" s="3" t="n">
        <v>74848</v>
      </c>
      <c r="B188" s="3" t="s">
        <v>188</v>
      </c>
      <c r="C188" s="3" t="n">
        <v>0</v>
      </c>
      <c r="D188" s="3" t="n">
        <v>4</v>
      </c>
    </row>
    <row r="189" customFormat="false" ht="15" hidden="false" customHeight="true" outlineLevel="0" collapsed="false">
      <c r="A189" s="3" t="n">
        <v>74919</v>
      </c>
      <c r="B189" s="3" t="s">
        <v>190</v>
      </c>
      <c r="C189" s="3" t="n">
        <v>0</v>
      </c>
      <c r="D189" s="3" t="n">
        <v>0</v>
      </c>
    </row>
    <row r="190" customFormat="false" ht="15" hidden="false" customHeight="true" outlineLevel="0" collapsed="false">
      <c r="A190" s="3" t="n">
        <v>74987</v>
      </c>
      <c r="B190" s="3" t="s">
        <v>195</v>
      </c>
      <c r="C190" s="3" t="n">
        <v>0</v>
      </c>
      <c r="D190" s="3" t="n">
        <v>2</v>
      </c>
    </row>
    <row r="191" customFormat="false" ht="15" hidden="false" customHeight="true" outlineLevel="0" collapsed="false">
      <c r="A191" s="3" t="n">
        <v>76244</v>
      </c>
      <c r="B191" s="3" t="s">
        <v>201</v>
      </c>
      <c r="C191" s="3" t="n">
        <v>0</v>
      </c>
      <c r="D191" s="3" t="n">
        <v>0</v>
      </c>
    </row>
    <row r="192" customFormat="false" ht="15" hidden="false" customHeight="true" outlineLevel="0" collapsed="false">
      <c r="A192" s="3" t="n">
        <v>88479</v>
      </c>
      <c r="B192" s="3" t="s">
        <v>226</v>
      </c>
      <c r="C192" s="3" t="n">
        <v>0</v>
      </c>
      <c r="D192" s="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285</v>
      </c>
    </row>
    <row r="2" customFormat="false" ht="15" hidden="false" customHeight="true" outlineLevel="0" collapsed="false">
      <c r="A2" s="17" t="s">
        <v>3</v>
      </c>
      <c r="B2" s="17" t="s">
        <v>4</v>
      </c>
      <c r="C2" s="17" t="s">
        <v>286</v>
      </c>
      <c r="D2" s="17" t="s">
        <v>287</v>
      </c>
    </row>
    <row r="3" customFormat="false" ht="15" hidden="false" customHeight="true" outlineLevel="0" collapsed="false">
      <c r="A3" s="3" t="n">
        <v>19083</v>
      </c>
      <c r="B3" s="3" t="s">
        <v>24</v>
      </c>
      <c r="C3" s="3" t="n">
        <v>1</v>
      </c>
      <c r="D3" s="3" t="n">
        <v>7</v>
      </c>
    </row>
    <row r="4" customFormat="false" ht="15" hidden="false" customHeight="true" outlineLevel="0" collapsed="false">
      <c r="A4" s="3" t="n">
        <v>57662</v>
      </c>
      <c r="B4" s="3" t="s">
        <v>80</v>
      </c>
      <c r="C4" s="3" t="n">
        <v>1</v>
      </c>
      <c r="D4" s="3" t="n">
        <v>7</v>
      </c>
    </row>
    <row r="5" customFormat="false" ht="15" hidden="false" customHeight="true" outlineLevel="0" collapsed="false">
      <c r="A5" s="3" t="n">
        <v>35339</v>
      </c>
      <c r="B5" s="3" t="s">
        <v>51</v>
      </c>
      <c r="C5" s="3" t="n">
        <v>1</v>
      </c>
      <c r="D5" s="3" t="n">
        <v>6</v>
      </c>
    </row>
    <row r="6" customFormat="false" ht="15" hidden="false" customHeight="true" outlineLevel="0" collapsed="false">
      <c r="A6" s="3" t="n">
        <v>80182</v>
      </c>
      <c r="B6" s="3" t="s">
        <v>207</v>
      </c>
      <c r="C6" s="3" t="n">
        <v>4</v>
      </c>
      <c r="D6" s="3" t="n">
        <v>22</v>
      </c>
    </row>
    <row r="7" customFormat="false" ht="15" hidden="false" customHeight="true" outlineLevel="0" collapsed="false">
      <c r="A7" s="3" t="n">
        <v>76453</v>
      </c>
      <c r="B7" s="3" t="s">
        <v>205</v>
      </c>
      <c r="C7" s="3" t="n">
        <v>2</v>
      </c>
      <c r="D7" s="3" t="n">
        <v>8</v>
      </c>
    </row>
    <row r="8" customFormat="false" ht="15" hidden="false" customHeight="true" outlineLevel="0" collapsed="false">
      <c r="A8" s="3" t="n">
        <v>60471</v>
      </c>
      <c r="B8" s="3" t="s">
        <v>89</v>
      </c>
      <c r="C8" s="3" t="n">
        <v>4</v>
      </c>
      <c r="D8" s="3" t="n">
        <v>14</v>
      </c>
    </row>
    <row r="9" customFormat="false" ht="15" hidden="false" customHeight="true" outlineLevel="0" collapsed="false">
      <c r="A9" s="3" t="n">
        <v>63449</v>
      </c>
      <c r="B9" s="3" t="s">
        <v>119</v>
      </c>
      <c r="C9" s="3" t="n">
        <v>2</v>
      </c>
      <c r="D9" s="3" t="n">
        <v>7</v>
      </c>
    </row>
    <row r="10" customFormat="false" ht="15" hidden="false" customHeight="true" outlineLevel="0" collapsed="false">
      <c r="A10" s="3" t="n">
        <v>52147</v>
      </c>
      <c r="B10" s="3" t="s">
        <v>70</v>
      </c>
      <c r="C10" s="3" t="n">
        <v>12</v>
      </c>
      <c r="D10" s="3" t="n">
        <v>36</v>
      </c>
    </row>
    <row r="11" customFormat="false" ht="15" hidden="false" customHeight="true" outlineLevel="0" collapsed="false">
      <c r="A11" s="3" t="n">
        <v>74684</v>
      </c>
      <c r="B11" s="3" t="s">
        <v>160</v>
      </c>
      <c r="C11" s="3" t="n">
        <v>5</v>
      </c>
      <c r="D11" s="3" t="n">
        <v>15</v>
      </c>
    </row>
    <row r="12" customFormat="false" ht="15" hidden="false" customHeight="true" outlineLevel="0" collapsed="false">
      <c r="A12" s="3" t="n">
        <v>71086</v>
      </c>
      <c r="B12" s="3" t="s">
        <v>150</v>
      </c>
      <c r="C12" s="3" t="n">
        <v>2</v>
      </c>
      <c r="D12" s="3" t="n">
        <v>6</v>
      </c>
    </row>
    <row r="13" customFormat="false" ht="15" hidden="false" customHeight="true" outlineLevel="0" collapsed="false">
      <c r="A13" s="3" t="n">
        <v>68750</v>
      </c>
      <c r="B13" s="3" t="s">
        <v>147</v>
      </c>
      <c r="C13" s="3" t="n">
        <v>1</v>
      </c>
      <c r="D13" s="3" t="n">
        <v>3</v>
      </c>
    </row>
    <row r="14" customFormat="false" ht="15" hidden="false" customHeight="true" outlineLevel="0" collapsed="false">
      <c r="A14" s="3" t="n">
        <v>82207</v>
      </c>
      <c r="B14" s="3" t="s">
        <v>211</v>
      </c>
      <c r="C14" s="3" t="n">
        <v>6</v>
      </c>
      <c r="D14" s="3" t="n">
        <v>16</v>
      </c>
    </row>
    <row r="15" customFormat="false" ht="15" hidden="false" customHeight="true" outlineLevel="0" collapsed="false">
      <c r="A15" s="3" t="n">
        <v>79327</v>
      </c>
      <c r="B15" s="3" t="s">
        <v>206</v>
      </c>
      <c r="C15" s="3" t="n">
        <v>4</v>
      </c>
      <c r="D15" s="3" t="n">
        <v>10</v>
      </c>
    </row>
    <row r="16" customFormat="false" ht="15" hidden="false" customHeight="true" outlineLevel="0" collapsed="false">
      <c r="A16" s="3" t="n">
        <v>76452</v>
      </c>
      <c r="B16" s="3" t="s">
        <v>204</v>
      </c>
      <c r="C16" s="3" t="n">
        <v>9</v>
      </c>
      <c r="D16" s="3" t="n">
        <v>22</v>
      </c>
    </row>
    <row r="17" customFormat="false" ht="15" hidden="false" customHeight="true" outlineLevel="0" collapsed="false">
      <c r="A17" s="3" t="n">
        <v>82208</v>
      </c>
      <c r="B17" s="3" t="s">
        <v>212</v>
      </c>
      <c r="C17" s="3" t="n">
        <v>9</v>
      </c>
      <c r="D17" s="3" t="n">
        <v>22</v>
      </c>
    </row>
    <row r="18" customFormat="false" ht="15" hidden="false" customHeight="true" outlineLevel="0" collapsed="false">
      <c r="A18" s="3" t="n">
        <v>83420</v>
      </c>
      <c r="B18" s="3" t="s">
        <v>215</v>
      </c>
      <c r="C18" s="3" t="n">
        <v>7</v>
      </c>
      <c r="D18" s="3" t="n">
        <v>17</v>
      </c>
    </row>
    <row r="19" customFormat="false" ht="15" hidden="false" customHeight="true" outlineLevel="0" collapsed="false">
      <c r="A19" s="3" t="n">
        <v>71088</v>
      </c>
      <c r="B19" s="3" t="s">
        <v>152</v>
      </c>
      <c r="C19" s="3" t="n">
        <v>6</v>
      </c>
      <c r="D19" s="3" t="n">
        <v>14</v>
      </c>
    </row>
    <row r="20" customFormat="false" ht="15" hidden="false" customHeight="true" outlineLevel="0" collapsed="false">
      <c r="A20" s="3" t="n">
        <v>63366</v>
      </c>
      <c r="B20" s="3" t="s">
        <v>103</v>
      </c>
      <c r="C20" s="3" t="n">
        <v>17</v>
      </c>
      <c r="D20" s="3" t="n">
        <v>39</v>
      </c>
    </row>
    <row r="21" customFormat="false" ht="15" hidden="false" customHeight="true" outlineLevel="0" collapsed="false">
      <c r="A21" s="3" t="n">
        <v>57690</v>
      </c>
      <c r="B21" s="3" t="s">
        <v>82</v>
      </c>
      <c r="C21" s="3" t="n">
        <v>8</v>
      </c>
      <c r="D21" s="3" t="n">
        <v>18</v>
      </c>
    </row>
    <row r="22" customFormat="false" ht="15" hidden="false" customHeight="true" outlineLevel="0" collapsed="false">
      <c r="A22" s="3" t="n">
        <v>61344</v>
      </c>
      <c r="B22" s="3" t="s">
        <v>97</v>
      </c>
      <c r="C22" s="3" t="n">
        <v>4</v>
      </c>
      <c r="D22" s="3" t="n">
        <v>9</v>
      </c>
    </row>
    <row r="23" customFormat="false" ht="15" hidden="false" customHeight="true" outlineLevel="0" collapsed="false">
      <c r="A23" s="3" t="n">
        <v>61962</v>
      </c>
      <c r="B23" s="3" t="s">
        <v>99</v>
      </c>
      <c r="C23" s="3" t="n">
        <v>4</v>
      </c>
      <c r="D23" s="3" t="n">
        <v>9</v>
      </c>
    </row>
    <row r="24" customFormat="false" ht="15" hidden="false" customHeight="true" outlineLevel="0" collapsed="false">
      <c r="A24" s="3" t="n">
        <v>82206</v>
      </c>
      <c r="B24" s="3" t="s">
        <v>210</v>
      </c>
      <c r="C24" s="3" t="n">
        <v>37</v>
      </c>
      <c r="D24" s="3" t="n">
        <v>81</v>
      </c>
    </row>
    <row r="25" customFormat="false" ht="15" hidden="false" customHeight="true" outlineLevel="0" collapsed="false">
      <c r="A25" s="3" t="n">
        <v>9771</v>
      </c>
      <c r="B25" s="3" t="s">
        <v>11</v>
      </c>
      <c r="C25" s="3" t="n">
        <v>11</v>
      </c>
      <c r="D25" s="3" t="n">
        <v>24</v>
      </c>
    </row>
    <row r="26" customFormat="false" ht="15" hidden="false" customHeight="true" outlineLevel="0" collapsed="false">
      <c r="A26" s="3" t="n">
        <v>59657</v>
      </c>
      <c r="B26" s="3" t="s">
        <v>85</v>
      </c>
      <c r="C26" s="3" t="n">
        <v>6</v>
      </c>
      <c r="D26" s="3" t="n">
        <v>13</v>
      </c>
    </row>
    <row r="27" customFormat="false" ht="15" hidden="false" customHeight="true" outlineLevel="0" collapsed="false">
      <c r="A27" s="3" t="n">
        <v>31188</v>
      </c>
      <c r="B27" s="3" t="s">
        <v>48</v>
      </c>
      <c r="C27" s="3" t="n">
        <v>26</v>
      </c>
      <c r="D27" s="3" t="n">
        <v>52</v>
      </c>
    </row>
    <row r="28" customFormat="false" ht="15" hidden="false" customHeight="true" outlineLevel="0" collapsed="false">
      <c r="A28" s="3" t="n">
        <v>75763</v>
      </c>
      <c r="B28" s="3" t="s">
        <v>199</v>
      </c>
      <c r="C28" s="3" t="n">
        <v>3</v>
      </c>
      <c r="D28" s="3" t="n">
        <v>6</v>
      </c>
    </row>
    <row r="29" customFormat="false" ht="15" hidden="false" customHeight="true" outlineLevel="0" collapsed="false">
      <c r="A29" s="3" t="n">
        <v>71683</v>
      </c>
      <c r="B29" s="3" t="s">
        <v>154</v>
      </c>
      <c r="C29" s="3" t="n">
        <v>2</v>
      </c>
      <c r="D29" s="3" t="n">
        <v>4</v>
      </c>
    </row>
    <row r="30" customFormat="false" ht="15" hidden="false" customHeight="true" outlineLevel="0" collapsed="false">
      <c r="A30" s="3" t="n">
        <v>74821</v>
      </c>
      <c r="B30" s="3" t="s">
        <v>177</v>
      </c>
      <c r="C30" s="3" t="n">
        <v>1</v>
      </c>
      <c r="D30" s="3" t="n">
        <v>2</v>
      </c>
    </row>
    <row r="31" customFormat="false" ht="15" hidden="false" customHeight="true" outlineLevel="0" collapsed="false">
      <c r="A31" s="3" t="n">
        <v>63359</v>
      </c>
      <c r="B31" s="3" t="s">
        <v>100</v>
      </c>
      <c r="C31" s="3" t="n">
        <v>29</v>
      </c>
      <c r="D31" s="3" t="n">
        <v>57</v>
      </c>
    </row>
    <row r="32" customFormat="false" ht="15" hidden="false" customHeight="true" outlineLevel="0" collapsed="false">
      <c r="A32" s="3" t="n">
        <v>65243</v>
      </c>
      <c r="B32" s="3" t="s">
        <v>131</v>
      </c>
      <c r="C32" s="3" t="n">
        <v>10</v>
      </c>
      <c r="D32" s="3" t="n">
        <v>19</v>
      </c>
    </row>
    <row r="33" customFormat="false" ht="15" hidden="false" customHeight="true" outlineLevel="0" collapsed="false">
      <c r="A33" s="3" t="n">
        <v>60472</v>
      </c>
      <c r="B33" s="3" t="s">
        <v>90</v>
      </c>
      <c r="C33" s="3" t="n">
        <v>24</v>
      </c>
      <c r="D33" s="3" t="n">
        <v>45</v>
      </c>
    </row>
    <row r="34" customFormat="false" ht="15" hidden="false" customHeight="true" outlineLevel="0" collapsed="false">
      <c r="A34" s="3" t="n">
        <v>20998</v>
      </c>
      <c r="B34" s="3" t="s">
        <v>27</v>
      </c>
      <c r="C34" s="3" t="n">
        <v>4</v>
      </c>
      <c r="D34" s="3" t="n">
        <v>7</v>
      </c>
    </row>
    <row r="35" customFormat="false" ht="15" hidden="false" customHeight="true" outlineLevel="0" collapsed="false">
      <c r="A35" s="3" t="n">
        <v>59694</v>
      </c>
      <c r="B35" s="3" t="s">
        <v>88</v>
      </c>
      <c r="C35" s="3" t="n">
        <v>21</v>
      </c>
      <c r="D35" s="3" t="n">
        <v>35</v>
      </c>
    </row>
    <row r="36" customFormat="false" ht="15" hidden="false" customHeight="true" outlineLevel="0" collapsed="false">
      <c r="A36" s="3" t="n">
        <v>60485</v>
      </c>
      <c r="B36" s="3" t="s">
        <v>96</v>
      </c>
      <c r="C36" s="3" t="n">
        <v>14</v>
      </c>
      <c r="D36" s="3" t="n">
        <v>23</v>
      </c>
    </row>
    <row r="37" customFormat="false" ht="15" hidden="false" customHeight="true" outlineLevel="0" collapsed="false">
      <c r="A37" s="3" t="n">
        <v>82202</v>
      </c>
      <c r="B37" s="3" t="s">
        <v>209</v>
      </c>
      <c r="C37" s="3" t="n">
        <v>18</v>
      </c>
      <c r="D37" s="3" t="n">
        <v>29</v>
      </c>
    </row>
    <row r="38" customFormat="false" ht="15" hidden="false" customHeight="true" outlineLevel="0" collapsed="false">
      <c r="A38" s="3" t="n">
        <v>74800</v>
      </c>
      <c r="B38" s="3" t="s">
        <v>171</v>
      </c>
      <c r="C38" s="3" t="n">
        <v>21</v>
      </c>
      <c r="D38" s="3" t="n">
        <v>32</v>
      </c>
    </row>
    <row r="39" customFormat="false" ht="15" hidden="false" customHeight="true" outlineLevel="0" collapsed="false">
      <c r="A39" s="3" t="n">
        <v>60473</v>
      </c>
      <c r="B39" s="3" t="s">
        <v>91</v>
      </c>
      <c r="C39" s="3" t="n">
        <v>6</v>
      </c>
      <c r="D39" s="3" t="n">
        <v>9</v>
      </c>
    </row>
    <row r="40" customFormat="false" ht="15" hidden="false" customHeight="true" outlineLevel="0" collapsed="false">
      <c r="A40" s="3" t="n">
        <v>63419</v>
      </c>
      <c r="B40" s="3" t="s">
        <v>115</v>
      </c>
      <c r="C40" s="3" t="n">
        <v>4</v>
      </c>
      <c r="D40" s="3" t="n">
        <v>6</v>
      </c>
    </row>
    <row r="41" customFormat="false" ht="15" hidden="false" customHeight="true" outlineLevel="0" collapsed="false">
      <c r="A41" s="3" t="n">
        <v>45264</v>
      </c>
      <c r="B41" s="3" t="s">
        <v>56</v>
      </c>
      <c r="C41" s="3" t="n">
        <v>2</v>
      </c>
      <c r="D41" s="3" t="n">
        <v>3</v>
      </c>
    </row>
    <row r="42" customFormat="false" ht="15" hidden="false" customHeight="true" outlineLevel="0" collapsed="false">
      <c r="A42" s="3" t="n">
        <v>64634</v>
      </c>
      <c r="B42" s="3" t="s">
        <v>124</v>
      </c>
      <c r="C42" s="3" t="n">
        <v>2</v>
      </c>
      <c r="D42" s="3" t="n">
        <v>3</v>
      </c>
    </row>
    <row r="43" customFormat="false" ht="15" hidden="false" customHeight="true" outlineLevel="0" collapsed="false">
      <c r="A43" s="3" t="n">
        <v>59656</v>
      </c>
      <c r="B43" s="3" t="s">
        <v>84</v>
      </c>
      <c r="C43" s="3" t="n">
        <v>15</v>
      </c>
      <c r="D43" s="3" t="n">
        <v>22</v>
      </c>
    </row>
    <row r="44" customFormat="false" ht="15" hidden="false" customHeight="true" outlineLevel="0" collapsed="false">
      <c r="A44" s="3" t="n">
        <v>63361</v>
      </c>
      <c r="B44" s="3" t="s">
        <v>102</v>
      </c>
      <c r="C44" s="3" t="n">
        <v>24</v>
      </c>
      <c r="D44" s="3" t="n">
        <v>35</v>
      </c>
    </row>
    <row r="45" customFormat="false" ht="15" hidden="false" customHeight="true" outlineLevel="0" collapsed="false">
      <c r="A45" s="3" t="n">
        <v>74801</v>
      </c>
      <c r="B45" s="3" t="s">
        <v>172</v>
      </c>
      <c r="C45" s="3" t="n">
        <v>22</v>
      </c>
      <c r="D45" s="3" t="n">
        <v>32</v>
      </c>
    </row>
    <row r="46" customFormat="false" ht="15" hidden="false" customHeight="true" outlineLevel="0" collapsed="false">
      <c r="A46" s="3" t="n">
        <v>74709</v>
      </c>
      <c r="B46" s="3" t="s">
        <v>165</v>
      </c>
      <c r="C46" s="3" t="n">
        <v>23</v>
      </c>
      <c r="D46" s="3" t="n">
        <v>33</v>
      </c>
    </row>
    <row r="47" customFormat="false" ht="15" hidden="false" customHeight="true" outlineLevel="0" collapsed="false">
      <c r="A47" s="3" t="n">
        <v>57664</v>
      </c>
      <c r="B47" s="3" t="s">
        <v>81</v>
      </c>
      <c r="C47" s="3" t="n">
        <v>7</v>
      </c>
      <c r="D47" s="3" t="n">
        <v>10</v>
      </c>
    </row>
    <row r="48" customFormat="false" ht="15" hidden="false" customHeight="true" outlineLevel="0" collapsed="false">
      <c r="A48" s="3" t="n">
        <v>57696</v>
      </c>
      <c r="B48" s="3" t="s">
        <v>83</v>
      </c>
      <c r="C48" s="3" t="n">
        <v>7</v>
      </c>
      <c r="D48" s="3" t="n">
        <v>10</v>
      </c>
    </row>
    <row r="49" customFormat="false" ht="15" hidden="false" customHeight="true" outlineLevel="0" collapsed="false">
      <c r="A49" s="3" t="n">
        <v>63360</v>
      </c>
      <c r="B49" s="3" t="s">
        <v>101</v>
      </c>
      <c r="C49" s="3" t="n">
        <v>40</v>
      </c>
      <c r="D49" s="3" t="n">
        <v>57</v>
      </c>
    </row>
    <row r="50" customFormat="false" ht="15" hidden="false" customHeight="true" outlineLevel="0" collapsed="false">
      <c r="A50" s="3" t="n">
        <v>85338</v>
      </c>
      <c r="B50" s="3" t="s">
        <v>218</v>
      </c>
      <c r="C50" s="3" t="n">
        <v>12</v>
      </c>
      <c r="D50" s="3" t="n">
        <v>17</v>
      </c>
    </row>
    <row r="51" customFormat="false" ht="15" hidden="false" customHeight="true" outlineLevel="0" collapsed="false">
      <c r="A51" s="3" t="n">
        <v>65241</v>
      </c>
      <c r="B51" s="3" t="s">
        <v>129</v>
      </c>
      <c r="C51" s="3" t="n">
        <v>17</v>
      </c>
      <c r="D51" s="3" t="n">
        <v>24</v>
      </c>
    </row>
    <row r="52" customFormat="false" ht="15" hidden="false" customHeight="true" outlineLevel="0" collapsed="false">
      <c r="A52" s="3" t="n">
        <v>63420</v>
      </c>
      <c r="B52" s="3" t="s">
        <v>116</v>
      </c>
      <c r="C52" s="3" t="n">
        <v>16</v>
      </c>
      <c r="D52" s="3" t="n">
        <v>22</v>
      </c>
    </row>
    <row r="53" customFormat="false" ht="15" hidden="false" customHeight="true" outlineLevel="0" collapsed="false">
      <c r="A53" s="3" t="n">
        <v>71087</v>
      </c>
      <c r="B53" s="3" t="s">
        <v>151</v>
      </c>
      <c r="C53" s="3" t="n">
        <v>11</v>
      </c>
      <c r="D53" s="3" t="n">
        <v>15</v>
      </c>
    </row>
    <row r="54" customFormat="false" ht="15" hidden="false" customHeight="true" outlineLevel="0" collapsed="false">
      <c r="A54" s="3" t="n">
        <v>60476</v>
      </c>
      <c r="B54" s="3" t="s">
        <v>93</v>
      </c>
      <c r="C54" s="3" t="n">
        <v>27</v>
      </c>
      <c r="D54" s="3" t="n">
        <v>36</v>
      </c>
    </row>
    <row r="55" customFormat="false" ht="15" hidden="false" customHeight="true" outlineLevel="0" collapsed="false">
      <c r="A55" s="3" t="n">
        <v>74762</v>
      </c>
      <c r="B55" s="3" t="s">
        <v>167</v>
      </c>
      <c r="C55" s="3" t="n">
        <v>12</v>
      </c>
      <c r="D55" s="3" t="n">
        <v>16</v>
      </c>
    </row>
    <row r="56" customFormat="false" ht="15" hidden="false" customHeight="true" outlineLevel="0" collapsed="false">
      <c r="A56" s="3" t="n">
        <v>67935</v>
      </c>
      <c r="B56" s="3" t="s">
        <v>142</v>
      </c>
      <c r="C56" s="3" t="n">
        <v>9</v>
      </c>
      <c r="D56" s="3" t="n">
        <v>12</v>
      </c>
    </row>
    <row r="57" customFormat="false" ht="15" hidden="false" customHeight="true" outlineLevel="0" collapsed="false">
      <c r="A57" s="3" t="n">
        <v>19082</v>
      </c>
      <c r="B57" s="3" t="s">
        <v>23</v>
      </c>
      <c r="C57" s="3" t="n">
        <v>6</v>
      </c>
      <c r="D57" s="3" t="n">
        <v>8</v>
      </c>
    </row>
    <row r="58" customFormat="false" ht="15" hidden="false" customHeight="true" outlineLevel="0" collapsed="false">
      <c r="A58" s="3" t="n">
        <v>18559</v>
      </c>
      <c r="B58" s="3" t="s">
        <v>22</v>
      </c>
      <c r="C58" s="3" t="n">
        <v>3</v>
      </c>
      <c r="D58" s="3" t="n">
        <v>4</v>
      </c>
    </row>
    <row r="59" customFormat="false" ht="15" hidden="false" customHeight="true" outlineLevel="0" collapsed="false">
      <c r="A59" s="3" t="n">
        <v>67960</v>
      </c>
      <c r="B59" s="3" t="s">
        <v>146</v>
      </c>
      <c r="C59" s="3" t="n">
        <v>10</v>
      </c>
      <c r="D59" s="3" t="n">
        <v>13</v>
      </c>
    </row>
    <row r="60" customFormat="false" ht="15" hidden="false" customHeight="true" outlineLevel="0" collapsed="false">
      <c r="A60" s="3" t="n">
        <v>52323</v>
      </c>
      <c r="B60" s="3" t="s">
        <v>71</v>
      </c>
      <c r="C60" s="3" t="n">
        <v>22</v>
      </c>
      <c r="D60" s="3" t="n">
        <v>28</v>
      </c>
    </row>
    <row r="61" customFormat="false" ht="15" hidden="false" customHeight="true" outlineLevel="0" collapsed="false">
      <c r="A61" s="3" t="n">
        <v>8618</v>
      </c>
      <c r="B61" s="3" t="s">
        <v>10</v>
      </c>
      <c r="C61" s="3" t="n">
        <v>11</v>
      </c>
      <c r="D61" s="3" t="n">
        <v>14</v>
      </c>
    </row>
    <row r="62" customFormat="false" ht="15" hidden="false" customHeight="true" outlineLevel="0" collapsed="false">
      <c r="A62" s="3" t="n">
        <v>67957</v>
      </c>
      <c r="B62" s="3" t="s">
        <v>145</v>
      </c>
      <c r="C62" s="3" t="n">
        <v>15</v>
      </c>
      <c r="D62" s="3" t="n">
        <v>19</v>
      </c>
    </row>
    <row r="63" customFormat="false" ht="15" hidden="false" customHeight="true" outlineLevel="0" collapsed="false">
      <c r="A63" s="3" t="n">
        <v>31183</v>
      </c>
      <c r="B63" s="3" t="s">
        <v>47</v>
      </c>
      <c r="C63" s="3" t="n">
        <v>24</v>
      </c>
      <c r="D63" s="3" t="n">
        <v>30</v>
      </c>
    </row>
    <row r="64" customFormat="false" ht="15" hidden="false" customHeight="true" outlineLevel="0" collapsed="false">
      <c r="A64" s="3" t="n">
        <v>29881</v>
      </c>
      <c r="B64" s="3" t="s">
        <v>43</v>
      </c>
      <c r="C64" s="3" t="n">
        <v>4</v>
      </c>
      <c r="D64" s="3" t="n">
        <v>5</v>
      </c>
    </row>
    <row r="65" customFormat="false" ht="15" hidden="false" customHeight="true" outlineLevel="0" collapsed="false">
      <c r="A65" s="3" t="n">
        <v>23008</v>
      </c>
      <c r="B65" s="3" t="s">
        <v>32</v>
      </c>
      <c r="C65" s="3" t="n">
        <v>22</v>
      </c>
      <c r="D65" s="3" t="n">
        <v>27</v>
      </c>
    </row>
    <row r="66" customFormat="false" ht="15" hidden="false" customHeight="true" outlineLevel="0" collapsed="false">
      <c r="A66" s="3" t="n">
        <v>80668</v>
      </c>
      <c r="B66" s="3" t="s">
        <v>208</v>
      </c>
      <c r="C66" s="3" t="n">
        <v>9</v>
      </c>
      <c r="D66" s="3" t="n">
        <v>11</v>
      </c>
    </row>
    <row r="67" customFormat="false" ht="15" hidden="false" customHeight="true" outlineLevel="0" collapsed="false">
      <c r="A67" s="3" t="n">
        <v>55868</v>
      </c>
      <c r="B67" s="3" t="s">
        <v>79</v>
      </c>
      <c r="C67" s="3" t="n">
        <v>10</v>
      </c>
      <c r="D67" s="3" t="n">
        <v>12</v>
      </c>
    </row>
    <row r="68" customFormat="false" ht="15" hidden="false" customHeight="true" outlineLevel="0" collapsed="false">
      <c r="A68" s="3" t="n">
        <v>8616</v>
      </c>
      <c r="B68" s="3" t="s">
        <v>9</v>
      </c>
      <c r="C68" s="3" t="n">
        <v>5</v>
      </c>
      <c r="D68" s="3" t="n">
        <v>6</v>
      </c>
    </row>
    <row r="69" customFormat="false" ht="15" hidden="false" customHeight="true" outlineLevel="0" collapsed="false">
      <c r="A69" s="3" t="n">
        <v>65242</v>
      </c>
      <c r="B69" s="3" t="s">
        <v>130</v>
      </c>
      <c r="C69" s="3" t="n">
        <v>21</v>
      </c>
      <c r="D69" s="3" t="n">
        <v>25</v>
      </c>
    </row>
    <row r="70" customFormat="false" ht="15" hidden="false" customHeight="true" outlineLevel="0" collapsed="false">
      <c r="A70" s="3" t="n">
        <v>51568</v>
      </c>
      <c r="B70" s="3" t="s">
        <v>69</v>
      </c>
      <c r="C70" s="3" t="n">
        <v>50</v>
      </c>
      <c r="D70" s="3" t="n">
        <v>59</v>
      </c>
    </row>
    <row r="71" customFormat="false" ht="15" hidden="false" customHeight="true" outlineLevel="0" collapsed="false">
      <c r="A71" s="3" t="n">
        <v>59679</v>
      </c>
      <c r="B71" s="3" t="s">
        <v>87</v>
      </c>
      <c r="C71" s="3" t="n">
        <v>35</v>
      </c>
      <c r="D71" s="3" t="n">
        <v>41</v>
      </c>
    </row>
    <row r="72" customFormat="false" ht="15" hidden="false" customHeight="true" outlineLevel="0" collapsed="false">
      <c r="A72" s="3" t="n">
        <v>9772</v>
      </c>
      <c r="B72" s="3" t="s">
        <v>12</v>
      </c>
      <c r="C72" s="3" t="n">
        <v>19</v>
      </c>
      <c r="D72" s="3" t="n">
        <v>22</v>
      </c>
    </row>
    <row r="73" customFormat="false" ht="15" hidden="false" customHeight="true" outlineLevel="0" collapsed="false">
      <c r="A73" s="3" t="n">
        <v>51567</v>
      </c>
      <c r="B73" s="3" t="s">
        <v>68</v>
      </c>
      <c r="C73" s="3" t="n">
        <v>125</v>
      </c>
      <c r="D73" s="3" t="n">
        <v>144</v>
      </c>
    </row>
    <row r="74" customFormat="false" ht="15" hidden="false" customHeight="true" outlineLevel="0" collapsed="false">
      <c r="A74" s="3" t="n">
        <v>74708</v>
      </c>
      <c r="B74" s="3" t="s">
        <v>164</v>
      </c>
      <c r="C74" s="3" t="n">
        <v>27</v>
      </c>
      <c r="D74" s="3" t="n">
        <v>31</v>
      </c>
    </row>
    <row r="75" customFormat="false" ht="15" hidden="false" customHeight="true" outlineLevel="0" collapsed="false">
      <c r="A75" s="3" t="n">
        <v>63367</v>
      </c>
      <c r="B75" s="3" t="s">
        <v>104</v>
      </c>
      <c r="C75" s="3" t="n">
        <v>27</v>
      </c>
      <c r="D75" s="3" t="n">
        <v>30</v>
      </c>
    </row>
    <row r="76" customFormat="false" ht="15" hidden="false" customHeight="true" outlineLevel="0" collapsed="false">
      <c r="A76" s="3" t="n">
        <v>21004</v>
      </c>
      <c r="B76" s="3" t="s">
        <v>29</v>
      </c>
      <c r="C76" s="3" t="n">
        <v>12</v>
      </c>
      <c r="D76" s="3" t="n">
        <v>13</v>
      </c>
    </row>
    <row r="77" customFormat="false" ht="15" hidden="false" customHeight="true" outlineLevel="0" collapsed="false">
      <c r="A77" s="3" t="n">
        <v>63414</v>
      </c>
      <c r="B77" s="3" t="s">
        <v>110</v>
      </c>
      <c r="C77" s="3" t="n">
        <v>20</v>
      </c>
      <c r="D77" s="3" t="n">
        <v>21</v>
      </c>
    </row>
    <row r="78" customFormat="false" ht="15" hidden="false" customHeight="true" outlineLevel="0" collapsed="false">
      <c r="A78" s="3" t="n">
        <v>82213</v>
      </c>
      <c r="B78" s="3" t="s">
        <v>213</v>
      </c>
      <c r="C78" s="3" t="n">
        <v>22</v>
      </c>
      <c r="D78" s="3" t="n">
        <v>23</v>
      </c>
    </row>
    <row r="79" customFormat="false" ht="15" hidden="false" customHeight="true" outlineLevel="0" collapsed="false">
      <c r="A79" s="3" t="n">
        <v>63415</v>
      </c>
      <c r="B79" s="3" t="s">
        <v>111</v>
      </c>
      <c r="C79" s="3" t="n">
        <v>27</v>
      </c>
      <c r="D79" s="3" t="n">
        <v>28</v>
      </c>
    </row>
    <row r="80" customFormat="false" ht="15" hidden="false" customHeight="true" outlineLevel="0" collapsed="false">
      <c r="A80" s="3" t="n">
        <v>71204</v>
      </c>
      <c r="B80" s="3" t="s">
        <v>153</v>
      </c>
      <c r="C80" s="3" t="n">
        <v>78</v>
      </c>
      <c r="D80" s="3" t="n">
        <v>80</v>
      </c>
    </row>
    <row r="81" customFormat="false" ht="15" hidden="false" customHeight="true" outlineLevel="0" collapsed="false">
      <c r="A81" s="3" t="n">
        <v>24612</v>
      </c>
      <c r="B81" s="3" t="s">
        <v>33</v>
      </c>
      <c r="C81" s="3" t="n">
        <v>43</v>
      </c>
      <c r="D81" s="3" t="n">
        <v>44</v>
      </c>
    </row>
    <row r="82" customFormat="false" ht="15" hidden="false" customHeight="true" outlineLevel="0" collapsed="false">
      <c r="A82" s="3" t="n">
        <v>60474</v>
      </c>
      <c r="B82" s="3" t="s">
        <v>92</v>
      </c>
      <c r="C82" s="3" t="n">
        <v>19</v>
      </c>
      <c r="D82" s="3" t="n">
        <v>19</v>
      </c>
    </row>
    <row r="83" customFormat="false" ht="15" hidden="false" customHeight="true" outlineLevel="0" collapsed="false">
      <c r="A83" s="3" t="n">
        <v>63421</v>
      </c>
      <c r="B83" s="3" t="s">
        <v>117</v>
      </c>
      <c r="C83" s="3" t="n">
        <v>16</v>
      </c>
      <c r="D83" s="3" t="n">
        <v>16</v>
      </c>
    </row>
    <row r="84" customFormat="false" ht="15" hidden="false" customHeight="true" outlineLevel="0" collapsed="false">
      <c r="A84" s="3" t="n">
        <v>52324</v>
      </c>
      <c r="B84" s="3" t="s">
        <v>72</v>
      </c>
      <c r="C84" s="3" t="n">
        <v>12</v>
      </c>
      <c r="D84" s="3" t="n">
        <v>12</v>
      </c>
    </row>
    <row r="85" customFormat="false" ht="15" hidden="false" customHeight="true" outlineLevel="0" collapsed="false">
      <c r="A85" s="3" t="n">
        <v>21003</v>
      </c>
      <c r="B85" s="3" t="s">
        <v>28</v>
      </c>
      <c r="C85" s="3" t="n">
        <v>9</v>
      </c>
      <c r="D85" s="3" t="n">
        <v>9</v>
      </c>
    </row>
    <row r="86" customFormat="false" ht="15" hidden="false" customHeight="true" outlineLevel="0" collapsed="false">
      <c r="A86" s="3" t="n">
        <v>25386</v>
      </c>
      <c r="B86" s="3" t="s">
        <v>34</v>
      </c>
      <c r="C86" s="3" t="n">
        <v>6</v>
      </c>
      <c r="D86" s="3" t="n">
        <v>6</v>
      </c>
    </row>
    <row r="87" customFormat="false" ht="15" hidden="false" customHeight="true" outlineLevel="0" collapsed="false">
      <c r="A87" s="3" t="n">
        <v>60478</v>
      </c>
      <c r="B87" s="3" t="s">
        <v>94</v>
      </c>
      <c r="C87" s="3" t="n">
        <v>6</v>
      </c>
      <c r="D87" s="3" t="n">
        <v>6</v>
      </c>
    </row>
    <row r="88" customFormat="false" ht="15" hidden="false" customHeight="true" outlineLevel="0" collapsed="false">
      <c r="A88" s="3" t="n">
        <v>63422</v>
      </c>
      <c r="B88" s="3" t="s">
        <v>118</v>
      </c>
      <c r="C88" s="3" t="n">
        <v>6</v>
      </c>
      <c r="D88" s="3" t="n">
        <v>6</v>
      </c>
    </row>
    <row r="89" customFormat="false" ht="15" hidden="false" customHeight="true" outlineLevel="0" collapsed="false">
      <c r="A89" s="3" t="n">
        <v>74682</v>
      </c>
      <c r="B89" s="3" t="s">
        <v>158</v>
      </c>
      <c r="C89" s="3" t="n">
        <v>6</v>
      </c>
      <c r="D89" s="3" t="n">
        <v>6</v>
      </c>
    </row>
    <row r="90" customFormat="false" ht="15" hidden="false" customHeight="true" outlineLevel="0" collapsed="false">
      <c r="A90" s="3" t="n">
        <v>74670</v>
      </c>
      <c r="B90" s="3" t="s">
        <v>155</v>
      </c>
      <c r="C90" s="3" t="n">
        <v>4</v>
      </c>
      <c r="D90" s="3" t="n">
        <v>4</v>
      </c>
    </row>
    <row r="91" customFormat="false" ht="15" hidden="false" customHeight="true" outlineLevel="0" collapsed="false">
      <c r="A91" s="3" t="n">
        <v>74672</v>
      </c>
      <c r="B91" s="3" t="s">
        <v>157</v>
      </c>
      <c r="C91" s="3" t="n">
        <v>3</v>
      </c>
      <c r="D91" s="3" t="n">
        <v>3</v>
      </c>
    </row>
    <row r="92" customFormat="false" ht="15" hidden="false" customHeight="true" outlineLevel="0" collapsed="false">
      <c r="A92" s="3" t="n">
        <v>75764</v>
      </c>
      <c r="B92" s="3" t="s">
        <v>200</v>
      </c>
      <c r="C92" s="3" t="n">
        <v>3</v>
      </c>
      <c r="D92" s="3" t="n">
        <v>3</v>
      </c>
    </row>
    <row r="93" customFormat="false" ht="15" hidden="false" customHeight="true" outlineLevel="0" collapsed="false">
      <c r="A93" s="3" t="n">
        <v>74847</v>
      </c>
      <c r="B93" s="3" t="s">
        <v>187</v>
      </c>
      <c r="C93" s="3" t="n">
        <v>2</v>
      </c>
      <c r="D93" s="3" t="n">
        <v>2</v>
      </c>
    </row>
    <row r="94" customFormat="false" ht="15" hidden="false" customHeight="true" outlineLevel="0" collapsed="false">
      <c r="A94" s="3" t="n">
        <v>64636</v>
      </c>
      <c r="B94" s="3" t="s">
        <v>126</v>
      </c>
      <c r="C94" s="3" t="n">
        <v>1</v>
      </c>
      <c r="D94" s="3" t="n">
        <v>1</v>
      </c>
    </row>
    <row r="95" customFormat="false" ht="15" hidden="false" customHeight="true" outlineLevel="0" collapsed="false">
      <c r="A95" s="3" t="n">
        <v>64638</v>
      </c>
      <c r="B95" s="3" t="s">
        <v>128</v>
      </c>
      <c r="C95" s="3" t="n">
        <v>1</v>
      </c>
      <c r="D95" s="3" t="n">
        <v>1</v>
      </c>
    </row>
    <row r="96" customFormat="false" ht="15" hidden="false" customHeight="true" outlineLevel="0" collapsed="false">
      <c r="A96" s="3" t="n">
        <v>74688</v>
      </c>
      <c r="B96" s="3" t="s">
        <v>163</v>
      </c>
      <c r="C96" s="3" t="n">
        <v>1</v>
      </c>
      <c r="D96" s="3" t="n">
        <v>1</v>
      </c>
    </row>
    <row r="97" customFormat="false" ht="15" hidden="false" customHeight="true" outlineLevel="0" collapsed="false">
      <c r="A97" s="3" t="n">
        <v>74820</v>
      </c>
      <c r="B97" s="3" t="s">
        <v>176</v>
      </c>
      <c r="C97" s="3" t="n">
        <v>1</v>
      </c>
      <c r="D97" s="3" t="n">
        <v>1</v>
      </c>
    </row>
    <row r="98" customFormat="false" ht="15" hidden="false" customHeight="true" outlineLevel="0" collapsed="false">
      <c r="A98" s="3" t="n">
        <v>66485</v>
      </c>
      <c r="B98" s="3" t="s">
        <v>133</v>
      </c>
      <c r="C98" s="3" t="n">
        <v>21</v>
      </c>
      <c r="D98" s="3" t="n">
        <v>20</v>
      </c>
    </row>
    <row r="99" customFormat="false" ht="15" hidden="false" customHeight="true" outlineLevel="0" collapsed="false">
      <c r="A99" s="3" t="n">
        <v>59659</v>
      </c>
      <c r="B99" s="3" t="s">
        <v>86</v>
      </c>
      <c r="C99" s="3" t="n">
        <v>15</v>
      </c>
      <c r="D99" s="3" t="n">
        <v>14</v>
      </c>
    </row>
    <row r="100" customFormat="false" ht="15" hidden="false" customHeight="true" outlineLevel="0" collapsed="false">
      <c r="A100" s="3" t="n">
        <v>16213</v>
      </c>
      <c r="B100" s="3" t="s">
        <v>15</v>
      </c>
      <c r="C100" s="3" t="n">
        <v>16</v>
      </c>
      <c r="D100" s="3" t="n">
        <v>14</v>
      </c>
    </row>
    <row r="101" customFormat="false" ht="15" hidden="false" customHeight="true" outlineLevel="0" collapsed="false">
      <c r="A101" s="3" t="n">
        <v>63368</v>
      </c>
      <c r="B101" s="3" t="s">
        <v>105</v>
      </c>
      <c r="C101" s="3" t="n">
        <v>14</v>
      </c>
      <c r="D101" s="3" t="n">
        <v>12</v>
      </c>
    </row>
    <row r="102" customFormat="false" ht="15" hidden="false" customHeight="true" outlineLevel="0" collapsed="false">
      <c r="A102" s="3" t="n">
        <v>74799</v>
      </c>
      <c r="B102" s="3" t="s">
        <v>170</v>
      </c>
      <c r="C102" s="3" t="n">
        <v>31</v>
      </c>
      <c r="D102" s="3" t="n">
        <v>26</v>
      </c>
    </row>
    <row r="103" customFormat="false" ht="15" hidden="false" customHeight="true" outlineLevel="0" collapsed="false">
      <c r="A103" s="3" t="n">
        <v>42964</v>
      </c>
      <c r="B103" s="3" t="s">
        <v>52</v>
      </c>
      <c r="C103" s="3" t="n">
        <v>6</v>
      </c>
      <c r="D103" s="3" t="n">
        <v>5</v>
      </c>
    </row>
    <row r="104" customFormat="false" ht="15" hidden="false" customHeight="true" outlineLevel="0" collapsed="false">
      <c r="A104" s="3" t="n">
        <v>88476</v>
      </c>
      <c r="B104" s="3" t="s">
        <v>224</v>
      </c>
      <c r="C104" s="3" t="n">
        <v>6</v>
      </c>
      <c r="D104" s="3" t="n">
        <v>5</v>
      </c>
    </row>
    <row r="105" customFormat="false" ht="15" hidden="false" customHeight="true" outlineLevel="0" collapsed="false">
      <c r="A105" s="3" t="n">
        <v>83668</v>
      </c>
      <c r="B105" s="3" t="s">
        <v>216</v>
      </c>
      <c r="C105" s="3" t="n">
        <v>92</v>
      </c>
      <c r="D105" s="3" t="n">
        <v>71</v>
      </c>
    </row>
    <row r="106" customFormat="false" ht="15" hidden="false" customHeight="true" outlineLevel="0" collapsed="false">
      <c r="A106" s="3" t="n">
        <v>61961</v>
      </c>
      <c r="B106" s="3" t="s">
        <v>98</v>
      </c>
      <c r="C106" s="3" t="n">
        <v>12</v>
      </c>
      <c r="D106" s="3" t="n">
        <v>9</v>
      </c>
    </row>
    <row r="107" customFormat="false" ht="15" hidden="false" customHeight="true" outlineLevel="0" collapsed="false">
      <c r="A107" s="3" t="n">
        <v>65743</v>
      </c>
      <c r="B107" s="3" t="s">
        <v>132</v>
      </c>
      <c r="C107" s="3" t="n">
        <v>4</v>
      </c>
      <c r="D107" s="3" t="n">
        <v>3</v>
      </c>
    </row>
    <row r="108" customFormat="false" ht="15" hidden="false" customHeight="true" outlineLevel="0" collapsed="false">
      <c r="A108" s="3" t="n">
        <v>63418</v>
      </c>
      <c r="B108" s="3" t="s">
        <v>114</v>
      </c>
      <c r="C108" s="3" t="n">
        <v>7</v>
      </c>
      <c r="D108" s="3" t="n">
        <v>5</v>
      </c>
    </row>
    <row r="109" customFormat="false" ht="15" hidden="false" customHeight="true" outlineLevel="0" collapsed="false">
      <c r="A109" s="3" t="n">
        <v>75762</v>
      </c>
      <c r="B109" s="3" t="s">
        <v>198</v>
      </c>
      <c r="C109" s="3" t="n">
        <v>7</v>
      </c>
      <c r="D109" s="3" t="n">
        <v>5</v>
      </c>
    </row>
    <row r="110" customFormat="false" ht="15" hidden="false" customHeight="true" outlineLevel="0" collapsed="false">
      <c r="A110" s="3" t="n">
        <v>74763</v>
      </c>
      <c r="B110" s="3" t="s">
        <v>168</v>
      </c>
      <c r="C110" s="3" t="n">
        <v>10</v>
      </c>
      <c r="D110" s="3" t="n">
        <v>7</v>
      </c>
    </row>
    <row r="111" customFormat="false" ht="15" hidden="false" customHeight="true" outlineLevel="0" collapsed="false">
      <c r="A111" s="3" t="n">
        <v>66745</v>
      </c>
      <c r="B111" s="3" t="s">
        <v>134</v>
      </c>
      <c r="C111" s="3" t="n">
        <v>76</v>
      </c>
      <c r="D111" s="3" t="n">
        <v>53</v>
      </c>
    </row>
    <row r="112" customFormat="false" ht="15" hidden="false" customHeight="true" outlineLevel="0" collapsed="false">
      <c r="A112" s="3" t="n">
        <v>47877</v>
      </c>
      <c r="B112" s="3" t="s">
        <v>60</v>
      </c>
      <c r="C112" s="3" t="n">
        <v>15</v>
      </c>
      <c r="D112" s="3" t="n">
        <v>10</v>
      </c>
    </row>
    <row r="113" customFormat="false" ht="15" hidden="false" customHeight="true" outlineLevel="0" collapsed="false">
      <c r="A113" s="3" t="n">
        <v>63416</v>
      </c>
      <c r="B113" s="3" t="s">
        <v>112</v>
      </c>
      <c r="C113" s="3" t="n">
        <v>12</v>
      </c>
      <c r="D113" s="3" t="n">
        <v>8</v>
      </c>
    </row>
    <row r="114" customFormat="false" ht="15" hidden="false" customHeight="true" outlineLevel="0" collapsed="false">
      <c r="A114" s="3" t="n">
        <v>16244</v>
      </c>
      <c r="B114" s="3" t="s">
        <v>20</v>
      </c>
      <c r="C114" s="3" t="n">
        <v>3</v>
      </c>
      <c r="D114" s="3" t="n">
        <v>2</v>
      </c>
    </row>
    <row r="115" customFormat="false" ht="15" hidden="false" customHeight="true" outlineLevel="0" collapsed="false">
      <c r="A115" s="3" t="n">
        <v>31190</v>
      </c>
      <c r="B115" s="3" t="s">
        <v>49</v>
      </c>
      <c r="C115" s="3" t="n">
        <v>20</v>
      </c>
      <c r="D115" s="3" t="n">
        <v>12</v>
      </c>
    </row>
    <row r="116" customFormat="false" ht="15" hidden="false" customHeight="true" outlineLevel="0" collapsed="false">
      <c r="A116" s="3" t="n">
        <v>60484</v>
      </c>
      <c r="B116" s="3" t="s">
        <v>95</v>
      </c>
      <c r="C116" s="3" t="n">
        <v>10</v>
      </c>
      <c r="D116" s="3" t="n">
        <v>6</v>
      </c>
    </row>
    <row r="117" customFormat="false" ht="15" hidden="false" customHeight="true" outlineLevel="0" collapsed="false">
      <c r="A117" s="3" t="n">
        <v>67925</v>
      </c>
      <c r="B117" s="3" t="s">
        <v>141</v>
      </c>
      <c r="C117" s="3" t="n">
        <v>10</v>
      </c>
      <c r="D117" s="3" t="n">
        <v>6</v>
      </c>
    </row>
    <row r="118" customFormat="false" ht="15" hidden="false" customHeight="true" outlineLevel="0" collapsed="false">
      <c r="A118" s="3" t="n">
        <v>85165</v>
      </c>
      <c r="B118" s="3" t="s">
        <v>217</v>
      </c>
      <c r="C118" s="3" t="n">
        <v>9</v>
      </c>
      <c r="D118" s="3" t="n">
        <v>5</v>
      </c>
    </row>
    <row r="119" customFormat="false" ht="15" hidden="false" customHeight="true" outlineLevel="0" collapsed="false">
      <c r="A119" s="3" t="n">
        <v>67385</v>
      </c>
      <c r="B119" s="3" t="s">
        <v>138</v>
      </c>
      <c r="C119" s="3" t="n">
        <v>32</v>
      </c>
      <c r="D119" s="3" t="n">
        <v>17</v>
      </c>
    </row>
    <row r="120" customFormat="false" ht="15" hidden="false" customHeight="true" outlineLevel="0" collapsed="false">
      <c r="A120" s="3" t="n">
        <v>63417</v>
      </c>
      <c r="B120" s="3" t="s">
        <v>113</v>
      </c>
      <c r="C120" s="3" t="n">
        <v>8</v>
      </c>
      <c r="D120" s="3" t="n">
        <v>4</v>
      </c>
    </row>
    <row r="121" customFormat="false" ht="15" hidden="false" customHeight="true" outlineLevel="0" collapsed="false">
      <c r="A121" s="3" t="n">
        <v>74683</v>
      </c>
      <c r="B121" s="3" t="s">
        <v>159</v>
      </c>
      <c r="C121" s="3" t="n">
        <v>4</v>
      </c>
      <c r="D121" s="3" t="n">
        <v>2</v>
      </c>
    </row>
    <row r="122" customFormat="false" ht="15" hidden="false" customHeight="true" outlineLevel="0" collapsed="false">
      <c r="A122" s="3" t="n">
        <v>87819</v>
      </c>
      <c r="B122" s="3" t="s">
        <v>220</v>
      </c>
      <c r="C122" s="3" t="n">
        <v>4</v>
      </c>
      <c r="D122" s="3" t="n">
        <v>2</v>
      </c>
    </row>
    <row r="123" customFormat="false" ht="15" hidden="false" customHeight="true" outlineLevel="0" collapsed="false">
      <c r="A123" s="3" t="n">
        <v>52326</v>
      </c>
      <c r="B123" s="3" t="s">
        <v>73</v>
      </c>
      <c r="C123" s="3" t="n">
        <v>2</v>
      </c>
      <c r="D123" s="3" t="n">
        <v>1</v>
      </c>
    </row>
    <row r="124" customFormat="false" ht="15" hidden="false" customHeight="true" outlineLevel="0" collapsed="false">
      <c r="A124" s="3" t="n">
        <v>64637</v>
      </c>
      <c r="B124" s="3" t="s">
        <v>127</v>
      </c>
      <c r="C124" s="3" t="n">
        <v>2</v>
      </c>
      <c r="D124" s="3" t="n">
        <v>1</v>
      </c>
    </row>
    <row r="125" customFormat="false" ht="15" hidden="false" customHeight="true" outlineLevel="0" collapsed="false">
      <c r="A125" s="3" t="n">
        <v>74805</v>
      </c>
      <c r="B125" s="3" t="s">
        <v>173</v>
      </c>
      <c r="C125" s="3" t="n">
        <v>2</v>
      </c>
      <c r="D125" s="3" t="n">
        <v>1</v>
      </c>
    </row>
    <row r="126" customFormat="false" ht="15" hidden="false" customHeight="true" outlineLevel="0" collapsed="false">
      <c r="A126" s="3" t="n">
        <v>82551</v>
      </c>
      <c r="B126" s="3" t="s">
        <v>214</v>
      </c>
      <c r="C126" s="3" t="n">
        <v>2</v>
      </c>
      <c r="D126" s="3" t="n">
        <v>1</v>
      </c>
    </row>
    <row r="127" customFormat="false" ht="15" hidden="false" customHeight="true" outlineLevel="0" collapsed="false">
      <c r="A127" s="3" t="n">
        <v>52328</v>
      </c>
      <c r="B127" s="3" t="s">
        <v>74</v>
      </c>
      <c r="C127" s="3" t="n">
        <v>17</v>
      </c>
      <c r="D127" s="3" t="n">
        <v>8</v>
      </c>
    </row>
    <row r="128" customFormat="false" ht="15" hidden="false" customHeight="true" outlineLevel="0" collapsed="false">
      <c r="A128" s="3" t="n">
        <v>74710</v>
      </c>
      <c r="B128" s="3" t="s">
        <v>166</v>
      </c>
      <c r="C128" s="3" t="n">
        <v>9</v>
      </c>
      <c r="D128" s="3" t="n">
        <v>4</v>
      </c>
    </row>
    <row r="129" customFormat="false" ht="15" hidden="false" customHeight="true" outlineLevel="0" collapsed="false">
      <c r="A129" s="3" t="n">
        <v>88477</v>
      </c>
      <c r="B129" s="3" t="s">
        <v>225</v>
      </c>
      <c r="C129" s="3" t="n">
        <v>7</v>
      </c>
      <c r="D129" s="3" t="n">
        <v>3</v>
      </c>
    </row>
    <row r="130" customFormat="false" ht="15" hidden="false" customHeight="true" outlineLevel="0" collapsed="false">
      <c r="A130" s="3" t="n">
        <v>74764</v>
      </c>
      <c r="B130" s="3" t="s">
        <v>169</v>
      </c>
      <c r="C130" s="3" t="n">
        <v>10</v>
      </c>
      <c r="D130" s="3" t="n">
        <v>4</v>
      </c>
    </row>
    <row r="131" customFormat="false" ht="15" hidden="false" customHeight="true" outlineLevel="0" collapsed="false">
      <c r="A131" s="3" t="n">
        <v>49772</v>
      </c>
      <c r="B131" s="3" t="s">
        <v>63</v>
      </c>
      <c r="C131" s="3" t="n">
        <v>5</v>
      </c>
      <c r="D131" s="3" t="n">
        <v>2</v>
      </c>
    </row>
    <row r="132" customFormat="false" ht="15" hidden="false" customHeight="true" outlineLevel="0" collapsed="false">
      <c r="A132" s="3" t="n">
        <v>88474</v>
      </c>
      <c r="B132" s="3" t="s">
        <v>222</v>
      </c>
      <c r="C132" s="3" t="n">
        <v>6</v>
      </c>
      <c r="D132" s="3" t="n">
        <v>2</v>
      </c>
    </row>
    <row r="133" customFormat="false" ht="15" hidden="false" customHeight="true" outlineLevel="0" collapsed="false">
      <c r="A133" s="3" t="n">
        <v>16217</v>
      </c>
      <c r="B133" s="3" t="s">
        <v>17</v>
      </c>
      <c r="C133" s="3" t="n">
        <v>3</v>
      </c>
      <c r="D133" s="3" t="n">
        <v>1</v>
      </c>
    </row>
    <row r="134" customFormat="false" ht="15" hidden="false" customHeight="true" outlineLevel="0" collapsed="false">
      <c r="A134" s="3" t="n">
        <v>29984</v>
      </c>
      <c r="B134" s="3" t="s">
        <v>46</v>
      </c>
      <c r="C134" s="3" t="n">
        <v>3</v>
      </c>
      <c r="D134" s="3" t="n">
        <v>1</v>
      </c>
    </row>
    <row r="135" customFormat="false" ht="15" hidden="false" customHeight="true" outlineLevel="0" collapsed="false">
      <c r="A135" s="3" t="n">
        <v>16245</v>
      </c>
      <c r="B135" s="3" t="s">
        <v>21</v>
      </c>
      <c r="C135" s="3" t="n">
        <v>7</v>
      </c>
      <c r="D135" s="3" t="n">
        <v>2</v>
      </c>
    </row>
    <row r="136" customFormat="false" ht="15" hidden="false" customHeight="true" outlineLevel="0" collapsed="false">
      <c r="A136" s="3" t="n">
        <v>16237</v>
      </c>
      <c r="B136" s="3" t="s">
        <v>18</v>
      </c>
      <c r="C136" s="3" t="n">
        <v>4</v>
      </c>
      <c r="D136" s="3" t="n">
        <v>1</v>
      </c>
    </row>
    <row r="137" customFormat="false" ht="15" hidden="false" customHeight="true" outlineLevel="0" collapsed="false">
      <c r="A137" s="3" t="n">
        <v>29981</v>
      </c>
      <c r="B137" s="3" t="s">
        <v>45</v>
      </c>
      <c r="C137" s="3" t="n">
        <v>9</v>
      </c>
      <c r="D137" s="3" t="n">
        <v>2</v>
      </c>
    </row>
    <row r="138" customFormat="false" ht="15" hidden="false" customHeight="true" outlineLevel="0" collapsed="false">
      <c r="A138" s="3" t="n">
        <v>16212</v>
      </c>
      <c r="B138" s="3" t="s">
        <v>14</v>
      </c>
      <c r="C138" s="3" t="n">
        <v>15</v>
      </c>
      <c r="D138" s="3" t="n">
        <v>3</v>
      </c>
    </row>
    <row r="139" customFormat="false" ht="15" hidden="false" customHeight="true" outlineLevel="0" collapsed="false">
      <c r="A139" s="3" t="n">
        <v>16211</v>
      </c>
      <c r="B139" s="3" t="s">
        <v>13</v>
      </c>
      <c r="C139" s="3" t="n">
        <v>10</v>
      </c>
      <c r="D139" s="3" t="n">
        <v>2</v>
      </c>
    </row>
    <row r="140" customFormat="false" ht="15" hidden="false" customHeight="true" outlineLevel="0" collapsed="false">
      <c r="A140" s="3" t="n">
        <v>16239</v>
      </c>
      <c r="B140" s="3" t="s">
        <v>19</v>
      </c>
      <c r="C140" s="3" t="n">
        <v>5</v>
      </c>
      <c r="D140" s="3" t="n">
        <v>1</v>
      </c>
    </row>
    <row r="141" customFormat="false" ht="15" hidden="false" customHeight="true" outlineLevel="0" collapsed="false">
      <c r="A141" s="3" t="n">
        <v>86583</v>
      </c>
      <c r="B141" s="3" t="s">
        <v>219</v>
      </c>
      <c r="C141" s="3" t="n">
        <v>1</v>
      </c>
      <c r="D141" s="3" t="n">
        <v>0</v>
      </c>
    </row>
    <row r="142" customFormat="false" ht="15" hidden="false" customHeight="true" outlineLevel="0" collapsed="false">
      <c r="A142" s="3" t="n">
        <v>16214</v>
      </c>
      <c r="B142" s="3" t="s">
        <v>16</v>
      </c>
      <c r="C142" s="3" t="n">
        <v>2</v>
      </c>
      <c r="D142" s="3"/>
    </row>
    <row r="143" customFormat="false" ht="15" hidden="false" customHeight="true" outlineLevel="0" collapsed="false">
      <c r="A143" s="3" t="n">
        <v>28302</v>
      </c>
      <c r="B143" s="3" t="s">
        <v>36</v>
      </c>
      <c r="C143" s="3" t="n">
        <v>1</v>
      </c>
      <c r="D143" s="3"/>
    </row>
    <row r="144" customFormat="false" ht="15" hidden="false" customHeight="true" outlineLevel="0" collapsed="false">
      <c r="A144" s="3" t="n">
        <v>28323</v>
      </c>
      <c r="B144" s="3" t="s">
        <v>37</v>
      </c>
      <c r="C144" s="3" t="n">
        <v>1</v>
      </c>
      <c r="D144" s="3"/>
    </row>
    <row r="145" customFormat="false" ht="15" hidden="false" customHeight="true" outlineLevel="0" collapsed="false">
      <c r="A145" s="3" t="n">
        <v>34874</v>
      </c>
      <c r="B145" s="3" t="s">
        <v>50</v>
      </c>
      <c r="C145" s="3" t="n">
        <v>3</v>
      </c>
      <c r="D145" s="3"/>
    </row>
    <row r="146" customFormat="false" ht="15" hidden="false" customHeight="true" outlineLevel="0" collapsed="false">
      <c r="A146" s="3" t="n">
        <v>44007</v>
      </c>
      <c r="B146" s="3" t="s">
        <v>55</v>
      </c>
      <c r="C146" s="3" t="n">
        <v>2</v>
      </c>
      <c r="D146" s="3"/>
    </row>
    <row r="147" customFormat="false" ht="15" hidden="false" customHeight="true" outlineLevel="0" collapsed="false">
      <c r="A147" s="3" t="n">
        <v>46309</v>
      </c>
      <c r="B147" s="3" t="s">
        <v>58</v>
      </c>
      <c r="C147" s="3" t="n">
        <v>1</v>
      </c>
      <c r="D147" s="3"/>
    </row>
    <row r="148" customFormat="false" ht="15" hidden="false" customHeight="true" outlineLevel="0" collapsed="false">
      <c r="A148" s="3" t="n">
        <v>50055</v>
      </c>
      <c r="B148" s="3" t="s">
        <v>65</v>
      </c>
      <c r="C148" s="3" t="n">
        <v>1</v>
      </c>
      <c r="D148" s="3"/>
    </row>
    <row r="149" customFormat="false" ht="15" hidden="false" customHeight="true" outlineLevel="0" collapsed="false">
      <c r="A149" s="3" t="n">
        <v>50057</v>
      </c>
      <c r="B149" s="3" t="s">
        <v>66</v>
      </c>
      <c r="C149" s="3" t="n">
        <v>2</v>
      </c>
      <c r="D149" s="3"/>
    </row>
    <row r="150" customFormat="false" ht="15" hidden="false" customHeight="true" outlineLevel="0" collapsed="false">
      <c r="A150" s="3" t="n">
        <v>64631</v>
      </c>
      <c r="B150" s="3" t="s">
        <v>121</v>
      </c>
      <c r="C150" s="3" t="n">
        <v>2</v>
      </c>
      <c r="D150" s="3"/>
    </row>
    <row r="151" customFormat="false" ht="15" hidden="false" customHeight="true" outlineLevel="0" collapsed="false">
      <c r="A151" s="3" t="n">
        <v>67053</v>
      </c>
      <c r="B151" s="3" t="s">
        <v>135</v>
      </c>
      <c r="C151" s="3" t="n">
        <v>3</v>
      </c>
      <c r="D151" s="3"/>
    </row>
    <row r="152" customFormat="false" ht="15" hidden="false" customHeight="true" outlineLevel="0" collapsed="false">
      <c r="A152" s="3" t="n">
        <v>74806</v>
      </c>
      <c r="B152" s="3" t="s">
        <v>174</v>
      </c>
      <c r="C152" s="3" t="n">
        <v>1</v>
      </c>
      <c r="D152" s="3"/>
    </row>
    <row r="153" customFormat="false" ht="15" hidden="false" customHeight="true" outlineLevel="0" collapsed="false">
      <c r="A153" s="3" t="n">
        <v>74822</v>
      </c>
      <c r="B153" s="3" t="s">
        <v>178</v>
      </c>
      <c r="C153" s="3" t="n">
        <v>1</v>
      </c>
      <c r="D153" s="3"/>
    </row>
    <row r="154" customFormat="false" ht="15" hidden="false" customHeight="true" outlineLevel="0" collapsed="false">
      <c r="A154" s="3" t="n">
        <v>74826</v>
      </c>
      <c r="B154" s="3" t="s">
        <v>182</v>
      </c>
      <c r="C154" s="3" t="n">
        <v>2</v>
      </c>
      <c r="D154" s="3"/>
    </row>
    <row r="155" customFormat="false" ht="15" hidden="false" customHeight="true" outlineLevel="0" collapsed="false">
      <c r="A155" s="3" t="n">
        <v>74842</v>
      </c>
      <c r="B155" s="3" t="s">
        <v>185</v>
      </c>
      <c r="C155" s="3" t="n">
        <v>1</v>
      </c>
      <c r="D155" s="3"/>
    </row>
    <row r="156" customFormat="false" ht="15" hidden="false" customHeight="true" outlineLevel="0" collapsed="false">
      <c r="A156" s="3" t="n">
        <v>74920</v>
      </c>
      <c r="B156" s="3" t="s">
        <v>191</v>
      </c>
      <c r="C156" s="3" t="n">
        <v>1</v>
      </c>
      <c r="D156" s="3"/>
    </row>
    <row r="157" customFormat="false" ht="15" hidden="false" customHeight="true" outlineLevel="0" collapsed="false">
      <c r="A157" s="3" t="n">
        <v>88478</v>
      </c>
      <c r="B157" s="3" t="s">
        <v>236</v>
      </c>
      <c r="C157" s="3" t="n">
        <v>1</v>
      </c>
      <c r="D157" s="3"/>
    </row>
    <row r="158" customFormat="false" ht="15" hidden="false" customHeight="true" outlineLevel="0" collapsed="false">
      <c r="A158" s="3" t="n">
        <v>88480</v>
      </c>
      <c r="B158" s="3" t="s">
        <v>227</v>
      </c>
      <c r="C158" s="3" t="n">
        <v>1</v>
      </c>
      <c r="D158" s="3"/>
    </row>
    <row r="159" customFormat="false" ht="15" hidden="false" customHeight="true" outlineLevel="0" collapsed="false">
      <c r="A159" s="3" t="n">
        <v>43277</v>
      </c>
      <c r="B159" s="3" t="s">
        <v>53</v>
      </c>
      <c r="C159" s="3"/>
      <c r="D159" s="3" t="n">
        <v>20</v>
      </c>
    </row>
    <row r="160" customFormat="false" ht="15" hidden="false" customHeight="true" outlineLevel="0" collapsed="false">
      <c r="A160" s="3" t="n">
        <v>43283</v>
      </c>
      <c r="B160" s="3" t="s">
        <v>54</v>
      </c>
      <c r="C160" s="3"/>
      <c r="D160" s="3" t="n">
        <v>10</v>
      </c>
    </row>
    <row r="161" customFormat="false" ht="15" hidden="false" customHeight="true" outlineLevel="0" collapsed="false">
      <c r="A161" s="3" t="n">
        <v>43248</v>
      </c>
      <c r="B161" s="3" t="s">
        <v>232</v>
      </c>
      <c r="C161" s="3"/>
      <c r="D161" s="3" t="n">
        <v>7</v>
      </c>
    </row>
    <row r="162" customFormat="false" ht="15" hidden="false" customHeight="true" outlineLevel="0" collapsed="false">
      <c r="A162" s="3" t="n">
        <v>64635</v>
      </c>
      <c r="B162" s="3" t="s">
        <v>125</v>
      </c>
      <c r="C162" s="3"/>
      <c r="D162" s="3" t="n">
        <v>7</v>
      </c>
    </row>
    <row r="163" customFormat="false" ht="15" hidden="false" customHeight="true" outlineLevel="0" collapsed="false">
      <c r="A163" s="3" t="n">
        <v>68751</v>
      </c>
      <c r="B163" s="3" t="s">
        <v>148</v>
      </c>
      <c r="C163" s="3"/>
      <c r="D163" s="3" t="n">
        <v>6</v>
      </c>
    </row>
    <row r="164" customFormat="false" ht="15" hidden="false" customHeight="true" outlineLevel="0" collapsed="false">
      <c r="A164" s="3" t="n">
        <v>74687</v>
      </c>
      <c r="B164" s="3" t="s">
        <v>162</v>
      </c>
      <c r="C164" s="3"/>
      <c r="D164" s="3" t="n">
        <v>4</v>
      </c>
    </row>
    <row r="165" customFormat="false" ht="15" hidden="false" customHeight="true" outlineLevel="0" collapsed="false">
      <c r="A165" s="3" t="n">
        <v>74827</v>
      </c>
      <c r="B165" s="3" t="s">
        <v>183</v>
      </c>
      <c r="C165" s="3"/>
      <c r="D165" s="3" t="n">
        <v>3</v>
      </c>
    </row>
    <row r="166" customFormat="false" ht="15" hidden="false" customHeight="true" outlineLevel="0" collapsed="false">
      <c r="A166" s="3" t="n">
        <v>74807</v>
      </c>
      <c r="B166" s="3" t="s">
        <v>175</v>
      </c>
      <c r="C166" s="3"/>
      <c r="D166" s="3" t="n">
        <v>2</v>
      </c>
    </row>
    <row r="167" customFormat="false" ht="15" hidden="false" customHeight="true" outlineLevel="0" collapsed="false">
      <c r="A167" s="3" t="n">
        <v>74846</v>
      </c>
      <c r="B167" s="3" t="s">
        <v>186</v>
      </c>
      <c r="C167" s="3"/>
      <c r="D167" s="3" t="n">
        <v>2</v>
      </c>
    </row>
    <row r="168" customFormat="false" ht="15" hidden="false" customHeight="true" outlineLevel="0" collapsed="false">
      <c r="A168" s="3" t="n">
        <v>74848</v>
      </c>
      <c r="B168" s="3" t="s">
        <v>188</v>
      </c>
      <c r="C168" s="3"/>
      <c r="D168" s="3" t="n">
        <v>2</v>
      </c>
    </row>
    <row r="169" customFormat="false" ht="15" hidden="false" customHeight="true" outlineLevel="0" collapsed="false">
      <c r="A169" s="3" t="n">
        <v>87828</v>
      </c>
      <c r="B169" s="3" t="s">
        <v>221</v>
      </c>
      <c r="C169" s="3"/>
      <c r="D169" s="3" t="n">
        <v>2</v>
      </c>
    </row>
    <row r="170" customFormat="false" ht="15" hidden="false" customHeight="true" outlineLevel="0" collapsed="false">
      <c r="A170" s="3" t="n">
        <v>20996</v>
      </c>
      <c r="B170" s="3" t="s">
        <v>26</v>
      </c>
      <c r="C170" s="3"/>
      <c r="D170" s="3" t="n">
        <v>1</v>
      </c>
    </row>
    <row r="171" customFormat="false" ht="15" hidden="false" customHeight="true" outlineLevel="0" collapsed="false">
      <c r="A171" s="3" t="n">
        <v>33829</v>
      </c>
      <c r="B171" s="3" t="s">
        <v>229</v>
      </c>
      <c r="C171" s="3"/>
      <c r="D171" s="3" t="n">
        <v>1</v>
      </c>
    </row>
    <row r="172" customFormat="false" ht="15" hidden="false" customHeight="true" outlineLevel="0" collapsed="false">
      <c r="A172" s="3" t="n">
        <v>46306</v>
      </c>
      <c r="B172" s="3" t="s">
        <v>57</v>
      </c>
      <c r="C172" s="3"/>
      <c r="D172" s="3" t="n">
        <v>1</v>
      </c>
    </row>
    <row r="173" customFormat="false" ht="15" hidden="false" customHeight="true" outlineLevel="0" collapsed="false">
      <c r="A173" s="3" t="n">
        <v>64630</v>
      </c>
      <c r="B173" s="3" t="s">
        <v>120</v>
      </c>
      <c r="C173" s="3"/>
      <c r="D173" s="3" t="n">
        <v>1</v>
      </c>
    </row>
    <row r="174" customFormat="false" ht="15" hidden="false" customHeight="true" outlineLevel="0" collapsed="false">
      <c r="A174" s="3" t="n">
        <v>64632</v>
      </c>
      <c r="B174" s="3" t="s">
        <v>122</v>
      </c>
      <c r="C174" s="3"/>
      <c r="D174" s="3" t="n">
        <v>1</v>
      </c>
    </row>
    <row r="175" customFormat="false" ht="15" hidden="false" customHeight="true" outlineLevel="0" collapsed="false">
      <c r="A175" s="3" t="n">
        <v>67056</v>
      </c>
      <c r="B175" s="3" t="s">
        <v>137</v>
      </c>
      <c r="C175" s="3"/>
      <c r="D175" s="3" t="n">
        <v>1</v>
      </c>
    </row>
    <row r="176" customFormat="false" ht="15" hidden="false" customHeight="true" outlineLevel="0" collapsed="false">
      <c r="A176" s="3" t="n">
        <v>67927</v>
      </c>
      <c r="B176" s="3" t="s">
        <v>235</v>
      </c>
      <c r="C176" s="3"/>
      <c r="D176" s="3" t="n">
        <v>1</v>
      </c>
    </row>
    <row r="177" customFormat="false" ht="15" hidden="false" customHeight="true" outlineLevel="0" collapsed="false">
      <c r="A177" s="3" t="n">
        <v>67949</v>
      </c>
      <c r="B177" s="3" t="s">
        <v>144</v>
      </c>
      <c r="C177" s="3"/>
      <c r="D177" s="3" t="n">
        <v>1</v>
      </c>
    </row>
    <row r="178" customFormat="false" ht="15" hidden="false" customHeight="true" outlineLevel="0" collapsed="false">
      <c r="A178" s="3" t="n">
        <v>71085</v>
      </c>
      <c r="B178" s="3" t="s">
        <v>149</v>
      </c>
      <c r="C178" s="3"/>
      <c r="D178" s="3" t="n">
        <v>1</v>
      </c>
    </row>
    <row r="179" customFormat="false" ht="15" hidden="false" customHeight="true" outlineLevel="0" collapsed="false">
      <c r="A179" s="3" t="n">
        <v>74671</v>
      </c>
      <c r="B179" s="3" t="s">
        <v>156</v>
      </c>
      <c r="C179" s="3"/>
      <c r="D179" s="3" t="n">
        <v>1</v>
      </c>
    </row>
    <row r="180" customFormat="false" ht="15" hidden="false" customHeight="true" outlineLevel="0" collapsed="false">
      <c r="A180" s="3" t="n">
        <v>74823</v>
      </c>
      <c r="B180" s="3" t="s">
        <v>179</v>
      </c>
      <c r="C180" s="3"/>
      <c r="D180" s="3" t="n">
        <v>1</v>
      </c>
    </row>
    <row r="181" customFormat="false" ht="15" hidden="false" customHeight="true" outlineLevel="0" collapsed="false">
      <c r="A181" s="3" t="n">
        <v>74930</v>
      </c>
      <c r="B181" s="3" t="s">
        <v>192</v>
      </c>
      <c r="C181" s="3"/>
      <c r="D181" s="3" t="n">
        <v>1</v>
      </c>
    </row>
    <row r="182" customFormat="false" ht="15" hidden="false" customHeight="true" outlineLevel="0" collapsed="false">
      <c r="A182" s="3" t="n">
        <v>74987</v>
      </c>
      <c r="B182" s="3" t="s">
        <v>195</v>
      </c>
      <c r="C182" s="3"/>
      <c r="D182" s="3" t="n">
        <v>1</v>
      </c>
    </row>
    <row r="183" customFormat="false" ht="15" hidden="false" customHeight="true" outlineLevel="0" collapsed="false">
      <c r="A183" s="3" t="n">
        <v>74988</v>
      </c>
      <c r="B183" s="3" t="s">
        <v>196</v>
      </c>
      <c r="C183" s="3"/>
      <c r="D183" s="3" t="n">
        <v>1</v>
      </c>
    </row>
    <row r="184" customFormat="false" ht="15" hidden="false" customHeight="true" outlineLevel="0" collapsed="false">
      <c r="A184" s="3" t="n">
        <v>74989</v>
      </c>
      <c r="B184" s="3" t="s">
        <v>197</v>
      </c>
      <c r="C184" s="3"/>
      <c r="D184" s="3" t="n">
        <v>1</v>
      </c>
    </row>
    <row r="185" customFormat="false" ht="15" hidden="false" customHeight="true" outlineLevel="0" collapsed="false">
      <c r="A185" s="3" t="n">
        <v>63406</v>
      </c>
      <c r="B185" s="3" t="s">
        <v>108</v>
      </c>
      <c r="C185" s="3"/>
      <c r="D185" s="3" t="n">
        <v>-1</v>
      </c>
    </row>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4"/>
  </cols>
  <sheetData>
    <row r="1" customFormat="false" ht="16.5" hidden="false" customHeight="true" outlineLevel="0" collapsed="false">
      <c r="A1" s="2" t="s">
        <v>288</v>
      </c>
    </row>
    <row r="2" customFormat="false" ht="15" hidden="false" customHeight="true" outlineLevel="0" collapsed="false">
      <c r="A2" s="17" t="s">
        <v>3</v>
      </c>
      <c r="B2" s="17" t="s">
        <v>4</v>
      </c>
      <c r="C2" s="17" t="s">
        <v>289</v>
      </c>
      <c r="D2" s="17" t="s">
        <v>290</v>
      </c>
    </row>
    <row r="3" customFormat="false" ht="15" hidden="false" customHeight="true" outlineLevel="0" collapsed="false">
      <c r="A3" s="3" t="n">
        <v>18559</v>
      </c>
      <c r="B3" s="3" t="s">
        <v>22</v>
      </c>
      <c r="C3" s="3" t="n">
        <v>1</v>
      </c>
      <c r="D3" s="3" t="n">
        <v>12</v>
      </c>
    </row>
    <row r="4" customFormat="false" ht="15" hidden="false" customHeight="true" outlineLevel="0" collapsed="false">
      <c r="A4" s="3" t="n">
        <v>74683</v>
      </c>
      <c r="B4" s="3" t="s">
        <v>159</v>
      </c>
      <c r="C4" s="3" t="n">
        <v>1</v>
      </c>
      <c r="D4" s="3" t="n">
        <v>7</v>
      </c>
    </row>
    <row r="5" customFormat="false" ht="15" hidden="false" customHeight="true" outlineLevel="0" collapsed="false">
      <c r="A5" s="3" t="n">
        <v>64635</v>
      </c>
      <c r="B5" s="3" t="s">
        <v>125</v>
      </c>
      <c r="C5" s="3" t="n">
        <v>1</v>
      </c>
      <c r="D5" s="3" t="n">
        <v>5</v>
      </c>
    </row>
    <row r="6" customFormat="false" ht="15" hidden="false" customHeight="true" outlineLevel="0" collapsed="false">
      <c r="A6" s="3" t="n">
        <v>75762</v>
      </c>
      <c r="B6" s="3" t="s">
        <v>198</v>
      </c>
      <c r="C6" s="3" t="n">
        <v>2</v>
      </c>
      <c r="D6" s="3" t="n">
        <v>8</v>
      </c>
    </row>
    <row r="7" customFormat="false" ht="15" hidden="false" customHeight="true" outlineLevel="0" collapsed="false">
      <c r="A7" s="3" t="n">
        <v>65743</v>
      </c>
      <c r="B7" s="3" t="s">
        <v>132</v>
      </c>
      <c r="C7" s="3" t="n">
        <v>2</v>
      </c>
      <c r="D7" s="3" t="n">
        <v>7</v>
      </c>
    </row>
    <row r="8" customFormat="false" ht="15" hidden="false" customHeight="true" outlineLevel="0" collapsed="false">
      <c r="A8" s="3" t="n">
        <v>75763</v>
      </c>
      <c r="B8" s="3" t="s">
        <v>199</v>
      </c>
      <c r="C8" s="3" t="n">
        <v>2</v>
      </c>
      <c r="D8" s="3" t="n">
        <v>7</v>
      </c>
    </row>
    <row r="9" customFormat="false" ht="15" hidden="false" customHeight="true" outlineLevel="0" collapsed="false">
      <c r="A9" s="3" t="n">
        <v>16244</v>
      </c>
      <c r="B9" s="3" t="s">
        <v>20</v>
      </c>
      <c r="C9" s="3" t="n">
        <v>2</v>
      </c>
      <c r="D9" s="3" t="n">
        <v>6</v>
      </c>
    </row>
    <row r="10" customFormat="false" ht="15" hidden="false" customHeight="true" outlineLevel="0" collapsed="false">
      <c r="A10" s="3" t="n">
        <v>74821</v>
      </c>
      <c r="B10" s="3" t="s">
        <v>177</v>
      </c>
      <c r="C10" s="3" t="n">
        <v>1</v>
      </c>
      <c r="D10" s="3" t="n">
        <v>3</v>
      </c>
    </row>
    <row r="11" customFormat="false" ht="15" hidden="false" customHeight="true" outlineLevel="0" collapsed="false">
      <c r="A11" s="3" t="n">
        <v>71087</v>
      </c>
      <c r="B11" s="3" t="s">
        <v>151</v>
      </c>
      <c r="C11" s="3" t="n">
        <v>6</v>
      </c>
      <c r="D11" s="3" t="n">
        <v>15</v>
      </c>
    </row>
    <row r="12" customFormat="false" ht="15" hidden="false" customHeight="true" outlineLevel="0" collapsed="false">
      <c r="A12" s="3" t="n">
        <v>16214</v>
      </c>
      <c r="B12" s="3" t="s">
        <v>16</v>
      </c>
      <c r="C12" s="3" t="n">
        <v>2</v>
      </c>
      <c r="D12" s="3" t="n">
        <v>5</v>
      </c>
    </row>
    <row r="13" customFormat="false" ht="15" hidden="false" customHeight="true" outlineLevel="0" collapsed="false">
      <c r="A13" s="3" t="n">
        <v>74846</v>
      </c>
      <c r="B13" s="3" t="s">
        <v>186</v>
      </c>
      <c r="C13" s="3" t="n">
        <v>2</v>
      </c>
      <c r="D13" s="3" t="n">
        <v>5</v>
      </c>
    </row>
    <row r="14" customFormat="false" ht="15" hidden="false" customHeight="true" outlineLevel="0" collapsed="false">
      <c r="A14" s="3" t="n">
        <v>74710</v>
      </c>
      <c r="B14" s="3" t="s">
        <v>166</v>
      </c>
      <c r="C14" s="3" t="n">
        <v>7</v>
      </c>
      <c r="D14" s="3" t="n">
        <v>17</v>
      </c>
    </row>
    <row r="15" customFormat="false" ht="15" hidden="false" customHeight="true" outlineLevel="0" collapsed="false">
      <c r="A15" s="3" t="n">
        <v>82207</v>
      </c>
      <c r="B15" s="3" t="s">
        <v>211</v>
      </c>
      <c r="C15" s="3" t="n">
        <v>7</v>
      </c>
      <c r="D15" s="3" t="n">
        <v>16</v>
      </c>
    </row>
    <row r="16" customFormat="false" ht="15" hidden="false" customHeight="true" outlineLevel="0" collapsed="false">
      <c r="A16" s="3" t="n">
        <v>42964</v>
      </c>
      <c r="B16" s="3" t="s">
        <v>52</v>
      </c>
      <c r="C16" s="3" t="n">
        <v>4</v>
      </c>
      <c r="D16" s="3" t="n">
        <v>9</v>
      </c>
    </row>
    <row r="17" customFormat="false" ht="15" hidden="false" customHeight="true" outlineLevel="0" collapsed="false">
      <c r="A17" s="3" t="n">
        <v>63366</v>
      </c>
      <c r="B17" s="3" t="s">
        <v>103</v>
      </c>
      <c r="C17" s="3" t="n">
        <v>18</v>
      </c>
      <c r="D17" s="3" t="n">
        <v>37</v>
      </c>
    </row>
    <row r="18" customFormat="false" ht="15" hidden="false" customHeight="true" outlineLevel="0" collapsed="false">
      <c r="A18" s="3" t="n">
        <v>76452</v>
      </c>
      <c r="B18" s="3" t="s">
        <v>204</v>
      </c>
      <c r="C18" s="3" t="n">
        <v>12</v>
      </c>
      <c r="D18" s="3" t="n">
        <v>24</v>
      </c>
    </row>
    <row r="19" customFormat="false" ht="15" hidden="false" customHeight="true" outlineLevel="0" collapsed="false">
      <c r="A19" s="3" t="n">
        <v>57696</v>
      </c>
      <c r="B19" s="3" t="s">
        <v>83</v>
      </c>
      <c r="C19" s="3" t="n">
        <v>4</v>
      </c>
      <c r="D19" s="3" t="n">
        <v>8</v>
      </c>
    </row>
    <row r="20" customFormat="false" ht="15" hidden="false" customHeight="true" outlineLevel="0" collapsed="false">
      <c r="A20" s="3" t="n">
        <v>71086</v>
      </c>
      <c r="B20" s="3" t="s">
        <v>150</v>
      </c>
      <c r="C20" s="3" t="n">
        <v>4</v>
      </c>
      <c r="D20" s="3" t="n">
        <v>8</v>
      </c>
    </row>
    <row r="21" customFormat="false" ht="15" hidden="false" customHeight="true" outlineLevel="0" collapsed="false">
      <c r="A21" s="3" t="n">
        <v>87819</v>
      </c>
      <c r="B21" s="3" t="s">
        <v>220</v>
      </c>
      <c r="C21" s="3" t="n">
        <v>3</v>
      </c>
      <c r="D21" s="3" t="n">
        <v>6</v>
      </c>
    </row>
    <row r="22" customFormat="false" ht="15" hidden="false" customHeight="true" outlineLevel="0" collapsed="false">
      <c r="A22" s="3" t="n">
        <v>52326</v>
      </c>
      <c r="B22" s="3" t="s">
        <v>73</v>
      </c>
      <c r="C22" s="3" t="n">
        <v>2</v>
      </c>
      <c r="D22" s="3" t="n">
        <v>4</v>
      </c>
    </row>
    <row r="23" customFormat="false" ht="15" hidden="false" customHeight="true" outlineLevel="0" collapsed="false">
      <c r="A23" s="3" t="n">
        <v>68751</v>
      </c>
      <c r="B23" s="3" t="s">
        <v>148</v>
      </c>
      <c r="C23" s="3" t="n">
        <v>2</v>
      </c>
      <c r="D23" s="3" t="n">
        <v>4</v>
      </c>
    </row>
    <row r="24" customFormat="false" ht="15" hidden="false" customHeight="true" outlineLevel="0" collapsed="false">
      <c r="A24" s="3" t="n">
        <v>19083</v>
      </c>
      <c r="B24" s="3" t="s">
        <v>24</v>
      </c>
      <c r="C24" s="3" t="n">
        <v>1</v>
      </c>
      <c r="D24" s="3" t="n">
        <v>2</v>
      </c>
    </row>
    <row r="25" customFormat="false" ht="15" hidden="false" customHeight="true" outlineLevel="0" collapsed="false">
      <c r="A25" s="3" t="n">
        <v>45264</v>
      </c>
      <c r="B25" s="3" t="s">
        <v>56</v>
      </c>
      <c r="C25" s="3" t="n">
        <v>1</v>
      </c>
      <c r="D25" s="3" t="n">
        <v>2</v>
      </c>
    </row>
    <row r="26" customFormat="false" ht="15" hidden="false" customHeight="true" outlineLevel="0" collapsed="false">
      <c r="A26" s="3" t="n">
        <v>46308</v>
      </c>
      <c r="B26" s="3" t="s">
        <v>234</v>
      </c>
      <c r="C26" s="3" t="n">
        <v>1</v>
      </c>
      <c r="D26" s="3" t="n">
        <v>2</v>
      </c>
    </row>
    <row r="27" customFormat="false" ht="15" hidden="false" customHeight="true" outlineLevel="0" collapsed="false">
      <c r="A27" s="3" t="n">
        <v>74688</v>
      </c>
      <c r="B27" s="3" t="s">
        <v>163</v>
      </c>
      <c r="C27" s="3" t="n">
        <v>1</v>
      </c>
      <c r="D27" s="3" t="n">
        <v>2</v>
      </c>
    </row>
    <row r="28" customFormat="false" ht="15" hidden="false" customHeight="true" outlineLevel="0" collapsed="false">
      <c r="A28" s="3" t="n">
        <v>23008</v>
      </c>
      <c r="B28" s="3" t="s">
        <v>32</v>
      </c>
      <c r="C28" s="3" t="n">
        <v>19</v>
      </c>
      <c r="D28" s="3" t="n">
        <v>36</v>
      </c>
    </row>
    <row r="29" customFormat="false" ht="15" hidden="false" customHeight="true" outlineLevel="0" collapsed="false">
      <c r="A29" s="3" t="n">
        <v>82206</v>
      </c>
      <c r="B29" s="3" t="s">
        <v>210</v>
      </c>
      <c r="C29" s="3" t="n">
        <v>46</v>
      </c>
      <c r="D29" s="3" t="n">
        <v>81</v>
      </c>
    </row>
    <row r="30" customFormat="false" ht="15" hidden="false" customHeight="true" outlineLevel="0" collapsed="false">
      <c r="A30" s="3" t="n">
        <v>16245</v>
      </c>
      <c r="B30" s="3" t="s">
        <v>21</v>
      </c>
      <c r="C30" s="3" t="n">
        <v>4</v>
      </c>
      <c r="D30" s="3" t="n">
        <v>7</v>
      </c>
    </row>
    <row r="31" customFormat="false" ht="15" hidden="false" customHeight="true" outlineLevel="0" collapsed="false">
      <c r="A31" s="3" t="n">
        <v>85165</v>
      </c>
      <c r="B31" s="3" t="s">
        <v>217</v>
      </c>
      <c r="C31" s="3" t="n">
        <v>7</v>
      </c>
      <c r="D31" s="3" t="n">
        <v>12</v>
      </c>
    </row>
    <row r="32" customFormat="false" ht="15" hidden="false" customHeight="true" outlineLevel="0" collapsed="false">
      <c r="A32" s="3" t="n">
        <v>60472</v>
      </c>
      <c r="B32" s="3" t="s">
        <v>90</v>
      </c>
      <c r="C32" s="3" t="n">
        <v>30</v>
      </c>
      <c r="D32" s="3" t="n">
        <v>50</v>
      </c>
    </row>
    <row r="33" customFormat="false" ht="15" hidden="false" customHeight="true" outlineLevel="0" collapsed="false">
      <c r="A33" s="3" t="n">
        <v>52324</v>
      </c>
      <c r="B33" s="3" t="s">
        <v>72</v>
      </c>
      <c r="C33" s="3" t="n">
        <v>6</v>
      </c>
      <c r="D33" s="3" t="n">
        <v>10</v>
      </c>
    </row>
    <row r="34" customFormat="false" ht="15" hidden="false" customHeight="true" outlineLevel="0" collapsed="false">
      <c r="A34" s="3" t="n">
        <v>61962</v>
      </c>
      <c r="B34" s="3" t="s">
        <v>99</v>
      </c>
      <c r="C34" s="3" t="n">
        <v>5</v>
      </c>
      <c r="D34" s="3" t="n">
        <v>8</v>
      </c>
    </row>
    <row r="35" customFormat="false" ht="15" hidden="false" customHeight="true" outlineLevel="0" collapsed="false">
      <c r="A35" s="3" t="n">
        <v>74682</v>
      </c>
      <c r="B35" s="3" t="s">
        <v>158</v>
      </c>
      <c r="C35" s="3" t="n">
        <v>5</v>
      </c>
      <c r="D35" s="3" t="n">
        <v>8</v>
      </c>
    </row>
    <row r="36" customFormat="false" ht="15" hidden="false" customHeight="true" outlineLevel="0" collapsed="false">
      <c r="A36" s="3" t="n">
        <v>74708</v>
      </c>
      <c r="B36" s="3" t="s">
        <v>164</v>
      </c>
      <c r="C36" s="3" t="n">
        <v>19</v>
      </c>
      <c r="D36" s="3" t="n">
        <v>30</v>
      </c>
    </row>
    <row r="37" customFormat="false" ht="15" hidden="false" customHeight="true" outlineLevel="0" collapsed="false">
      <c r="A37" s="3" t="n">
        <v>67935</v>
      </c>
      <c r="B37" s="3" t="s">
        <v>142</v>
      </c>
      <c r="C37" s="3" t="n">
        <v>6</v>
      </c>
      <c r="D37" s="3" t="n">
        <v>9</v>
      </c>
    </row>
    <row r="38" customFormat="false" ht="15" hidden="false" customHeight="true" outlineLevel="0" collapsed="false">
      <c r="A38" s="3" t="n">
        <v>20998</v>
      </c>
      <c r="B38" s="3" t="s">
        <v>27</v>
      </c>
      <c r="C38" s="3" t="n">
        <v>4</v>
      </c>
      <c r="D38" s="3" t="n">
        <v>6</v>
      </c>
    </row>
    <row r="39" customFormat="false" ht="15" hidden="false" customHeight="true" outlineLevel="0" collapsed="false">
      <c r="A39" s="3" t="n">
        <v>74764</v>
      </c>
      <c r="B39" s="3" t="s">
        <v>169</v>
      </c>
      <c r="C39" s="3" t="n">
        <v>4</v>
      </c>
      <c r="D39" s="3" t="n">
        <v>6</v>
      </c>
    </row>
    <row r="40" customFormat="false" ht="15" hidden="false" customHeight="true" outlineLevel="0" collapsed="false">
      <c r="A40" s="3" t="n">
        <v>74799</v>
      </c>
      <c r="B40" s="3" t="s">
        <v>170</v>
      </c>
      <c r="C40" s="3" t="n">
        <v>28</v>
      </c>
      <c r="D40" s="3" t="n">
        <v>41</v>
      </c>
    </row>
    <row r="41" customFormat="false" ht="15" hidden="false" customHeight="true" outlineLevel="0" collapsed="false">
      <c r="A41" s="3" t="n">
        <v>60476</v>
      </c>
      <c r="B41" s="3" t="s">
        <v>93</v>
      </c>
      <c r="C41" s="3" t="n">
        <v>26</v>
      </c>
      <c r="D41" s="3" t="n">
        <v>38</v>
      </c>
    </row>
    <row r="42" customFormat="false" ht="15" hidden="false" customHeight="true" outlineLevel="0" collapsed="false">
      <c r="A42" s="3" t="n">
        <v>85338</v>
      </c>
      <c r="B42" s="3" t="s">
        <v>218</v>
      </c>
      <c r="C42" s="3" t="n">
        <v>11</v>
      </c>
      <c r="D42" s="3" t="n">
        <v>16</v>
      </c>
    </row>
    <row r="43" customFormat="false" ht="15" hidden="false" customHeight="true" outlineLevel="0" collapsed="false">
      <c r="A43" s="3" t="n">
        <v>74801</v>
      </c>
      <c r="B43" s="3" t="s">
        <v>172</v>
      </c>
      <c r="C43" s="3" t="n">
        <v>25</v>
      </c>
      <c r="D43" s="3" t="n">
        <v>36</v>
      </c>
    </row>
    <row r="44" customFormat="false" ht="15" hidden="false" customHeight="true" outlineLevel="0" collapsed="false">
      <c r="A44" s="3" t="n">
        <v>76453</v>
      </c>
      <c r="B44" s="3" t="s">
        <v>205</v>
      </c>
      <c r="C44" s="3" t="n">
        <v>8</v>
      </c>
      <c r="D44" s="3" t="n">
        <v>11</v>
      </c>
    </row>
    <row r="45" customFormat="false" ht="15" hidden="false" customHeight="true" outlineLevel="0" collapsed="false">
      <c r="A45" s="3" t="n">
        <v>31183</v>
      </c>
      <c r="B45" s="3" t="s">
        <v>47</v>
      </c>
      <c r="C45" s="3" t="n">
        <v>20</v>
      </c>
      <c r="D45" s="3" t="n">
        <v>27</v>
      </c>
    </row>
    <row r="46" customFormat="false" ht="15" hidden="false" customHeight="true" outlineLevel="0" collapsed="false">
      <c r="A46" s="3" t="n">
        <v>63368</v>
      </c>
      <c r="B46" s="3" t="s">
        <v>105</v>
      </c>
      <c r="C46" s="3" t="n">
        <v>18</v>
      </c>
      <c r="D46" s="3" t="n">
        <v>24</v>
      </c>
    </row>
    <row r="47" customFormat="false" ht="15" hidden="false" customHeight="true" outlineLevel="0" collapsed="false">
      <c r="A47" s="3" t="n">
        <v>74684</v>
      </c>
      <c r="B47" s="3" t="s">
        <v>160</v>
      </c>
      <c r="C47" s="3" t="n">
        <v>9</v>
      </c>
      <c r="D47" s="3" t="n">
        <v>12</v>
      </c>
    </row>
    <row r="48" customFormat="false" ht="15" hidden="false" customHeight="true" outlineLevel="0" collapsed="false">
      <c r="A48" s="3" t="n">
        <v>20996</v>
      </c>
      <c r="B48" s="3" t="s">
        <v>26</v>
      </c>
      <c r="C48" s="3" t="n">
        <v>3</v>
      </c>
      <c r="D48" s="3" t="n">
        <v>4</v>
      </c>
    </row>
    <row r="49" customFormat="false" ht="15" hidden="false" customHeight="true" outlineLevel="0" collapsed="false">
      <c r="A49" s="3" t="n">
        <v>63419</v>
      </c>
      <c r="B49" s="3" t="s">
        <v>115</v>
      </c>
      <c r="C49" s="3" t="n">
        <v>3</v>
      </c>
      <c r="D49" s="3" t="n">
        <v>4</v>
      </c>
    </row>
    <row r="50" customFormat="false" ht="15" hidden="false" customHeight="true" outlineLevel="0" collapsed="false">
      <c r="A50" s="3" t="n">
        <v>57662</v>
      </c>
      <c r="B50" s="3" t="s">
        <v>80</v>
      </c>
      <c r="C50" s="3" t="n">
        <v>7</v>
      </c>
      <c r="D50" s="3" t="n">
        <v>9</v>
      </c>
    </row>
    <row r="51" customFormat="false" ht="15" hidden="false" customHeight="true" outlineLevel="0" collapsed="false">
      <c r="A51" s="3" t="n">
        <v>8616</v>
      </c>
      <c r="B51" s="3" t="s">
        <v>9</v>
      </c>
      <c r="C51" s="3" t="n">
        <v>15</v>
      </c>
      <c r="D51" s="3" t="n">
        <v>19</v>
      </c>
    </row>
    <row r="52" customFormat="false" ht="15" hidden="false" customHeight="true" outlineLevel="0" collapsed="false">
      <c r="A52" s="3" t="n">
        <v>51568</v>
      </c>
      <c r="B52" s="3" t="s">
        <v>69</v>
      </c>
      <c r="C52" s="3" t="n">
        <v>51</v>
      </c>
      <c r="D52" s="3" t="n">
        <v>64</v>
      </c>
    </row>
    <row r="53" customFormat="false" ht="15" hidden="false" customHeight="true" outlineLevel="0" collapsed="false">
      <c r="A53" s="3" t="n">
        <v>9772</v>
      </c>
      <c r="B53" s="3" t="s">
        <v>12</v>
      </c>
      <c r="C53" s="3" t="n">
        <v>20</v>
      </c>
      <c r="D53" s="3" t="n">
        <v>25</v>
      </c>
    </row>
    <row r="54" customFormat="false" ht="15" hidden="false" customHeight="true" outlineLevel="0" collapsed="false">
      <c r="A54" s="3" t="n">
        <v>63422</v>
      </c>
      <c r="B54" s="3" t="s">
        <v>118</v>
      </c>
      <c r="C54" s="3" t="n">
        <v>8</v>
      </c>
      <c r="D54" s="3" t="n">
        <v>10</v>
      </c>
    </row>
    <row r="55" customFormat="false" ht="15" hidden="false" customHeight="true" outlineLevel="0" collapsed="false">
      <c r="A55" s="3" t="n">
        <v>71088</v>
      </c>
      <c r="B55" s="3" t="s">
        <v>152</v>
      </c>
      <c r="C55" s="3" t="n">
        <v>8</v>
      </c>
      <c r="D55" s="3" t="n">
        <v>10</v>
      </c>
    </row>
    <row r="56" customFormat="false" ht="15" hidden="false" customHeight="true" outlineLevel="0" collapsed="false">
      <c r="A56" s="3" t="n">
        <v>74800</v>
      </c>
      <c r="B56" s="3" t="s">
        <v>171</v>
      </c>
      <c r="C56" s="3" t="n">
        <v>26</v>
      </c>
      <c r="D56" s="3" t="n">
        <v>32</v>
      </c>
    </row>
    <row r="57" customFormat="false" ht="15" hidden="false" customHeight="true" outlineLevel="0" collapsed="false">
      <c r="A57" s="3" t="n">
        <v>65243</v>
      </c>
      <c r="B57" s="3" t="s">
        <v>131</v>
      </c>
      <c r="C57" s="3" t="n">
        <v>22</v>
      </c>
      <c r="D57" s="3" t="n">
        <v>27</v>
      </c>
    </row>
    <row r="58" customFormat="false" ht="15" hidden="false" customHeight="true" outlineLevel="0" collapsed="false">
      <c r="A58" s="3" t="n">
        <v>82202</v>
      </c>
      <c r="B58" s="3" t="s">
        <v>209</v>
      </c>
      <c r="C58" s="3" t="n">
        <v>18</v>
      </c>
      <c r="D58" s="3" t="n">
        <v>22</v>
      </c>
    </row>
    <row r="59" customFormat="false" ht="15" hidden="false" customHeight="true" outlineLevel="0" collapsed="false">
      <c r="A59" s="3" t="n">
        <v>83420</v>
      </c>
      <c r="B59" s="3" t="s">
        <v>215</v>
      </c>
      <c r="C59" s="3" t="n">
        <v>9</v>
      </c>
      <c r="D59" s="3" t="n">
        <v>11</v>
      </c>
    </row>
    <row r="60" customFormat="false" ht="15" hidden="false" customHeight="true" outlineLevel="0" collapsed="false">
      <c r="A60" s="3" t="n">
        <v>8618</v>
      </c>
      <c r="B60" s="3" t="s">
        <v>10</v>
      </c>
      <c r="C60" s="3" t="n">
        <v>14</v>
      </c>
      <c r="D60" s="3" t="n">
        <v>17</v>
      </c>
    </row>
    <row r="61" customFormat="false" ht="15" hidden="false" customHeight="true" outlineLevel="0" collapsed="false">
      <c r="A61" s="3" t="n">
        <v>63417</v>
      </c>
      <c r="B61" s="3" t="s">
        <v>113</v>
      </c>
      <c r="C61" s="3" t="n">
        <v>5</v>
      </c>
      <c r="D61" s="3" t="n">
        <v>6</v>
      </c>
    </row>
    <row r="62" customFormat="false" ht="15" hidden="false" customHeight="true" outlineLevel="0" collapsed="false">
      <c r="A62" s="3" t="n">
        <v>57664</v>
      </c>
      <c r="B62" s="3" t="s">
        <v>81</v>
      </c>
      <c r="C62" s="3" t="n">
        <v>11</v>
      </c>
      <c r="D62" s="3" t="n">
        <v>13</v>
      </c>
    </row>
    <row r="63" customFormat="false" ht="15" hidden="false" customHeight="true" outlineLevel="0" collapsed="false">
      <c r="A63" s="3" t="n">
        <v>21004</v>
      </c>
      <c r="B63" s="3" t="s">
        <v>29</v>
      </c>
      <c r="C63" s="3" t="n">
        <v>10</v>
      </c>
      <c r="D63" s="3" t="n">
        <v>11</v>
      </c>
    </row>
    <row r="64" customFormat="false" ht="15" hidden="false" customHeight="true" outlineLevel="0" collapsed="false">
      <c r="A64" s="3" t="n">
        <v>31190</v>
      </c>
      <c r="B64" s="3" t="s">
        <v>49</v>
      </c>
      <c r="C64" s="3" t="n">
        <v>10</v>
      </c>
      <c r="D64" s="3" t="n">
        <v>11</v>
      </c>
    </row>
    <row r="65" customFormat="false" ht="15" hidden="false" customHeight="true" outlineLevel="0" collapsed="false">
      <c r="A65" s="3" t="n">
        <v>59657</v>
      </c>
      <c r="B65" s="3" t="s">
        <v>85</v>
      </c>
      <c r="C65" s="3" t="n">
        <v>12</v>
      </c>
      <c r="D65" s="3" t="n">
        <v>13</v>
      </c>
    </row>
    <row r="66" customFormat="false" ht="15" hidden="false" customHeight="true" outlineLevel="0" collapsed="false">
      <c r="A66" s="3" t="n">
        <v>63415</v>
      </c>
      <c r="B66" s="3" t="s">
        <v>111</v>
      </c>
      <c r="C66" s="3" t="n">
        <v>31</v>
      </c>
      <c r="D66" s="3" t="n">
        <v>33</v>
      </c>
    </row>
    <row r="67" customFormat="false" ht="15" hidden="false" customHeight="true" outlineLevel="0" collapsed="false">
      <c r="A67" s="3" t="n">
        <v>59656</v>
      </c>
      <c r="B67" s="3" t="s">
        <v>84</v>
      </c>
      <c r="C67" s="3" t="n">
        <v>16</v>
      </c>
      <c r="D67" s="3" t="n">
        <v>17</v>
      </c>
    </row>
    <row r="68" customFormat="false" ht="15" hidden="false" customHeight="true" outlineLevel="0" collapsed="false">
      <c r="A68" s="3" t="n">
        <v>67957</v>
      </c>
      <c r="B68" s="3" t="s">
        <v>145</v>
      </c>
      <c r="C68" s="3" t="n">
        <v>18</v>
      </c>
      <c r="D68" s="3" t="n">
        <v>19</v>
      </c>
    </row>
    <row r="69" customFormat="false" ht="15" hidden="false" customHeight="true" outlineLevel="0" collapsed="false">
      <c r="A69" s="3" t="n">
        <v>63421</v>
      </c>
      <c r="B69" s="3" t="s">
        <v>117</v>
      </c>
      <c r="C69" s="3" t="n">
        <v>19</v>
      </c>
      <c r="D69" s="3" t="n">
        <v>20</v>
      </c>
    </row>
    <row r="70" customFormat="false" ht="15" hidden="false" customHeight="true" outlineLevel="0" collapsed="false">
      <c r="A70" s="3" t="n">
        <v>63414</v>
      </c>
      <c r="B70" s="3" t="s">
        <v>110</v>
      </c>
      <c r="C70" s="3" t="n">
        <v>22</v>
      </c>
      <c r="D70" s="3" t="n">
        <v>23</v>
      </c>
    </row>
    <row r="71" customFormat="false" ht="15" hidden="false" customHeight="true" outlineLevel="0" collapsed="false">
      <c r="A71" s="3" t="n">
        <v>82208</v>
      </c>
      <c r="B71" s="3" t="s">
        <v>212</v>
      </c>
      <c r="C71" s="3" t="n">
        <v>24</v>
      </c>
      <c r="D71" s="3" t="n">
        <v>25</v>
      </c>
    </row>
    <row r="72" customFormat="false" ht="15" hidden="false" customHeight="true" outlineLevel="0" collapsed="false">
      <c r="A72" s="3" t="n">
        <v>52323</v>
      </c>
      <c r="B72" s="3" t="s">
        <v>71</v>
      </c>
      <c r="C72" s="3" t="n">
        <v>29</v>
      </c>
      <c r="D72" s="3" t="n">
        <v>30</v>
      </c>
    </row>
    <row r="73" customFormat="false" ht="15" hidden="false" customHeight="true" outlineLevel="0" collapsed="false">
      <c r="A73" s="3" t="n">
        <v>63360</v>
      </c>
      <c r="B73" s="3" t="s">
        <v>101</v>
      </c>
      <c r="C73" s="3" t="n">
        <v>52</v>
      </c>
      <c r="D73" s="3" t="n">
        <v>53</v>
      </c>
    </row>
    <row r="74" customFormat="false" ht="15" hidden="false" customHeight="true" outlineLevel="0" collapsed="false">
      <c r="A74" s="3" t="n">
        <v>74709</v>
      </c>
      <c r="B74" s="3" t="s">
        <v>165</v>
      </c>
      <c r="C74" s="3" t="n">
        <v>26</v>
      </c>
      <c r="D74" s="3" t="n">
        <v>26</v>
      </c>
    </row>
    <row r="75" customFormat="false" ht="15" hidden="false" customHeight="true" outlineLevel="0" collapsed="false">
      <c r="A75" s="3" t="n">
        <v>16212</v>
      </c>
      <c r="B75" s="3" t="s">
        <v>14</v>
      </c>
      <c r="C75" s="3" t="n">
        <v>14</v>
      </c>
      <c r="D75" s="3" t="n">
        <v>14</v>
      </c>
    </row>
    <row r="76" customFormat="false" ht="15" hidden="false" customHeight="true" outlineLevel="0" collapsed="false">
      <c r="A76" s="3" t="n">
        <v>52147</v>
      </c>
      <c r="B76" s="3" t="s">
        <v>70</v>
      </c>
      <c r="C76" s="3" t="n">
        <v>13</v>
      </c>
      <c r="D76" s="3" t="n">
        <v>13</v>
      </c>
    </row>
    <row r="77" customFormat="false" ht="15" hidden="false" customHeight="true" outlineLevel="0" collapsed="false">
      <c r="A77" s="3" t="n">
        <v>57690</v>
      </c>
      <c r="B77" s="3" t="s">
        <v>82</v>
      </c>
      <c r="C77" s="3" t="n">
        <v>10</v>
      </c>
      <c r="D77" s="3" t="n">
        <v>10</v>
      </c>
    </row>
    <row r="78" customFormat="false" ht="15" hidden="false" customHeight="true" outlineLevel="0" collapsed="false">
      <c r="A78" s="3" t="n">
        <v>61961</v>
      </c>
      <c r="B78" s="3" t="s">
        <v>98</v>
      </c>
      <c r="C78" s="3" t="n">
        <v>8</v>
      </c>
      <c r="D78" s="3" t="n">
        <v>8</v>
      </c>
    </row>
    <row r="79" customFormat="false" ht="15" hidden="false" customHeight="true" outlineLevel="0" collapsed="false">
      <c r="A79" s="3" t="n">
        <v>61344</v>
      </c>
      <c r="B79" s="3" t="s">
        <v>97</v>
      </c>
      <c r="C79" s="3" t="n">
        <v>6</v>
      </c>
      <c r="D79" s="3" t="n">
        <v>6</v>
      </c>
    </row>
    <row r="80" customFormat="false" ht="15" hidden="false" customHeight="true" outlineLevel="0" collapsed="false">
      <c r="A80" s="3" t="n">
        <v>29981</v>
      </c>
      <c r="B80" s="3" t="s">
        <v>45</v>
      </c>
      <c r="C80" s="3" t="n">
        <v>5</v>
      </c>
      <c r="D80" s="3" t="n">
        <v>5</v>
      </c>
    </row>
    <row r="81" customFormat="false" ht="15" hidden="false" customHeight="true" outlineLevel="0" collapsed="false">
      <c r="A81" s="3" t="n">
        <v>35339</v>
      </c>
      <c r="B81" s="3" t="s">
        <v>51</v>
      </c>
      <c r="C81" s="3" t="n">
        <v>4</v>
      </c>
      <c r="D81" s="3" t="n">
        <v>4</v>
      </c>
    </row>
    <row r="82" customFormat="false" ht="15" hidden="false" customHeight="true" outlineLevel="0" collapsed="false">
      <c r="A82" s="3" t="n">
        <v>88474</v>
      </c>
      <c r="B82" s="3" t="s">
        <v>222</v>
      </c>
      <c r="C82" s="3" t="n">
        <v>3</v>
      </c>
      <c r="D82" s="3" t="n">
        <v>3</v>
      </c>
    </row>
    <row r="83" customFormat="false" ht="15" hidden="false" customHeight="true" outlineLevel="0" collapsed="false">
      <c r="A83" s="3" t="n">
        <v>34874</v>
      </c>
      <c r="B83" s="3" t="s">
        <v>50</v>
      </c>
      <c r="C83" s="3" t="n">
        <v>2</v>
      </c>
      <c r="D83" s="3" t="n">
        <v>2</v>
      </c>
    </row>
    <row r="84" customFormat="false" ht="15" hidden="false" customHeight="true" outlineLevel="0" collapsed="false">
      <c r="A84" s="3" t="n">
        <v>64634</v>
      </c>
      <c r="B84" s="3" t="s">
        <v>124</v>
      </c>
      <c r="C84" s="3" t="n">
        <v>2</v>
      </c>
      <c r="D84" s="3" t="n">
        <v>2</v>
      </c>
    </row>
    <row r="85" customFormat="false" ht="15" hidden="false" customHeight="true" outlineLevel="0" collapsed="false">
      <c r="A85" s="3" t="n">
        <v>74823</v>
      </c>
      <c r="B85" s="3" t="s">
        <v>179</v>
      </c>
      <c r="C85" s="3" t="n">
        <v>2</v>
      </c>
      <c r="D85" s="3" t="n">
        <v>2</v>
      </c>
    </row>
    <row r="86" customFormat="false" ht="15" hidden="false" customHeight="true" outlineLevel="0" collapsed="false">
      <c r="A86" s="3" t="n">
        <v>50061</v>
      </c>
      <c r="B86" s="3" t="s">
        <v>67</v>
      </c>
      <c r="C86" s="3" t="n">
        <v>1</v>
      </c>
      <c r="D86" s="3" t="n">
        <v>1</v>
      </c>
    </row>
    <row r="87" customFormat="false" ht="15" hidden="false" customHeight="true" outlineLevel="0" collapsed="false">
      <c r="A87" s="3" t="n">
        <v>67053</v>
      </c>
      <c r="B87" s="3" t="s">
        <v>135</v>
      </c>
      <c r="C87" s="3" t="n">
        <v>1</v>
      </c>
      <c r="D87" s="3" t="n">
        <v>1</v>
      </c>
    </row>
    <row r="88" customFormat="false" ht="15" hidden="false" customHeight="true" outlineLevel="0" collapsed="false">
      <c r="A88" s="3" t="n">
        <v>67056</v>
      </c>
      <c r="B88" s="3" t="s">
        <v>137</v>
      </c>
      <c r="C88" s="3" t="n">
        <v>1</v>
      </c>
      <c r="D88" s="3" t="n">
        <v>1</v>
      </c>
    </row>
    <row r="89" customFormat="false" ht="15" hidden="false" customHeight="true" outlineLevel="0" collapsed="false">
      <c r="A89" s="3" t="n">
        <v>74670</v>
      </c>
      <c r="B89" s="3" t="s">
        <v>155</v>
      </c>
      <c r="C89" s="3" t="n">
        <v>1</v>
      </c>
      <c r="D89" s="3" t="n">
        <v>1</v>
      </c>
    </row>
    <row r="90" customFormat="false" ht="15" hidden="false" customHeight="true" outlineLevel="0" collapsed="false">
      <c r="A90" s="3" t="n">
        <v>74805</v>
      </c>
      <c r="B90" s="3" t="s">
        <v>173</v>
      </c>
      <c r="C90" s="3" t="n">
        <v>1</v>
      </c>
      <c r="D90" s="3" t="n">
        <v>1</v>
      </c>
    </row>
    <row r="91" customFormat="false" ht="15" hidden="false" customHeight="true" outlineLevel="0" collapsed="false">
      <c r="A91" s="3" t="n">
        <v>74806</v>
      </c>
      <c r="B91" s="3" t="s">
        <v>174</v>
      </c>
      <c r="C91" s="3" t="n">
        <v>1</v>
      </c>
      <c r="D91" s="3" t="n">
        <v>1</v>
      </c>
    </row>
    <row r="92" customFormat="false" ht="15" hidden="false" customHeight="true" outlineLevel="0" collapsed="false">
      <c r="A92" s="3" t="n">
        <v>74807</v>
      </c>
      <c r="B92" s="3" t="s">
        <v>175</v>
      </c>
      <c r="C92" s="3" t="n">
        <v>1</v>
      </c>
      <c r="D92" s="3" t="n">
        <v>1</v>
      </c>
    </row>
    <row r="93" customFormat="false" ht="15" hidden="false" customHeight="true" outlineLevel="0" collapsed="false">
      <c r="A93" s="3" t="n">
        <v>74848</v>
      </c>
      <c r="B93" s="3" t="s">
        <v>188</v>
      </c>
      <c r="C93" s="3" t="n">
        <v>1</v>
      </c>
      <c r="D93" s="3" t="n">
        <v>1</v>
      </c>
    </row>
    <row r="94" customFormat="false" ht="15" hidden="false" customHeight="true" outlineLevel="0" collapsed="false">
      <c r="A94" s="3" t="n">
        <v>31188</v>
      </c>
      <c r="B94" s="3" t="s">
        <v>48</v>
      </c>
      <c r="C94" s="3" t="n">
        <v>43</v>
      </c>
      <c r="D94" s="3" t="n">
        <v>42</v>
      </c>
    </row>
    <row r="95" customFormat="false" ht="15" hidden="false" customHeight="true" outlineLevel="0" collapsed="false">
      <c r="A95" s="3" t="n">
        <v>60485</v>
      </c>
      <c r="B95" s="3" t="s">
        <v>96</v>
      </c>
      <c r="C95" s="3" t="n">
        <v>26</v>
      </c>
      <c r="D95" s="3" t="n">
        <v>25</v>
      </c>
    </row>
    <row r="96" customFormat="false" ht="15" hidden="false" customHeight="true" outlineLevel="0" collapsed="false">
      <c r="A96" s="3" t="n">
        <v>51567</v>
      </c>
      <c r="B96" s="3" t="s">
        <v>68</v>
      </c>
      <c r="C96" s="3" t="n">
        <v>136</v>
      </c>
      <c r="D96" s="3" t="n">
        <v>130</v>
      </c>
    </row>
    <row r="97" customFormat="false" ht="15" hidden="false" customHeight="true" outlineLevel="0" collapsed="false">
      <c r="A97" s="3" t="n">
        <v>80668</v>
      </c>
      <c r="B97" s="3" t="s">
        <v>208</v>
      </c>
      <c r="C97" s="3" t="n">
        <v>18</v>
      </c>
      <c r="D97" s="3" t="n">
        <v>17</v>
      </c>
    </row>
    <row r="98" customFormat="false" ht="15" hidden="false" customHeight="true" outlineLevel="0" collapsed="false">
      <c r="A98" s="3" t="n">
        <v>9771</v>
      </c>
      <c r="B98" s="3" t="s">
        <v>11</v>
      </c>
      <c r="C98" s="3" t="n">
        <v>28</v>
      </c>
      <c r="D98" s="3" t="n">
        <v>26</v>
      </c>
    </row>
    <row r="99" customFormat="false" ht="15" hidden="false" customHeight="true" outlineLevel="0" collapsed="false">
      <c r="A99" s="3" t="n">
        <v>59694</v>
      </c>
      <c r="B99" s="3" t="s">
        <v>88</v>
      </c>
      <c r="C99" s="3" t="n">
        <v>26</v>
      </c>
      <c r="D99" s="3" t="n">
        <v>24</v>
      </c>
    </row>
    <row r="100" customFormat="false" ht="15" hidden="false" customHeight="true" outlineLevel="0" collapsed="false">
      <c r="A100" s="3" t="n">
        <v>19082</v>
      </c>
      <c r="B100" s="3" t="s">
        <v>23</v>
      </c>
      <c r="C100" s="3" t="n">
        <v>11</v>
      </c>
      <c r="D100" s="3" t="n">
        <v>10</v>
      </c>
    </row>
    <row r="101" customFormat="false" ht="15" hidden="false" customHeight="true" outlineLevel="0" collapsed="false">
      <c r="A101" s="3" t="n">
        <v>74763</v>
      </c>
      <c r="B101" s="3" t="s">
        <v>168</v>
      </c>
      <c r="C101" s="3" t="n">
        <v>9</v>
      </c>
      <c r="D101" s="3" t="n">
        <v>8</v>
      </c>
    </row>
    <row r="102" customFormat="false" ht="15" hidden="false" customHeight="true" outlineLevel="0" collapsed="false">
      <c r="A102" s="3" t="n">
        <v>65241</v>
      </c>
      <c r="B102" s="3" t="s">
        <v>129</v>
      </c>
      <c r="C102" s="3" t="n">
        <v>23</v>
      </c>
      <c r="D102" s="3" t="n">
        <v>20</v>
      </c>
    </row>
    <row r="103" customFormat="false" ht="15" hidden="false" customHeight="true" outlineLevel="0" collapsed="false">
      <c r="A103" s="3" t="n">
        <v>63361</v>
      </c>
      <c r="B103" s="3" t="s">
        <v>102</v>
      </c>
      <c r="C103" s="3" t="n">
        <v>30</v>
      </c>
      <c r="D103" s="3" t="n">
        <v>26</v>
      </c>
    </row>
    <row r="104" customFormat="false" ht="15" hidden="false" customHeight="true" outlineLevel="0" collapsed="false">
      <c r="A104" s="3" t="n">
        <v>65242</v>
      </c>
      <c r="B104" s="3" t="s">
        <v>130</v>
      </c>
      <c r="C104" s="3" t="n">
        <v>27</v>
      </c>
      <c r="D104" s="3" t="n">
        <v>23</v>
      </c>
    </row>
    <row r="105" customFormat="false" ht="15" hidden="false" customHeight="true" outlineLevel="0" collapsed="false">
      <c r="A105" s="3" t="n">
        <v>66485</v>
      </c>
      <c r="B105" s="3" t="s">
        <v>133</v>
      </c>
      <c r="C105" s="3" t="n">
        <v>20</v>
      </c>
      <c r="D105" s="3" t="n">
        <v>17</v>
      </c>
    </row>
    <row r="106" customFormat="false" ht="15" hidden="false" customHeight="true" outlineLevel="0" collapsed="false">
      <c r="A106" s="3" t="n">
        <v>55868</v>
      </c>
      <c r="B106" s="3" t="s">
        <v>79</v>
      </c>
      <c r="C106" s="3" t="n">
        <v>13</v>
      </c>
      <c r="D106" s="3" t="n">
        <v>11</v>
      </c>
    </row>
    <row r="107" customFormat="false" ht="15" hidden="false" customHeight="true" outlineLevel="0" collapsed="false">
      <c r="A107" s="3" t="n">
        <v>67960</v>
      </c>
      <c r="B107" s="3" t="s">
        <v>146</v>
      </c>
      <c r="C107" s="3" t="n">
        <v>13</v>
      </c>
      <c r="D107" s="3" t="n">
        <v>11</v>
      </c>
    </row>
    <row r="108" customFormat="false" ht="15" hidden="false" customHeight="true" outlineLevel="0" collapsed="false">
      <c r="A108" s="3" t="n">
        <v>83668</v>
      </c>
      <c r="B108" s="3" t="s">
        <v>216</v>
      </c>
      <c r="C108" s="3" t="n">
        <v>97</v>
      </c>
      <c r="D108" s="3" t="n">
        <v>81</v>
      </c>
    </row>
    <row r="109" customFormat="false" ht="15" hidden="false" customHeight="true" outlineLevel="0" collapsed="false">
      <c r="A109" s="3" t="n">
        <v>63359</v>
      </c>
      <c r="B109" s="3" t="s">
        <v>100</v>
      </c>
      <c r="C109" s="3" t="n">
        <v>41</v>
      </c>
      <c r="D109" s="3" t="n">
        <v>34</v>
      </c>
    </row>
    <row r="110" customFormat="false" ht="15" hidden="false" customHeight="true" outlineLevel="0" collapsed="false">
      <c r="A110" s="3" t="n">
        <v>63420</v>
      </c>
      <c r="B110" s="3" t="s">
        <v>116</v>
      </c>
      <c r="C110" s="3" t="n">
        <v>29</v>
      </c>
      <c r="D110" s="3" t="n">
        <v>24</v>
      </c>
    </row>
    <row r="111" customFormat="false" ht="15" hidden="false" customHeight="true" outlineLevel="0" collapsed="false">
      <c r="A111" s="3" t="n">
        <v>82213</v>
      </c>
      <c r="B111" s="3" t="s">
        <v>213</v>
      </c>
      <c r="C111" s="3" t="n">
        <v>21</v>
      </c>
      <c r="D111" s="3" t="n">
        <v>17</v>
      </c>
    </row>
    <row r="112" customFormat="false" ht="15" hidden="false" customHeight="true" outlineLevel="0" collapsed="false">
      <c r="A112" s="3" t="n">
        <v>24612</v>
      </c>
      <c r="B112" s="3" t="s">
        <v>33</v>
      </c>
      <c r="C112" s="3" t="n">
        <v>45</v>
      </c>
      <c r="D112" s="3" t="n">
        <v>36</v>
      </c>
    </row>
    <row r="113" customFormat="false" ht="15" hidden="false" customHeight="true" outlineLevel="0" collapsed="false">
      <c r="A113" s="3" t="n">
        <v>16213</v>
      </c>
      <c r="B113" s="3" t="s">
        <v>15</v>
      </c>
      <c r="C113" s="3" t="n">
        <v>26</v>
      </c>
      <c r="D113" s="3" t="n">
        <v>20</v>
      </c>
    </row>
    <row r="114" customFormat="false" ht="15" hidden="false" customHeight="true" outlineLevel="0" collapsed="false">
      <c r="A114" s="3" t="n">
        <v>63367</v>
      </c>
      <c r="B114" s="3" t="s">
        <v>104</v>
      </c>
      <c r="C114" s="3" t="n">
        <v>26</v>
      </c>
      <c r="D114" s="3" t="n">
        <v>19</v>
      </c>
    </row>
    <row r="115" customFormat="false" ht="15" hidden="false" customHeight="true" outlineLevel="0" collapsed="false">
      <c r="A115" s="3" t="n">
        <v>63418</v>
      </c>
      <c r="B115" s="3" t="s">
        <v>114</v>
      </c>
      <c r="C115" s="3" t="n">
        <v>7</v>
      </c>
      <c r="D115" s="3" t="n">
        <v>5</v>
      </c>
    </row>
    <row r="116" customFormat="false" ht="15" hidden="false" customHeight="true" outlineLevel="0" collapsed="false">
      <c r="A116" s="3" t="n">
        <v>67925</v>
      </c>
      <c r="B116" s="3" t="s">
        <v>141</v>
      </c>
      <c r="C116" s="3" t="n">
        <v>10</v>
      </c>
      <c r="D116" s="3" t="n">
        <v>7</v>
      </c>
    </row>
    <row r="117" customFormat="false" ht="15" hidden="false" customHeight="true" outlineLevel="0" collapsed="false">
      <c r="A117" s="3" t="n">
        <v>71204</v>
      </c>
      <c r="B117" s="3" t="s">
        <v>153</v>
      </c>
      <c r="C117" s="3" t="n">
        <v>94</v>
      </c>
      <c r="D117" s="3" t="n">
        <v>65</v>
      </c>
    </row>
    <row r="118" customFormat="false" ht="15" hidden="false" customHeight="true" outlineLevel="0" collapsed="false">
      <c r="A118" s="3" t="n">
        <v>29881</v>
      </c>
      <c r="B118" s="3" t="s">
        <v>43</v>
      </c>
      <c r="C118" s="3" t="n">
        <v>9</v>
      </c>
      <c r="D118" s="3" t="n">
        <v>6</v>
      </c>
    </row>
    <row r="119" customFormat="false" ht="15" hidden="false" customHeight="true" outlineLevel="0" collapsed="false">
      <c r="A119" s="3" t="n">
        <v>16211</v>
      </c>
      <c r="B119" s="3" t="s">
        <v>13</v>
      </c>
      <c r="C119" s="3" t="n">
        <v>3</v>
      </c>
      <c r="D119" s="3" t="n">
        <v>2</v>
      </c>
    </row>
    <row r="120" customFormat="false" ht="15" hidden="false" customHeight="true" outlineLevel="0" collapsed="false">
      <c r="A120" s="3" t="n">
        <v>71683</v>
      </c>
      <c r="B120" s="3" t="s">
        <v>154</v>
      </c>
      <c r="C120" s="3" t="n">
        <v>3</v>
      </c>
      <c r="D120" s="3" t="n">
        <v>2</v>
      </c>
    </row>
    <row r="121" customFormat="false" ht="15" hidden="false" customHeight="true" outlineLevel="0" collapsed="false">
      <c r="A121" s="3" t="n">
        <v>47877</v>
      </c>
      <c r="B121" s="3" t="s">
        <v>60</v>
      </c>
      <c r="C121" s="3" t="n">
        <v>11</v>
      </c>
      <c r="D121" s="3" t="n">
        <v>7</v>
      </c>
    </row>
    <row r="122" customFormat="false" ht="15" hidden="false" customHeight="true" outlineLevel="0" collapsed="false">
      <c r="A122" s="3" t="n">
        <v>60471</v>
      </c>
      <c r="B122" s="3" t="s">
        <v>89</v>
      </c>
      <c r="C122" s="3" t="n">
        <v>11</v>
      </c>
      <c r="D122" s="3" t="n">
        <v>7</v>
      </c>
    </row>
    <row r="123" customFormat="false" ht="15" hidden="false" customHeight="true" outlineLevel="0" collapsed="false">
      <c r="A123" s="3" t="n">
        <v>16217</v>
      </c>
      <c r="B123" s="3" t="s">
        <v>17</v>
      </c>
      <c r="C123" s="3" t="n">
        <v>5</v>
      </c>
      <c r="D123" s="3" t="n">
        <v>3</v>
      </c>
    </row>
    <row r="124" customFormat="false" ht="15" hidden="false" customHeight="true" outlineLevel="0" collapsed="false">
      <c r="A124" s="3" t="n">
        <v>60478</v>
      </c>
      <c r="B124" s="3" t="s">
        <v>94</v>
      </c>
      <c r="C124" s="3" t="n">
        <v>5</v>
      </c>
      <c r="D124" s="3" t="n">
        <v>3</v>
      </c>
    </row>
    <row r="125" customFormat="false" ht="15" hidden="false" customHeight="true" outlineLevel="0" collapsed="false">
      <c r="A125" s="3" t="n">
        <v>82551</v>
      </c>
      <c r="B125" s="3" t="s">
        <v>214</v>
      </c>
      <c r="C125" s="3" t="n">
        <v>5</v>
      </c>
      <c r="D125" s="3" t="n">
        <v>3</v>
      </c>
    </row>
    <row r="126" customFormat="false" ht="15" hidden="false" customHeight="true" outlineLevel="0" collapsed="false">
      <c r="A126" s="3" t="n">
        <v>59679</v>
      </c>
      <c r="B126" s="3" t="s">
        <v>87</v>
      </c>
      <c r="C126" s="3" t="n">
        <v>48</v>
      </c>
      <c r="D126" s="3" t="n">
        <v>28</v>
      </c>
    </row>
    <row r="127" customFormat="false" ht="15" hidden="false" customHeight="true" outlineLevel="0" collapsed="false">
      <c r="A127" s="3" t="n">
        <v>63416</v>
      </c>
      <c r="B127" s="3" t="s">
        <v>112</v>
      </c>
      <c r="C127" s="3" t="n">
        <v>14</v>
      </c>
      <c r="D127" s="3" t="n">
        <v>8</v>
      </c>
    </row>
    <row r="128" customFormat="false" ht="15" hidden="false" customHeight="true" outlineLevel="0" collapsed="false">
      <c r="A128" s="3" t="n">
        <v>67385</v>
      </c>
      <c r="B128" s="3" t="s">
        <v>138</v>
      </c>
      <c r="C128" s="3" t="n">
        <v>39</v>
      </c>
      <c r="D128" s="3" t="n">
        <v>22</v>
      </c>
    </row>
    <row r="129" customFormat="false" ht="15" hidden="false" customHeight="true" outlineLevel="0" collapsed="false">
      <c r="A129" s="3" t="n">
        <v>74762</v>
      </c>
      <c r="B129" s="3" t="s">
        <v>167</v>
      </c>
      <c r="C129" s="3" t="n">
        <v>16</v>
      </c>
      <c r="D129" s="3" t="n">
        <v>9</v>
      </c>
    </row>
    <row r="130" customFormat="false" ht="15" hidden="false" customHeight="true" outlineLevel="0" collapsed="false">
      <c r="A130" s="3" t="n">
        <v>21003</v>
      </c>
      <c r="B130" s="3" t="s">
        <v>28</v>
      </c>
      <c r="C130" s="3" t="n">
        <v>18</v>
      </c>
      <c r="D130" s="3" t="n">
        <v>10</v>
      </c>
    </row>
    <row r="131" customFormat="false" ht="15" hidden="false" customHeight="true" outlineLevel="0" collapsed="false">
      <c r="A131" s="3" t="n">
        <v>74687</v>
      </c>
      <c r="B131" s="3" t="s">
        <v>162</v>
      </c>
      <c r="C131" s="3" t="n">
        <v>4</v>
      </c>
      <c r="D131" s="3" t="n">
        <v>2</v>
      </c>
    </row>
    <row r="132" customFormat="false" ht="15" hidden="false" customHeight="true" outlineLevel="0" collapsed="false">
      <c r="A132" s="3" t="n">
        <v>28302</v>
      </c>
      <c r="B132" s="3" t="s">
        <v>36</v>
      </c>
      <c r="C132" s="3" t="n">
        <v>2</v>
      </c>
      <c r="D132" s="3" t="n">
        <v>1</v>
      </c>
    </row>
    <row r="133" customFormat="false" ht="15" hidden="false" customHeight="true" outlineLevel="0" collapsed="false">
      <c r="A133" s="3" t="n">
        <v>74847</v>
      </c>
      <c r="B133" s="3" t="s">
        <v>187</v>
      </c>
      <c r="C133" s="3" t="n">
        <v>2</v>
      </c>
      <c r="D133" s="3" t="n">
        <v>1</v>
      </c>
    </row>
    <row r="134" customFormat="false" ht="15" hidden="false" customHeight="true" outlineLevel="0" collapsed="false">
      <c r="A134" s="3" t="n">
        <v>80182</v>
      </c>
      <c r="B134" s="3" t="s">
        <v>207</v>
      </c>
      <c r="C134" s="3" t="n">
        <v>18</v>
      </c>
      <c r="D134" s="3" t="n">
        <v>8</v>
      </c>
    </row>
    <row r="135" customFormat="false" ht="15" hidden="false" customHeight="true" outlineLevel="0" collapsed="false">
      <c r="A135" s="3" t="n">
        <v>25386</v>
      </c>
      <c r="B135" s="3" t="s">
        <v>34</v>
      </c>
      <c r="C135" s="3" t="n">
        <v>9</v>
      </c>
      <c r="D135" s="3" t="n">
        <v>4</v>
      </c>
    </row>
    <row r="136" customFormat="false" ht="15" hidden="false" customHeight="true" outlineLevel="0" collapsed="false">
      <c r="A136" s="3" t="n">
        <v>60484</v>
      </c>
      <c r="B136" s="3" t="s">
        <v>95</v>
      </c>
      <c r="C136" s="3" t="n">
        <v>14</v>
      </c>
      <c r="D136" s="3" t="n">
        <v>6</v>
      </c>
    </row>
    <row r="137" customFormat="false" ht="15" hidden="false" customHeight="true" outlineLevel="0" collapsed="false">
      <c r="A137" s="3" t="n">
        <v>66745</v>
      </c>
      <c r="B137" s="3" t="s">
        <v>134</v>
      </c>
      <c r="C137" s="3" t="n">
        <v>74</v>
      </c>
      <c r="D137" s="3" t="n">
        <v>31</v>
      </c>
    </row>
    <row r="138" customFormat="false" ht="15" hidden="false" customHeight="true" outlineLevel="0" collapsed="false">
      <c r="A138" s="3" t="n">
        <v>60473</v>
      </c>
      <c r="B138" s="3" t="s">
        <v>91</v>
      </c>
      <c r="C138" s="3" t="n">
        <v>25</v>
      </c>
      <c r="D138" s="3" t="n">
        <v>10</v>
      </c>
    </row>
    <row r="139" customFormat="false" ht="15" hidden="false" customHeight="true" outlineLevel="0" collapsed="false">
      <c r="A139" s="3" t="n">
        <v>59659</v>
      </c>
      <c r="B139" s="3" t="s">
        <v>86</v>
      </c>
      <c r="C139" s="3" t="n">
        <v>13</v>
      </c>
      <c r="D139" s="3" t="n">
        <v>5</v>
      </c>
    </row>
    <row r="140" customFormat="false" ht="15" hidden="false" customHeight="true" outlineLevel="0" collapsed="false">
      <c r="A140" s="3" t="n">
        <v>60474</v>
      </c>
      <c r="B140" s="3" t="s">
        <v>92</v>
      </c>
      <c r="C140" s="3" t="n">
        <v>21</v>
      </c>
      <c r="D140" s="3" t="n">
        <v>7</v>
      </c>
    </row>
    <row r="141" customFormat="false" ht="15" hidden="false" customHeight="true" outlineLevel="0" collapsed="false">
      <c r="A141" s="3" t="n">
        <v>49772</v>
      </c>
      <c r="B141" s="3" t="s">
        <v>63</v>
      </c>
      <c r="C141" s="3" t="n">
        <v>9</v>
      </c>
      <c r="D141" s="3" t="n">
        <v>3</v>
      </c>
    </row>
    <row r="142" customFormat="false" ht="15" hidden="false" customHeight="true" outlineLevel="0" collapsed="false">
      <c r="A142" s="3" t="n">
        <v>88476</v>
      </c>
      <c r="B142" s="3" t="s">
        <v>224</v>
      </c>
      <c r="C142" s="3" t="n">
        <v>6</v>
      </c>
      <c r="D142" s="3" t="n">
        <v>2</v>
      </c>
    </row>
    <row r="143" customFormat="false" ht="15" hidden="false" customHeight="true" outlineLevel="0" collapsed="false">
      <c r="A143" s="3" t="n">
        <v>16239</v>
      </c>
      <c r="B143" s="3" t="s">
        <v>19</v>
      </c>
      <c r="C143" s="3" t="n">
        <v>3</v>
      </c>
      <c r="D143" s="3" t="n">
        <v>1</v>
      </c>
    </row>
    <row r="144" customFormat="false" ht="15" hidden="false" customHeight="true" outlineLevel="0" collapsed="false">
      <c r="A144" s="3" t="n">
        <v>50057</v>
      </c>
      <c r="B144" s="3" t="s">
        <v>66</v>
      </c>
      <c r="C144" s="3" t="n">
        <v>3</v>
      </c>
      <c r="D144" s="3" t="n">
        <v>1</v>
      </c>
    </row>
    <row r="145" customFormat="false" ht="15" hidden="false" customHeight="true" outlineLevel="0" collapsed="false">
      <c r="A145" s="3" t="n">
        <v>63449</v>
      </c>
      <c r="B145" s="3" t="s">
        <v>119</v>
      </c>
      <c r="C145" s="3" t="n">
        <v>3</v>
      </c>
      <c r="D145" s="3" t="n">
        <v>1</v>
      </c>
    </row>
    <row r="146" customFormat="false" ht="15" hidden="false" customHeight="true" outlineLevel="0" collapsed="false">
      <c r="A146" s="3" t="n">
        <v>86583</v>
      </c>
      <c r="B146" s="3" t="s">
        <v>219</v>
      </c>
      <c r="C146" s="3" t="n">
        <v>3</v>
      </c>
      <c r="D146" s="3" t="n">
        <v>1</v>
      </c>
    </row>
    <row r="147" customFormat="false" ht="15" hidden="false" customHeight="true" outlineLevel="0" collapsed="false">
      <c r="A147" s="3" t="n">
        <v>52328</v>
      </c>
      <c r="B147" s="3" t="s">
        <v>74</v>
      </c>
      <c r="C147" s="3" t="n">
        <v>24</v>
      </c>
      <c r="D147" s="3" t="n">
        <v>7</v>
      </c>
    </row>
    <row r="148" customFormat="false" ht="15" hidden="false" customHeight="true" outlineLevel="0" collapsed="false">
      <c r="A148" s="3" t="n">
        <v>67895</v>
      </c>
      <c r="B148" s="3" t="s">
        <v>139</v>
      </c>
      <c r="C148" s="3" t="n">
        <v>4</v>
      </c>
      <c r="D148" s="3" t="n">
        <v>1</v>
      </c>
    </row>
    <row r="149" customFormat="false" ht="15" hidden="false" customHeight="true" outlineLevel="0" collapsed="false">
      <c r="A149" s="3" t="n">
        <v>16237</v>
      </c>
      <c r="B149" s="3" t="s">
        <v>18</v>
      </c>
      <c r="C149" s="3" t="n">
        <v>5</v>
      </c>
      <c r="D149" s="3" t="n">
        <v>1</v>
      </c>
    </row>
    <row r="150" customFormat="false" ht="15" hidden="false" customHeight="true" outlineLevel="0" collapsed="false">
      <c r="A150" s="3" t="n">
        <v>79327</v>
      </c>
      <c r="B150" s="3" t="s">
        <v>206</v>
      </c>
      <c r="C150" s="3" t="n">
        <v>11</v>
      </c>
      <c r="D150" s="3" t="n">
        <v>2</v>
      </c>
    </row>
    <row r="151" customFormat="false" ht="15" hidden="false" customHeight="true" outlineLevel="0" collapsed="false">
      <c r="A151" s="3" t="n">
        <v>29984</v>
      </c>
      <c r="B151" s="3" t="s">
        <v>46</v>
      </c>
      <c r="C151" s="3" t="n">
        <v>8</v>
      </c>
      <c r="D151" s="3" t="n">
        <v>1</v>
      </c>
    </row>
    <row r="152" customFormat="false" ht="15" hidden="false" customHeight="true" outlineLevel="0" collapsed="false">
      <c r="A152" s="3" t="n">
        <v>28297</v>
      </c>
      <c r="B152" s="3" t="s">
        <v>35</v>
      </c>
      <c r="C152" s="3" t="n">
        <v>1</v>
      </c>
      <c r="D152" s="3"/>
    </row>
    <row r="153" customFormat="false" ht="15" hidden="false" customHeight="true" outlineLevel="0" collapsed="false">
      <c r="A153" s="3" t="n">
        <v>28331</v>
      </c>
      <c r="B153" s="3" t="s">
        <v>38</v>
      </c>
      <c r="C153" s="3" t="n">
        <v>1</v>
      </c>
      <c r="D153" s="3"/>
    </row>
    <row r="154" customFormat="false" ht="15" hidden="false" customHeight="true" outlineLevel="0" collapsed="false">
      <c r="A154" s="3" t="n">
        <v>29794</v>
      </c>
      <c r="B154" s="3" t="s">
        <v>42</v>
      </c>
      <c r="C154" s="3" t="n">
        <v>1</v>
      </c>
      <c r="D154" s="3"/>
    </row>
    <row r="155" customFormat="false" ht="15" hidden="false" customHeight="true" outlineLevel="0" collapsed="false">
      <c r="A155" s="3" t="n">
        <v>29977</v>
      </c>
      <c r="B155" s="3" t="s">
        <v>44</v>
      </c>
      <c r="C155" s="3" t="n">
        <v>2</v>
      </c>
      <c r="D155" s="3"/>
    </row>
    <row r="156" customFormat="false" ht="15" hidden="false" customHeight="true" outlineLevel="0" collapsed="false">
      <c r="A156" s="3" t="n">
        <v>37229</v>
      </c>
      <c r="B156" s="3" t="s">
        <v>230</v>
      </c>
      <c r="C156" s="3" t="n">
        <v>1</v>
      </c>
      <c r="D156" s="3"/>
    </row>
    <row r="157" customFormat="false" ht="15" hidden="false" customHeight="true" outlineLevel="0" collapsed="false">
      <c r="A157" s="3" t="n">
        <v>44007</v>
      </c>
      <c r="B157" s="3" t="s">
        <v>55</v>
      </c>
      <c r="C157" s="3" t="n">
        <v>1</v>
      </c>
      <c r="D157" s="3"/>
    </row>
    <row r="158" customFormat="false" ht="15" hidden="false" customHeight="true" outlineLevel="0" collapsed="false">
      <c r="A158" s="3" t="n">
        <v>46306</v>
      </c>
      <c r="B158" s="3" t="s">
        <v>57</v>
      </c>
      <c r="C158" s="3" t="n">
        <v>2</v>
      </c>
      <c r="D158" s="3"/>
    </row>
    <row r="159" customFormat="false" ht="15" hidden="false" customHeight="true" outlineLevel="0" collapsed="false">
      <c r="A159" s="3" t="n">
        <v>50022</v>
      </c>
      <c r="B159" s="3" t="s">
        <v>64</v>
      </c>
      <c r="C159" s="3" t="n">
        <v>1</v>
      </c>
      <c r="D159" s="3"/>
    </row>
    <row r="160" customFormat="false" ht="15" hidden="false" customHeight="true" outlineLevel="0" collapsed="false">
      <c r="A160" s="3" t="n">
        <v>64637</v>
      </c>
      <c r="B160" s="3" t="s">
        <v>127</v>
      </c>
      <c r="C160" s="3" t="n">
        <v>1</v>
      </c>
      <c r="D160" s="3"/>
    </row>
    <row r="161" customFormat="false" ht="15" hidden="false" customHeight="true" outlineLevel="0" collapsed="false">
      <c r="A161" s="3" t="n">
        <v>74671</v>
      </c>
      <c r="B161" s="3" t="s">
        <v>156</v>
      </c>
      <c r="C161" s="3" t="n">
        <v>1</v>
      </c>
      <c r="D161" s="3"/>
    </row>
    <row r="162" customFormat="false" ht="15" hidden="false" customHeight="true" outlineLevel="0" collapsed="false">
      <c r="A162" s="3" t="n">
        <v>74672</v>
      </c>
      <c r="B162" s="3" t="s">
        <v>157</v>
      </c>
      <c r="C162" s="3" t="n">
        <v>6</v>
      </c>
      <c r="D162" s="3"/>
    </row>
    <row r="163" customFormat="false" ht="15" hidden="false" customHeight="true" outlineLevel="0" collapsed="false">
      <c r="A163" s="3" t="n">
        <v>74824</v>
      </c>
      <c r="B163" s="3" t="s">
        <v>180</v>
      </c>
      <c r="C163" s="3" t="n">
        <v>3</v>
      </c>
      <c r="D163" s="3"/>
    </row>
    <row r="164" customFormat="false" ht="15" hidden="false" customHeight="true" outlineLevel="0" collapsed="false">
      <c r="A164" s="3" t="n">
        <v>74827</v>
      </c>
      <c r="B164" s="3" t="s">
        <v>183</v>
      </c>
      <c r="C164" s="3" t="n">
        <v>1</v>
      </c>
      <c r="D164" s="3"/>
    </row>
    <row r="165" customFormat="false" ht="15" hidden="false" customHeight="true" outlineLevel="0" collapsed="false">
      <c r="A165" s="3" t="n">
        <v>74842</v>
      </c>
      <c r="B165" s="3" t="s">
        <v>185</v>
      </c>
      <c r="C165" s="3" t="n">
        <v>1</v>
      </c>
      <c r="D165" s="3"/>
    </row>
    <row r="166" customFormat="false" ht="15" hidden="false" customHeight="true" outlineLevel="0" collapsed="false">
      <c r="A166" s="3" t="n">
        <v>74919</v>
      </c>
      <c r="B166" s="3" t="s">
        <v>190</v>
      </c>
      <c r="C166" s="3" t="n">
        <v>1</v>
      </c>
      <c r="D166" s="3"/>
    </row>
    <row r="167" customFormat="false" ht="15" hidden="false" customHeight="true" outlineLevel="0" collapsed="false">
      <c r="A167" s="3" t="n">
        <v>74920</v>
      </c>
      <c r="B167" s="3" t="s">
        <v>191</v>
      </c>
      <c r="C167" s="3" t="n">
        <v>1</v>
      </c>
      <c r="D167" s="3"/>
    </row>
    <row r="168" customFormat="false" ht="15" hidden="false" customHeight="true" outlineLevel="0" collapsed="false">
      <c r="A168" s="3" t="n">
        <v>74987</v>
      </c>
      <c r="B168" s="3" t="s">
        <v>195</v>
      </c>
      <c r="C168" s="3" t="n">
        <v>3</v>
      </c>
      <c r="D168" s="3"/>
    </row>
    <row r="169" customFormat="false" ht="15" hidden="false" customHeight="true" outlineLevel="0" collapsed="false">
      <c r="A169" s="3" t="n">
        <v>74989</v>
      </c>
      <c r="B169" s="3" t="s">
        <v>197</v>
      </c>
      <c r="C169" s="3" t="n">
        <v>1</v>
      </c>
      <c r="D169" s="3"/>
    </row>
    <row r="170" customFormat="false" ht="15" hidden="false" customHeight="true" outlineLevel="0" collapsed="false">
      <c r="A170" s="3" t="n">
        <v>76247</v>
      </c>
      <c r="B170" s="3" t="s">
        <v>202</v>
      </c>
      <c r="C170" s="3" t="n">
        <v>1</v>
      </c>
      <c r="D170" s="3"/>
    </row>
    <row r="171" customFormat="false" ht="15" hidden="false" customHeight="true" outlineLevel="0" collapsed="false">
      <c r="A171" s="3" t="n">
        <v>87828</v>
      </c>
      <c r="B171" s="3" t="s">
        <v>221</v>
      </c>
      <c r="C171" s="3" t="n">
        <v>2</v>
      </c>
      <c r="D171" s="3"/>
    </row>
    <row r="172" customFormat="false" ht="15" hidden="false" customHeight="true" outlineLevel="0" collapsed="false">
      <c r="A172" s="3" t="n">
        <v>88477</v>
      </c>
      <c r="B172" s="3" t="s">
        <v>225</v>
      </c>
      <c r="C172" s="3" t="n">
        <v>5</v>
      </c>
      <c r="D172" s="3"/>
    </row>
    <row r="173" customFormat="false" ht="15" hidden="false" customHeight="true" outlineLevel="0" collapsed="false">
      <c r="A173" s="3" t="n">
        <v>88478</v>
      </c>
      <c r="B173" s="3" t="s">
        <v>236</v>
      </c>
      <c r="C173" s="3" t="n">
        <v>1</v>
      </c>
      <c r="D173" s="3"/>
    </row>
    <row r="174" customFormat="false" ht="15" hidden="false" customHeight="true" outlineLevel="0" collapsed="false">
      <c r="A174" s="3" t="n">
        <v>88479</v>
      </c>
      <c r="B174" s="3" t="s">
        <v>226</v>
      </c>
      <c r="C174" s="3" t="n">
        <v>1</v>
      </c>
      <c r="D174" s="3"/>
    </row>
    <row r="175" customFormat="false" ht="15" hidden="false" customHeight="true" outlineLevel="0" collapsed="false">
      <c r="A175" s="3" t="n">
        <v>43277</v>
      </c>
      <c r="B175" s="3" t="s">
        <v>53</v>
      </c>
      <c r="C175" s="3"/>
      <c r="D175" s="3" t="n">
        <v>29</v>
      </c>
    </row>
    <row r="176" customFormat="false" ht="15" hidden="false" customHeight="true" outlineLevel="0" collapsed="false">
      <c r="A176" s="3" t="n">
        <v>43283</v>
      </c>
      <c r="B176" s="3" t="s">
        <v>54</v>
      </c>
      <c r="C176" s="3"/>
      <c r="D176" s="3" t="n">
        <v>25</v>
      </c>
    </row>
    <row r="177" customFormat="false" ht="15" hidden="false" customHeight="true" outlineLevel="0" collapsed="false">
      <c r="A177" s="3" t="n">
        <v>43248</v>
      </c>
      <c r="B177" s="3" t="s">
        <v>232</v>
      </c>
      <c r="C177" s="3"/>
      <c r="D177" s="3" t="n">
        <v>12</v>
      </c>
    </row>
    <row r="178" customFormat="false" ht="15" hidden="false" customHeight="true" outlineLevel="0" collapsed="false">
      <c r="A178" s="3" t="n">
        <v>64638</v>
      </c>
      <c r="B178" s="3" t="s">
        <v>128</v>
      </c>
      <c r="C178" s="3"/>
      <c r="D178" s="3" t="n">
        <v>4</v>
      </c>
    </row>
    <row r="179" customFormat="false" ht="15" hidden="false" customHeight="true" outlineLevel="0" collapsed="false">
      <c r="A179" s="3" t="n">
        <v>68750</v>
      </c>
      <c r="B179" s="3" t="s">
        <v>147</v>
      </c>
      <c r="C179" s="3" t="n">
        <v>0</v>
      </c>
      <c r="D179" s="3" t="n">
        <v>2</v>
      </c>
    </row>
    <row r="180" customFormat="false" ht="15" hidden="false" customHeight="true" outlineLevel="0" collapsed="false">
      <c r="A180" s="3" t="n">
        <v>75764</v>
      </c>
      <c r="B180" s="3" t="s">
        <v>200</v>
      </c>
      <c r="C180" s="3"/>
      <c r="D180" s="3" t="n">
        <v>2</v>
      </c>
    </row>
    <row r="181" customFormat="false" ht="15" hidden="false" customHeight="true" outlineLevel="0" collapsed="false">
      <c r="A181" s="3" t="n">
        <v>88480</v>
      </c>
      <c r="B181" s="3" t="s">
        <v>227</v>
      </c>
      <c r="C181" s="3"/>
      <c r="D181" s="3" t="n">
        <v>2</v>
      </c>
    </row>
    <row r="182" customFormat="false" ht="15" hidden="false" customHeight="true" outlineLevel="0" collapsed="false">
      <c r="A182" s="3" t="n">
        <v>28937</v>
      </c>
      <c r="B182" s="3" t="s">
        <v>228</v>
      </c>
      <c r="C182" s="3"/>
      <c r="D182" s="3" t="n">
        <v>1</v>
      </c>
    </row>
    <row r="183" customFormat="false" ht="15" hidden="false" customHeight="true" outlineLevel="0" collapsed="false">
      <c r="A183" s="3" t="n">
        <v>37498</v>
      </c>
      <c r="B183" s="3" t="s">
        <v>231</v>
      </c>
      <c r="C183" s="3"/>
      <c r="D183" s="3" t="n">
        <v>1</v>
      </c>
    </row>
    <row r="184" customFormat="false" ht="15" hidden="false" customHeight="true" outlineLevel="0" collapsed="false">
      <c r="A184" s="3" t="n">
        <v>43454</v>
      </c>
      <c r="B184" s="3" t="s">
        <v>233</v>
      </c>
      <c r="C184" s="3"/>
      <c r="D184" s="3" t="n">
        <v>1</v>
      </c>
    </row>
    <row r="185" customFormat="false" ht="15" hidden="false" customHeight="true" outlineLevel="0" collapsed="false">
      <c r="A185" s="3" t="n">
        <v>50055</v>
      </c>
      <c r="B185" s="3" t="s">
        <v>65</v>
      </c>
      <c r="C185" s="3"/>
      <c r="D185" s="3" t="n">
        <v>1</v>
      </c>
    </row>
    <row r="186" customFormat="false" ht="15" hidden="false" customHeight="true" outlineLevel="0" collapsed="false">
      <c r="A186" s="3" t="n">
        <v>63404</v>
      </c>
      <c r="B186" s="3" t="s">
        <v>106</v>
      </c>
      <c r="C186" s="3"/>
      <c r="D186" s="3" t="n">
        <v>1</v>
      </c>
    </row>
    <row r="187" customFormat="false" ht="15" hidden="false" customHeight="true" outlineLevel="0" collapsed="false">
      <c r="A187" s="3" t="n">
        <v>63405</v>
      </c>
      <c r="B187" s="3" t="s">
        <v>107</v>
      </c>
      <c r="C187" s="3"/>
      <c r="D187" s="3" t="n">
        <v>1</v>
      </c>
    </row>
    <row r="188" customFormat="false" ht="15" hidden="false" customHeight="true" outlineLevel="0" collapsed="false">
      <c r="A188" s="3" t="n">
        <v>64631</v>
      </c>
      <c r="B188" s="3" t="s">
        <v>121</v>
      </c>
      <c r="C188" s="3"/>
      <c r="D188" s="3" t="n">
        <v>1</v>
      </c>
    </row>
    <row r="189" customFormat="false" ht="15" hidden="false" customHeight="true" outlineLevel="0" collapsed="false">
      <c r="A189" s="3" t="n">
        <v>64632</v>
      </c>
      <c r="B189" s="3" t="s">
        <v>122</v>
      </c>
      <c r="C189" s="3"/>
      <c r="D189" s="3" t="n">
        <v>1</v>
      </c>
    </row>
    <row r="190" customFormat="false" ht="15" hidden="false" customHeight="true" outlineLevel="0" collapsed="false">
      <c r="A190" s="3" t="n">
        <v>64633</v>
      </c>
      <c r="B190" s="3" t="s">
        <v>123</v>
      </c>
      <c r="C190" s="3"/>
      <c r="D190" s="3" t="n">
        <v>1</v>
      </c>
    </row>
    <row r="191" customFormat="false" ht="15" hidden="false" customHeight="true" outlineLevel="0" collapsed="false">
      <c r="A191" s="3" t="n">
        <v>64636</v>
      </c>
      <c r="B191" s="3" t="s">
        <v>126</v>
      </c>
      <c r="C191" s="3"/>
      <c r="D191" s="3" t="n">
        <v>1</v>
      </c>
    </row>
    <row r="192" customFormat="false" ht="15" hidden="false" customHeight="true" outlineLevel="0" collapsed="false">
      <c r="A192" s="3" t="n">
        <v>74686</v>
      </c>
      <c r="B192" s="3" t="s">
        <v>161</v>
      </c>
      <c r="C192" s="3" t="n">
        <v>0</v>
      </c>
      <c r="D192" s="3" t="n">
        <v>1</v>
      </c>
    </row>
    <row r="193" customFormat="false" ht="15" hidden="false" customHeight="true" outlineLevel="0" collapsed="false">
      <c r="A193" s="3" t="n">
        <v>74828</v>
      </c>
      <c r="B193" s="3" t="s">
        <v>184</v>
      </c>
      <c r="C193" s="3"/>
      <c r="D193" s="3" t="n">
        <v>1</v>
      </c>
    </row>
    <row r="194" customFormat="false" ht="15" hidden="false" customHeight="true" outlineLevel="0" collapsed="false">
      <c r="A194" s="3" t="n">
        <v>74918</v>
      </c>
      <c r="B194" s="3" t="s">
        <v>189</v>
      </c>
      <c r="C194" s="3"/>
      <c r="D194" s="3" t="n">
        <v>1</v>
      </c>
    </row>
    <row r="195" customFormat="false" ht="15" hidden="false" customHeight="true" outlineLevel="0" collapsed="false">
      <c r="A195" s="3" t="n">
        <v>74932</v>
      </c>
      <c r="B195" s="3" t="s">
        <v>194</v>
      </c>
      <c r="C195" s="3"/>
      <c r="D195" s="3" t="n">
        <v>1</v>
      </c>
    </row>
    <row r="196" customFormat="false" ht="15" hidden="false" customHeight="true" outlineLevel="0" collapsed="false">
      <c r="A196" s="3" t="n">
        <v>74988</v>
      </c>
      <c r="B196" s="3" t="s">
        <v>196</v>
      </c>
      <c r="C196" s="3"/>
      <c r="D196" s="3" t="n">
        <v>1</v>
      </c>
    </row>
    <row r="197" customFormat="false" ht="15" hidden="false" customHeight="true" outlineLevel="0" collapsed="false">
      <c r="A197" s="3" t="n">
        <v>74820</v>
      </c>
      <c r="B197" s="3" t="s">
        <v>176</v>
      </c>
      <c r="C197" s="3"/>
      <c r="D197" s="3" t="n">
        <v>0</v>
      </c>
    </row>
    <row r="198" customFormat="false" ht="15" hidden="false" customHeight="true" outlineLevel="0" collapsed="false">
      <c r="A198" s="3" t="n">
        <v>74822</v>
      </c>
      <c r="B198" s="3" t="s">
        <v>178</v>
      </c>
      <c r="C198" s="3"/>
      <c r="D198" s="3" t="n">
        <v>0</v>
      </c>
    </row>
    <row r="199" customFormat="false" ht="15" hidden="false" customHeight="true" outlineLevel="0" collapsed="false">
      <c r="A199" s="3" t="n">
        <v>63406</v>
      </c>
      <c r="B199" s="3" t="s">
        <v>108</v>
      </c>
      <c r="C199" s="3" t="n">
        <v>0</v>
      </c>
      <c r="D199" s="3"/>
    </row>
    <row r="200" customFormat="false" ht="15" hidden="false" customHeight="true" outlineLevel="0" collapsed="false">
      <c r="A200" s="3" t="n">
        <v>74825</v>
      </c>
      <c r="B200" s="3" t="s">
        <v>181</v>
      </c>
      <c r="C200" s="3" t="n">
        <v>0</v>
      </c>
      <c r="D20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2026-08-09T15:16:05Z</dcterms:created>
  <dc:creator>openpyxl</dc:creator>
  <dc:description/>
  <dc:language>en-US</dc:language>
  <cp:lastModifiedBy/>
  <dcterms:modified xsi:type="dcterms:W3CDTF">2026-08-09T15:31:27Z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