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FreeSans"/>
            <family val="2"/>
          </rPr>
          <t xml:space="preserve">אין קובץ </t>
        </r>
        <r>
          <rPr>
            <sz val="10"/>
            <rFont val="Arial"/>
            <family val="2"/>
            <charset val="1"/>
          </rPr>
          <t xml:space="preserve">PPLAY1 </t>
        </r>
        <r>
          <rPr>
            <sz val="10"/>
            <rFont val="FreeSans"/>
            <family val="2"/>
            <charset val="1"/>
          </rPr>
          <t xml:space="preserve">מקור היום (</t>
        </r>
        <r>
          <rPr>
            <sz val="10"/>
            <rFont val="Arial"/>
            <family val="2"/>
            <charset val="1"/>
          </rPr>
          <t xml:space="preserve">03/08/26) — לא נמסר קובץ PPLAY1 </t>
        </r>
        <r>
          <rPr>
            <sz val="10"/>
            <rFont val="FreeSans"/>
            <family val="2"/>
            <charset val="1"/>
          </rPr>
          <t xml:space="preserve">בתהליך היומי. עמודות </t>
        </r>
        <r>
          <rPr>
            <sz val="10"/>
            <rFont val="Arial"/>
            <family val="2"/>
            <charset val="1"/>
          </rPr>
          <t xml:space="preserve">G/H </t>
        </r>
        <r>
          <rPr>
            <sz val="10"/>
            <rFont val="FreeSans"/>
            <family val="2"/>
            <charset val="1"/>
          </rPr>
          <t xml:space="preserve">בגיליון הזה יחזירו </t>
        </r>
        <r>
          <rPr>
            <sz val="10"/>
            <rFont val="Arial"/>
            <family val="2"/>
            <charset val="1"/>
          </rPr>
          <t xml:space="preserve">"" (</t>
        </r>
        <r>
          <rPr>
            <sz val="10"/>
            <rFont val="FreeSans"/>
            <family val="2"/>
            <charset val="1"/>
          </rPr>
          <t xml:space="preserve">וממילא </t>
        </r>
        <r>
          <rPr>
            <sz val="10"/>
            <rFont val="Arial"/>
            <family val="2"/>
            <charset val="1"/>
          </rPr>
          <t xml:space="preserve">0 בסיכומים ב-סהכ!C, </t>
        </r>
        <r>
          <rPr>
            <sz val="10"/>
            <rFont val="FreeSans"/>
            <family val="2"/>
            <charset val="1"/>
          </rPr>
          <t xml:space="preserve">דרך </t>
        </r>
        <r>
          <rPr>
            <sz val="10"/>
            <rFont val="Arial"/>
            <family val="2"/>
            <charset val="1"/>
          </rPr>
          <t xml:space="preserve">SUMIF) </t>
        </r>
        <r>
          <rPr>
            <sz val="10"/>
            <rFont val="FreeSans"/>
            <family val="2"/>
            <charset val="1"/>
          </rPr>
          <t xml:space="preserve">עד שיסופק קובץ </t>
        </r>
        <r>
          <rPr>
            <sz val="10"/>
            <rFont val="Arial"/>
            <family val="2"/>
            <charset val="1"/>
          </rPr>
          <t xml:space="preserve">PPLAY1 </t>
        </r>
        <r>
          <rPr>
            <sz val="10"/>
            <rFont val="FreeSans"/>
            <family val="2"/>
            <charset val="1"/>
          </rPr>
          <t xml:space="preserve">חדש</t>
        </r>
        <r>
          <rPr>
            <sz val="10"/>
            <rFont val="Arial"/>
            <family val="2"/>
            <charset val="1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<sst xmlns="http://schemas.openxmlformats.org/spreadsheetml/2006/main" count="125" uniqueCount="100">
  <si>
    <t xml:space="preserve">דוח מכירות יולי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</si>
  <si>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</si>
  <si>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</si>
  <si>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</si>
  <si>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</si>
  <si>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</si>
  <si>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</si>
  <si>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</si>
  <si>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</si>
  <si>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</si>
  <si>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</si>
  <si>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</si>
  <si>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</si>
  <si>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</si>
  <si>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</si>
  <si>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</si>
  <si>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</si>
  <si>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</si>
  <si>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</si>
  <si>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</si>
  <si>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</si>
  <si>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</si>
  <si>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</si>
  <si>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</si>
  <si>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</si>
  <si>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</si>
  <si>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</si>
  <si>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</si>
  <si>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</si>
  <si>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</si>
  <si>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</si>
  <si>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</si>
  <si>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</si>
  <si>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</si>
  <si>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</si>
  <si>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</si>
  <si>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</si>
  <si>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</si>
  <si>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</si>
  <si>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</si>
  <si>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</si>
  <si>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</si>
  <si>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</si>
  <si>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</si>
  <si>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</si>
  <si>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</si>
  <si>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</si>
  <si>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</si>
  <si>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</si>
  <si>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</si>
  <si>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</si>
  <si>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</si>
  <si>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</si>
  <si>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</si>
  <si>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</si>
  <si>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</si>
  <si>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</si>
  <si>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</si>
  <si>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</si>
  <si>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</si>
  <si>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</si>
  <si>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</si>
  <si>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</si>
  <si>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</si>
  <si>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</si>
  <si>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</si>
  <si>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</si>
  <si>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</si>
  <si>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</si>
  <si>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</si>
  <si>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</si>
  <si>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</si>
  <si>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</si>
  <si>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</si>
  <si>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</si>
  <si>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</si>
  <si>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</si>
  <si>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</si>
  <si>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</si>
  <si>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</si>
  <si>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</si>
  <si>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</si>
  <si>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</si>
  <si>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</si>
  <si>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</si>
  <si>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</si>
  <si>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</si>
  <si>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</si>
  <si>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תיאור</t>
  </si>
  <si>
    <t xml:space="preserve">2026/Aug (סכום גולמי, MTD)</t>
  </si>
  <si>
    <t xml:space="preserve">הערה</t>
  </si>
  <si>
    <t xml:space="preserve">Source: PPlay0508 - מקור גולמי.xlsx ("PPlay1 of uriel (Reporter)", נוצר 05/08/2026 09:29:48, תקופה 2026/Aug, Month-to-Date). נשלפו 7 שורות קטגוריה שיש להן נתונים עד כה החודש, מתוך 12 הקטגוריות במקרא גיליון Pplay1 (5 הקטגוריות הנותרות אין להן עדיין נתונים החודש — תקין ל-MTD, לא נתון חסר). שורת "Customers" בדוח המקור (₪58,930.5) היא שורת סה"כ-אב ואינה שווה לסכום שורות הקטגוריה (שהוא גבוה יותר, ₪94,469.4) — כפי שהיה גם בדוחות הקודמים, זו שורת מטה-דוח שאינה תואמת אף ערך במקרא ולכן לא יובאה, בהתאם למוסכמת עבודה. מכר נטו = עמודה B × 0.91 (מקדם קבוע, מאושר ב-kirill.md).</t>
  </si>
  <si>
    <t xml:space="preserve">Source: CustomSalesbyCustomerSummary91.xls (Meditex Group IL, Custom Sales by Customer Summary, 01 August 2026 - 31 August 2026, Month-to-Date) — נשלפו 11 שורות הסיכום (קטגוריה) שיש להן מכירות עד כה החודש, מתוך 28 הקטגוריות במקרא "ריכוז" (17 הקטגוריות הנותרות אין להן מכירות עדיין החודש — תקין ל-MTD, לא נתון חסר). לא יובאו שורות פירוט חשבוניות/לקוחות-בת מהדוח הגולמי (317 שורות בקובץ המקור), לפי מוסכמת עבודה. סה"כ שורת "Total" בדוח הגולמי המלא: 452,416.49 — תואם בדיוק לסכום 11 שורות הקטגוריה שנשלפו, כך שלא נותרה מכירה כלשהי שלא סווגה. כולל את "202 - Super-Pharm POLAND" (132,101.57) ו-"214 - Alfred Gera&amp; Sons Ltd. MALTA" (25,951.00), שממופות כבר בגיליון "ריכוז" (שורות 17-18) ללקוחות #20 ו-#33 בגיליון סה"כ, בהתאם למקרא הקבוע (28 שורות, ראה kirill.md).</t>
  </si>
  <si>
    <t xml:space="preserve">Customer</t>
  </si>
  <si>
    <t xml:space="preserve">Sales</t>
  </si>
  <si>
    <t xml:space="preserve">Source: צילום מסך שסופק על ידי המשתמש, לוח בקרה Amazon Seller Central (Sales / Refund cost), "Month to date, 1-4 August 2026", נמסר 05/08/2026. אין קובץ מקור — נתון ידני מתועד. נתונים נוספים בצילום (לא בשימוש בנוסחה): Orders/Units 321/326, Refunds 36, Est. payout $2,983.02, Gross/Net profit $1,227.14 (-43.7%).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</si>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</sst>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21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FreeSans"/>
      <family val="2"/>
    </font>
    <font>
      <sz val="10"/>
      <name val="FreeSans"/>
      <family val="2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tru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2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fals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46239</v>
      </c>
      <c r="C2" s="6" t="n">
        <v>8.2026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SUMIF(Pplay1!$F$3:$F$14,A3,Pplay1!$H$3:$H$14)+SUMIF(ריכוז!$B$3:$B$16,A3,ריכוז!$C$3:$C$16)</f>
        <v>213454.8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SUMIF(Pplay1!$F$3:$F$14,A4,Pplay1!$H$3:$H$14)+SUMIF(ריכוז!$B$3:$B$16,A4,ריכוז!$C$3:$C$16)</f>
        <v>22495.109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SUMIF(Pplay1!$F$3:$F$14,A5,Pplay1!$H$3:$H$14)+SUMIF(ריכוז!$B$3:$B$16,A5,ריכוז!$C$3:$C$16)</f>
        <v>9845.29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SUMIF(Pplay1!$F$3:$F$14,A6,Pplay1!$H$3:$H$14)+SUMIF(ריכוז!$B$3:$B$16,A6,ריכוז!$C$3:$C$16)</f>
        <v>8664.903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SUMIF(Pplay1!$F$3:$F$14,A7,Pplay1!$H$3:$H$14)+SUMIF(ריכוז!$B$3:$B$16,A7,ריכוז!$C$3:$C$16)</f>
        <v>21161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SUMIF(Pplay1!$F$3:$F$14,A8,Pplay1!$H$3:$H$14)+SUMIF(ריכוז!$B$3:$B$16,A8,ריכוז!$C$3:$C$16)</f>
        <v>13854.022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SUMIF(Pplay1!$F$3:$F$14,A9,Pplay1!$H$3:$H$14)+SUMIF(ריכוז!$B$3:$B$16,A9,ריכוז!$C$3:$C$16)</f>
        <v>7055.3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SUMIF(Pplay1!$F$3:$F$14,A10,Pplay1!$H$3:$H$14)+SUMIF(ריכוז!$B$3:$B$16,A10,ריכוז!$C$3:$C$16)</f>
        <v>1639.41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SUMIF(Pplay1!$F$3:$F$14,A11,Pplay1!$H$3:$H$14)+SUMIF(ריכוז!$B$3:$B$16,A11,ריכוז!$C$3:$C$16)</f>
        <v>893.04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SUMIF(Pplay1!$F$3:$F$14,A12,Pplay1!$H$3:$H$14)+SUMIF(ריכוז!$B$3:$B$16,A12,ריכוז!$C$3:$C$16)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SUMIF(Pplay1!$F$3:$F$14,A13,Pplay1!$H$3:$H$14)+SUMIF(ריכוז!$B$3:$B$16,A13,ריכוז!$C$3:$C$16)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SUMIF(Pplay1!$F$3:$F$14,A14,Pplay1!$H$3:$H$14)+SUMIF(ריכוז!$B$3:$B$16,A14,ריכוז!$C$3:$C$16)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SUMIF(Pplay1!$F$3:$F$14,A15,Pplay1!$H$3:$H$14)+SUMIF(ריכוז!$B$3:$B$16,A15,ריכוז!$C$3:$C$16)</f>
        <v>3042.1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302104.974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SUMIF(Pplay1!$F$3:$F$14,A17,Pplay1!$H$3:$H$14)+SUMIF(ריכוז!$B$3:$B$16,A17,ריכוז!$C$3:$C$16)</f>
        <v>45348.08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SUMIF(Pplay1!$F$3:$F$14,A18,Pplay1!$H$3:$H$14)+SUMIF(ריכוז!$B$3:$B$16,A18,ריכוז!$C$3:$C$16)</f>
        <v>537.53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347990.584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25908.9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SUMIF(Pplay1!$F$3:$F$14,A21,Pplay1!$H$3:$H$14)+SUMIF(ריכוז!$B$3:$B$29,A21,ריכוז!$C$3:$C$29)</f>
        <v>132101.57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SUMIF(Pplay1!$F$3:$F$14,A22,Pplay1!$H$3:$H$14)+SUMIF(ריכוז!$B$3:$B$29,A22,ריכוז!$C$3:$C$29)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SUMIF(Pplay1!$F$3:$F$14,A23,Pplay1!$H$3:$H$14)+SUMIF(ריכוז!$B$3:$B$29,A23,ריכוז!$C$3:$C$29)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SUMIF(Pplay1!$F$3:$F$14,A24,Pplay1!$H$3:$H$14)+SUMIF(ריכוז!$B$3:$B$29,A24,ריכוז!$C$3:$C$29)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SUMIF(Pplay1!$F$3:$F$14,A25,Pplay1!$H$3:$H$14)+SUMIF(ריכוז!$B$3:$B$29,A25,ריכוז!$C$3:$C$29)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SUMIF(Pplay1!$F$3:$F$14,A26,Pplay1!$H$3:$H$14)+SUMIF(ריכוז!$B$3:$B$29,A26,ריכוז!$C$3:$C$29)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SUMIF(Pplay1!$F$3:$F$14,A27,Pplay1!$H$3:$H$14)+SUMIF(ריכוז!$B$3:$B$29,A27,ריכוז!$C$3:$C$29)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SUMIF(Pplay1!$F$3:$F$14,A28,Pplay1!$H$3:$H$14)+SUMIF(ריכוז!$B$3:$B$29,A28,ריכוז!$C$3:$C$29)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SUMIF(Pplay1!$F$3:$F$14,A29,Pplay1!$H$3:$H$14)+SUMIF(ריכוז!$B$3:$B$29,A29,ריכוז!$C$3:$C$29)</f>
        <v>0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SUMIF(Pplay1!$F$3:$F$14,A30,Pplay1!$H$3:$H$14)+SUMIF(ריכוז!$B$3:$B$29,A30,ריכוז!$C$3:$C$29)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SUMIF(Pplay1!$F$3:$F$14,A31,Pplay1!$H$3:$H$14)+SUMIF(ריכוז!$B$3:$B$29,A31,ריכוז!$C$3:$C$29)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SUMIF(Pplay1!$F$3:$F$14,A32,Pplay1!$H$3:$H$14)+SUMIF(ריכוז!$B$3:$B$29,A32,ריכוז!$C$3:$C$29)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SUMIF(Pplay1!$F$3:$F$14,A33,Pplay1!$H$3:$H$14)+SUMIF(ריכוז!$B$3:$B$29,A33,ריכוז!$C$3:$C$29)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SUMIF(Pplay1!$F$3:$F$14,A34,Pplay1!$H$3:$H$14)+SUMIF(ריכוז!$B$3:$B$29,A34,ריכוז!$C$3:$C$29)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SUMIF(Pplay1!$F$3:$F$14,A35,Pplay1!$H$3:$H$14)+SUMIF(ריכוז!$B$3:$B$29,A35,ריכוז!$C$3:$C$29)</f>
        <v>25951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SUMIF(Pplay1!$F$3:$F$14,A36,Pplay1!$H$3:$H$14)+SUMIF(ריכוז!$B$3:$B$29,A36,ריכוז!$C$3:$C$29)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SUMIF(Pplay1!$F$3:$F$14,A37,Pplay1!$H$3:$H$14)+SUMIF(ריכוז!$B$3:$B$29,A37,ריכוז!$C$3:$C$29)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SUMIF(Pplay1!$F$3:$F$14,A38,Pplay1!$H$3:$H$14)+SUMIF(ריכוז!$B$3:$B$29,A38,ריכוז!$C$3:$C$29)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SUMIF(Pplay1!$F$3:$F$14,A39,Pplay1!$H$3:$H$14)+SUMIF(ריכוז!$B$3:$B$29,A39,ריכוז!$C$3:$C$29)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183961.47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531952.054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8167.3</v>
      </c>
      <c r="H3" s="27" t="n">
        <f aca="false">IF(G3="","",G3*0.91)</f>
        <v>7432.243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str">
        <f aca="false">IFERROR(INDEX(PPLAY1_מקור!$B:$B,MATCH(A4,PPLAY1_מקור!$A:$A,0)),"")</f>
        <v/>
      </c>
      <c r="H4" s="27" t="str">
        <f aca="false">IF(G4="","",G4*0.91)</f>
        <v/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35539</v>
      </c>
      <c r="H5" s="27" t="n">
        <f aca="false">IF(G5="","",G5*0.91)</f>
        <v>32340.49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184.9</v>
      </c>
      <c r="H6" s="27" t="n">
        <f aca="false">IF(G6="","",G6*0.91)</f>
        <v>168.259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str">
        <f aca="false">IFERROR(INDEX(PPLAY1_מקור!$B:$B,MATCH(A7,PPLAY1_מקור!$A:$A,0)),"")</f>
        <v/>
      </c>
      <c r="H7" s="27" t="str">
        <f aca="false">IF(G7="","",G7*0.91)</f>
        <v/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str">
        <f aca="false">IFERROR(INDEX(PPLAY1_מקור!$B:$B,MATCH(A8,PPLAY1_מקור!$A:$A,0)),"")</f>
        <v/>
      </c>
      <c r="H8" s="27" t="str">
        <f aca="false">IF(G8="","",G8*0.91)</f>
        <v/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82.7</v>
      </c>
      <c r="H9" s="27" t="n">
        <f aca="false">IF(G9="","",G9*0.91)</f>
        <v>75.257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24719.9</v>
      </c>
      <c r="H10" s="27" t="n">
        <f aca="false">IF(G10="","",G10*0.91)</f>
        <v>22495.109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10551.4</v>
      </c>
      <c r="H11" s="27" t="n">
        <f aca="false">IF(G11="","",G11*0.91)</f>
        <v>9601.774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15224.2</v>
      </c>
      <c r="H13" s="27" t="n">
        <f aca="false">IF(G13="","",G13*0.91)</f>
        <v>13854.022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7055.3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213454.8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3042.1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893.04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1639.41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1232.66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21161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45348.08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537.53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str">
        <f aca="false">IFERROR(INDEX(NetSuite_מקור!$D:$D,MATCH(A16,NetSuite_מקור!$A:$A,0)),"")</f>
        <v/>
      </c>
    </row>
    <row r="17" customFormat="false" ht="14.25" hidden="false" customHeight="true" outlineLevel="0" collapsed="false">
      <c r="A17" s="28" t="s">
        <v>75</v>
      </c>
      <c r="B17" s="1" t="n">
        <v>20</v>
      </c>
      <c r="C17" s="29" t="n">
        <f aca="false">IFERROR(INDEX(NetSuite_מקור!$D:$D,MATCH(A17,NetSuite_מקור!$A:$A,0)),"")</f>
        <v>132101.57</v>
      </c>
    </row>
    <row r="18" customFormat="false" ht="14.25" hidden="false" customHeight="true" outlineLevel="0" collapsed="false">
      <c r="A18" s="28" t="s">
        <v>76</v>
      </c>
      <c r="B18" s="1" t="n">
        <v>33</v>
      </c>
      <c r="C18" s="29" t="n">
        <f aca="false">IFERROR(INDEX(NetSuite_מקור!$D:$D,MATCH(A18,NetSuite_מקור!$A:$A,0)),"")</f>
        <v>25951</v>
      </c>
    </row>
    <row r="19" customFormat="false" ht="14.25" hidden="false" customHeight="true" outlineLevel="0" collapsed="false">
      <c r="A19" s="28" t="s">
        <v>77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78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79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80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81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82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83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84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85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86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87</v>
      </c>
      <c r="B29" s="1" t="n">
        <v>35</v>
      </c>
      <c r="C29" s="29" t="str">
        <f aca="false">IFERROR(INDEX(NetSuite_מקור!$D:$D,MATCH(A29,NetSuite_מקור!$A:$A,0)),"")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88</v>
      </c>
      <c r="B1" s="24" t="s">
        <v>89</v>
      </c>
      <c r="C1" s="24" t="s">
        <v>47</v>
      </c>
      <c r="D1" s="24" t="s">
        <v>90</v>
      </c>
    </row>
    <row r="2" customFormat="false" ht="14.25" hidden="false" customHeight="true" outlineLevel="0" collapsed="false">
      <c r="A2" s="26" t="s">
        <v>48</v>
      </c>
      <c r="B2" s="27" t="n">
        <v>8167.3</v>
      </c>
      <c r="C2" s="27" t="n">
        <f aca="false">B2*0.91</f>
        <v>7432.243</v>
      </c>
      <c r="D2" s="30" t="s">
        <v>91</v>
      </c>
    </row>
    <row r="3" customFormat="false" ht="14.25" hidden="false" customHeight="true" outlineLevel="0" collapsed="false">
      <c r="A3" s="26" t="s">
        <v>50</v>
      </c>
      <c r="B3" s="27" t="n">
        <v>35539</v>
      </c>
      <c r="C3" s="27" t="n">
        <f aca="false">B3*0.91</f>
        <v>32340.49</v>
      </c>
    </row>
    <row r="4" customFormat="false" ht="14.25" hidden="false" customHeight="true" outlineLevel="0" collapsed="false">
      <c r="A4" s="26" t="s">
        <v>51</v>
      </c>
      <c r="B4" s="27" t="n">
        <v>184.9</v>
      </c>
      <c r="C4" s="27" t="n">
        <f aca="false">B4*0.91</f>
        <v>168.259</v>
      </c>
    </row>
    <row r="5" customFormat="false" ht="14.25" hidden="false" customHeight="true" outlineLevel="0" collapsed="false">
      <c r="A5" s="26" t="s">
        <v>54</v>
      </c>
      <c r="B5" s="27" t="n">
        <v>82.7</v>
      </c>
      <c r="C5" s="27" t="n">
        <f aca="false">B5*0.91</f>
        <v>75.257</v>
      </c>
    </row>
    <row r="6" customFormat="false" ht="14.25" hidden="false" customHeight="true" outlineLevel="0" collapsed="false">
      <c r="A6" s="26" t="s">
        <v>3</v>
      </c>
      <c r="B6" s="27" t="n">
        <v>24719.9</v>
      </c>
      <c r="C6" s="27" t="n">
        <f aca="false">B6*0.91</f>
        <v>22495.109</v>
      </c>
    </row>
    <row r="7" customFormat="false" ht="14.25" hidden="false" customHeight="false" outlineLevel="0" collapsed="false">
      <c r="A7" s="26" t="s">
        <v>55</v>
      </c>
      <c r="B7" s="27" t="n">
        <v>10551.4</v>
      </c>
      <c r="C7" s="27" t="n">
        <f aca="false">B7*0.91</f>
        <v>9601.774</v>
      </c>
    </row>
    <row r="8" customFormat="false" ht="14.25" hidden="false" customHeight="false" outlineLevel="0" collapsed="false">
      <c r="A8" s="26" t="s">
        <v>57</v>
      </c>
      <c r="B8" s="27" t="n">
        <v>15224.2</v>
      </c>
      <c r="C8" s="27" t="n">
        <f aca="false">B8*0.91</f>
        <v>13854.022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92</v>
      </c>
    </row>
    <row r="2" customFormat="false" ht="15" hidden="false" customHeight="true" outlineLevel="0" collapsed="false">
      <c r="A2" s="24" t="s">
        <v>93</v>
      </c>
      <c r="D2" s="24" t="s">
        <v>94</v>
      </c>
    </row>
    <row r="3" customFormat="false" ht="15" hidden="false" customHeight="true" outlineLevel="0" collapsed="false">
      <c r="A3" s="26" t="s">
        <v>61</v>
      </c>
      <c r="D3" s="29" t="n">
        <v>7055.3</v>
      </c>
    </row>
    <row r="4" customFormat="false" ht="15" hidden="false" customHeight="true" outlineLevel="0" collapsed="false">
      <c r="A4" s="26" t="s">
        <v>62</v>
      </c>
      <c r="D4" s="29" t="n">
        <v>213454.8</v>
      </c>
    </row>
    <row r="5" customFormat="false" ht="15" hidden="false" customHeight="true" outlineLevel="0" collapsed="false">
      <c r="A5" s="26" t="s">
        <v>63</v>
      </c>
      <c r="D5" s="29" t="n">
        <v>3042.1</v>
      </c>
    </row>
    <row r="6" customFormat="false" ht="15" hidden="false" customHeight="true" outlineLevel="0" collapsed="false">
      <c r="A6" s="26" t="s">
        <v>65</v>
      </c>
      <c r="D6" s="29" t="n">
        <v>1639.41</v>
      </c>
    </row>
    <row r="7" customFormat="false" ht="15" hidden="false" customHeight="true" outlineLevel="0" collapsed="false">
      <c r="A7" s="26" t="s">
        <v>69</v>
      </c>
      <c r="D7" s="29" t="n">
        <v>21161</v>
      </c>
    </row>
    <row r="8" customFormat="false" ht="15" hidden="false" customHeight="true" outlineLevel="0" collapsed="false">
      <c r="A8" s="26" t="s">
        <v>70</v>
      </c>
      <c r="D8" s="29" t="n">
        <v>45348.08</v>
      </c>
    </row>
    <row r="9" customFormat="false" ht="15" hidden="false" customHeight="true" outlineLevel="0" collapsed="false">
      <c r="A9" s="26" t="s">
        <v>71</v>
      </c>
      <c r="D9" s="29" t="n">
        <v>537.53</v>
      </c>
    </row>
    <row r="10" customFormat="false" ht="14.25" hidden="false" customHeight="true" outlineLevel="0" collapsed="false">
      <c r="A10" s="26" t="s">
        <v>66</v>
      </c>
      <c r="D10" s="29" t="n">
        <v>1232.66</v>
      </c>
    </row>
    <row r="11" customFormat="false" ht="14.25" hidden="false" customHeight="true" outlineLevel="0" collapsed="false">
      <c r="A11" s="26" t="s">
        <v>75</v>
      </c>
      <c r="D11" s="29" t="n">
        <v>132101.57</v>
      </c>
    </row>
    <row r="12" customFormat="false" ht="14.25" hidden="false" customHeight="true" outlineLevel="0" collapsed="false">
      <c r="A12" s="31" t="s">
        <v>76</v>
      </c>
      <c r="B12" s="32"/>
      <c r="C12" s="32"/>
      <c r="D12" s="33" t="n">
        <v>25951</v>
      </c>
      <c r="E12" s="34"/>
    </row>
    <row r="13" customFormat="false" ht="14.25" hidden="false" customHeight="true" outlineLevel="0" collapsed="false">
      <c r="A13" s="31" t="s">
        <v>64</v>
      </c>
      <c r="B13" s="32"/>
      <c r="C13" s="32"/>
      <c r="D13" s="33" t="n">
        <v>893.04</v>
      </c>
      <c r="E13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95</v>
      </c>
    </row>
    <row r="2" customFormat="false" ht="15" hidden="false" customHeight="true" outlineLevel="0" collapsed="false">
      <c r="A2" s="24" t="s">
        <v>88</v>
      </c>
      <c r="B2" s="24" t="s">
        <v>96</v>
      </c>
      <c r="C2" s="24" t="s">
        <v>90</v>
      </c>
    </row>
    <row r="3" customFormat="false" ht="15" hidden="false" customHeight="true" outlineLevel="0" collapsed="false">
      <c r="A3" s="26" t="s">
        <v>94</v>
      </c>
      <c r="B3" s="27" t="n">
        <v>9747.51</v>
      </c>
      <c r="C3" s="30" t="s">
        <v>97</v>
      </c>
    </row>
    <row r="4" customFormat="false" ht="15" hidden="false" customHeight="true" outlineLevel="0" collapsed="false">
      <c r="A4" s="26" t="s">
        <v>98</v>
      </c>
      <c r="B4" s="27" t="n">
        <v>-1111.21</v>
      </c>
      <c r="C4" s="3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2026-08-05T06:45:24Z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