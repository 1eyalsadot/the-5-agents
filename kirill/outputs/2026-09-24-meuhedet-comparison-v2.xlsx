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dex" sheetId="1" state="visible" r:id="rId3"/>
    <sheet name="Matched by CHEMIPAL CODE" sheetId="2" state="visible" r:id="rId4"/>
    <sheet name="Unmatched" sheetId="3" state="visible" r:id="rId5"/>
    <sheet name="Manual Matches" sheetId="4" state="visible" r:id="rId6"/>
    <sheet name="TRANS" sheetId="5" state="visible" r:id="rId7"/>
    <sheet name="CEMI Raw" sheetId="6" state="visible" r:id="rId8"/>
    <sheet name="SALES Raw"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<sst xmlns="http://schemas.openxmlformats.org/spreadsheetml/2006/main" count="1733" uniqueCount="1080">
  <si>
    <t xml:space="preserve">מאוחדת — CEMI (PPLAY1) vs SALES (NetSuite) — True Product-Level Match via TRANS Crosswalk (v2)</t>
  </si>
  <si>
    <t xml:space="preserve">Calculation date:</t>
  </si>
  <si>
    <t xml:space="preserve">Supersedes 2026-09-20-meuhedet-comparison.xlsx (which only did visual highlighting). This file performs a real product-level match between CEMI's "מאוחדת" data (customer "0קופות חולים", from the original raw PPLAY1 2025.xls/2026.xls, cross-checked against 2026-09-19-CEMI-grouped-2025-vs-2026.xlsx) and SALES's "113 - Kupat Holim Meuhedet" data (from 2026-09-20-salestype-2025-vs-2026.xlsx, "Source" sheet), bridged via the uploaded TRANS crosswalk table (da0cb0ca-TRANS.xlsx). None of the original source files were modified — this is a new, separate derived file.</t>
  </si>
  <si>
    <t xml:space="preserve">IMPORTANT: CEMI's "מאוחדת" (customer "0קופות חולים") had ZERO activity in 2025 in the CEMI/PPLAY1 system entirely — this is a pre-existing, already-confirmed fact from prior builds, not a matching artifact. All 2025 CEMI figures below are correctly 0.</t>
  </si>
  <si>
    <t xml:space="preserve">Update 24/09/2026: 4 additional SALES items (397-35-38, 397-43-46, 363 L/R, T90 0) were linked to their CHEMIPAL CODE via user-approved manual rules - see the "Manual Matches" sheet. One rule ("394" + "כסף") could NOT be applied to 3 remaining SALES items (394G-35-38/39-42/43-46) - TRANS has no gray ("G") variant for this product family, only black (394B) and white (394W), so the correct code is ambiguous; left in Unmatched rather than guessed - flagged for follow-up.</t>
  </si>
  <si>
    <t xml:space="preserve">Sheet map</t>
  </si>
  <si>
    <t xml:space="preserve">Sheet</t>
  </si>
  <si>
    <t xml:space="preserve">Contents</t>
  </si>
  <si>
    <t xml:space="preserve">Matched by CHEMIPAL CODE</t>
  </si>
  <si>
    <t xml:space="preserve">Match-rate summary + full row-by-row CEMI vs SALES comparison table at CHEMIPAL CODE level (matched codes, including manual overrides).</t>
  </si>
  <si>
    <t xml:space="preserve">Unmatched</t>
  </si>
  <si>
    <t xml:space="preserve">Every item name from CEMI and SALES that could NOT be bridged via TRANS (automatically or manually), with quantities/amounts — reported as-is, not guessed.</t>
  </si>
  <si>
    <t xml:space="preserve">Manual Matches</t>
  </si>
  <si>
    <t xml:space="preserve">User-approved overrides (24/09/2026): raw item names linked to a CHEMIPAL CODE by hand, with justification, because TRANS could not auto-match them.</t>
  </si>
  <si>
    <t xml:space="preserve">TRANS</t>
  </si>
  <si>
    <t xml:space="preserve">The crosswalk table as uploaded, plus normalized helper columns used by the matching formulas.</t>
  </si>
  <si>
    <t xml:space="preserve">CEMI Raw</t>
  </si>
  <si>
    <t xml:space="preserve">Pre-aggregation item-level data for מאוחדת from CEMI/PPLAY1 (nonzero rows only), with live CHEMIPAL CODE match (auto + manual fallback).</t>
  </si>
  <si>
    <t xml:space="preserve">SALES Raw</t>
  </si>
  <si>
    <t xml:space="preserve">Pre-aggregation item-level data for 113 - Kupat Holim Meuhedet from SALES/NetSuite (nonzero rows only), with live CHEMIPAL CODE match (auto + manual fallback).</t>
  </si>
  <si>
    <t xml:space="preserve">Match-rate summary</t>
  </si>
  <si>
    <t xml:space="preserve">Source</t>
  </si>
  <si>
    <t xml:space="preserve">Metric</t>
  </si>
  <si>
    <t xml:space="preserve">Matched</t>
  </si>
  <si>
    <t xml:space="preserve">Total</t>
  </si>
  <si>
    <t xml:space="preserve">Match %</t>
  </si>
  <si>
    <t xml:space="preserve">CEMI (PPLAY1)</t>
  </si>
  <si>
    <t xml:space="preserve">Quantity</t>
  </si>
  <si>
    <t xml:space="preserve">Amount (₪)</t>
  </si>
  <si>
    <t xml:space="preserve">SALES (NetSuite)</t>
  </si>
  <si>
    <t xml:space="preserve">Amount (₪)*</t>
  </si>
  <si>
    <t xml:space="preserve">* SALES Amount total nets out "בונוסים ללקוחות" (a negative customer-bonus/credit line, unmatched by nature — see Unmatched sheet); the raw amount match % can look off because of this sign flip even though quantity match is ~97-99%.</t>
  </si>
  <si>
    <t xml:space="preserve">Matched CHEMIPAL codes:</t>
  </si>
  <si>
    <t xml:space="preserve">Combined Amount 2025 (matched codes, ₪):</t>
  </si>
  <si>
    <t xml:space="preserve">Combined Amount 2026 (matched codes, ₪):</t>
  </si>
  <si>
    <t xml:space="preserve">CEMI unmatched distinct items:</t>
  </si>
  <si>
    <t xml:space="preserve">SALES unmatched distinct items:</t>
  </si>
  <si>
    <t xml:space="preserve">מאוחדת — True Product-Level Match: CEMI (PPLAY1) vs SALES (NetSuite), by CHEMIPAL CODE</t>
  </si>
  <si>
    <t xml:space="preserve">This replaces the visual-highlighting-only approach used in 2026-09-20-meuhedet-comparison.xlsx. Every row here is a CHEMIPAL CODE that was matched (via the TRANS crosswalk) from at least one of the two sources (CEMI Raw / SALES Raw). A 0 in any CEMI/SALES column means that product was not sold to מאוחדת through that channel/system in that year — not a data gap. Neither original source file (2026-09-19-CEMI-grouped-2025-vs-2026.xlsx, 2026-09-20-salestype-2025-vs-2026.xlsx) was modified.</t>
  </si>
  <si>
    <t xml:space="preserve">Match-rate summary (by Quantity / Amount, matched vs total in each source)</t>
  </si>
  <si>
    <t xml:space="preserve">Source / Metric</t>
  </si>
  <si>
    <t xml:space="preserve">CEMI — Quantity</t>
  </si>
  <si>
    <t xml:space="preserve">CEMI — Amount (₪)</t>
  </si>
  <si>
    <t xml:space="preserve">SALES — Quantity</t>
  </si>
  <si>
    <t xml:space="preserve">SALES — Amount (₪)*</t>
  </si>
  <si>
    <t xml:space="preserve">* SALES Amount total is net of the "בונוסים ללקוחות" (customer bonus/credit) line, which is negative and unmatched — see the Unmatched sheet. This is why the raw match % for SALES Amount can look distorted; by Quantity, both sources match at ~97-99%.</t>
  </si>
  <si>
    <t xml:space="preserve">CHEMIPAL CODE</t>
  </si>
  <si>
    <t xml:space="preserve">Product Name (TRANS ITEM NAME)</t>
  </si>
  <si>
    <t xml:space="preserve">Product Name (TRANS CHEMIPAL NAME)</t>
  </si>
  <si>
    <t xml:space="preserve">CEMI Qty 2025</t>
  </si>
  <si>
    <t xml:space="preserve">CEMI Amt 2025 (₪)</t>
  </si>
  <si>
    <t xml:space="preserve">CEMI Qty 2026</t>
  </si>
  <si>
    <t xml:space="preserve">CEMI Amt 2026 (₪)</t>
  </si>
  <si>
    <t xml:space="preserve">SALES Qty 2025</t>
  </si>
  <si>
    <t xml:space="preserve">SALES Amt 2025 (₪)</t>
  </si>
  <si>
    <t xml:space="preserve">SALES Qty 2026</t>
  </si>
  <si>
    <t xml:space="preserve">SALES Amt 2026 (₪)</t>
  </si>
  <si>
    <t xml:space="preserve">Combined Qty 2025</t>
  </si>
  <si>
    <t xml:space="preserve">Combined Amt 2025 (₪)</t>
  </si>
  <si>
    <t xml:space="preserve">Combined Qty 2026</t>
  </si>
  <si>
    <t xml:space="preserve">Combined Amt 2026 (₪)</t>
  </si>
  <si>
    <t xml:space="preserve">TOTAL (matched codes only)</t>
  </si>
  <si>
    <t xml:space="preserve">Unmatched — Items NOT Found in TRANS Crosswalk (reported only, not guessed)</t>
  </si>
  <si>
    <t xml:space="preserve">Per explicit instruction: items that could not be bridged via TRANS (automatically or manually) are reported here as-is, with no guessed CHEMIPAL CODE. CEMI side: 11 distinct item names (all 2026, since CEMI 2025 = 0 entirely). SALES side: 35 distinct item names (after 4 were manually matched on 24/09/2026 - see notes below the table), including "בונוסים ללקוחות" (a customer bonus/credit adjustment line — not a physical product — with a large negative amount) and several small-quantity/edge-case codes not present in the TRANS table. Values below are pulled live from the Raw sheets by item name.</t>
  </si>
  <si>
    <t xml:space="preserve">CEMI — Unmatched items (מאוחדת, from PPLAY1, customer "0קופות חולים")</t>
  </si>
  <si>
    <t xml:space="preserve">Item Name (raw, PPLAY1 format)</t>
  </si>
  <si>
    <t xml:space="preserve">Year</t>
  </si>
  <si>
    <t xml:space="preserve">07AU L ח.גב ""איטלקית"" אורירית</t>
  </si>
  <si>
    <t xml:space="preserve">07AU M ח.גב ""איטלקית"" אורירית</t>
  </si>
  <si>
    <t xml:space="preserve">07AU XL ח.גב ""איטלקית"" אורירית</t>
  </si>
  <si>
    <t xml:space="preserve">07AU XXL.ח.גב ""איטלקית"" אוריר</t>
  </si>
  <si>
    <t xml:space="preserve">11 L""חגורת בטן""אורירית</t>
  </si>
  <si>
    <t xml:space="preserve">11 M""חגורת בטן""אורירית</t>
  </si>
  <si>
    <t xml:space="preserve">11 S""חגורת בטן""אורירית</t>
  </si>
  <si>
    <t xml:space="preserve">11 XL""חגורת בטן""אורירית</t>
  </si>
  <si>
    <t xml:space="preserve">11 XXL""חגורת בטן""אורירית</t>
  </si>
  <si>
    <t xml:space="preserve">312 9 מ""ס להתאמהX5 מדבקה גדולה</t>
  </si>
  <si>
    <t xml:space="preserve">4022 רצועת ""פיקה""+כרית</t>
  </si>
  <si>
    <t xml:space="preserve">TOTAL</t>
  </si>
  <si>
    <t xml:space="preserve">SALES — Unmatched items (113 - Kupat Holim Meuhedet, from NetSuite)</t>
  </si>
  <si>
    <t xml:space="preserve">Item Name (raw, NetSuite format)</t>
  </si>
  <si>
    <t xml:space="preserve">Qty 2025</t>
  </si>
  <si>
    <t xml:space="preserve">Amt 2025 (₪)</t>
  </si>
  <si>
    <t xml:space="preserve">Qty 2026</t>
  </si>
  <si>
    <t xml:space="preserve">Amt 2026 (₪)</t>
  </si>
  <si>
    <t xml:space="preserve">(NO ITEM CODE)</t>
  </si>
  <si>
    <t xml:space="preserve">078C L</t>
  </si>
  <si>
    <t xml:space="preserve">078C M</t>
  </si>
  <si>
    <t xml:space="preserve">078C XL</t>
  </si>
  <si>
    <t xml:space="preserve">11U L</t>
  </si>
  <si>
    <t xml:space="preserve">11U M</t>
  </si>
  <si>
    <t xml:space="preserve">11U XL</t>
  </si>
  <si>
    <t xml:space="preserve">13 L</t>
  </si>
  <si>
    <t xml:space="preserve">239P-S-M</t>
  </si>
  <si>
    <t xml:space="preserve">34 XS</t>
  </si>
  <si>
    <t xml:space="preserve">35 XS</t>
  </si>
  <si>
    <t xml:space="preserve">388L 0</t>
  </si>
  <si>
    <t xml:space="preserve">388R 0</t>
  </si>
  <si>
    <t xml:space="preserve">390G-39-42</t>
  </si>
  <si>
    <t xml:space="preserve">394G-35-38</t>
  </si>
  <si>
    <t xml:space="preserve">394G-39-42</t>
  </si>
  <si>
    <t xml:space="preserve">394G-43-46</t>
  </si>
  <si>
    <t xml:space="preserve">422ED XXL</t>
  </si>
  <si>
    <t xml:space="preserve">67800020</t>
  </si>
  <si>
    <t xml:space="preserve">67813000</t>
  </si>
  <si>
    <t xml:space="preserve">74-S-M</t>
  </si>
  <si>
    <t xml:space="preserve">808KTP-B</t>
  </si>
  <si>
    <t xml:space="preserve">808KTP-BL</t>
  </si>
  <si>
    <t xml:space="preserve">87 XS</t>
  </si>
  <si>
    <t xml:space="preserve">LUPD340 0</t>
  </si>
  <si>
    <t xml:space="preserve">T33 L</t>
  </si>
  <si>
    <t xml:space="preserve">T33 M</t>
  </si>
  <si>
    <t xml:space="preserve">T33 XL</t>
  </si>
  <si>
    <t xml:space="preserve">T33 XXL</t>
  </si>
  <si>
    <t xml:space="preserve">T39 L</t>
  </si>
  <si>
    <t xml:space="preserve">T39 M</t>
  </si>
  <si>
    <t xml:space="preserve">T39 XL</t>
  </si>
  <si>
    <t xml:space="preserve">T402 L</t>
  </si>
  <si>
    <t xml:space="preserve">T402 M</t>
  </si>
  <si>
    <t xml:space="preserve">בונוסים ללקוחות</t>
  </si>
  <si>
    <t xml:space="preserve">Note: "בונוסים ללקוחות" (customer bonus/credit, not a product) is the single largest line above by amount — it alone accounts for most of the negative unmatched amount for SALES 2026. All other unmatched lines are small-quantity individual items not present in the TRANS table.</t>
  </si>
  <si>
    <t xml:space="preserve">Update 24/09/2026: 4 SALES items previously listed here (397-35-38, 397-43-46, 363 L/R, T90 0) were moved to "Matched by CHEMIPAL CODE" via user-approved manual overrides - see the "Manual Matches" sheet for the CHEMIPAL CODE each was linked to and the justification.</t>
  </si>
  <si>
    <t xml:space="preserve">NOT applied: the user's "394 + 'כסף'" rule was checked against the 3 remaining SALES items 394G-35-38 / 394G-39-42 / 394G-43-46 (still listed above) but could not be resolved - TRANS only has "394B" (שחור/black) and "394W" (לבן/white) variants containing "כסף", with no "394G" (gray) entry at all, so it is unclear which (if either) existing CHEMIPAL CODE these correspond to. Left unmatched rather than guessed; flagged to Reuven/user for clarification.</t>
  </si>
  <si>
    <t xml:space="preserve">Manual Matches — user-approved overrides (not auto-matched via TRANS)</t>
  </si>
  <si>
    <t xml:space="preserve">Every row here is a manual, user-confirmed link between a raw item name (that TRANS could not automatically match) and a CHEMIPAL CODE - approved explicitly by the user on 24/09/2026. CEMI Raw / SALES Raw look up this table as a final fallback (after exact and normalized TRANS matches fail), and their Match Status column labels these rows "Matched (manual)" to distinguish them from automatic TRANS matches. See the Justification column for the reasoning behind each link.</t>
  </si>
  <si>
    <t xml:space="preserve">Item Name (raw)</t>
  </si>
  <si>
    <t xml:space="preserve">Justification</t>
  </si>
  <si>
    <t xml:space="preserve">SALES</t>
  </si>
  <si>
    <t xml:space="preserve">397-35-38</t>
  </si>
  <si>
    <t xml:space="preserve">CEMI already auto-matches this CHEMIPAL CODE via CHEMIPAL NAME "397A-גרבי טיסה אנטי בקטרי35-38". SALES/NetSuite records the same product without the "A" suffix ("397-35-38"). Per user rule (24/09/2026): products whose TRANS description contains "אנטי" are the same product across the two source codings (397 vs 397A). Confirmed unambiguous: TRANS has no plain "397-35-38" entry at all, only "397A-35-38" for this size.</t>
  </si>
  <si>
    <t xml:space="preserve">397-43-46</t>
  </si>
  <si>
    <t xml:space="preserve">Same as 397-35-38 above, size 43-46. CEMI auto-matches CHEMIPAL NAME "397A-גרבי טיסה אנטי בקטרי43-46".</t>
  </si>
  <si>
    <t xml:space="preserve">363 L/R</t>
  </si>
  <si>
    <t xml:space="preserve">CEMI already auto-matches this CHEMIPAL CODE via CHEMIPAL NAME "363  בננה לתמיכת אצבעות ז.כרית". SALES/NetSuite code differs only in punctuation ("363 L/R" vs TRANS ITEM NAME "363-L-R" - space+slash vs hyphen, not caught by the whitespace-only normalization). Per user rule (24/09/2026): products containing "בננה" are the same product.</t>
  </si>
  <si>
    <t xml:space="preserve">T90 0</t>
  </si>
  <si>
    <t xml:space="preserve">TRANS's ITEM NAME cell for this CHEMIPAL CODE is broken/blank (error value) in the source file, so the automatic ITEM-NAME-based SALES match could never succeed. CEMI already auto-matches this code via CHEMIPAL NAME "T90 רצועת טניס אלבו עם פלסטיק". User confirmed (24/09/2026) this SALES item exists only in 2025 - verified against actual SALES Raw data (qty 2025=63, qty 2026=0), consistent.</t>
  </si>
  <si>
    <t xml:space="preserve">TRANS Crosswalk — Bridges CEMI (PPLAY1) item-text format and SALES (NetSuite) item-code format via CHEMIPAL CODE</t>
  </si>
  <si>
    <t xml:space="preserve">Source: da0cb0ca-TRANS.xlsx (uploaded by user). Column A "ITEM NAME" matches SALES/NetSuite raw Item Name format directly. Column C "CHEMIPAL NAME" matches CEMI/PPLAY1 raw (unsplit) item text format directly (verified by exact string match, e.g. code 4413074). Columns D/E are normalized helper columns (CHAR(160)-&gt;space, then TRIM to collapse extra whitespace) used by the matching formulas in the Raw sheets, to also catch trailing/irregular-whitespace variants.</t>
  </si>
  <si>
    <t xml:space="preserve">ITEM NAME</t>
  </si>
  <si>
    <t xml:space="preserve">CHEMIPAL NAME</t>
  </si>
  <si>
    <t xml:space="preserve">ITEM NAME (normalized)</t>
  </si>
  <si>
    <t xml:space="preserve">CHEMIPAL NAME (normalized)</t>
  </si>
  <si>
    <t xml:space="preserve">40 0</t>
  </si>
  <si>
    <t xml:space="preserve">40-רצועת פיקה לברך</t>
  </si>
  <si>
    <t xml:space="preserve">4022 0</t>
  </si>
  <si>
    <t xml:space="preserve">4022 רצועת """"פיקה""""+כרית</t>
  </si>
  <si>
    <t xml:space="preserve">41 XL</t>
  </si>
  <si>
    <t xml:space="preserve">41  XL.מ.ברך מוצלב+ספירלות בצד</t>
  </si>
  <si>
    <t xml:space="preserve">41 L</t>
  </si>
  <si>
    <t xml:space="preserve">41 Lמ.ברך מוצלב+ספירלות בצדדים</t>
  </si>
  <si>
    <t xml:space="preserve">41 M</t>
  </si>
  <si>
    <t xml:space="preserve">41 Mמ.ברך מוצלב+ספירלות בצדדים</t>
  </si>
  <si>
    <t xml:space="preserve">41 S</t>
  </si>
  <si>
    <t xml:space="preserve">41 Sמ.ברך מוצלב+ספירלות בצדדים</t>
  </si>
  <si>
    <t xml:space="preserve">41X L</t>
  </si>
  <si>
    <t xml:space="preserve">41X L מגן ברך מוצלב+מוט</t>
  </si>
  <si>
    <t xml:space="preserve">41X XL</t>
  </si>
  <si>
    <t xml:space="preserve">41X XL מגן ברך מוצלב+מוט</t>
  </si>
  <si>
    <t xml:space="preserve">422 S</t>
  </si>
  <si>
    <t xml:space="preserve">422 Sמ.ברך+כרית סיל.סביב לפיקה</t>
  </si>
  <si>
    <t xml:space="preserve">422E XXXL</t>
  </si>
  <si>
    <t xml:space="preserve">422E XXXL מגן ברך ארוך עם כרית</t>
  </si>
  <si>
    <t xml:space="preserve">45 XS</t>
  </si>
  <si>
    <t xml:space="preserve">45  XS מגן ברך רגיל לבן</t>
  </si>
  <si>
    <t xml:space="preserve">45 L</t>
  </si>
  <si>
    <t xml:space="preserve">45 L מגן ברך לבן</t>
  </si>
  <si>
    <t xml:space="preserve">45 M</t>
  </si>
  <si>
    <t xml:space="preserve">45 M מגן ברך לבן</t>
  </si>
  <si>
    <t xml:space="preserve">45 S</t>
  </si>
  <si>
    <t xml:space="preserve">45 S מגן ברך לבן</t>
  </si>
  <si>
    <t xml:space="preserve">45 XL</t>
  </si>
  <si>
    <t xml:space="preserve">45 XL מגן ברך לבן</t>
  </si>
  <si>
    <t xml:space="preserve">45 XXL</t>
  </si>
  <si>
    <t xml:space="preserve">45 XXL מגן ברך לבן</t>
  </si>
  <si>
    <t xml:space="preserve">45B L</t>
  </si>
  <si>
    <t xml:space="preserve">45B L מגן ברך שחור</t>
  </si>
  <si>
    <t xml:space="preserve">45B M</t>
  </si>
  <si>
    <t xml:space="preserve">45B M מגן ברך שחור</t>
  </si>
  <si>
    <t xml:space="preserve">45B S</t>
  </si>
  <si>
    <t xml:space="preserve">45B S מגן ברך שחור</t>
  </si>
  <si>
    <t xml:space="preserve">45B XL</t>
  </si>
  <si>
    <t xml:space="preserve">45B XL מגן ברך שחור</t>
  </si>
  <si>
    <t xml:space="preserve">45B XXL</t>
  </si>
  <si>
    <t xml:space="preserve">45B XXLמגן ברך שחור</t>
  </si>
  <si>
    <t xml:space="preserve">45C L</t>
  </si>
  <si>
    <t xml:space="preserve">45C L מגן ברך חום</t>
  </si>
  <si>
    <t xml:space="preserve">45C M</t>
  </si>
  <si>
    <t xml:space="preserve">45C M מגן ברך חום</t>
  </si>
  <si>
    <t xml:space="preserve">45C S</t>
  </si>
  <si>
    <t xml:space="preserve">45C S מגן ברך חום</t>
  </si>
  <si>
    <t xml:space="preserve">45C XL</t>
  </si>
  <si>
    <t xml:space="preserve">45C XL מגן ברך חום</t>
  </si>
  <si>
    <t xml:space="preserve">45E L</t>
  </si>
  <si>
    <t xml:space="preserve">45E  L        מגן ברך ארוך לבן</t>
  </si>
  <si>
    <t xml:space="preserve">45E M</t>
  </si>
  <si>
    <t xml:space="preserve">45E Mמגן ברך ארוך לבן</t>
  </si>
  <si>
    <t xml:space="preserve">45E S</t>
  </si>
  <si>
    <t xml:space="preserve">45E Sמגן ברך ארוך לבן</t>
  </si>
  <si>
    <t xml:space="preserve">45E XL</t>
  </si>
  <si>
    <t xml:space="preserve">45E XLמגן ברך ארוך לבן</t>
  </si>
  <si>
    <t xml:space="preserve">45E XXL</t>
  </si>
  <si>
    <t xml:space="preserve">45E XXLמגן ברך ארוך לבן</t>
  </si>
  <si>
    <t xml:space="preserve">45EC L</t>
  </si>
  <si>
    <t xml:space="preserve">45EC L 'מגן ברך ארוך בז</t>
  </si>
  <si>
    <t xml:space="preserve">45EC M</t>
  </si>
  <si>
    <t xml:space="preserve">45EC M 'מגן ברך ארוך בז</t>
  </si>
  <si>
    <t xml:space="preserve">45EC S</t>
  </si>
  <si>
    <t xml:space="preserve">45EC S 'מגן ברך ארוך בז</t>
  </si>
  <si>
    <t xml:space="preserve">45EC XL</t>
  </si>
  <si>
    <t xml:space="preserve">45EC XL'מגן ברך ארוך בז</t>
  </si>
  <si>
    <t xml:space="preserve">45EC XXL</t>
  </si>
  <si>
    <t xml:space="preserve">45EC XXL'מגן ברך ארוך בז</t>
  </si>
  <si>
    <t xml:space="preserve">48 L</t>
  </si>
  <si>
    <t xml:space="preserve">48 L מגן ברך מחמם</t>
  </si>
  <si>
    <t xml:space="preserve">48 M</t>
  </si>
  <si>
    <t xml:space="preserve">48 M מגן ברך מחמם</t>
  </si>
  <si>
    <t xml:space="preserve">AC40 0</t>
  </si>
  <si>
    <t xml:space="preserve">AC40 רצועה לפיקת הברך</t>
  </si>
  <si>
    <t xml:space="preserve">AC43D 0</t>
  </si>
  <si>
    <t xml:space="preserve">AC43D מגן ברך + צירים</t>
  </si>
  <si>
    <t xml:space="preserve">AC45X 0</t>
  </si>
  <si>
    <t xml:space="preserve">AC45X מגן ברך עם תמיכות</t>
  </si>
  <si>
    <t xml:space="preserve">ST422 0</t>
  </si>
  <si>
    <t xml:space="preserve">S-XLST422 מגן ברך+כרית ג'ל</t>
  </si>
  <si>
    <t xml:space="preserve">SC422 S</t>
  </si>
  <si>
    <t xml:space="preserve">SC422  S מגן ברך</t>
  </si>
  <si>
    <t xml:space="preserve">SC422 XXL</t>
  </si>
  <si>
    <t xml:space="preserve">SC422 XXLמגן ברך</t>
  </si>
  <si>
    <t xml:space="preserve">SH422 1</t>
  </si>
  <si>
    <t xml:space="preserve">SH422 1 תומך ברך גנושילד</t>
  </si>
  <si>
    <t xml:space="preserve">SH422 2</t>
  </si>
  <si>
    <t xml:space="preserve">SH422 2 תומך ברך גנושילד</t>
  </si>
  <si>
    <t xml:space="preserve">SH422 3</t>
  </si>
  <si>
    <t xml:space="preserve">SH422 3 תומך ברך גנושילד</t>
  </si>
  <si>
    <t xml:space="preserve">SH422 4</t>
  </si>
  <si>
    <t xml:space="preserve">SH422 4 תומך ברך גנושילד</t>
  </si>
  <si>
    <t xml:space="preserve">SH422 5</t>
  </si>
  <si>
    <t xml:space="preserve">SH422 5 תומך ברך גנושילד</t>
  </si>
  <si>
    <t xml:space="preserve">SH422 6</t>
  </si>
  <si>
    <t xml:space="preserve">SH422 6 תומך ברך גנושילד</t>
  </si>
  <si>
    <t xml:space="preserve">ST433 0</t>
  </si>
  <si>
    <t xml:space="preserve">ST433 H מגן ברך עם ציר</t>
  </si>
  <si>
    <t xml:space="preserve">T45 L</t>
  </si>
  <si>
    <t xml:space="preserve">T 45 L מגן ברך רגיל</t>
  </si>
  <si>
    <t xml:space="preserve">T45 M</t>
  </si>
  <si>
    <t xml:space="preserve">T 45 M מגן ברך רגיל</t>
  </si>
  <si>
    <t xml:space="preserve">T45 XL</t>
  </si>
  <si>
    <t xml:space="preserve">T 45XL מגן ברך רגיל</t>
  </si>
  <si>
    <t xml:space="preserve">T45 S</t>
  </si>
  <si>
    <t xml:space="preserve">T45 S מגן ברך רגיל</t>
  </si>
  <si>
    <t xml:space="preserve">T45 XXL</t>
  </si>
  <si>
    <t xml:space="preserve">T45 XXL מגן ברך רגיל</t>
  </si>
  <si>
    <t xml:space="preserve">T45X XXL</t>
  </si>
  <si>
    <t xml:space="preserve">T45X-XXLמגן ברך רגיל</t>
  </si>
  <si>
    <t xml:space="preserve">T45X XL</t>
  </si>
  <si>
    <t xml:space="preserve">T45X XL מגן ברך רגיל</t>
  </si>
  <si>
    <t xml:space="preserve">3444B 0</t>
  </si>
  <si>
    <t xml:space="preserve">3444B גרבי ג'ל לריכוך עור העקב</t>
  </si>
  <si>
    <t xml:space="preserve">390B-39-42</t>
  </si>
  <si>
    <t xml:space="preserve">390B 39-42.גרב.כסף לסכרתיים שח</t>
  </si>
  <si>
    <t xml:space="preserve">390B-43-46</t>
  </si>
  <si>
    <t xml:space="preserve">390B 43-46.גרב.כסף לסכרתיים שח</t>
  </si>
  <si>
    <t xml:space="preserve">390B-35-38</t>
  </si>
  <si>
    <t xml:space="preserve">390B גרב.כסף לסכרתים שחור35-38</t>
  </si>
  <si>
    <t xml:space="preserve">390G-35-38</t>
  </si>
  <si>
    <t xml:space="preserve">390G ג.כסף לסכרתיים אפור35-38</t>
  </si>
  <si>
    <t xml:space="preserve">390W-35-38</t>
  </si>
  <si>
    <t xml:space="preserve">390W גרב כסף לסכרתיים לבן35-38</t>
  </si>
  <si>
    <t xml:space="preserve">390W-39-42</t>
  </si>
  <si>
    <t xml:space="preserve">390W גרב.כסף לסכרתיים לבן39-42</t>
  </si>
  <si>
    <t xml:space="preserve">390W-43-46</t>
  </si>
  <si>
    <t xml:space="preserve">390W גרב.כסף לסכרתיים לבן43-46</t>
  </si>
  <si>
    <t xml:space="preserve">394B-35-38</t>
  </si>
  <si>
    <t xml:space="preserve">394B גרב.כסף לסכרתים שחור35-38</t>
  </si>
  <si>
    <t xml:space="preserve">394B-39-42</t>
  </si>
  <si>
    <t xml:space="preserve">394B גרב.כסף לסכרתים שחור39-42</t>
  </si>
  <si>
    <t xml:space="preserve">394B-43-46</t>
  </si>
  <si>
    <t xml:space="preserve">394B גרב.כסף לסכרתים שחור43-46</t>
  </si>
  <si>
    <t xml:space="preserve">394W-35-38</t>
  </si>
  <si>
    <t xml:space="preserve">394W 35-38 גרב.כסף לסכרתים לבן</t>
  </si>
  <si>
    <t xml:space="preserve">394W-39-42</t>
  </si>
  <si>
    <t xml:space="preserve">394W 39-42 גרב.כסף לסכרתים לבן</t>
  </si>
  <si>
    <t xml:space="preserve">394W-43-46</t>
  </si>
  <si>
    <t xml:space="preserve">394W 43-46 גרב.כסף לסכרתים לבן</t>
  </si>
  <si>
    <t xml:space="preserve">395B-39-42</t>
  </si>
  <si>
    <t xml:space="preserve">395B גרבי קיץ אנטי בקטריא39-42</t>
  </si>
  <si>
    <t xml:space="preserve">395B-43-46</t>
  </si>
  <si>
    <t xml:space="preserve">395B גרבי קיץ אנטי בקטריא43-46</t>
  </si>
  <si>
    <t xml:space="preserve">397-39-42</t>
  </si>
  <si>
    <t xml:space="preserve">397 39-42 גרבי טיסה מידה</t>
  </si>
  <si>
    <t xml:space="preserve">397A-35-38</t>
  </si>
  <si>
    <t xml:space="preserve">397A-גרבי טיסה אנטי בקטרי35-38</t>
  </si>
  <si>
    <t xml:space="preserve">397A-39-42</t>
  </si>
  <si>
    <t xml:space="preserve">397A-גרבי טיסה אנטי בקטרי39-42</t>
  </si>
  <si>
    <t xml:space="preserve">397A-43-46</t>
  </si>
  <si>
    <t xml:space="preserve">397A-גרבי טיסה אנטי בקטרי43-46</t>
  </si>
  <si>
    <t xml:space="preserve">390G-43-46</t>
  </si>
  <si>
    <t xml:space="preserve">G390.43-46 גרבי כסף לסכרת מידה</t>
  </si>
  <si>
    <t xml:space="preserve">ST3555-S-M</t>
  </si>
  <si>
    <t xml:space="preserve">ST3555 S-Mגרב לילה לטיפ.בדורבן</t>
  </si>
  <si>
    <t xml:space="preserve">ST3555-L-XL</t>
  </si>
  <si>
    <t xml:space="preserve">ST3555L-XLגרב לילה לטיפ.בדורבן</t>
  </si>
  <si>
    <t xml:space="preserve">06U L</t>
  </si>
  <si>
    <t xml:space="preserve">06U L ח.בטן מותנית צר</t>
  </si>
  <si>
    <t xml:space="preserve">06U XL</t>
  </si>
  <si>
    <t xml:space="preserve">06U XL ח.בטן מותנית צר</t>
  </si>
  <si>
    <t xml:space="preserve">077A XXL</t>
  </si>
  <si>
    <t xml:space="preserve">077A   XXL חגורת גב עם חיזוקים</t>
  </si>
  <si>
    <t xml:space="preserve">077A-L-XL</t>
  </si>
  <si>
    <t xml:space="preserve">077A L-XLחגורת גב</t>
  </si>
  <si>
    <t xml:space="preserve">077A-S-M</t>
  </si>
  <si>
    <t xml:space="preserve">077A S-M חגורת גב</t>
  </si>
  <si>
    <t xml:space="preserve">078 L</t>
  </si>
  <si>
    <t xml:space="preserve">078 L חגורת גב +סגירה</t>
  </si>
  <si>
    <t xml:space="preserve">078G L</t>
  </si>
  <si>
    <t xml:space="preserve">078G-L חגורת גב אפורה</t>
  </si>
  <si>
    <t xml:space="preserve">078G M</t>
  </si>
  <si>
    <t xml:space="preserve">078G-M חגורת גב אפורה</t>
  </si>
  <si>
    <t xml:space="preserve">078G S</t>
  </si>
  <si>
    <t xml:space="preserve">078G-S חגורת גב אפורה</t>
  </si>
  <si>
    <t xml:space="preserve">078G XL</t>
  </si>
  <si>
    <t xml:space="preserve">078G-XLחגורת גב אפורה</t>
  </si>
  <si>
    <t xml:space="preserve">078G XXL</t>
  </si>
  <si>
    <t xml:space="preserve">078G-XXLחגורת גב אפורה</t>
  </si>
  <si>
    <t xml:space="preserve">078 XL</t>
  </si>
  <si>
    <t xml:space="preserve">078XL חגורת גב +סגירה כפולה</t>
  </si>
  <si>
    <t xml:space="preserve">078 XXL</t>
  </si>
  <si>
    <t xml:space="preserve">078XXL חגורת גב +סגירה כפולה</t>
  </si>
  <si>
    <t xml:space="preserve">07AU L</t>
  </si>
  <si>
    <t xml:space="preserve">07AU L ח.גב """"איטלקית"""" אורירית</t>
  </si>
  <si>
    <t xml:space="preserve">07AU M</t>
  </si>
  <si>
    <t xml:space="preserve">07AU M ח.גב """"איטלקית"""" אורירית</t>
  </si>
  <si>
    <t xml:space="preserve">07AU S</t>
  </si>
  <si>
    <t xml:space="preserve">07AU S ח.גב """"איטלקית"""" אורירית</t>
  </si>
  <si>
    <t xml:space="preserve">07AU XL</t>
  </si>
  <si>
    <t xml:space="preserve">07AU XL ח.גב """"איטלקית"""" אורירית</t>
  </si>
  <si>
    <t xml:space="preserve">07AU XXL</t>
  </si>
  <si>
    <t xml:space="preserve">07AU XXL.ח.גב """"איטלקית"""" אוריר</t>
  </si>
  <si>
    <t xml:space="preserve">10 L</t>
  </si>
  <si>
    <t xml:space="preserve">10 L """"חגורת גב """"לומבו</t>
  </si>
  <si>
    <t xml:space="preserve">10 M</t>
  </si>
  <si>
    <t xml:space="preserve">10 M """"חגורת גב """"לומבו</t>
  </si>
  <si>
    <t xml:space="preserve">10 XL</t>
  </si>
  <si>
    <t xml:space="preserve">10 XL """"חגורת גב """"לומבו</t>
  </si>
  <si>
    <t xml:space="preserve">11 L</t>
  </si>
  <si>
    <t xml:space="preserve">11 L""""חגורת בטן""""אורירית</t>
  </si>
  <si>
    <t xml:space="preserve">11 M</t>
  </si>
  <si>
    <t xml:space="preserve">11 M""""חגורת בטן""""אורירית</t>
  </si>
  <si>
    <t xml:space="preserve">11 S</t>
  </si>
  <si>
    <t xml:space="preserve">11 S""""חגורת בטן""""אורירית</t>
  </si>
  <si>
    <t xml:space="preserve">11 XL</t>
  </si>
  <si>
    <t xml:space="preserve">11 XL""""חגורת בטן""""אורירית</t>
  </si>
  <si>
    <t xml:space="preserve">11 XXL</t>
  </si>
  <si>
    <t xml:space="preserve">11 XXL""""חגורת בטן""""אורירית</t>
  </si>
  <si>
    <t xml:space="preserve">11EU L</t>
  </si>
  <si>
    <t xml:space="preserve">11EU L ח.בטן לאחר ניתוח</t>
  </si>
  <si>
    <t xml:space="preserve">11EU M</t>
  </si>
  <si>
    <t xml:space="preserve">11EU M ח.בטן לאחר ניתוח</t>
  </si>
  <si>
    <t xml:space="preserve">11EU XL</t>
  </si>
  <si>
    <t xml:space="preserve">11EU XLח.בטן לאחר ניתוח</t>
  </si>
  <si>
    <t xml:space="preserve">11EU XXL</t>
  </si>
  <si>
    <t xml:space="preserve">11EU XXL חגורת בטןלאחר ניתוח</t>
  </si>
  <si>
    <t xml:space="preserve">11PS L</t>
  </si>
  <si>
    <t xml:space="preserve">11PS Lחגורה למנותחי בטן</t>
  </si>
  <si>
    <t xml:space="preserve">11PS S</t>
  </si>
  <si>
    <t xml:space="preserve">11PS Sחגורה למנותחי בטן</t>
  </si>
  <si>
    <t xml:space="preserve">11PS XL</t>
  </si>
  <si>
    <t xml:space="preserve">11PS XLחגורה למנותחי בטן</t>
  </si>
  <si>
    <t xml:space="preserve">11PS XXL</t>
  </si>
  <si>
    <t xml:space="preserve">11PS XXLחגורה למנותחי בטן</t>
  </si>
  <si>
    <t xml:space="preserve">11STO L</t>
  </si>
  <si>
    <t xml:space="preserve">11STO L חגורה אחרי ניתוח</t>
  </si>
  <si>
    <t xml:space="preserve">11STO M</t>
  </si>
  <si>
    <t xml:space="preserve">11STO M חגורה אחרי ניתוח</t>
  </si>
  <si>
    <t xml:space="preserve">11STO S</t>
  </si>
  <si>
    <t xml:space="preserve">11STO S חגורה אחרי ניתוח</t>
  </si>
  <si>
    <t xml:space="preserve">11STO XL</t>
  </si>
  <si>
    <t xml:space="preserve">11STO XL  חגורה אחרי ניתוח</t>
  </si>
  <si>
    <t xml:space="preserve">11STO XXL</t>
  </si>
  <si>
    <t xml:space="preserve">11STO XXL חגורה אחרי ניתוח</t>
  </si>
  <si>
    <t xml:space="preserve">11TO L</t>
  </si>
  <si>
    <t xml:space="preserve">11TO L חגורה למנותחי בית החזה</t>
  </si>
  <si>
    <t xml:space="preserve">11TO M</t>
  </si>
  <si>
    <t xml:space="preserve">11TO M חגורה למנותחי בית החזה</t>
  </si>
  <si>
    <t xml:space="preserve">11TO S</t>
  </si>
  <si>
    <t xml:space="preserve">11TO S חגורה למנותחי בית החזה</t>
  </si>
  <si>
    <t xml:space="preserve">11TO XL</t>
  </si>
  <si>
    <t xml:space="preserve">11TO XLחגורה למנותחי בית החזה</t>
  </si>
  <si>
    <t xml:space="preserve">11TO XXL</t>
  </si>
  <si>
    <t xml:space="preserve">11TO XXLחגורה למנותחי בית החזה</t>
  </si>
  <si>
    <t xml:space="preserve">13 XL</t>
  </si>
  <si>
    <t xml:space="preserve">13 XL חגורה לשבר טבור</t>
  </si>
  <si>
    <t xml:space="preserve">13 XXL</t>
  </si>
  <si>
    <t xml:space="preserve">13 XXL חגורה לשבר טבור</t>
  </si>
  <si>
    <t xml:space="preserve">14 0</t>
  </si>
  <si>
    <t xml:space="preserve">14 0 חגורה למנותחי בית חזה</t>
  </si>
  <si>
    <t xml:space="preserve">15W L</t>
  </si>
  <si>
    <t xml:space="preserve">15W L חגורת צלעות לאשה</t>
  </si>
  <si>
    <t xml:space="preserve">16-L-XL</t>
  </si>
  <si>
    <t xml:space="preserve">16 L-XL חגורת הריון</t>
  </si>
  <si>
    <t xml:space="preserve">16-S-M</t>
  </si>
  <si>
    <t xml:space="preserve">16 S-M חגורת הריון</t>
  </si>
  <si>
    <t xml:space="preserve">16 XXL</t>
  </si>
  <si>
    <t xml:space="preserve">16 XXL חגורת הריון</t>
  </si>
  <si>
    <t xml:space="preserve">70N L</t>
  </si>
  <si>
    <t xml:space="preserve">70N L חגורת פאבליק</t>
  </si>
  <si>
    <t xml:space="preserve">70N M</t>
  </si>
  <si>
    <t xml:space="preserve">70N M חגורת פאבליק</t>
  </si>
  <si>
    <t xml:space="preserve">70N S</t>
  </si>
  <si>
    <t xml:space="preserve">70N S חגורת פאבליק</t>
  </si>
  <si>
    <t xml:space="preserve">70N XS</t>
  </si>
  <si>
    <t xml:space="preserve">70N XS חגורת פאבליק</t>
  </si>
  <si>
    <t xml:space="preserve">AC07 0</t>
  </si>
  <si>
    <t xml:space="preserve">AC-07 חגורת גב עם תמיכות</t>
  </si>
  <si>
    <t xml:space="preserve">AC11 0</t>
  </si>
  <si>
    <t xml:space="preserve">AC-11 חגורת בטן קלה</t>
  </si>
  <si>
    <t xml:space="preserve">11UG L</t>
  </si>
  <si>
    <t xml:space="preserve">L 11 אפורUG חגורת בטן</t>
  </si>
  <si>
    <t xml:space="preserve">078 M</t>
  </si>
  <si>
    <t xml:space="preserve">M078 חגורת גב +סגירה כפולה</t>
  </si>
  <si>
    <t xml:space="preserve">078 S</t>
  </si>
  <si>
    <t xml:space="preserve">S078 חגורת גב +סגירה כפולה</t>
  </si>
  <si>
    <t xml:space="preserve">ST11 0</t>
  </si>
  <si>
    <t xml:space="preserve">ST11  חגורת בטן</t>
  </si>
  <si>
    <t xml:space="preserve">T11C L</t>
  </si>
  <si>
    <t xml:space="preserve">T11C L  חגורת גב פוג'יאמה</t>
  </si>
  <si>
    <t xml:space="preserve">T11C M</t>
  </si>
  <si>
    <t xml:space="preserve">T11C M  חגורת גב פוג'יאמה</t>
  </si>
  <si>
    <t xml:space="preserve">T11C S</t>
  </si>
  <si>
    <t xml:space="preserve">T11C S  חגורת גב פוג'יאמה</t>
  </si>
  <si>
    <t xml:space="preserve">T11C XL</t>
  </si>
  <si>
    <t xml:space="preserve">T11C XL חגורת גב פוג'יאמה</t>
  </si>
  <si>
    <t xml:space="preserve">T11C XXL</t>
  </si>
  <si>
    <t xml:space="preserve">T11C XXL חגורת גב פוג'יאמה</t>
  </si>
  <si>
    <t xml:space="preserve">804AT-B</t>
  </si>
  <si>
    <t xml:space="preserve">804AT-B      טייפ חבישה לספורט</t>
  </si>
  <si>
    <t xml:space="preserve">804AT-BL</t>
  </si>
  <si>
    <t xml:space="preserve">804AT-BL     טייפ חבישה לספורט</t>
  </si>
  <si>
    <t xml:space="preserve">804AT-C</t>
  </si>
  <si>
    <t xml:space="preserve">804AT-C      טייפ חבישה לספורט</t>
  </si>
  <si>
    <t xml:space="preserve">804AT-W</t>
  </si>
  <si>
    <t xml:space="preserve">804AT-W      טייפ חבישה לספורט</t>
  </si>
  <si>
    <t xml:space="preserve">805AT-B</t>
  </si>
  <si>
    <t xml:space="preserve">805AT-B אתלטיק טייפ שחור 20מ""""מ</t>
  </si>
  <si>
    <t xml:space="preserve">805AT-BL</t>
  </si>
  <si>
    <t xml:space="preserve">805AT-BLאתלטיק טייפ כחול 20מ""""מ</t>
  </si>
  <si>
    <t xml:space="preserve">805AT-C</t>
  </si>
  <si>
    <t xml:space="preserve">805AT-Cאתלטיק טייפ בז' 20מ""""מ20</t>
  </si>
  <si>
    <t xml:space="preserve">805AT-W</t>
  </si>
  <si>
    <t xml:space="preserve">805AT-W  אתלטיק טייפ לבן 20מ""""מ</t>
  </si>
  <si>
    <t xml:space="preserve">808KT-B</t>
  </si>
  <si>
    <t xml:space="preserve">808KT-B        טייפ קינזיולוגי</t>
  </si>
  <si>
    <t xml:space="preserve">808KT-BL</t>
  </si>
  <si>
    <t xml:space="preserve">808KT-BL       טייפ קינזיולוגי</t>
  </si>
  <si>
    <t xml:space="preserve">808KT-C</t>
  </si>
  <si>
    <t xml:space="preserve">808KT-C        טייפ קינזיולוגי</t>
  </si>
  <si>
    <t xml:space="preserve">808KT-P</t>
  </si>
  <si>
    <t xml:space="preserve">808KT-P        טייפ קינזיולוגי</t>
  </si>
  <si>
    <t xml:space="preserve">239B-L-XL</t>
  </si>
  <si>
    <t xml:space="preserve">239B L-XL STRAP4U</t>
  </si>
  <si>
    <t xml:space="preserve">239B-S-M</t>
  </si>
  <si>
    <t xml:space="preserve">239B S-M STRAP4U</t>
  </si>
  <si>
    <t xml:space="preserve">239TR-L-XL</t>
  </si>
  <si>
    <t xml:space="preserve">239TR L-XL STRAP4U</t>
  </si>
  <si>
    <t xml:space="preserve">FC342 0</t>
  </si>
  <si>
    <t xml:space="preserve">FC342-נוזל לציפורן חודרנית</t>
  </si>
  <si>
    <t xml:space="preserve">351 0</t>
  </si>
  <si>
    <t xml:space="preserve">שרוול לגבס ארוך רגל</t>
  </si>
  <si>
    <t xml:space="preserve">350 0</t>
  </si>
  <si>
    <t xml:space="preserve">שרוול לגבס קצר רגל</t>
  </si>
  <si>
    <t xml:space="preserve">FC321 0</t>
  </si>
  <si>
    <t xml:space="preserve">FC321-מלח אמבט לכף הרגל</t>
  </si>
  <si>
    <t xml:space="preserve">FC334 0</t>
  </si>
  <si>
    <t xml:space="preserve">FC334  תרסיס דאודורנט לכף הרגל</t>
  </si>
  <si>
    <t xml:space="preserve">FC335 0</t>
  </si>
  <si>
    <t xml:space="preserve">FC335 טלק מעושר באלוורה</t>
  </si>
  <si>
    <t xml:space="preserve">FC333 0</t>
  </si>
  <si>
    <t xml:space="preserve">FCתרסיס דאודורנט אנטיבק.נעל333</t>
  </si>
  <si>
    <t xml:space="preserve">251 0</t>
  </si>
  <si>
    <t xml:space="preserve">שרוול לגבס ארוך יד</t>
  </si>
  <si>
    <t xml:space="preserve">250 0</t>
  </si>
  <si>
    <t xml:space="preserve">שרוול לגבס קצר יד</t>
  </si>
  <si>
    <t xml:space="preserve">74-L-XL</t>
  </si>
  <si>
    <t xml:space="preserve">74 L-XL מיצב כתפיים</t>
  </si>
  <si>
    <t xml:space="preserve">75 XXL</t>
  </si>
  <si>
    <t xml:space="preserve">75  XXL מיישר כתף יציב ישור צר</t>
  </si>
  <si>
    <t xml:space="preserve">75 L</t>
  </si>
  <si>
    <t xml:space="preserve">75 Lמיישר כתף יציב יישור גב צר</t>
  </si>
  <si>
    <t xml:space="preserve">75 M</t>
  </si>
  <si>
    <t xml:space="preserve">75 Mמיישר כתף יציב יישור גב צר</t>
  </si>
  <si>
    <t xml:space="preserve">75 S</t>
  </si>
  <si>
    <t xml:space="preserve">75 Sמיישר כתף יציב יישור גב צר</t>
  </si>
  <si>
    <t xml:space="preserve">75 XL</t>
  </si>
  <si>
    <t xml:space="preserve">75 XLמיישר כתף יציב יישור ג.צר</t>
  </si>
  <si>
    <t xml:space="preserve">76 L</t>
  </si>
  <si>
    <t xml:space="preserve">76 Lמיישר כתף יציב יישור רחב</t>
  </si>
  <si>
    <t xml:space="preserve">76 M</t>
  </si>
  <si>
    <t xml:space="preserve">76 Mמיישר כתף יציב,יישור רחב</t>
  </si>
  <si>
    <t xml:space="preserve">76 S</t>
  </si>
  <si>
    <t xml:space="preserve">76 Sמיישר כתף יציב יישור ג.רחב</t>
  </si>
  <si>
    <t xml:space="preserve">76 XL</t>
  </si>
  <si>
    <t xml:space="preserve">76 XLמיישר כתף יציב יישור רחב</t>
  </si>
  <si>
    <t xml:space="preserve">87 L</t>
  </si>
  <si>
    <t xml:space="preserve">87 L מקבע כתף ויד</t>
  </si>
  <si>
    <t xml:space="preserve">87 M</t>
  </si>
  <si>
    <t xml:space="preserve">87 M מקבע כתף ויד</t>
  </si>
  <si>
    <t xml:space="preserve">87 S</t>
  </si>
  <si>
    <t xml:space="preserve">87 S מקבע כתף ויד</t>
  </si>
  <si>
    <t xml:space="preserve">87 XL</t>
  </si>
  <si>
    <t xml:space="preserve">87 XL מקבע כתף ויד</t>
  </si>
  <si>
    <t xml:space="preserve">87 XXL</t>
  </si>
  <si>
    <t xml:space="preserve">87 XXL מקבע כתף ויד</t>
  </si>
  <si>
    <t xml:space="preserve">AC75 XXL</t>
  </si>
  <si>
    <t xml:space="preserve">AC75 XXL  מיישר כתפיים אקטיב</t>
  </si>
  <si>
    <t xml:space="preserve">AC75-S-XL</t>
  </si>
  <si>
    <t xml:space="preserve">AC75 מישר כתפיים אקטיב</t>
  </si>
  <si>
    <t xml:space="preserve">T78 L</t>
  </si>
  <si>
    <t xml:space="preserve">T78 L תומך זרוע וכתף</t>
  </si>
  <si>
    <t xml:space="preserve">T78 M</t>
  </si>
  <si>
    <t xml:space="preserve">T78 M תומך זרוע וכתף</t>
  </si>
  <si>
    <t xml:space="preserve">T78 S</t>
  </si>
  <si>
    <t xml:space="preserve">T78 S תומך זרוע וכתף</t>
  </si>
  <si>
    <t xml:space="preserve">T78 XL</t>
  </si>
  <si>
    <t xml:space="preserve">T78 XLתומך זרוע וכתף</t>
  </si>
  <si>
    <t xml:space="preserve">T78 XXL</t>
  </si>
  <si>
    <t xml:space="preserve">T78 XXL תומך זרוע וכתף</t>
  </si>
  <si>
    <t xml:space="preserve">LF360 0</t>
  </si>
  <si>
    <t xml:space="preserve">LF360 מדרס מטטרזלי לנעלי עקב</t>
  </si>
  <si>
    <t xml:space="preserve">LF370 0</t>
  </si>
  <si>
    <t xml:space="preserve">LF370 ריפוד סיליקון לעקב אחורי</t>
  </si>
  <si>
    <t xml:space="preserve">LF371 0</t>
  </si>
  <si>
    <t xml:space="preserve">LF371 ריפוד סיליקון לנעלי אצבע</t>
  </si>
  <si>
    <t xml:space="preserve">LF374 0</t>
  </si>
  <si>
    <t xml:space="preserve">LF374 ריפוד סיליק.לעקב תחתון</t>
  </si>
  <si>
    <t xml:space="preserve">LF377 L</t>
  </si>
  <si>
    <t xml:space="preserve">LF377 L-מדרס סיליקון לנעלי עקב</t>
  </si>
  <si>
    <t xml:space="preserve">LF377 M</t>
  </si>
  <si>
    <t xml:space="preserve">LF377 M-מדרס סיליקון לנעלי עקב</t>
  </si>
  <si>
    <t xml:space="preserve">LF377 S</t>
  </si>
  <si>
    <t xml:space="preserve">LF377 S-מדרס סיליקון לנעלי עקב</t>
  </si>
  <si>
    <t xml:space="preserve">LF378 L</t>
  </si>
  <si>
    <t xml:space="preserve">LF378 L מדרס ג'ל לנעלי עקב</t>
  </si>
  <si>
    <t xml:space="preserve">LF373 0</t>
  </si>
  <si>
    <t xml:space="preserve">LFריפוד סיליק.לכרית כף הרגל373</t>
  </si>
  <si>
    <t xml:space="preserve">302W 0</t>
  </si>
  <si>
    <t xml:space="preserve">302 W מדרס לאישה</t>
  </si>
  <si>
    <t xml:space="preserve">302M 0</t>
  </si>
  <si>
    <t xml:space="preserve">302 מדרס ג'ל לגבר</t>
  </si>
  <si>
    <t xml:space="preserve">303-37-38</t>
  </si>
  <si>
    <t xml:space="preserve">303 37-38 מדרסי סיליק.לח.סכרת</t>
  </si>
  <si>
    <t xml:space="preserve">303-41-42</t>
  </si>
  <si>
    <t xml:space="preserve">303 41-42 מדרסי סיליק.לח.סכרת</t>
  </si>
  <si>
    <t xml:space="preserve">303-45-46</t>
  </si>
  <si>
    <t xml:space="preserve">303 45-46 מדרסי סיליק.לח.סכרת</t>
  </si>
  <si>
    <t xml:space="preserve">305GA-37-38</t>
  </si>
  <si>
    <t xml:space="preserve">305GA מדרס אורטופ.מתכוון37-38</t>
  </si>
  <si>
    <t xml:space="preserve">305GA-39-40</t>
  </si>
  <si>
    <t xml:space="preserve">305GA מדרס אורטופ.מתכוון39-40</t>
  </si>
  <si>
    <t xml:space="preserve">305GA-41-42</t>
  </si>
  <si>
    <t xml:space="preserve">305GA מדרס אורטופ.מתכוון41-42</t>
  </si>
  <si>
    <t xml:space="preserve">305GA-43-44</t>
  </si>
  <si>
    <t xml:space="preserve">305GA מדרס אורטופ.מתכוון43-44</t>
  </si>
  <si>
    <t xml:space="preserve">305GA-45-46</t>
  </si>
  <si>
    <t xml:space="preserve">305GA מדרס אורטופ.מתכוון45-46</t>
  </si>
  <si>
    <t xml:space="preserve">379COM-35-38</t>
  </si>
  <si>
    <t xml:space="preserve">35-38 מדרסי אפיק ג'ל נוחות</t>
  </si>
  <si>
    <t xml:space="preserve">379WRK-35-38</t>
  </si>
  <si>
    <t xml:space="preserve">35-38 מדרסי אפיק ג'ל עבודה</t>
  </si>
  <si>
    <t xml:space="preserve">379COM-39-42</t>
  </si>
  <si>
    <t xml:space="preserve">39-42 מדרסי אפיק ג'ל נוחות</t>
  </si>
  <si>
    <t xml:space="preserve">379WRK-39-42</t>
  </si>
  <si>
    <t xml:space="preserve">39-42 מדרסי אפיק ג'ל עבודה</t>
  </si>
  <si>
    <t xml:space="preserve">379COM-43-46</t>
  </si>
  <si>
    <t xml:space="preserve">43-47 מדרסי אפיק ג'ל נוחות</t>
  </si>
  <si>
    <t xml:space="preserve">379WRK-43-46</t>
  </si>
  <si>
    <t xml:space="preserve">43-47 מדרסי אפיק ג'ל עבודה</t>
  </si>
  <si>
    <t xml:space="preserve">LF378 M</t>
  </si>
  <si>
    <t xml:space="preserve">LF378 M מדרס ג'ל לנעלי עקב</t>
  </si>
  <si>
    <t xml:space="preserve">LF378 S</t>
  </si>
  <si>
    <t xml:space="preserve">LF378 S מדרס ג'ל לנעלי עקב</t>
  </si>
  <si>
    <t xml:space="preserve">379MSP-35-38</t>
  </si>
  <si>
    <t xml:space="preserve">מדרסי אפיק ג'ל מולט.ספורט35-38</t>
  </si>
  <si>
    <t xml:space="preserve">379MSP-43-46</t>
  </si>
  <si>
    <t xml:space="preserve">מדרסי אפיק ג'ל מולט.ספורט43-47</t>
  </si>
  <si>
    <t xml:space="preserve">379MSP-39-42</t>
  </si>
  <si>
    <t xml:space="preserve">מדרסי אפיק ג'ל מולטי ספור39-42</t>
  </si>
  <si>
    <t xml:space="preserve">50 L</t>
  </si>
  <si>
    <t xml:space="preserve">50 L מתלה אשכים לאחר ניתוח</t>
  </si>
  <si>
    <t xml:space="preserve">50 M</t>
  </si>
  <si>
    <t xml:space="preserve">50 M מתלה אשכים לאחר ניתוח</t>
  </si>
  <si>
    <t xml:space="preserve">50 XL</t>
  </si>
  <si>
    <t xml:space="preserve">50 XL מתלה אשכים לאחר ניתוח</t>
  </si>
  <si>
    <t xml:space="preserve">55 L</t>
  </si>
  <si>
    <t xml:space="preserve">55 L מתלה אשכים לספורטאים</t>
  </si>
  <si>
    <t xml:space="preserve">55 XL</t>
  </si>
  <si>
    <t xml:space="preserve">55 XL מתלה אשכים לספורטאים</t>
  </si>
  <si>
    <t xml:space="preserve">59D L</t>
  </si>
  <si>
    <t xml:space="preserve">59D L חגורת שבר דו צדדי</t>
  </si>
  <si>
    <t xml:space="preserve">59D M</t>
  </si>
  <si>
    <t xml:space="preserve">59D M חגורת שבר דו צדדי</t>
  </si>
  <si>
    <t xml:space="preserve">59D S</t>
  </si>
  <si>
    <t xml:space="preserve">59D S חגורת שבר דו צדדי</t>
  </si>
  <si>
    <t xml:space="preserve">59D XL</t>
  </si>
  <si>
    <t xml:space="preserve">59D XL חגורת שבר דו צדדי</t>
  </si>
  <si>
    <t xml:space="preserve">59L L</t>
  </si>
  <si>
    <t xml:space="preserve">59L L חגורת שבר לצד שמאל</t>
  </si>
  <si>
    <t xml:space="preserve">59L M</t>
  </si>
  <si>
    <t xml:space="preserve">59L M חגורת שבר לצד שמאל</t>
  </si>
  <si>
    <t xml:space="preserve">59L S</t>
  </si>
  <si>
    <t xml:space="preserve">59L S חגורת שבר לצד שמאל</t>
  </si>
  <si>
    <t xml:space="preserve">59L XL</t>
  </si>
  <si>
    <t xml:space="preserve">59L XLחגורת שבר לצד שמאל</t>
  </si>
  <si>
    <t xml:space="preserve">59R L</t>
  </si>
  <si>
    <t xml:space="preserve">59R L חגורת שבר לצד ימין</t>
  </si>
  <si>
    <t xml:space="preserve">59R M</t>
  </si>
  <si>
    <t xml:space="preserve">59R M חגורת שבר לצד ימין</t>
  </si>
  <si>
    <t xml:space="preserve">59R S</t>
  </si>
  <si>
    <t xml:space="preserve">59R S חגורת שבר לצד ימין</t>
  </si>
  <si>
    <t xml:space="preserve">59R XL</t>
  </si>
  <si>
    <t xml:space="preserve">59R XL חגורת שבר לצד ימין</t>
  </si>
  <si>
    <t xml:space="preserve">91B 0</t>
  </si>
  <si>
    <t xml:space="preserve">91B חבק טניס אלבו</t>
  </si>
  <si>
    <t xml:space="preserve">922 L</t>
  </si>
  <si>
    <t xml:space="preserve">922L.חבק יד לטניס כרית סיליק</t>
  </si>
  <si>
    <t xml:space="preserve">922 XL</t>
  </si>
  <si>
    <t xml:space="preserve">922XLחבק יד לטניס כרית סיליק</t>
  </si>
  <si>
    <t xml:space="preserve">95 L</t>
  </si>
  <si>
    <t xml:space="preserve">95 L מגן מרפק רגיל לבן</t>
  </si>
  <si>
    <t xml:space="preserve">95 M</t>
  </si>
  <si>
    <t xml:space="preserve">95 M מגן מרפק רגיל לבן</t>
  </si>
  <si>
    <t xml:space="preserve">95 S</t>
  </si>
  <si>
    <t xml:space="preserve">95 S מגן מרפק רגיל לבן</t>
  </si>
  <si>
    <t xml:space="preserve">95 XL</t>
  </si>
  <si>
    <t xml:space="preserve">95 XL מגן מרפק רגיל לבן</t>
  </si>
  <si>
    <t xml:space="preserve">95 XS</t>
  </si>
  <si>
    <t xml:space="preserve">95 XS מגן מרפק רגיל לבן</t>
  </si>
  <si>
    <t xml:space="preserve">95 XXL</t>
  </si>
  <si>
    <t xml:space="preserve">95 XXL מגן מרפק רגיל לבן</t>
  </si>
  <si>
    <t xml:space="preserve">95B L</t>
  </si>
  <si>
    <t xml:space="preserve">95B L מגן מרפק שחור</t>
  </si>
  <si>
    <t xml:space="preserve">95B M</t>
  </si>
  <si>
    <t xml:space="preserve">95B M מגן מרפק שחור</t>
  </si>
  <si>
    <t xml:space="preserve">95B S</t>
  </si>
  <si>
    <t xml:space="preserve">95B S מגן מרפק שחור</t>
  </si>
  <si>
    <t xml:space="preserve">95B XL</t>
  </si>
  <si>
    <t xml:space="preserve">95B XL מגן מרפק שחור</t>
  </si>
  <si>
    <t xml:space="preserve">95B XXL</t>
  </si>
  <si>
    <t xml:space="preserve">95B XXLמגן מרפק שחור</t>
  </si>
  <si>
    <t xml:space="preserve">95C L</t>
  </si>
  <si>
    <t xml:space="preserve">95C L 'מגן מרפק בז</t>
  </si>
  <si>
    <t xml:space="preserve">95C M</t>
  </si>
  <si>
    <t xml:space="preserve">95C M 'מגן מרפק בז</t>
  </si>
  <si>
    <t xml:space="preserve">95C S</t>
  </si>
  <si>
    <t xml:space="preserve">95C S 'מגן מרפק בז</t>
  </si>
  <si>
    <t xml:space="preserve">95C XL</t>
  </si>
  <si>
    <t xml:space="preserve">95C XL'מגן מרפק בז</t>
  </si>
  <si>
    <t xml:space="preserve">95C XS</t>
  </si>
  <si>
    <t xml:space="preserve">95C XS'מגן מרפק בז</t>
  </si>
  <si>
    <t xml:space="preserve">95C XXL</t>
  </si>
  <si>
    <t xml:space="preserve">95C XXL'מגן מרפק בז</t>
  </si>
  <si>
    <t xml:space="preserve">AC91 0</t>
  </si>
  <si>
    <t xml:space="preserve">AC91 חבק טניס</t>
  </si>
  <si>
    <t xml:space="preserve">AC95 0</t>
  </si>
  <si>
    <t xml:space="preserve">AC95 מגן מרפק</t>
  </si>
  <si>
    <t xml:space="preserve">SC95 S</t>
  </si>
  <si>
    <t xml:space="preserve">SC95 S מגן מרפק</t>
  </si>
  <si>
    <t xml:space="preserve">ST91 0</t>
  </si>
  <si>
    <t xml:space="preserve">ST91 מגן מרפק לטניס</t>
  </si>
  <si>
    <t xml:space="preserve">(missing in TRANS source - cell was blank/error)</t>
  </si>
  <si>
    <t xml:space="preserve">T90 רצועת טניס אלבו עם פלסטיק</t>
  </si>
  <si>
    <t xml:space="preserve">T95 S</t>
  </si>
  <si>
    <t xml:space="preserve">T95 S מגן מרפק רגיל</t>
  </si>
  <si>
    <t xml:space="preserve">85 L</t>
  </si>
  <si>
    <t xml:space="preserve">85 L (מתלה ליד )כיס</t>
  </si>
  <si>
    <t xml:space="preserve">85 M</t>
  </si>
  <si>
    <t xml:space="preserve">85 M (מתלה ליד )כיס</t>
  </si>
  <si>
    <t xml:space="preserve">85 S</t>
  </si>
  <si>
    <t xml:space="preserve">85 S (מתלה ליד )כיס</t>
  </si>
  <si>
    <t xml:space="preserve">85 XL</t>
  </si>
  <si>
    <t xml:space="preserve">85 XL (מתלה ליד )כיס</t>
  </si>
  <si>
    <t xml:space="preserve">85+ L</t>
  </si>
  <si>
    <t xml:space="preserve">85+ Lמתלה ליד)כיס(+רצועת חיזוק</t>
  </si>
  <si>
    <t xml:space="preserve">85+ M</t>
  </si>
  <si>
    <t xml:space="preserve">85+ Mמתלה ליד)כיס(+רצועת חיזוק</t>
  </si>
  <si>
    <t xml:space="preserve">85+ XL</t>
  </si>
  <si>
    <t xml:space="preserve">85+ XLמתלה ליד)כיס(רצועת חיזוק</t>
  </si>
  <si>
    <t xml:space="preserve">85B L</t>
  </si>
  <si>
    <t xml:space="preserve">85B L מתלה רשת לזרוע שחור</t>
  </si>
  <si>
    <t xml:space="preserve">85B M</t>
  </si>
  <si>
    <t xml:space="preserve">85B M מתלה רשת לזרוע שחור</t>
  </si>
  <si>
    <t xml:space="preserve">85B S</t>
  </si>
  <si>
    <t xml:space="preserve">85B S מתלה רשת לזרוע שחור</t>
  </si>
  <si>
    <t xml:space="preserve">85B XL</t>
  </si>
  <si>
    <t xml:space="preserve">85B XL מתלה רשת לזרוע שחור</t>
  </si>
  <si>
    <t xml:space="preserve">85K 0</t>
  </si>
  <si>
    <t xml:space="preserve">85K מתלה ליד לילדים</t>
  </si>
  <si>
    <t xml:space="preserve">307 L</t>
  </si>
  <si>
    <t xml:space="preserve">307 L עקבים לדורבן-זוג כריות</t>
  </si>
  <si>
    <t xml:space="preserve">307 M</t>
  </si>
  <si>
    <t xml:space="preserve">307 M עקבים לדורבן-זוג כריות</t>
  </si>
  <si>
    <t xml:space="preserve">307 S</t>
  </si>
  <si>
    <t xml:space="preserve">307 S עקבים לדורבן-זוג כריות</t>
  </si>
  <si>
    <t xml:space="preserve">307 XL</t>
  </si>
  <si>
    <t xml:space="preserve">307 XL כרית סיליקון לעקב</t>
  </si>
  <si>
    <t xml:space="preserve">308 L</t>
  </si>
  <si>
    <t xml:space="preserve">308 Lעקבים סיליקון כחול לדורבן</t>
  </si>
  <si>
    <t xml:space="preserve">308 M</t>
  </si>
  <si>
    <t xml:space="preserve">308 Mעקבים סיליק.כחול לדורבן</t>
  </si>
  <si>
    <t xml:space="preserve">311 0</t>
  </si>
  <si>
    <t xml:space="preserve">311'מדב.ג'ל למניעת שפשוף 5 יח</t>
  </si>
  <si>
    <t xml:space="preserve">312 0</t>
  </si>
  <si>
    <t xml:space="preserve">312 9 מ""""ס להתאמהX5 מדבקה גדולה</t>
  </si>
  <si>
    <t xml:space="preserve">313 0</t>
  </si>
  <si>
    <t xml:space="preserve">313 סט פלסטרים נגד שפשופים</t>
  </si>
  <si>
    <t xml:space="preserve">320 0</t>
  </si>
  <si>
    <t xml:space="preserve">320 בליסטר פלסטר</t>
  </si>
  <si>
    <t xml:space="preserve">3611 0</t>
  </si>
  <si>
    <t xml:space="preserve">3611 שרוול מטטרזלי מסיליקון</t>
  </si>
  <si>
    <t xml:space="preserve">3622S 0</t>
  </si>
  <si>
    <t xml:space="preserve">3622S מדבקה לשחרור לחץ 2 יח</t>
  </si>
  <si>
    <t xml:space="preserve">3623 0</t>
  </si>
  <si>
    <t xml:space="preserve">3623 כרית ליישור אצבע פטיש</t>
  </si>
  <si>
    <t xml:space="preserve">363-L-R</t>
  </si>
  <si>
    <t xml:space="preserve">363  בננה לתמיכת אצבעות ז.כרית</t>
  </si>
  <si>
    <t xml:space="preserve">364 XL</t>
  </si>
  <si>
    <t xml:space="preserve">364 XLמפריד אצבע סיליקון ליבלת</t>
  </si>
  <si>
    <t xml:space="preserve">3641 0</t>
  </si>
  <si>
    <t xml:space="preserve">3641-מיישר בוהן סיליקון קשיח</t>
  </si>
  <si>
    <t xml:space="preserve">364-S-L</t>
  </si>
  <si>
    <t xml:space="preserve">364S Lמפר.אצבע סיליק. ליבל.זוג</t>
  </si>
  <si>
    <t xml:space="preserve">365-XL</t>
  </si>
  <si>
    <t xml:space="preserve">365  X-Lטבעת אלסטית מסיליקון</t>
  </si>
  <si>
    <t xml:space="preserve">365-S-L</t>
  </si>
  <si>
    <t xml:space="preserve">365 S-Lטבעת אלסטית מסיליקון</t>
  </si>
  <si>
    <t xml:space="preserve">3655 0</t>
  </si>
  <si>
    <t xml:space="preserve">3655 שרוול מסיליקון לאצבע</t>
  </si>
  <si>
    <t xml:space="preserve">3666 0</t>
  </si>
  <si>
    <t xml:space="preserve">3666 מפריד הלוקס</t>
  </si>
  <si>
    <t xml:space="preserve">366S 0</t>
  </si>
  <si>
    <t xml:space="preserve">366S-'מדבק.לשחרור לחץ מיבלת2יח</t>
  </si>
  <si>
    <t xml:space="preserve">3672 0</t>
  </si>
  <si>
    <t xml:space="preserve">3672 שרוול מגן לבוניון</t>
  </si>
  <si>
    <t xml:space="preserve">3674 0</t>
  </si>
  <si>
    <t xml:space="preserve">3674 0 מ.בוניון+מפריד אצבע</t>
  </si>
  <si>
    <t xml:space="preserve">3675 0</t>
  </si>
  <si>
    <t xml:space="preserve">3675    מגן זרת מסיליקון</t>
  </si>
  <si>
    <t xml:space="preserve">3677S 0</t>
  </si>
  <si>
    <t xml:space="preserve">3677S-מד.לשחרור לחץ א.הבוניון</t>
  </si>
  <si>
    <t xml:space="preserve">369-XL</t>
  </si>
  <si>
    <t xml:space="preserve">369   XL אצבעון מסיליקון יחידה</t>
  </si>
  <si>
    <t xml:space="preserve">369-S-L</t>
  </si>
  <si>
    <t xml:space="preserve">369  S-L אצבעון מסיליקון יחידה</t>
  </si>
  <si>
    <t xml:space="preserve">38 0</t>
  </si>
  <si>
    <t xml:space="preserve">38 .חבישת""""הלוקס ולגוס""""לאחר נית</t>
  </si>
  <si>
    <t xml:space="preserve">386 0</t>
  </si>
  <si>
    <t xml:space="preserve">386  מיישר בוניון-האלוקס ולגוס</t>
  </si>
  <si>
    <t xml:space="preserve">820 0</t>
  </si>
  <si>
    <t xml:space="preserve">820 0 כרית חום וקור</t>
  </si>
  <si>
    <t xml:space="preserve">3667 0</t>
  </si>
  <si>
    <t xml:space="preserve">URI 3667 מגן בוניון</t>
  </si>
  <si>
    <t xml:space="preserve">362-L-R</t>
  </si>
  <si>
    <t xml:space="preserve">כרית מטטרזלי סיליקון362</t>
  </si>
  <si>
    <t xml:space="preserve">PD344 0</t>
  </si>
  <si>
    <t xml:space="preserve">PD 344-אבן טבעית להסרת עור קשה</t>
  </si>
  <si>
    <t xml:space="preserve">PD340 0</t>
  </si>
  <si>
    <t xml:space="preserve">PD340-קוצץ ציפורניים</t>
  </si>
  <si>
    <t xml:space="preserve">PD341 0</t>
  </si>
  <si>
    <t xml:space="preserve">PD341-מקצוע להסרת עור קשה</t>
  </si>
  <si>
    <t xml:space="preserve">PD342 0</t>
  </si>
  <si>
    <t xml:space="preserve">PD342-פומפיה להסרת עור קשה</t>
  </si>
  <si>
    <t xml:space="preserve">PD346 0</t>
  </si>
  <si>
    <t xml:space="preserve">PD346-10 סכינים למקצוע</t>
  </si>
  <si>
    <t xml:space="preserve">213CTSR L</t>
  </si>
  <si>
    <t xml:space="preserve">213CTSR L ימין CTS כפפות</t>
  </si>
  <si>
    <t xml:space="preserve">20 L</t>
  </si>
  <si>
    <t xml:space="preserve">20 L חבק יד מתכוון עם צמדן</t>
  </si>
  <si>
    <t xml:space="preserve">20 M</t>
  </si>
  <si>
    <t xml:space="preserve">20 M חבק יד מתכוון עם צמדן</t>
  </si>
  <si>
    <t xml:space="preserve">20 S</t>
  </si>
  <si>
    <t xml:space="preserve">20 S חבק יד מתכוון עם צמדן</t>
  </si>
  <si>
    <t xml:space="preserve">20 XL</t>
  </si>
  <si>
    <t xml:space="preserve">20 XL חבק יד מתכוון עם צמדן</t>
  </si>
  <si>
    <t xml:space="preserve">20 XXL</t>
  </si>
  <si>
    <t xml:space="preserve">20 XXL חבק יד מתכוון עם צמדן</t>
  </si>
  <si>
    <t xml:space="preserve">202 0</t>
  </si>
  <si>
    <t xml:space="preserve">202  ONE SIZE חבק יד</t>
  </si>
  <si>
    <t xml:space="preserve">21 L</t>
  </si>
  <si>
    <t xml:space="preserve">21 L  חבק יד ארוך</t>
  </si>
  <si>
    <t xml:space="preserve">21 M</t>
  </si>
  <si>
    <t xml:space="preserve">21 M  חבק יד ארוך</t>
  </si>
  <si>
    <t xml:space="preserve">21 S</t>
  </si>
  <si>
    <t xml:space="preserve">21 S  חבק יד ארוך</t>
  </si>
  <si>
    <t xml:space="preserve">21 XL</t>
  </si>
  <si>
    <t xml:space="preserve">21 XL חבק יד ארוך</t>
  </si>
  <si>
    <t xml:space="preserve">21 XS</t>
  </si>
  <si>
    <t xml:space="preserve">21 XS מגן יד</t>
  </si>
  <si>
    <t xml:space="preserve">211 L</t>
  </si>
  <si>
    <t xml:space="preserve">211L כפפות לחץ</t>
  </si>
  <si>
    <t xml:space="preserve">211 M</t>
  </si>
  <si>
    <t xml:space="preserve">211M כפפות לחץ</t>
  </si>
  <si>
    <t xml:space="preserve">211 S</t>
  </si>
  <si>
    <t xml:space="preserve">211S כפפות לחץ</t>
  </si>
  <si>
    <t xml:space="preserve">211 XL</t>
  </si>
  <si>
    <t xml:space="preserve">211XL כפפות לחץ</t>
  </si>
  <si>
    <t xml:space="preserve">212 L</t>
  </si>
  <si>
    <t xml:space="preserve">212L כפפות אגודל לחץ</t>
  </si>
  <si>
    <t xml:space="preserve">212 M</t>
  </si>
  <si>
    <t xml:space="preserve">212M כפפות אגודל לחץ</t>
  </si>
  <si>
    <t xml:space="preserve">212 S</t>
  </si>
  <si>
    <t xml:space="preserve">212S כפפות אגודל לחץ</t>
  </si>
  <si>
    <t xml:space="preserve">212 XL</t>
  </si>
  <si>
    <t xml:space="preserve">212XL כפפות אגודל לחץ</t>
  </si>
  <si>
    <t xml:space="preserve">213CTSR S</t>
  </si>
  <si>
    <t xml:space="preserve">213CTS  S ימין CTS כפפות</t>
  </si>
  <si>
    <t xml:space="preserve">213CTSL L</t>
  </si>
  <si>
    <t xml:space="preserve">213CTSL L שמאל CTS כפפות</t>
  </si>
  <si>
    <t xml:space="preserve">213CTSL M</t>
  </si>
  <si>
    <t xml:space="preserve">213CTSL M שמאל CTS כפפות</t>
  </si>
  <si>
    <t xml:space="preserve">213CTSL S</t>
  </si>
  <si>
    <t xml:space="preserve">213CTSL S שמאל CTS כפפות</t>
  </si>
  <si>
    <t xml:space="preserve">213CTSR M</t>
  </si>
  <si>
    <t xml:space="preserve">213CTSR M ימין CTS כפפות</t>
  </si>
  <si>
    <t xml:space="preserve">238 L</t>
  </si>
  <si>
    <t xml:space="preserve">238L סד ליישור אצבע</t>
  </si>
  <si>
    <t xml:space="preserve">238 M</t>
  </si>
  <si>
    <t xml:space="preserve">238M סד ליישור אצבע</t>
  </si>
  <si>
    <t xml:space="preserve">238 S</t>
  </si>
  <si>
    <t xml:space="preserve">238S סד ליישור אצבע</t>
  </si>
  <si>
    <t xml:space="preserve">238 XL</t>
  </si>
  <si>
    <t xml:space="preserve">238XL סד ליישור אצבע</t>
  </si>
  <si>
    <t xml:space="preserve">26 L</t>
  </si>
  <si>
    <t xml:space="preserve">26 L סד ליד דו צדדי לאחר שבר</t>
  </si>
  <si>
    <t xml:space="preserve">26 M</t>
  </si>
  <si>
    <t xml:space="preserve">26 M סד ליד דו צדדי לאחר שבר</t>
  </si>
  <si>
    <t xml:space="preserve">26 S</t>
  </si>
  <si>
    <t xml:space="preserve">26 S סד ליד דו צדדי לאחר שבר</t>
  </si>
  <si>
    <t xml:space="preserve">26 XL</t>
  </si>
  <si>
    <t xml:space="preserve">26 XL סד ליד דו צדדי לאחר שבר</t>
  </si>
  <si>
    <t xml:space="preserve">26 XXL</t>
  </si>
  <si>
    <t xml:space="preserve">26 XXL סד ליד דו צדדי לאחר שבר</t>
  </si>
  <si>
    <t xml:space="preserve">266 0</t>
  </si>
  <si>
    <t xml:space="preserve">266 סד ליד דו צדדי</t>
  </si>
  <si>
    <t xml:space="preserve">268 0</t>
  </si>
  <si>
    <t xml:space="preserve">268 סד לאגודל</t>
  </si>
  <si>
    <t xml:space="preserve">28 XS</t>
  </si>
  <si>
    <t xml:space="preserve">28-XS סד לאגודל לאחר שבר</t>
  </si>
  <si>
    <t xml:space="preserve">28 L</t>
  </si>
  <si>
    <t xml:space="preserve">28 L סד לאגודל לאחר שבר</t>
  </si>
  <si>
    <t xml:space="preserve">28 M</t>
  </si>
  <si>
    <t xml:space="preserve">28 M סד לאגודל לאחר שבר</t>
  </si>
  <si>
    <t xml:space="preserve">28 S</t>
  </si>
  <si>
    <t xml:space="preserve">28 S סד לאגודל לאחר שבר</t>
  </si>
  <si>
    <t xml:space="preserve">28 XL</t>
  </si>
  <si>
    <t xml:space="preserve">28 XL סד לאגודל לאחר שבר</t>
  </si>
  <si>
    <t xml:space="preserve">AC28 0</t>
  </si>
  <si>
    <t xml:space="preserve">AC-28 סד לאגודל</t>
  </si>
  <si>
    <t xml:space="preserve">ST20 0</t>
  </si>
  <si>
    <t xml:space="preserve">ST20 חבק יד</t>
  </si>
  <si>
    <t xml:space="preserve">ST25 0</t>
  </si>
  <si>
    <t xml:space="preserve">ST25 חבק שורש לכף היד</t>
  </si>
  <si>
    <t xml:space="preserve">ST28 0</t>
  </si>
  <si>
    <t xml:space="preserve">ST28 סד אגודלי עם מוט תמיכה</t>
  </si>
  <si>
    <t xml:space="preserve">T20-L-XL</t>
  </si>
  <si>
    <t xml:space="preserve">T20 L-XL  חבק יד עם צמדן</t>
  </si>
  <si>
    <t xml:space="preserve">T20-S-M</t>
  </si>
  <si>
    <t xml:space="preserve">T20 S-M חבק יד עם צמדן</t>
  </si>
  <si>
    <t xml:space="preserve">T20C-L-XL</t>
  </si>
  <si>
    <t xml:space="preserve">T20C L-XL חבק יד עם צמדן חום</t>
  </si>
  <si>
    <t xml:space="preserve">T20C-S-M</t>
  </si>
  <si>
    <t xml:space="preserve">T20C S-M חבק יד עם צמדןחום</t>
  </si>
  <si>
    <t xml:space="preserve">T25 0</t>
  </si>
  <si>
    <t xml:space="preserve">T25-חבק יד אגודלי</t>
  </si>
  <si>
    <t xml:space="preserve">T25B 0</t>
  </si>
  <si>
    <t xml:space="preserve">T25B   חבק יד אגודלי</t>
  </si>
  <si>
    <t xml:space="preserve">T25C 0</t>
  </si>
  <si>
    <t xml:space="preserve">T25C-חבק יד אגודלי</t>
  </si>
  <si>
    <t xml:space="preserve">T28 XL</t>
  </si>
  <si>
    <t xml:space="preserve">T28 XL סד לאגודל כפפה</t>
  </si>
  <si>
    <t xml:space="preserve">T28A-L-XL</t>
  </si>
  <si>
    <t xml:space="preserve">T28A L-XL סד לאגודל</t>
  </si>
  <si>
    <t xml:space="preserve">T28A-S-M</t>
  </si>
  <si>
    <t xml:space="preserve">T28A S-M סד לאגודל</t>
  </si>
  <si>
    <t xml:space="preserve">T28AC-L-XL</t>
  </si>
  <si>
    <t xml:space="preserve">T28AC L-XL סד לאגודל</t>
  </si>
  <si>
    <t xml:space="preserve">T28AC-S-M</t>
  </si>
  <si>
    <t xml:space="preserve">T28AC S-M סד לאגודל</t>
  </si>
  <si>
    <t xml:space="preserve">T28C XL</t>
  </si>
  <si>
    <t xml:space="preserve">T28C  XL סד לאגודל כפפה</t>
  </si>
  <si>
    <t xml:space="preserve">T28C L</t>
  </si>
  <si>
    <t xml:space="preserve">T28C L סד לאגודל כפפה</t>
  </si>
  <si>
    <t xml:space="preserve">237 0</t>
  </si>
  <si>
    <t xml:space="preserve">סד קיבוע לאצבע הדק</t>
  </si>
  <si>
    <t xml:space="preserve">60 L</t>
  </si>
  <si>
    <t xml:space="preserve">60 L צוארון ספוגי</t>
  </si>
  <si>
    <t xml:space="preserve">60 M</t>
  </si>
  <si>
    <t xml:space="preserve">60 M צוארון ספוגי</t>
  </si>
  <si>
    <t xml:space="preserve">60 S</t>
  </si>
  <si>
    <t xml:space="preserve">60 S צוארון ספוגי</t>
  </si>
  <si>
    <t xml:space="preserve">60 XL</t>
  </si>
  <si>
    <t xml:space="preserve">60 XL צוארון ספוגי</t>
  </si>
  <si>
    <t xml:space="preserve">32 XL</t>
  </si>
  <si>
    <t xml:space="preserve">32 XL סד קרסול+מוטות אלומיניום</t>
  </si>
  <si>
    <t xml:space="preserve">322 L</t>
  </si>
  <si>
    <t xml:space="preserve">322-L מגן קרסול+כרית סילקון</t>
  </si>
  <si>
    <t xml:space="preserve">322 XL</t>
  </si>
  <si>
    <t xml:space="preserve">322XL מגן קרסול+כרית סילקון</t>
  </si>
  <si>
    <t xml:space="preserve">333 0</t>
  </si>
  <si>
    <t xml:space="preserve">333 סד לקרסול עם כריות אויר</t>
  </si>
  <si>
    <t xml:space="preserve">34 L</t>
  </si>
  <si>
    <t xml:space="preserve">34  L מגן קרסול עקב סגור</t>
  </si>
  <si>
    <t xml:space="preserve">34 M</t>
  </si>
  <si>
    <t xml:space="preserve">34  M מגן קרסול עקב סגור</t>
  </si>
  <si>
    <t xml:space="preserve">34 S</t>
  </si>
  <si>
    <t xml:space="preserve">34  S מגן קרסול עקב סגור</t>
  </si>
  <si>
    <t xml:space="preserve">34 XL</t>
  </si>
  <si>
    <t xml:space="preserve">34 XL מגן קרסול עקב סגור</t>
  </si>
  <si>
    <t xml:space="preserve">34 XXL</t>
  </si>
  <si>
    <t xml:space="preserve">34 XXL מגן קרסול עקב סגור</t>
  </si>
  <si>
    <t xml:space="preserve">34+ L</t>
  </si>
  <si>
    <t xml:space="preserve">34+ L מגן קרסול עקב סגור+רצוע</t>
  </si>
  <si>
    <t xml:space="preserve">34+ M</t>
  </si>
  <si>
    <t xml:space="preserve">34+ M מגן קרסול עקב סגור+רצוע</t>
  </si>
  <si>
    <t xml:space="preserve">34+ S</t>
  </si>
  <si>
    <t xml:space="preserve">34+ S מגן קרסול עקב סגור+רצוע</t>
  </si>
  <si>
    <t xml:space="preserve">34+ XL</t>
  </si>
  <si>
    <t xml:space="preserve">34+XL מגן קרסול עקב סגור+רצוע</t>
  </si>
  <si>
    <t xml:space="preserve">34+ XXL</t>
  </si>
  <si>
    <t xml:space="preserve">34+XXL מ.קרסול+עכב סגור+רצועות</t>
  </si>
  <si>
    <t xml:space="preserve">35 L</t>
  </si>
  <si>
    <t xml:space="preserve">35 L מגן קרסול לבן</t>
  </si>
  <si>
    <t xml:space="preserve">35 M</t>
  </si>
  <si>
    <t xml:space="preserve">35 M מגן קרסול לבן</t>
  </si>
  <si>
    <t xml:space="preserve">35 S</t>
  </si>
  <si>
    <t xml:space="preserve">35 S מגן קרסול לבן</t>
  </si>
  <si>
    <t xml:space="preserve">35 XL</t>
  </si>
  <si>
    <t xml:space="preserve">35 XL מגן קרסול לבן</t>
  </si>
  <si>
    <t xml:space="preserve">35 XXL</t>
  </si>
  <si>
    <t xml:space="preserve">35 XXL מגן קרסול לבן</t>
  </si>
  <si>
    <t xml:space="preserve">35B L</t>
  </si>
  <si>
    <t xml:space="preserve">35B L מגן קרסול שחור</t>
  </si>
  <si>
    <t xml:space="preserve">35B M</t>
  </si>
  <si>
    <t xml:space="preserve">35B M מגן קרסול שחור</t>
  </si>
  <si>
    <t xml:space="preserve">35B S</t>
  </si>
  <si>
    <t xml:space="preserve">35B S מגן קרסול שחור</t>
  </si>
  <si>
    <t xml:space="preserve">35B XL</t>
  </si>
  <si>
    <t xml:space="preserve">35B XL מגן קרסול שחור</t>
  </si>
  <si>
    <t xml:space="preserve">35B XXL</t>
  </si>
  <si>
    <t xml:space="preserve">35B XXL מגן קרסול שחור</t>
  </si>
  <si>
    <t xml:space="preserve">35C L</t>
  </si>
  <si>
    <t xml:space="preserve">35C L מגן קרסול חום</t>
  </si>
  <si>
    <t xml:space="preserve">35C M</t>
  </si>
  <si>
    <t xml:space="preserve">35C M מגן קרסול חום</t>
  </si>
  <si>
    <t xml:space="preserve">35C S</t>
  </si>
  <si>
    <t xml:space="preserve">35C S מגן קרסול חום</t>
  </si>
  <si>
    <t xml:space="preserve">35C XL</t>
  </si>
  <si>
    <t xml:space="preserve">35C XL מגן קרסול חום</t>
  </si>
  <si>
    <t xml:space="preserve">AC37 0</t>
  </si>
  <si>
    <t xml:space="preserve">AC37 מגן קרסול נושם</t>
  </si>
  <si>
    <t xml:space="preserve">SH333 0</t>
  </si>
  <si>
    <t xml:space="preserve">SH333 מקבע קרסול</t>
  </si>
  <si>
    <t xml:space="preserve">ST37 0</t>
  </si>
  <si>
    <t xml:space="preserve">ST37 חבק לקרסול</t>
  </si>
  <si>
    <t xml:space="preserve">301CM-41-45</t>
  </si>
  <si>
    <t xml:space="preserve">301CM 41-45 'רפידת ג'ל בז</t>
  </si>
  <si>
    <t xml:space="preserve">301CW-36-40</t>
  </si>
  <si>
    <t xml:space="preserve">301CW 36-40 'רפידת ג'ל בז</t>
  </si>
  <si>
    <t xml:space="preserve">301JW-36-40</t>
  </si>
  <si>
    <t xml:space="preserve">301JW רפידת ג'ל כחול36-40</t>
  </si>
  <si>
    <t xml:space="preserve">370 0</t>
  </si>
  <si>
    <t xml:space="preserve">370  רפידת נוחות-זוג</t>
  </si>
  <si>
    <t xml:space="preserve">370K 0</t>
  </si>
  <si>
    <t xml:space="preserve">370K 0 רפידת לילדים אנטי ריח</t>
  </si>
  <si>
    <t xml:space="preserve">371 0</t>
  </si>
  <si>
    <t xml:space="preserve">371 רפידת מגבת כותנה-זוג</t>
  </si>
  <si>
    <t xml:space="preserve">372 0</t>
  </si>
  <si>
    <t xml:space="preserve">372 רפידת אנטי ריח -זוג</t>
  </si>
  <si>
    <t xml:space="preserve">374 0</t>
  </si>
  <si>
    <t xml:space="preserve">374 רפידת בולמת זעזועים -זוג</t>
  </si>
  <si>
    <t xml:space="preserve">377-35</t>
  </si>
  <si>
    <t xml:space="preserve">377  רפ.אורטופדית ספורט זוג35</t>
  </si>
  <si>
    <t xml:space="preserve">376-46-47</t>
  </si>
  <si>
    <t xml:space="preserve">46-47 רפידת ספורט 376 מידה</t>
  </si>
  <si>
    <t xml:space="preserve">49 L</t>
  </si>
  <si>
    <t xml:space="preserve">49  L מגן ירך</t>
  </si>
  <si>
    <t xml:space="preserve">49 M</t>
  </si>
  <si>
    <t xml:space="preserve">49  M מגן ירך</t>
  </si>
  <si>
    <t xml:space="preserve">49 S</t>
  </si>
  <si>
    <t xml:space="preserve">49  S מגן ירך</t>
  </si>
  <si>
    <t xml:space="preserve">49 XL</t>
  </si>
  <si>
    <t xml:space="preserve">49 XL מגן ירך</t>
  </si>
  <si>
    <t xml:space="preserve">49 XXL</t>
  </si>
  <si>
    <t xml:space="preserve">49 XXL מגן ירך</t>
  </si>
  <si>
    <t xml:space="preserve">AC49 0</t>
  </si>
  <si>
    <t xml:space="preserve">AC49 מגן ירך</t>
  </si>
  <si>
    <t xml:space="preserve">ST49 0</t>
  </si>
  <si>
    <t xml:space="preserve">ST49 מגן ירך</t>
  </si>
  <si>
    <t xml:space="preserve">T39 S</t>
  </si>
  <si>
    <t xml:space="preserve">T39  S מגן שוק</t>
  </si>
  <si>
    <t xml:space="preserve">AC25 0</t>
  </si>
  <si>
    <t xml:space="preserve">AC-25 חבק לשורש כף היד</t>
  </si>
  <si>
    <t xml:space="preserve">AC27L 0</t>
  </si>
  <si>
    <t xml:space="preserve">AC-27L סד לש.כף יד שמאל</t>
  </si>
  <si>
    <t xml:space="preserve">AC27R 0</t>
  </si>
  <si>
    <t xml:space="preserve">AC-27R סד לש.כף יד ימין</t>
  </si>
  <si>
    <t xml:space="preserve">SC25 L</t>
  </si>
  <si>
    <t xml:space="preserve">SC25  L חבק יד</t>
  </si>
  <si>
    <t xml:space="preserve">SC25 M</t>
  </si>
  <si>
    <t xml:space="preserve">SC25  M חבק יד</t>
  </si>
  <si>
    <t xml:space="preserve">SC25 S</t>
  </si>
  <si>
    <t xml:space="preserve">SC25  S חבק יד</t>
  </si>
  <si>
    <t xml:space="preserve">SC25 XL</t>
  </si>
  <si>
    <t xml:space="preserve">SC25 XL חבק יד</t>
  </si>
  <si>
    <t xml:space="preserve">SC35L L</t>
  </si>
  <si>
    <t xml:space="preserve">SC35L  L מגן קרסול שמאל</t>
  </si>
  <si>
    <t xml:space="preserve">SC35L M</t>
  </si>
  <si>
    <t xml:space="preserve">SC35L  M מגן קרסול שמאל</t>
  </si>
  <si>
    <t xml:space="preserve">SC35L S</t>
  </si>
  <si>
    <t xml:space="preserve">SC35L  S מגן קרסול שמאל</t>
  </si>
  <si>
    <t xml:space="preserve">SC35L XL</t>
  </si>
  <si>
    <t xml:space="preserve">SC35L XL מגן קרסול שמאל</t>
  </si>
  <si>
    <t xml:space="preserve">SC35R L</t>
  </si>
  <si>
    <t xml:space="preserve">SC35R  L מגן קרסול ימין</t>
  </si>
  <si>
    <t xml:space="preserve">SC35R M</t>
  </si>
  <si>
    <t xml:space="preserve">SC35R  M מגן קרסול ימין</t>
  </si>
  <si>
    <t xml:space="preserve">SC35R S</t>
  </si>
  <si>
    <t xml:space="preserve">SC35R  S מגן קרסול ימין</t>
  </si>
  <si>
    <t xml:space="preserve">SC35R XL</t>
  </si>
  <si>
    <t xml:space="preserve">SC35R  XLמגן קרסול ימין</t>
  </si>
  <si>
    <t xml:space="preserve">SC39 L</t>
  </si>
  <si>
    <t xml:space="preserve">SC39  L מגן שוק</t>
  </si>
  <si>
    <t xml:space="preserve">SC39 M</t>
  </si>
  <si>
    <t xml:space="preserve">SC39  M מגן שוק</t>
  </si>
  <si>
    <t xml:space="preserve">SC39 S</t>
  </si>
  <si>
    <t xml:space="preserve">SC39  S מגן שוק</t>
  </si>
  <si>
    <t xml:space="preserve">SC39 XL</t>
  </si>
  <si>
    <t xml:space="preserve">SC39 XL מגן שוק</t>
  </si>
  <si>
    <t xml:space="preserve">SC39 XXL</t>
  </si>
  <si>
    <t xml:space="preserve">SC39 XXLמגן שוק</t>
  </si>
  <si>
    <t xml:space="preserve">SC422 L</t>
  </si>
  <si>
    <t xml:space="preserve">SC422  L מגן ברך</t>
  </si>
  <si>
    <t xml:space="preserve">SC422 M</t>
  </si>
  <si>
    <t xml:space="preserve">SC422  M מגן ברך</t>
  </si>
  <si>
    <t xml:space="preserve">SC422 XL</t>
  </si>
  <si>
    <t xml:space="preserve">SC422 XL מגן ברך</t>
  </si>
  <si>
    <t xml:space="preserve">SC95 L</t>
  </si>
  <si>
    <t xml:space="preserve">SC95 L מגן מרפק</t>
  </si>
  <si>
    <t xml:space="preserve">SC95 M</t>
  </si>
  <si>
    <t xml:space="preserve">SC95 M מגן מרפק</t>
  </si>
  <si>
    <t xml:space="preserve">SC95 XL</t>
  </si>
  <si>
    <t xml:space="preserve">SC95 XLמגן מרפק</t>
  </si>
  <si>
    <t xml:space="preserve">381 0</t>
  </si>
  <si>
    <t xml:space="preserve">381 HV רצועה אלסטית</t>
  </si>
  <si>
    <t xml:space="preserve">388BR 0</t>
  </si>
  <si>
    <t xml:space="preserve">388B L סד לילה שחור לבוהן ימין</t>
  </si>
  <si>
    <t xml:space="preserve">388BL 0</t>
  </si>
  <si>
    <t xml:space="preserve">388B L סד לילה שחור לבוהן שמאל</t>
  </si>
  <si>
    <t xml:space="preserve">801 0</t>
  </si>
  <si>
    <t xml:space="preserve">801  תחבושת אלסטית מקררת</t>
  </si>
  <si>
    <t xml:space="preserve">806CB-C</t>
  </si>
  <si>
    <t xml:space="preserve">806CB-BEIGE      תחבושת א.נצמ</t>
  </si>
  <si>
    <t xml:space="preserve">806CB-B</t>
  </si>
  <si>
    <t xml:space="preserve">806CB-BLACK      תחבושת א.נצמ</t>
  </si>
  <si>
    <t xml:space="preserve">806CB-GR</t>
  </si>
  <si>
    <t xml:space="preserve">806CB-GREEN      תחבושת א.נצמ</t>
  </si>
  <si>
    <t xml:space="preserve">806CB-P</t>
  </si>
  <si>
    <t xml:space="preserve">806CB-PINK       תחבושת א.נצמ</t>
  </si>
  <si>
    <t xml:space="preserve">807CB-B</t>
  </si>
  <si>
    <t xml:space="preserve">807B-Bתחבושת נצמדת שחור 20 מ""""מ</t>
  </si>
  <si>
    <t xml:space="preserve">807CB-BL</t>
  </si>
  <si>
    <t xml:space="preserve">807CB-BLתחבושת נצמדת כחול20מ""""מ</t>
  </si>
  <si>
    <t xml:space="preserve">807CB-C</t>
  </si>
  <si>
    <t xml:space="preserve">807CB-Cתחבושת נצמדת בז' 20 מ""""מ</t>
  </si>
  <si>
    <t xml:space="preserve">807CB-P</t>
  </si>
  <si>
    <t xml:space="preserve">807CB-P תחבושת נצמדת ורוד 20ממ</t>
  </si>
  <si>
    <t xml:space="preserve">CEMI Raw — מאוחדת (customer "0קופות חולים") — pre-aggregation item-level data from PPLAY1 2025.xls / 2026.xls</t>
  </si>
  <si>
    <t xml:space="preserve">Source: original raw PPLAY1 pivot files (1__________2025.xls / 1__________2026.xls), customer column "0קופות חולים" (=מאוחדת, group #8), FULL UNSPLIT item text (not parsed into base CODE), so it can be matched against TRANS's CHEMIPAL NAME column. Only rows with non-zero Quantity or Amount are included (lean/relevant-only convention) — 2025 had ZERO activity for this customer entirely (consistent with the "מאוחדת" sheet in 2026-09-19-CEMI-grouped-2025-vs-2026.xlsx), so only 2026 rows appear below. CHEMIPAL CODE is matched live against the TRANS sheet: exact match first, then whitespace-normalized match as fallback.</t>
  </si>
  <si>
    <t xml:space="preserve">CHEMIPAL CODE (matched via TRANS)</t>
  </si>
  <si>
    <t xml:space="preserve">Match Status</t>
  </si>
  <si>
    <t xml:space="preserve">SALES Raw — 113 Kupat Holim Meuhedet — pre-aggregation item-level data from NetSuite Source (salestype file)</t>
  </si>
  <si>
    <t xml:space="preserve">Source: kirill/outputs/2026-09-20-salestype-2025-vs-2026.xlsx, "Source" sheet, filtered to Sale Type = "113 - Kupat Holim Meuhedet" (both files only read, never modified). Item Name is the raw NetSuite variant code, already in the same format as TRANS's ITEM NAME column. Only rows with non-zero Quantity or Amount (per year) are included (lean/relevant-only convention). CHEMIPAL CODE is matched live against TRANS: exact match first, then whitespace-normalized fallback.</t>
  </si>
</sst>
</file>

<file path=xl/styles.xml><?xml version="1.0" encoding="utf-8"?>
<styleSheet xmlns="http://schemas.openxmlformats.org/spreadsheetml/2006/main">
  <numFmts count="6">
    <numFmt numFmtId="164" formatCode="General"/>
    <numFmt numFmtId="165" formatCode="dd/mm/yy"/>
    <numFmt numFmtId="166" formatCode="#,##0"/>
    <numFmt numFmtId="167" formatCode="0.0%"/>
    <numFmt numFmtId="168" formatCode="#,##0.00"/>
    <numFmt numFmtId="169" formatCode="General"/>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i val="true"/>
      <sz val="9"/>
      <color rgb="FF777777"/>
      <name val="Arial"/>
      <family val="0"/>
      <charset val="1"/>
    </font>
    <font>
      <b val="true"/>
      <sz val="11"/>
      <color rgb="FFFFFFFF"/>
      <name val="Arial"/>
      <family val="0"/>
      <charset val="1"/>
    </font>
    <font>
      <sz val="10"/>
      <name val="Arial"/>
      <family val="0"/>
      <charset val="1"/>
    </font>
  </fonts>
  <fills count="6">
    <fill>
      <patternFill patternType="none"/>
    </fill>
    <fill>
      <patternFill patternType="gray125"/>
    </fill>
    <fill>
      <patternFill patternType="solid">
        <fgColor rgb="FF2F5496"/>
        <bgColor rgb="FF666699"/>
      </patternFill>
    </fill>
    <fill>
      <patternFill patternType="solid">
        <fgColor rgb="FFFFF2CC"/>
        <bgColor rgb="FFFCE4D6"/>
      </patternFill>
    </fill>
    <fill>
      <patternFill patternType="solid">
        <fgColor rgb="FFC6E0B4"/>
        <bgColor rgb="FFBFBFBF"/>
      </patternFill>
    </fill>
    <fill>
      <patternFill patternType="solid">
        <fgColor rgb="FFFCE4D6"/>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7" fontId="8" fillId="3" borderId="1" xfId="0" applyFont="true" applyBorder="true" applyAlignment="false" applyProtection="false">
      <alignment horizontal="general" vertical="bottom" textRotation="0" wrapText="false" indent="0" shrinkToFit="false"/>
      <protection locked="true" hidden="false"/>
    </xf>
    <xf numFmtId="168" fontId="8" fillId="3"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tru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6" fontId="5" fillId="4" borderId="1" xfId="0" applyFont="true" applyBorder="true" applyAlignment="false" applyProtection="false">
      <alignment horizontal="general" vertical="bottom" textRotation="0" wrapText="false" indent="0" shrinkToFit="false"/>
      <protection locked="true" hidden="false"/>
    </xf>
    <xf numFmtId="168" fontId="5" fillId="4"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6" fontId="8" fillId="5" borderId="1" xfId="0" applyFont="true" applyBorder="true" applyAlignment="false" applyProtection="false">
      <alignment horizontal="general" vertical="bottom" textRotation="0" wrapText="false" indent="0" shrinkToFit="false"/>
      <protection locked="true" hidden="false"/>
    </xf>
    <xf numFmtId="168" fontId="8" fillId="5"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77777"/>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55"/>
    <col collapsed="false" customWidth="true" hidden="false" outlineLevel="0" max="4" min="3" style="0" width="16"/>
    <col collapsed="false" customWidth="true" hidden="false" outlineLevel="0" max="5" min="5" style="0" width="12"/>
  </cols>
  <sheetData>
    <row r="1" customFormat="false" ht="17.15" hidden="false" customHeight="false" outlineLevel="0" collapsed="false">
      <c r="A1" s="1" t="s">
        <v>0</v>
      </c>
    </row>
    <row r="2" customFormat="false" ht="15" hidden="false" customHeight="false" outlineLevel="0" collapsed="false">
      <c r="A2" s="2" t="s">
        <v>1</v>
      </c>
      <c r="B2" s="3" t="n">
        <v>46289</v>
      </c>
    </row>
    <row r="3" customFormat="false" ht="22.35" hidden="false" customHeight="true" outlineLevel="0" collapsed="false">
      <c r="A3" s="4" t="s">
        <v>2</v>
      </c>
      <c r="B3" s="4"/>
      <c r="C3" s="4"/>
      <c r="D3" s="4"/>
      <c r="E3" s="4"/>
      <c r="F3" s="4"/>
      <c r="G3" s="4"/>
      <c r="H3" s="4"/>
      <c r="I3" s="4"/>
      <c r="J3" s="4"/>
    </row>
    <row r="4" customFormat="false" ht="15" hidden="false" customHeight="true" outlineLevel="0" collapsed="false">
      <c r="A4" s="4" t="s">
        <v>3</v>
      </c>
      <c r="B4" s="4"/>
      <c r="C4" s="4"/>
      <c r="D4" s="4"/>
      <c r="E4" s="4"/>
      <c r="F4" s="4"/>
      <c r="G4" s="4"/>
      <c r="H4" s="4"/>
      <c r="I4" s="4"/>
      <c r="J4" s="4"/>
    </row>
    <row r="5" customFormat="false" ht="22.35" hidden="false" customHeight="true" outlineLevel="0" collapsed="false">
      <c r="A5" s="4" t="s">
        <v>4</v>
      </c>
      <c r="B5" s="4"/>
      <c r="C5" s="4"/>
      <c r="D5" s="4"/>
      <c r="E5" s="4"/>
      <c r="F5" s="4"/>
      <c r="G5" s="4"/>
      <c r="H5" s="4"/>
      <c r="I5" s="4"/>
      <c r="J5" s="4"/>
    </row>
    <row r="7" customFormat="false" ht="15" hidden="false" customHeight="false" outlineLevel="0" collapsed="false">
      <c r="A7" s="2" t="s">
        <v>5</v>
      </c>
    </row>
    <row r="8" customFormat="false" ht="15" hidden="false" customHeight="false" outlineLevel="0" collapsed="false">
      <c r="A8" s="5" t="s">
        <v>6</v>
      </c>
      <c r="B8" s="5" t="s">
        <v>7</v>
      </c>
    </row>
    <row r="9" customFormat="false" ht="23.85" hidden="false" customHeight="false" outlineLevel="0" collapsed="false">
      <c r="A9" s="6" t="s">
        <v>8</v>
      </c>
      <c r="B9" s="7" t="s">
        <v>9</v>
      </c>
    </row>
    <row r="10" customFormat="false" ht="23.85" hidden="false" customHeight="false" outlineLevel="0" collapsed="false">
      <c r="A10" s="6" t="s">
        <v>10</v>
      </c>
      <c r="B10" s="7" t="s">
        <v>11</v>
      </c>
    </row>
    <row r="11" customFormat="false" ht="23.85" hidden="false" customHeight="false" outlineLevel="0" collapsed="false">
      <c r="A11" s="6" t="s">
        <v>12</v>
      </c>
      <c r="B11" s="7" t="s">
        <v>13</v>
      </c>
    </row>
    <row r="12" customFormat="false" ht="23.85" hidden="false" customHeight="false" outlineLevel="0" collapsed="false">
      <c r="A12" s="6" t="s">
        <v>14</v>
      </c>
      <c r="B12" s="7" t="s">
        <v>15</v>
      </c>
    </row>
    <row r="13" customFormat="false" ht="23.85" hidden="false" customHeight="false" outlineLevel="0" collapsed="false">
      <c r="A13" s="6" t="s">
        <v>16</v>
      </c>
      <c r="B13" s="7" t="s">
        <v>17</v>
      </c>
    </row>
    <row r="14" customFormat="false" ht="35.05" hidden="false" customHeight="false" outlineLevel="0" collapsed="false">
      <c r="A14" s="6" t="s">
        <v>18</v>
      </c>
      <c r="B14" s="7" t="s">
        <v>19</v>
      </c>
    </row>
    <row r="16" customFormat="false" ht="15" hidden="false" customHeight="false" outlineLevel="0" collapsed="false">
      <c r="A16" s="2" t="s">
        <v>20</v>
      </c>
    </row>
    <row r="17" customFormat="false" ht="15" hidden="false" customHeight="false" outlineLevel="0" collapsed="false">
      <c r="A17" s="5" t="s">
        <v>21</v>
      </c>
      <c r="B17" s="5" t="s">
        <v>22</v>
      </c>
      <c r="C17" s="5" t="s">
        <v>23</v>
      </c>
      <c r="D17" s="5" t="s">
        <v>24</v>
      </c>
      <c r="E17" s="5" t="s">
        <v>25</v>
      </c>
    </row>
    <row r="18" customFormat="false" ht="15" hidden="false" customHeight="false" outlineLevel="0" collapsed="false">
      <c r="A18" s="8" t="s">
        <v>26</v>
      </c>
      <c r="B18" s="8" t="s">
        <v>27</v>
      </c>
      <c r="C18" s="9" t="n">
        <f aca="false">SUMIFS('CEMI Raw'!$C$6:$C$197,'CEMI Raw'!$F$6:$F$197,"Matched*")</f>
        <v>9850</v>
      </c>
      <c r="D18" s="9" t="n">
        <f aca="false">SUM('CEMI Raw'!$C$6:$C$197)</f>
        <v>10037</v>
      </c>
      <c r="E18" s="10" t="n">
        <f aca="false">IFERROR(C18/D18,"")</f>
        <v>0.981368934940719</v>
      </c>
    </row>
    <row r="19" customFormat="false" ht="15" hidden="false" customHeight="false" outlineLevel="0" collapsed="false">
      <c r="A19" s="8" t="s">
        <v>26</v>
      </c>
      <c r="B19" s="8" t="s">
        <v>28</v>
      </c>
      <c r="C19" s="11" t="n">
        <f aca="false">SUMIFS('CEMI Raw'!$D$6:$D$197,'CEMI Raw'!$F$6:$F$197,"Matched*")</f>
        <v>295219.9</v>
      </c>
      <c r="D19" s="11" t="n">
        <f aca="false">SUM('CEMI Raw'!$D$6:$D$197)</f>
        <v>307514.4</v>
      </c>
      <c r="E19" s="10" t="n">
        <f aca="false">IFERROR(C19/D19,"")</f>
        <v>0.960019758424321</v>
      </c>
    </row>
    <row r="20" customFormat="false" ht="15" hidden="false" customHeight="false" outlineLevel="0" collapsed="false">
      <c r="A20" s="8" t="s">
        <v>29</v>
      </c>
      <c r="B20" s="8" t="s">
        <v>27</v>
      </c>
      <c r="C20" s="9" t="n">
        <f aca="false">SUMIFS('SALES Raw'!$C$6:$C$435,'SALES Raw'!$F$6:$F$435,"Matched*")</f>
        <v>36591</v>
      </c>
      <c r="D20" s="9" t="n">
        <f aca="false">SUM('SALES Raw'!$C$6:$C$435)</f>
        <v>36986</v>
      </c>
      <c r="E20" s="10" t="n">
        <f aca="false">IFERROR(C20/D20,"")</f>
        <v>0.989320283350457</v>
      </c>
    </row>
    <row r="21" customFormat="false" ht="15" hidden="false" customHeight="false" outlineLevel="0" collapsed="false">
      <c r="A21" s="8" t="s">
        <v>29</v>
      </c>
      <c r="B21" s="8" t="s">
        <v>30</v>
      </c>
      <c r="C21" s="11" t="n">
        <f aca="false">SUMIFS('SALES Raw'!$D$6:$D$435,'SALES Raw'!$F$6:$F$435,"Matched*")</f>
        <v>1100510.22</v>
      </c>
      <c r="D21" s="11" t="n">
        <f aca="false">SUM('SALES Raw'!$D$6:$D$435)</f>
        <v>1047368.74</v>
      </c>
      <c r="E21" s="10" t="n">
        <f aca="false">IFERROR(C21/D21,"")</f>
        <v>1.05073808103152</v>
      </c>
    </row>
    <row r="22" customFormat="false" ht="15" hidden="false" customHeight="true" outlineLevel="0" collapsed="false">
      <c r="A22" s="12" t="s">
        <v>31</v>
      </c>
      <c r="B22" s="12"/>
      <c r="C22" s="12"/>
      <c r="D22" s="12"/>
      <c r="E22" s="12"/>
      <c r="F22" s="12"/>
      <c r="G22" s="12"/>
      <c r="H22" s="12"/>
    </row>
    <row r="24" customFormat="false" ht="15" hidden="false" customHeight="false" outlineLevel="0" collapsed="false">
      <c r="A24" s="2" t="s">
        <v>32</v>
      </c>
      <c r="B24" s="13" t="n">
        <f aca="false">COUNTA('Matched by CHEMIPAL CODE'!$A$14:$A$230)</f>
        <v>217</v>
      </c>
    </row>
    <row r="25" customFormat="false" ht="15" hidden="false" customHeight="false" outlineLevel="0" collapsed="false">
      <c r="A25" s="2" t="s">
        <v>33</v>
      </c>
      <c r="B25" s="14" t="n">
        <f aca="false">'Matched by CHEMIPAL CODE'!M231</f>
        <v>882043.8</v>
      </c>
    </row>
    <row r="26" customFormat="false" ht="15" hidden="false" customHeight="false" outlineLevel="0" collapsed="false">
      <c r="A26" s="2" t="s">
        <v>34</v>
      </c>
      <c r="B26" s="14" t="n">
        <f aca="false">'Matched by CHEMIPAL CODE'!O231</f>
        <v>513686.32</v>
      </c>
    </row>
    <row r="27" customFormat="false" ht="15" hidden="false" customHeight="false" outlineLevel="0" collapsed="false">
      <c r="A27" s="2" t="s">
        <v>35</v>
      </c>
      <c r="B27" s="13" t="n">
        <f aca="false">COUNTA('Unmatched'!$A$7:$A$17)</f>
        <v>11</v>
      </c>
    </row>
    <row r="28" customFormat="false" ht="15" hidden="false" customHeight="false" outlineLevel="0" collapsed="false">
      <c r="A28" s="2" t="s">
        <v>36</v>
      </c>
      <c r="B28" s="13" t="n">
        <f aca="false">COUNTA('Unmatched'!$A$23:$A$57)</f>
        <v>35</v>
      </c>
    </row>
  </sheetData>
  <mergeCells count="4">
    <mergeCell ref="A3:J3"/>
    <mergeCell ref="A4:J4"/>
    <mergeCell ref="A5:J5"/>
    <mergeCell ref="A22:H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3" topLeftCell="A1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5"/>
    <col collapsed="false" customWidth="true" hidden="false" outlineLevel="0" max="2" min="2" style="0" width="22"/>
    <col collapsed="false" customWidth="true" hidden="false" outlineLevel="0" max="3" min="3" style="0" width="40"/>
    <col collapsed="false" customWidth="true" hidden="false" outlineLevel="0" max="4" min="4" style="0" width="11"/>
    <col collapsed="false" customWidth="true" hidden="false" outlineLevel="0" max="5" min="5" style="0" width="13"/>
    <col collapsed="false" customWidth="true" hidden="false" outlineLevel="0" max="6" min="6" style="0" width="11"/>
    <col collapsed="false" customWidth="true" hidden="false" outlineLevel="0" max="7" min="7" style="0" width="13"/>
    <col collapsed="false" customWidth="true" hidden="false" outlineLevel="0" max="8" min="8" style="0" width="11"/>
    <col collapsed="false" customWidth="true" hidden="false" outlineLevel="0" max="9" min="9" style="0" width="13"/>
    <col collapsed="false" customWidth="true" hidden="false" outlineLevel="0" max="10" min="10" style="0" width="11"/>
    <col collapsed="false" customWidth="true" hidden="false" outlineLevel="0" max="12" min="11" style="0" width="13"/>
    <col collapsed="false" customWidth="true" hidden="false" outlineLevel="0" max="13" min="13" style="0" width="15"/>
    <col collapsed="false" customWidth="true" hidden="false" outlineLevel="0" max="14" min="14" style="0" width="13"/>
    <col collapsed="false" customWidth="true" hidden="false" outlineLevel="0" max="15" min="15" style="0" width="15"/>
  </cols>
  <sheetData>
    <row r="1" customFormat="false" ht="17.15" hidden="false" customHeight="false" outlineLevel="0" collapsed="false">
      <c r="A1" s="1" t="s">
        <v>37</v>
      </c>
    </row>
    <row r="2" customFormat="false" ht="15" hidden="false" customHeight="false" outlineLevel="0" collapsed="false">
      <c r="A2" s="2" t="s">
        <v>1</v>
      </c>
      <c r="B2" s="3" t="n">
        <v>46289</v>
      </c>
    </row>
    <row r="3" customFormat="false" ht="22.35" hidden="false" customHeight="true" outlineLevel="0" collapsed="false">
      <c r="A3" s="4" t="s">
        <v>38</v>
      </c>
      <c r="B3" s="4"/>
      <c r="C3" s="4"/>
      <c r="D3" s="4"/>
      <c r="E3" s="4"/>
      <c r="F3" s="4"/>
      <c r="G3" s="4"/>
      <c r="H3" s="4"/>
      <c r="I3" s="4"/>
      <c r="J3" s="4"/>
      <c r="K3" s="4"/>
      <c r="L3" s="4"/>
      <c r="M3" s="4"/>
      <c r="N3" s="4"/>
      <c r="O3" s="4"/>
    </row>
    <row r="5" customFormat="false" ht="15" hidden="false" customHeight="false" outlineLevel="0" collapsed="false">
      <c r="A5" s="2" t="s">
        <v>39</v>
      </c>
    </row>
    <row r="6" customFormat="false" ht="15" hidden="false" customHeight="false" outlineLevel="0" collapsed="false">
      <c r="A6" s="15" t="s">
        <v>40</v>
      </c>
      <c r="B6" s="15" t="s">
        <v>23</v>
      </c>
      <c r="C6" s="15" t="s">
        <v>24</v>
      </c>
      <c r="D6" s="15" t="s">
        <v>25</v>
      </c>
    </row>
    <row r="7" customFormat="false" ht="15" hidden="false" customHeight="false" outlineLevel="0" collapsed="false">
      <c r="A7" s="8" t="s">
        <v>41</v>
      </c>
      <c r="B7" s="9" t="n">
        <f aca="false">SUMIFS('CEMI Raw'!$C$6:$C$197,'CEMI Raw'!$F$6:$F$197,"Matched*")</f>
        <v>9850</v>
      </c>
      <c r="C7" s="9" t="n">
        <f aca="false">SUM('CEMI Raw'!$C$6:$C$197)</f>
        <v>10037</v>
      </c>
      <c r="D7" s="10" t="n">
        <f aca="false">IFERROR(B7/C7,"")</f>
        <v>0.981368934940719</v>
      </c>
    </row>
    <row r="8" customFormat="false" ht="15" hidden="false" customHeight="false" outlineLevel="0" collapsed="false">
      <c r="A8" s="8" t="s">
        <v>42</v>
      </c>
      <c r="B8" s="11" t="n">
        <f aca="false">SUMIFS('CEMI Raw'!$D$6:$D$197,'CEMI Raw'!$F$6:$F$197,"Matched*")</f>
        <v>295219.9</v>
      </c>
      <c r="C8" s="11" t="n">
        <f aca="false">SUM('CEMI Raw'!$D$6:$D$197)</f>
        <v>307514.4</v>
      </c>
      <c r="D8" s="10" t="n">
        <f aca="false">IFERROR(B8/C8,"")</f>
        <v>0.960019758424321</v>
      </c>
    </row>
    <row r="9" customFormat="false" ht="15" hidden="false" customHeight="false" outlineLevel="0" collapsed="false">
      <c r="A9" s="8" t="s">
        <v>43</v>
      </c>
      <c r="B9" s="9" t="n">
        <f aca="false">SUMIFS('SALES Raw'!$C$6:$C$435,'SALES Raw'!$F$6:$F$435,"Matched*")</f>
        <v>36591</v>
      </c>
      <c r="C9" s="9" t="n">
        <f aca="false">SUM('SALES Raw'!$C$6:$C$435)</f>
        <v>36986</v>
      </c>
      <c r="D9" s="10" t="n">
        <f aca="false">IFERROR(B9/C9,"")</f>
        <v>0.989320283350457</v>
      </c>
    </row>
    <row r="10" customFormat="false" ht="15" hidden="false" customHeight="false" outlineLevel="0" collapsed="false">
      <c r="A10" s="8" t="s">
        <v>44</v>
      </c>
      <c r="B10" s="11" t="n">
        <f aca="false">SUMIFS('SALES Raw'!$D$6:$D$435,'SALES Raw'!$F$6:$F$435,"Matched*")</f>
        <v>1100510.22</v>
      </c>
      <c r="C10" s="11" t="n">
        <f aca="false">SUM('SALES Raw'!$D$6:$D$435)</f>
        <v>1047368.74</v>
      </c>
      <c r="D10" s="10" t="n">
        <f aca="false">IFERROR(B10/C10,"")</f>
        <v>1.05073808103152</v>
      </c>
    </row>
    <row r="11" customFormat="false" ht="22.35" hidden="false" customHeight="true" outlineLevel="0" collapsed="false">
      <c r="A11" s="12" t="s">
        <v>45</v>
      </c>
      <c r="B11" s="12"/>
      <c r="C11" s="12"/>
      <c r="D11" s="12"/>
      <c r="E11" s="12"/>
      <c r="F11" s="12"/>
      <c r="G11" s="12"/>
      <c r="H11" s="12"/>
    </row>
    <row r="13" customFormat="false" ht="26.85" hidden="false" customHeight="false" outlineLevel="0" collapsed="false">
      <c r="A13" s="5" t="s">
        <v>46</v>
      </c>
      <c r="B13" s="5" t="s">
        <v>47</v>
      </c>
      <c r="C13" s="5" t="s">
        <v>48</v>
      </c>
      <c r="D13" s="5" t="s">
        <v>49</v>
      </c>
      <c r="E13" s="5" t="s">
        <v>50</v>
      </c>
      <c r="F13" s="5" t="s">
        <v>51</v>
      </c>
      <c r="G13" s="5" t="s">
        <v>52</v>
      </c>
      <c r="H13" s="5" t="s">
        <v>53</v>
      </c>
      <c r="I13" s="5" t="s">
        <v>54</v>
      </c>
      <c r="J13" s="5" t="s">
        <v>55</v>
      </c>
      <c r="K13" s="5" t="s">
        <v>56</v>
      </c>
      <c r="L13" s="5" t="s">
        <v>57</v>
      </c>
      <c r="M13" s="5" t="s">
        <v>58</v>
      </c>
      <c r="N13" s="5" t="s">
        <v>59</v>
      </c>
      <c r="O13" s="5" t="s">
        <v>60</v>
      </c>
    </row>
    <row r="14" customFormat="false" ht="15" hidden="false" customHeight="false" outlineLevel="0" collapsed="false">
      <c r="A14" s="6" t="n">
        <v>4401000</v>
      </c>
      <c r="B14" s="6" t="str">
        <f aca="false">IFERROR(INDEX('TRANS'!$A:$A,MATCH($A14,'TRANS'!$B:$B,0)),"")</f>
        <v>369-S-L</v>
      </c>
      <c r="C14" s="6" t="str">
        <f aca="false">IFERROR(INDEX('TRANS'!$C:$C,MATCH($A14,'TRANS'!$B:$B,0)),"")</f>
        <v>369  S-L אצבעון מסיליקון יחידה</v>
      </c>
      <c r="D14" s="16" t="n">
        <f aca="false">SUMIFS('CEMI Raw'!$C$6:$C$197,'CEMI Raw'!$E$6:$E$197,$A14,'CEMI Raw'!$B$6:$B$197,2025)</f>
        <v>0</v>
      </c>
      <c r="E14" s="17" t="n">
        <f aca="false">SUMIFS('CEMI Raw'!$D$6:$D$197,'CEMI Raw'!$E$6:$E$197,$A14,'CEMI Raw'!$B$6:$B$197,2025)</f>
        <v>0</v>
      </c>
      <c r="F14" s="16" t="n">
        <f aca="false">SUMIFS('CEMI Raw'!$C$6:$C$197,'CEMI Raw'!$E$6:$E$197,$A14,'CEMI Raw'!$B$6:$B$197,2026)</f>
        <v>61</v>
      </c>
      <c r="G14" s="17" t="n">
        <f aca="false">SUMIFS('CEMI Raw'!$D$6:$D$197,'CEMI Raw'!$E$6:$E$197,$A14,'CEMI Raw'!$B$6:$B$197,2026)</f>
        <v>870.8</v>
      </c>
      <c r="H14" s="16" t="n">
        <f aca="false">SUMIFS('SALES Raw'!$C$6:$C$435,'SALES Raw'!$E$6:$E$435,$A14,'SALES Raw'!$B$6:$B$435,2025)</f>
        <v>234</v>
      </c>
      <c r="I14" s="17" t="n">
        <f aca="false">SUMIFS('SALES Raw'!$D$6:$D$435,'SALES Raw'!$E$6:$E$435,$A14,'SALES Raw'!$B$6:$B$435,2025)</f>
        <v>3790.8</v>
      </c>
      <c r="J14" s="16" t="n">
        <f aca="false">SUMIFS('SALES Raw'!$C$6:$C$435,'SALES Raw'!$E$6:$E$435,$A14,'SALES Raw'!$B$6:$B$435,2026)</f>
        <v>53</v>
      </c>
      <c r="K14" s="17" t="n">
        <f aca="false">SUMIFS('SALES Raw'!$D$6:$D$435,'SALES Raw'!$E$6:$E$435,$A14,'SALES Raw'!$B$6:$B$435,2026)</f>
        <v>858.6</v>
      </c>
      <c r="L14" s="16" t="n">
        <f aca="false">D14+H14</f>
        <v>234</v>
      </c>
      <c r="M14" s="17" t="n">
        <f aca="false">E14+I14</f>
        <v>3790.8</v>
      </c>
      <c r="N14" s="16" t="n">
        <f aca="false">F14+J14</f>
        <v>114</v>
      </c>
      <c r="O14" s="17" t="n">
        <f aca="false">G14+K14</f>
        <v>1729.4</v>
      </c>
    </row>
    <row r="15" customFormat="false" ht="15" hidden="false" customHeight="false" outlineLevel="0" collapsed="false">
      <c r="A15" s="6" t="n">
        <v>4401001</v>
      </c>
      <c r="B15" s="6" t="str">
        <f aca="false">IFERROR(INDEX('TRANS'!$A:$A,MATCH($A15,'TRANS'!$B:$B,0)),"")</f>
        <v>369-XL</v>
      </c>
      <c r="C15" s="6" t="str">
        <f aca="false">IFERROR(INDEX('TRANS'!$C:$C,MATCH($A15,'TRANS'!$B:$B,0)),"")</f>
        <v>369   XL אצבעון מסיליקון יחידה</v>
      </c>
      <c r="D15" s="16" t="n">
        <f aca="false">SUMIFS('CEMI Raw'!$C$6:$C$197,'CEMI Raw'!$E$6:$E$197,$A15,'CEMI Raw'!$B$6:$B$197,2025)</f>
        <v>0</v>
      </c>
      <c r="E15" s="17" t="n">
        <f aca="false">SUMIFS('CEMI Raw'!$D$6:$D$197,'CEMI Raw'!$E$6:$E$197,$A15,'CEMI Raw'!$B$6:$B$197,2025)</f>
        <v>0</v>
      </c>
      <c r="F15" s="16" t="n">
        <f aca="false">SUMIFS('CEMI Raw'!$C$6:$C$197,'CEMI Raw'!$E$6:$E$197,$A15,'CEMI Raw'!$B$6:$B$197,2026)</f>
        <v>86</v>
      </c>
      <c r="G15" s="17" t="n">
        <f aca="false">SUMIFS('CEMI Raw'!$D$6:$D$197,'CEMI Raw'!$E$6:$E$197,$A15,'CEMI Raw'!$B$6:$B$197,2026)</f>
        <v>1492.4</v>
      </c>
      <c r="H15" s="16" t="n">
        <f aca="false">SUMIFS('SALES Raw'!$C$6:$C$435,'SALES Raw'!$E$6:$E$435,$A15,'SALES Raw'!$B$6:$B$435,2025)</f>
        <v>336</v>
      </c>
      <c r="I15" s="17" t="n">
        <f aca="false">SUMIFS('SALES Raw'!$D$6:$D$435,'SALES Raw'!$E$6:$E$435,$A15,'SALES Raw'!$B$6:$B$435,2025)</f>
        <v>5987.52</v>
      </c>
      <c r="J15" s="16" t="n">
        <f aca="false">SUMIFS('SALES Raw'!$C$6:$C$435,'SALES Raw'!$E$6:$E$435,$A15,'SALES Raw'!$B$6:$B$435,2026)</f>
        <v>140</v>
      </c>
      <c r="K15" s="17" t="n">
        <f aca="false">SUMIFS('SALES Raw'!$D$6:$D$435,'SALES Raw'!$E$6:$E$435,$A15,'SALES Raw'!$B$6:$B$435,2026)</f>
        <v>2494.8</v>
      </c>
      <c r="L15" s="16" t="n">
        <f aca="false">D15+H15</f>
        <v>336</v>
      </c>
      <c r="M15" s="17" t="n">
        <f aca="false">E15+I15</f>
        <v>5987.52</v>
      </c>
      <c r="N15" s="16" t="n">
        <f aca="false">F15+J15</f>
        <v>226</v>
      </c>
      <c r="O15" s="17" t="n">
        <f aca="false">G15+K15</f>
        <v>3987.2</v>
      </c>
    </row>
    <row r="16" customFormat="false" ht="15" hidden="false" customHeight="false" outlineLevel="0" collapsed="false">
      <c r="A16" s="6" t="n">
        <v>4401002</v>
      </c>
      <c r="B16" s="6" t="str">
        <f aca="false">IFERROR(INDEX('TRANS'!$A:$A,MATCH($A16,'TRANS'!$B:$B,0)),"")</f>
        <v>PD344 0</v>
      </c>
      <c r="C16" s="6" t="str">
        <f aca="false">IFERROR(INDEX('TRANS'!$C:$C,MATCH($A16,'TRANS'!$B:$B,0)),"")</f>
        <v>PD 344-אבן טבעית להסרת עור קשה</v>
      </c>
      <c r="D16" s="16" t="n">
        <f aca="false">SUMIFS('CEMI Raw'!$C$6:$C$197,'CEMI Raw'!$E$6:$E$197,$A16,'CEMI Raw'!$B$6:$B$197,2025)</f>
        <v>0</v>
      </c>
      <c r="E16" s="17" t="n">
        <f aca="false">SUMIFS('CEMI Raw'!$D$6:$D$197,'CEMI Raw'!$E$6:$E$197,$A16,'CEMI Raw'!$B$6:$B$197,2025)</f>
        <v>0</v>
      </c>
      <c r="F16" s="16" t="n">
        <f aca="false">SUMIFS('CEMI Raw'!$C$6:$C$197,'CEMI Raw'!$E$6:$E$197,$A16,'CEMI Raw'!$B$6:$B$197,2026)</f>
        <v>138</v>
      </c>
      <c r="G16" s="17" t="n">
        <f aca="false">SUMIFS('CEMI Raw'!$D$6:$D$197,'CEMI Raw'!$E$6:$E$197,$A16,'CEMI Raw'!$B$6:$B$197,2026)</f>
        <v>771.2</v>
      </c>
      <c r="H16" s="16" t="n">
        <f aca="false">SUMIFS('SALES Raw'!$C$6:$C$435,'SALES Raw'!$E$6:$E$435,$A16,'SALES Raw'!$B$6:$B$435,2025)</f>
        <v>335</v>
      </c>
      <c r="I16" s="17" t="n">
        <f aca="false">SUMIFS('SALES Raw'!$D$6:$D$435,'SALES Raw'!$E$6:$E$435,$A16,'SALES Raw'!$B$6:$B$435,2025)</f>
        <v>1946.35</v>
      </c>
      <c r="J16" s="16" t="n">
        <f aca="false">SUMIFS('SALES Raw'!$C$6:$C$435,'SALES Raw'!$E$6:$E$435,$A16,'SALES Raw'!$B$6:$B$435,2026)</f>
        <v>59</v>
      </c>
      <c r="K16" s="17" t="n">
        <f aca="false">SUMIFS('SALES Raw'!$D$6:$D$435,'SALES Raw'!$E$6:$E$435,$A16,'SALES Raw'!$B$6:$B$435,2026)</f>
        <v>342.79</v>
      </c>
      <c r="L16" s="16" t="n">
        <f aca="false">D16+H16</f>
        <v>335</v>
      </c>
      <c r="M16" s="17" t="n">
        <f aca="false">E16+I16</f>
        <v>1946.35</v>
      </c>
      <c r="N16" s="16" t="n">
        <f aca="false">F16+J16</f>
        <v>197</v>
      </c>
      <c r="O16" s="17" t="n">
        <f aca="false">G16+K16</f>
        <v>1113.99</v>
      </c>
    </row>
    <row r="17" customFormat="false" ht="15" hidden="false" customHeight="false" outlineLevel="0" collapsed="false">
      <c r="A17" s="6" t="n">
        <v>4402000</v>
      </c>
      <c r="B17" s="6" t="str">
        <f aca="false">IFERROR(INDEX('TRANS'!$A:$A,MATCH($A17,'TRANS'!$B:$B,0)),"")</f>
        <v>363-L-R</v>
      </c>
      <c r="C17" s="6" t="str">
        <f aca="false">IFERROR(INDEX('TRANS'!$C:$C,MATCH($A17,'TRANS'!$B:$B,0)),"")</f>
        <v>363  בננה לתמיכת אצבעות ז.כרית</v>
      </c>
      <c r="D17" s="16" t="n">
        <f aca="false">SUMIFS('CEMI Raw'!$C$6:$C$197,'CEMI Raw'!$E$6:$E$197,$A17,'CEMI Raw'!$B$6:$B$197,2025)</f>
        <v>0</v>
      </c>
      <c r="E17" s="17" t="n">
        <f aca="false">SUMIFS('CEMI Raw'!$D$6:$D$197,'CEMI Raw'!$E$6:$E$197,$A17,'CEMI Raw'!$B$6:$B$197,2025)</f>
        <v>0</v>
      </c>
      <c r="F17" s="16" t="n">
        <f aca="false">SUMIFS('CEMI Raw'!$C$6:$C$197,'CEMI Raw'!$E$6:$E$197,$A17,'CEMI Raw'!$B$6:$B$197,2026)</f>
        <v>41</v>
      </c>
      <c r="G17" s="17" t="n">
        <f aca="false">SUMIFS('CEMI Raw'!$D$6:$D$197,'CEMI Raw'!$E$6:$E$197,$A17,'CEMI Raw'!$B$6:$B$197,2026)</f>
        <v>668</v>
      </c>
      <c r="H17" s="16" t="n">
        <f aca="false">SUMIFS('SALES Raw'!$C$6:$C$435,'SALES Raw'!$E$6:$E$435,$A17,'SALES Raw'!$B$6:$B$435,2025)</f>
        <v>154</v>
      </c>
      <c r="I17" s="17" t="n">
        <f aca="false">SUMIFS('SALES Raw'!$D$6:$D$435,'SALES Raw'!$E$6:$E$435,$A17,'SALES Raw'!$B$6:$B$435,2025)</f>
        <v>2671.9</v>
      </c>
      <c r="J17" s="16" t="n">
        <f aca="false">SUMIFS('SALES Raw'!$C$6:$C$435,'SALES Raw'!$E$6:$E$435,$A17,'SALES Raw'!$B$6:$B$435,2026)</f>
        <v>26</v>
      </c>
      <c r="K17" s="17" t="n">
        <f aca="false">SUMIFS('SALES Raw'!$D$6:$D$435,'SALES Raw'!$E$6:$E$435,$A17,'SALES Raw'!$B$6:$B$435,2026)</f>
        <v>451.1</v>
      </c>
      <c r="L17" s="16" t="n">
        <f aca="false">D17+H17</f>
        <v>154</v>
      </c>
      <c r="M17" s="17" t="n">
        <f aca="false">E17+I17</f>
        <v>2671.9</v>
      </c>
      <c r="N17" s="16" t="n">
        <f aca="false">F17+J17</f>
        <v>67</v>
      </c>
      <c r="O17" s="17" t="n">
        <f aca="false">G17+K17</f>
        <v>1119.1</v>
      </c>
    </row>
    <row r="18" customFormat="false" ht="15" hidden="false" customHeight="false" outlineLevel="0" collapsed="false">
      <c r="A18" s="6" t="n">
        <v>4402007</v>
      </c>
      <c r="B18" s="6" t="str">
        <f aca="false">IFERROR(INDEX('TRANS'!$A:$A,MATCH($A18,'TRANS'!$B:$B,0)),"")</f>
        <v>320 0</v>
      </c>
      <c r="C18" s="6" t="str">
        <f aca="false">IFERROR(INDEX('TRANS'!$C:$C,MATCH($A18,'TRANS'!$B:$B,0)),"")</f>
        <v>320 בליסטר פלסטר</v>
      </c>
      <c r="D18" s="16" t="n">
        <f aca="false">SUMIFS('CEMI Raw'!$C$6:$C$197,'CEMI Raw'!$E$6:$E$197,$A18,'CEMI Raw'!$B$6:$B$197,2025)</f>
        <v>0</v>
      </c>
      <c r="E18" s="17" t="n">
        <f aca="false">SUMIFS('CEMI Raw'!$D$6:$D$197,'CEMI Raw'!$E$6:$E$197,$A18,'CEMI Raw'!$B$6:$B$197,2025)</f>
        <v>0</v>
      </c>
      <c r="F18" s="16" t="n">
        <f aca="false">SUMIFS('CEMI Raw'!$C$6:$C$197,'CEMI Raw'!$E$6:$E$197,$A18,'CEMI Raw'!$B$6:$B$197,2026)</f>
        <v>78</v>
      </c>
      <c r="G18" s="17" t="n">
        <f aca="false">SUMIFS('CEMI Raw'!$D$6:$D$197,'CEMI Raw'!$E$6:$E$197,$A18,'CEMI Raw'!$B$6:$B$197,2026)</f>
        <v>939.1</v>
      </c>
      <c r="H18" s="16" t="n">
        <f aca="false">SUMIFS('SALES Raw'!$C$6:$C$435,'SALES Raw'!$E$6:$E$435,$A18,'SALES Raw'!$B$6:$B$435,2025)</f>
        <v>163</v>
      </c>
      <c r="I18" s="17" t="n">
        <f aca="false">SUMIFS('SALES Raw'!$D$6:$D$435,'SALES Raw'!$E$6:$E$435,$A18,'SALES Raw'!$B$6:$B$435,2025)</f>
        <v>2089.66</v>
      </c>
      <c r="J18" s="16" t="n">
        <f aca="false">SUMIFS('SALES Raw'!$C$6:$C$435,'SALES Raw'!$E$6:$E$435,$A18,'SALES Raw'!$B$6:$B$435,2026)</f>
        <v>34</v>
      </c>
      <c r="K18" s="17" t="n">
        <f aca="false">SUMIFS('SALES Raw'!$D$6:$D$435,'SALES Raw'!$E$6:$E$435,$A18,'SALES Raw'!$B$6:$B$435,2026)</f>
        <v>435.88</v>
      </c>
      <c r="L18" s="16" t="n">
        <f aca="false">D18+H18</f>
        <v>163</v>
      </c>
      <c r="M18" s="17" t="n">
        <f aca="false">E18+I18</f>
        <v>2089.66</v>
      </c>
      <c r="N18" s="16" t="n">
        <f aca="false">F18+J18</f>
        <v>112</v>
      </c>
      <c r="O18" s="17" t="n">
        <f aca="false">G18+K18</f>
        <v>1374.98</v>
      </c>
    </row>
    <row r="19" customFormat="false" ht="15" hidden="false" customHeight="false" outlineLevel="0" collapsed="false">
      <c r="A19" s="6" t="n">
        <v>4402011</v>
      </c>
      <c r="B19" s="6" t="str">
        <f aca="false">IFERROR(INDEX('TRANS'!$A:$A,MATCH($A19,'TRANS'!$B:$B,0)),"")</f>
        <v>ST422 0</v>
      </c>
      <c r="C19" s="6" t="str">
        <f aca="false">IFERROR(INDEX('TRANS'!$C:$C,MATCH($A19,'TRANS'!$B:$B,0)),"")</f>
        <v>S-XLST422 מגן ברך+כרית ג'ל</v>
      </c>
      <c r="D19" s="16" t="n">
        <f aca="false">SUMIFS('CEMI Raw'!$C$6:$C$197,'CEMI Raw'!$E$6:$E$197,$A19,'CEMI Raw'!$B$6:$B$197,2025)</f>
        <v>0</v>
      </c>
      <c r="E19" s="17" t="n">
        <f aca="false">SUMIFS('CEMI Raw'!$D$6:$D$197,'CEMI Raw'!$E$6:$E$197,$A19,'CEMI Raw'!$B$6:$B$197,2025)</f>
        <v>0</v>
      </c>
      <c r="F19" s="16" t="n">
        <f aca="false">SUMIFS('CEMI Raw'!$C$6:$C$197,'CEMI Raw'!$E$6:$E$197,$A19,'CEMI Raw'!$B$6:$B$197,2026)</f>
        <v>56</v>
      </c>
      <c r="G19" s="17" t="n">
        <f aca="false">SUMIFS('CEMI Raw'!$D$6:$D$197,'CEMI Raw'!$E$6:$E$197,$A19,'CEMI Raw'!$B$6:$B$197,2026)</f>
        <v>2875.6</v>
      </c>
      <c r="H19" s="16" t="n">
        <f aca="false">SUMIFS('SALES Raw'!$C$6:$C$435,'SALES Raw'!$E$6:$E$435,$A19,'SALES Raw'!$B$6:$B$435,2025)</f>
        <v>145</v>
      </c>
      <c r="I19" s="17" t="n">
        <f aca="false">SUMIFS('SALES Raw'!$D$6:$D$435,'SALES Raw'!$E$6:$E$435,$A19,'SALES Raw'!$B$6:$B$435,2025)</f>
        <v>7757.5</v>
      </c>
      <c r="J19" s="16" t="n">
        <f aca="false">SUMIFS('SALES Raw'!$C$6:$C$435,'SALES Raw'!$E$6:$E$435,$A19,'SALES Raw'!$B$6:$B$435,2026)</f>
        <v>49</v>
      </c>
      <c r="K19" s="17" t="n">
        <f aca="false">SUMIFS('SALES Raw'!$D$6:$D$435,'SALES Raw'!$E$6:$E$435,$A19,'SALES Raw'!$B$6:$B$435,2026)</f>
        <v>2621.5</v>
      </c>
      <c r="L19" s="16" t="n">
        <f aca="false">D19+H19</f>
        <v>145</v>
      </c>
      <c r="M19" s="17" t="n">
        <f aca="false">E19+I19</f>
        <v>7757.5</v>
      </c>
      <c r="N19" s="16" t="n">
        <f aca="false">F19+J19</f>
        <v>105</v>
      </c>
      <c r="O19" s="17" t="n">
        <f aca="false">G19+K19</f>
        <v>5497.1</v>
      </c>
    </row>
    <row r="20" customFormat="false" ht="15" hidden="false" customHeight="false" outlineLevel="0" collapsed="false">
      <c r="A20" s="6" t="n">
        <v>4403000</v>
      </c>
      <c r="B20" s="6" t="str">
        <f aca="false">IFERROR(INDEX('TRANS'!$A:$A,MATCH($A20,'TRANS'!$B:$B,0)),"")</f>
        <v>390B-35-38</v>
      </c>
      <c r="C20" s="6" t="str">
        <f aca="false">IFERROR(INDEX('TRANS'!$C:$C,MATCH($A20,'TRANS'!$B:$B,0)),"")</f>
        <v>390B גרב.כסף לסכרתים שחור35-38</v>
      </c>
      <c r="D20" s="16" t="n">
        <f aca="false">SUMIFS('CEMI Raw'!$C$6:$C$197,'CEMI Raw'!$E$6:$E$197,$A20,'CEMI Raw'!$B$6:$B$197,2025)</f>
        <v>0</v>
      </c>
      <c r="E20" s="17" t="n">
        <f aca="false">SUMIFS('CEMI Raw'!$D$6:$D$197,'CEMI Raw'!$E$6:$E$197,$A20,'CEMI Raw'!$B$6:$B$197,2025)</f>
        <v>0</v>
      </c>
      <c r="F20" s="16" t="n">
        <f aca="false">SUMIFS('CEMI Raw'!$C$6:$C$197,'CEMI Raw'!$E$6:$E$197,$A20,'CEMI Raw'!$B$6:$B$197,2026)</f>
        <v>2</v>
      </c>
      <c r="G20" s="17" t="n">
        <f aca="false">SUMIFS('CEMI Raw'!$D$6:$D$197,'CEMI Raw'!$E$6:$E$197,$A20,'CEMI Raw'!$B$6:$B$197,2026)</f>
        <v>41.3</v>
      </c>
      <c r="H20" s="16" t="n">
        <f aca="false">SUMIFS('SALES Raw'!$C$6:$C$435,'SALES Raw'!$E$6:$E$435,$A20,'SALES Raw'!$B$6:$B$435,2025)</f>
        <v>2</v>
      </c>
      <c r="I20" s="17" t="n">
        <f aca="false">SUMIFS('SALES Raw'!$D$6:$D$435,'SALES Raw'!$E$6:$E$435,$A20,'SALES Raw'!$B$6:$B$435,2025)</f>
        <v>47.2</v>
      </c>
      <c r="J20" s="16" t="n">
        <f aca="false">SUMIFS('SALES Raw'!$C$6:$C$435,'SALES Raw'!$E$6:$E$435,$A20,'SALES Raw'!$B$6:$B$435,2026)</f>
        <v>11</v>
      </c>
      <c r="K20" s="17" t="n">
        <f aca="false">SUMIFS('SALES Raw'!$D$6:$D$435,'SALES Raw'!$E$6:$E$435,$A20,'SALES Raw'!$B$6:$B$435,2026)</f>
        <v>259.6</v>
      </c>
      <c r="L20" s="16" t="n">
        <f aca="false">D20+H20</f>
        <v>2</v>
      </c>
      <c r="M20" s="17" t="n">
        <f aca="false">E20+I20</f>
        <v>47.2</v>
      </c>
      <c r="N20" s="16" t="n">
        <f aca="false">F20+J20</f>
        <v>13</v>
      </c>
      <c r="O20" s="17" t="n">
        <f aca="false">G20+K20</f>
        <v>300.9</v>
      </c>
    </row>
    <row r="21" customFormat="false" ht="15" hidden="false" customHeight="false" outlineLevel="0" collapsed="false">
      <c r="A21" s="6" t="n">
        <v>4403001</v>
      </c>
      <c r="B21" s="6" t="str">
        <f aca="false">IFERROR(INDEX('TRANS'!$A:$A,MATCH($A21,'TRANS'!$B:$B,0)),"")</f>
        <v>390B-39-42</v>
      </c>
      <c r="C21" s="6" t="str">
        <f aca="false">IFERROR(INDEX('TRANS'!$C:$C,MATCH($A21,'TRANS'!$B:$B,0)),"")</f>
        <v>390B 39-42.גרב.כסף לסכרתיים שח</v>
      </c>
      <c r="D21" s="16" t="n">
        <f aca="false">SUMIFS('CEMI Raw'!$C$6:$C$197,'CEMI Raw'!$E$6:$E$197,$A21,'CEMI Raw'!$B$6:$B$197,2025)</f>
        <v>0</v>
      </c>
      <c r="E21" s="17" t="n">
        <f aca="false">SUMIFS('CEMI Raw'!$D$6:$D$197,'CEMI Raw'!$E$6:$E$197,$A21,'CEMI Raw'!$B$6:$B$197,2025)</f>
        <v>0</v>
      </c>
      <c r="F21" s="16" t="n">
        <f aca="false">SUMIFS('CEMI Raw'!$C$6:$C$197,'CEMI Raw'!$E$6:$E$197,$A21,'CEMI Raw'!$B$6:$B$197,2026)</f>
        <v>6</v>
      </c>
      <c r="G21" s="17" t="n">
        <f aca="false">SUMIFS('CEMI Raw'!$D$6:$D$197,'CEMI Raw'!$E$6:$E$197,$A21,'CEMI Raw'!$B$6:$B$197,2026)</f>
        <v>112.1</v>
      </c>
      <c r="H21" s="16" t="n">
        <f aca="false">SUMIFS('SALES Raw'!$C$6:$C$435,'SALES Raw'!$E$6:$E$435,$A21,'SALES Raw'!$B$6:$B$435,2025)</f>
        <v>40</v>
      </c>
      <c r="I21" s="17" t="n">
        <f aca="false">SUMIFS('SALES Raw'!$D$6:$D$435,'SALES Raw'!$E$6:$E$435,$A21,'SALES Raw'!$B$6:$B$435,2025)</f>
        <v>944</v>
      </c>
      <c r="J21" s="16" t="n">
        <f aca="false">SUMIFS('SALES Raw'!$C$6:$C$435,'SALES Raw'!$E$6:$E$435,$A21,'SALES Raw'!$B$6:$B$435,2026)</f>
        <v>17</v>
      </c>
      <c r="K21" s="17" t="n">
        <f aca="false">SUMIFS('SALES Raw'!$D$6:$D$435,'SALES Raw'!$E$6:$E$435,$A21,'SALES Raw'!$B$6:$B$435,2026)</f>
        <v>401.2</v>
      </c>
      <c r="L21" s="16" t="n">
        <f aca="false">D21+H21</f>
        <v>40</v>
      </c>
      <c r="M21" s="17" t="n">
        <f aca="false">E21+I21</f>
        <v>944</v>
      </c>
      <c r="N21" s="16" t="n">
        <f aca="false">F21+J21</f>
        <v>23</v>
      </c>
      <c r="O21" s="17" t="n">
        <f aca="false">G21+K21</f>
        <v>513.3</v>
      </c>
    </row>
    <row r="22" customFormat="false" ht="15" hidden="false" customHeight="false" outlineLevel="0" collapsed="false">
      <c r="A22" s="6" t="n">
        <v>4403002</v>
      </c>
      <c r="B22" s="6" t="str">
        <f aca="false">IFERROR(INDEX('TRANS'!$A:$A,MATCH($A22,'TRANS'!$B:$B,0)),"")</f>
        <v>390B-43-46</v>
      </c>
      <c r="C22" s="6" t="str">
        <f aca="false">IFERROR(INDEX('TRANS'!$C:$C,MATCH($A22,'TRANS'!$B:$B,0)),"")</f>
        <v>390B 43-46.גרב.כסף לסכרתיים שח</v>
      </c>
      <c r="D22" s="16" t="n">
        <f aca="false">SUMIFS('CEMI Raw'!$C$6:$C$197,'CEMI Raw'!$E$6:$E$197,$A22,'CEMI Raw'!$B$6:$B$197,2025)</f>
        <v>0</v>
      </c>
      <c r="E22" s="17" t="n">
        <f aca="false">SUMIFS('CEMI Raw'!$D$6:$D$197,'CEMI Raw'!$E$6:$E$197,$A22,'CEMI Raw'!$B$6:$B$197,2025)</f>
        <v>0</v>
      </c>
      <c r="F22" s="16" t="n">
        <f aca="false">SUMIFS('CEMI Raw'!$C$6:$C$197,'CEMI Raw'!$E$6:$E$197,$A22,'CEMI Raw'!$B$6:$B$197,2026)</f>
        <v>18</v>
      </c>
      <c r="G22" s="17" t="n">
        <f aca="false">SUMIFS('CEMI Raw'!$D$6:$D$197,'CEMI Raw'!$E$6:$E$197,$A22,'CEMI Raw'!$B$6:$B$197,2026)</f>
        <v>424.8</v>
      </c>
      <c r="H22" s="16" t="n">
        <f aca="false">SUMIFS('SALES Raw'!$C$6:$C$435,'SALES Raw'!$E$6:$E$435,$A22,'SALES Raw'!$B$6:$B$435,2025)</f>
        <v>43</v>
      </c>
      <c r="I22" s="17" t="n">
        <f aca="false">SUMIFS('SALES Raw'!$D$6:$D$435,'SALES Raw'!$E$6:$E$435,$A22,'SALES Raw'!$B$6:$B$435,2025)</f>
        <v>1014.8</v>
      </c>
      <c r="J22" s="16" t="n">
        <f aca="false">SUMIFS('SALES Raw'!$C$6:$C$435,'SALES Raw'!$E$6:$E$435,$A22,'SALES Raw'!$B$6:$B$435,2026)</f>
        <v>60</v>
      </c>
      <c r="K22" s="17" t="n">
        <f aca="false">SUMIFS('SALES Raw'!$D$6:$D$435,'SALES Raw'!$E$6:$E$435,$A22,'SALES Raw'!$B$6:$B$435,2026)</f>
        <v>1416</v>
      </c>
      <c r="L22" s="16" t="n">
        <f aca="false">D22+H22</f>
        <v>43</v>
      </c>
      <c r="M22" s="17" t="n">
        <f aca="false">E22+I22</f>
        <v>1014.8</v>
      </c>
      <c r="N22" s="16" t="n">
        <f aca="false">F22+J22</f>
        <v>78</v>
      </c>
      <c r="O22" s="17" t="n">
        <f aca="false">G22+K22</f>
        <v>1840.8</v>
      </c>
    </row>
    <row r="23" customFormat="false" ht="15" hidden="false" customHeight="false" outlineLevel="0" collapsed="false">
      <c r="A23" s="6" t="n">
        <v>4403003</v>
      </c>
      <c r="B23" s="6" t="str">
        <f aca="false">IFERROR(INDEX('TRANS'!$A:$A,MATCH($A23,'TRANS'!$B:$B,0)),"")</f>
        <v>390G-35-38</v>
      </c>
      <c r="C23" s="6" t="str">
        <f aca="false">IFERROR(INDEX('TRANS'!$C:$C,MATCH($A23,'TRANS'!$B:$B,0)),"")</f>
        <v>390G ג.כסף לסכרתיים אפור35-38</v>
      </c>
      <c r="D23" s="16" t="n">
        <f aca="false">SUMIFS('CEMI Raw'!$C$6:$C$197,'CEMI Raw'!$E$6:$E$197,$A23,'CEMI Raw'!$B$6:$B$197,2025)</f>
        <v>0</v>
      </c>
      <c r="E23" s="17" t="n">
        <f aca="false">SUMIFS('CEMI Raw'!$D$6:$D$197,'CEMI Raw'!$E$6:$E$197,$A23,'CEMI Raw'!$B$6:$B$197,2025)</f>
        <v>0</v>
      </c>
      <c r="F23" s="16" t="n">
        <f aca="false">SUMIFS('CEMI Raw'!$C$6:$C$197,'CEMI Raw'!$E$6:$E$197,$A23,'CEMI Raw'!$B$6:$B$197,2026)</f>
        <v>5</v>
      </c>
      <c r="G23" s="17" t="n">
        <f aca="false">SUMIFS('CEMI Raw'!$D$6:$D$197,'CEMI Raw'!$E$6:$E$197,$A23,'CEMI Raw'!$B$6:$B$197,2026)</f>
        <v>118</v>
      </c>
      <c r="H23" s="16" t="n">
        <f aca="false">SUMIFS('SALES Raw'!$C$6:$C$435,'SALES Raw'!$E$6:$E$435,$A23,'SALES Raw'!$B$6:$B$435,2025)</f>
        <v>7</v>
      </c>
      <c r="I23" s="17" t="n">
        <f aca="false">SUMIFS('SALES Raw'!$D$6:$D$435,'SALES Raw'!$E$6:$E$435,$A23,'SALES Raw'!$B$6:$B$435,2025)</f>
        <v>165.2</v>
      </c>
      <c r="J23" s="16" t="n">
        <f aca="false">SUMIFS('SALES Raw'!$C$6:$C$435,'SALES Raw'!$E$6:$E$435,$A23,'SALES Raw'!$B$6:$B$435,2026)</f>
        <v>12</v>
      </c>
      <c r="K23" s="17" t="n">
        <f aca="false">SUMIFS('SALES Raw'!$D$6:$D$435,'SALES Raw'!$E$6:$E$435,$A23,'SALES Raw'!$B$6:$B$435,2026)</f>
        <v>283.2</v>
      </c>
      <c r="L23" s="16" t="n">
        <f aca="false">D23+H23</f>
        <v>7</v>
      </c>
      <c r="M23" s="17" t="n">
        <f aca="false">E23+I23</f>
        <v>165.2</v>
      </c>
      <c r="N23" s="16" t="n">
        <f aca="false">F23+J23</f>
        <v>17</v>
      </c>
      <c r="O23" s="17" t="n">
        <f aca="false">G23+K23</f>
        <v>401.2</v>
      </c>
    </row>
    <row r="24" customFormat="false" ht="15" hidden="false" customHeight="false" outlineLevel="0" collapsed="false">
      <c r="A24" s="6" t="n">
        <v>4403005</v>
      </c>
      <c r="B24" s="6" t="str">
        <f aca="false">IFERROR(INDEX('TRANS'!$A:$A,MATCH($A24,'TRANS'!$B:$B,0)),"")</f>
        <v>390G-43-46</v>
      </c>
      <c r="C24" s="6" t="str">
        <f aca="false">IFERROR(INDEX('TRANS'!$C:$C,MATCH($A24,'TRANS'!$B:$B,0)),"")</f>
        <v>G390.43-46 גרבי כסף לסכרת מידה</v>
      </c>
      <c r="D24" s="16" t="n">
        <f aca="false">SUMIFS('CEMI Raw'!$C$6:$C$197,'CEMI Raw'!$E$6:$E$197,$A24,'CEMI Raw'!$B$6:$B$197,2025)</f>
        <v>0</v>
      </c>
      <c r="E24" s="17" t="n">
        <f aca="false">SUMIFS('CEMI Raw'!$D$6:$D$197,'CEMI Raw'!$E$6:$E$197,$A24,'CEMI Raw'!$B$6:$B$197,2025)</f>
        <v>0</v>
      </c>
      <c r="F24" s="16" t="n">
        <f aca="false">SUMIFS('CEMI Raw'!$C$6:$C$197,'CEMI Raw'!$E$6:$E$197,$A24,'CEMI Raw'!$B$6:$B$197,2026)</f>
        <v>3</v>
      </c>
      <c r="G24" s="17" t="n">
        <f aca="false">SUMIFS('CEMI Raw'!$D$6:$D$197,'CEMI Raw'!$E$6:$E$197,$A24,'CEMI Raw'!$B$6:$B$197,2026)</f>
        <v>53.1</v>
      </c>
      <c r="H24" s="16" t="n">
        <f aca="false">SUMIFS('SALES Raw'!$C$6:$C$435,'SALES Raw'!$E$6:$E$435,$A24,'SALES Raw'!$B$6:$B$435,2025)</f>
        <v>25</v>
      </c>
      <c r="I24" s="17" t="n">
        <f aca="false">SUMIFS('SALES Raw'!$D$6:$D$435,'SALES Raw'!$E$6:$E$435,$A24,'SALES Raw'!$B$6:$B$435,2025)</f>
        <v>590</v>
      </c>
      <c r="J24" s="16" t="n">
        <f aca="false">SUMIFS('SALES Raw'!$C$6:$C$435,'SALES Raw'!$E$6:$E$435,$A24,'SALES Raw'!$B$6:$B$435,2026)</f>
        <v>9</v>
      </c>
      <c r="K24" s="17" t="n">
        <f aca="false">SUMIFS('SALES Raw'!$D$6:$D$435,'SALES Raw'!$E$6:$E$435,$A24,'SALES Raw'!$B$6:$B$435,2026)</f>
        <v>212.4</v>
      </c>
      <c r="L24" s="16" t="n">
        <f aca="false">D24+H24</f>
        <v>25</v>
      </c>
      <c r="M24" s="17" t="n">
        <f aca="false">E24+I24</f>
        <v>590</v>
      </c>
      <c r="N24" s="16" t="n">
        <f aca="false">F24+J24</f>
        <v>12</v>
      </c>
      <c r="O24" s="17" t="n">
        <f aca="false">G24+K24</f>
        <v>265.5</v>
      </c>
    </row>
    <row r="25" customFormat="false" ht="15" hidden="false" customHeight="false" outlineLevel="0" collapsed="false">
      <c r="A25" s="6" t="n">
        <v>4403006</v>
      </c>
      <c r="B25" s="6" t="str">
        <f aca="false">IFERROR(INDEX('TRANS'!$A:$A,MATCH($A25,'TRANS'!$B:$B,0)),"")</f>
        <v>390W-35-38</v>
      </c>
      <c r="C25" s="6" t="str">
        <f aca="false">IFERROR(INDEX('TRANS'!$C:$C,MATCH($A25,'TRANS'!$B:$B,0)),"")</f>
        <v>390W גרב כסף לסכרתיים לבן35-38</v>
      </c>
      <c r="D25" s="16" t="n">
        <f aca="false">SUMIFS('CEMI Raw'!$C$6:$C$197,'CEMI Raw'!$E$6:$E$197,$A25,'CEMI Raw'!$B$6:$B$197,2025)</f>
        <v>0</v>
      </c>
      <c r="E25" s="17" t="n">
        <f aca="false">SUMIFS('CEMI Raw'!$D$6:$D$197,'CEMI Raw'!$E$6:$E$197,$A25,'CEMI Raw'!$B$6:$B$197,2025)</f>
        <v>0</v>
      </c>
      <c r="F25" s="16" t="n">
        <f aca="false">SUMIFS('CEMI Raw'!$C$6:$C$197,'CEMI Raw'!$E$6:$E$197,$A25,'CEMI Raw'!$B$6:$B$197,2026)</f>
        <v>0</v>
      </c>
      <c r="G25" s="17" t="n">
        <f aca="false">SUMIFS('CEMI Raw'!$D$6:$D$197,'CEMI Raw'!$E$6:$E$197,$A25,'CEMI Raw'!$B$6:$B$197,2026)</f>
        <v>0</v>
      </c>
      <c r="H25" s="16" t="n">
        <f aca="false">SUMIFS('SALES Raw'!$C$6:$C$435,'SALES Raw'!$E$6:$E$435,$A25,'SALES Raw'!$B$6:$B$435,2025)</f>
        <v>3</v>
      </c>
      <c r="I25" s="17" t="n">
        <f aca="false">SUMIFS('SALES Raw'!$D$6:$D$435,'SALES Raw'!$E$6:$E$435,$A25,'SALES Raw'!$B$6:$B$435,2025)</f>
        <v>70.8</v>
      </c>
      <c r="J25" s="16" t="n">
        <f aca="false">SUMIFS('SALES Raw'!$C$6:$C$435,'SALES Raw'!$E$6:$E$435,$A25,'SALES Raw'!$B$6:$B$435,2026)</f>
        <v>4</v>
      </c>
      <c r="K25" s="17" t="n">
        <f aca="false">SUMIFS('SALES Raw'!$D$6:$D$435,'SALES Raw'!$E$6:$E$435,$A25,'SALES Raw'!$B$6:$B$435,2026)</f>
        <v>94.4</v>
      </c>
      <c r="L25" s="16" t="n">
        <f aca="false">D25+H25</f>
        <v>3</v>
      </c>
      <c r="M25" s="17" t="n">
        <f aca="false">E25+I25</f>
        <v>70.8</v>
      </c>
      <c r="N25" s="16" t="n">
        <f aca="false">F25+J25</f>
        <v>4</v>
      </c>
      <c r="O25" s="17" t="n">
        <f aca="false">G25+K25</f>
        <v>94.4</v>
      </c>
    </row>
    <row r="26" customFormat="false" ht="15" hidden="false" customHeight="false" outlineLevel="0" collapsed="false">
      <c r="A26" s="6" t="n">
        <v>4403007</v>
      </c>
      <c r="B26" s="6" t="str">
        <f aca="false">IFERROR(INDEX('TRANS'!$A:$A,MATCH($A26,'TRANS'!$B:$B,0)),"")</f>
        <v>390W-39-42</v>
      </c>
      <c r="C26" s="6" t="str">
        <f aca="false">IFERROR(INDEX('TRANS'!$C:$C,MATCH($A26,'TRANS'!$B:$B,0)),"")</f>
        <v>390W גרב.כסף לסכרתיים לבן39-42</v>
      </c>
      <c r="D26" s="16" t="n">
        <f aca="false">SUMIFS('CEMI Raw'!$C$6:$C$197,'CEMI Raw'!$E$6:$E$197,$A26,'CEMI Raw'!$B$6:$B$197,2025)</f>
        <v>0</v>
      </c>
      <c r="E26" s="17" t="n">
        <f aca="false">SUMIFS('CEMI Raw'!$D$6:$D$197,'CEMI Raw'!$E$6:$E$197,$A26,'CEMI Raw'!$B$6:$B$197,2025)</f>
        <v>0</v>
      </c>
      <c r="F26" s="16" t="n">
        <f aca="false">SUMIFS('CEMI Raw'!$C$6:$C$197,'CEMI Raw'!$E$6:$E$197,$A26,'CEMI Raw'!$B$6:$B$197,2026)</f>
        <v>0</v>
      </c>
      <c r="G26" s="17" t="n">
        <f aca="false">SUMIFS('CEMI Raw'!$D$6:$D$197,'CEMI Raw'!$E$6:$E$197,$A26,'CEMI Raw'!$B$6:$B$197,2026)</f>
        <v>0</v>
      </c>
      <c r="H26" s="16" t="n">
        <f aca="false">SUMIFS('SALES Raw'!$C$6:$C$435,'SALES Raw'!$E$6:$E$435,$A26,'SALES Raw'!$B$6:$B$435,2025)</f>
        <v>31</v>
      </c>
      <c r="I26" s="17" t="n">
        <f aca="false">SUMIFS('SALES Raw'!$D$6:$D$435,'SALES Raw'!$E$6:$E$435,$A26,'SALES Raw'!$B$6:$B$435,2025)</f>
        <v>731.6</v>
      </c>
      <c r="J26" s="16" t="n">
        <f aca="false">SUMIFS('SALES Raw'!$C$6:$C$435,'SALES Raw'!$E$6:$E$435,$A26,'SALES Raw'!$B$6:$B$435,2026)</f>
        <v>3</v>
      </c>
      <c r="K26" s="17" t="n">
        <f aca="false">SUMIFS('SALES Raw'!$D$6:$D$435,'SALES Raw'!$E$6:$E$435,$A26,'SALES Raw'!$B$6:$B$435,2026)</f>
        <v>70.8</v>
      </c>
      <c r="L26" s="16" t="n">
        <f aca="false">D26+H26</f>
        <v>31</v>
      </c>
      <c r="M26" s="17" t="n">
        <f aca="false">E26+I26</f>
        <v>731.6</v>
      </c>
      <c r="N26" s="16" t="n">
        <f aca="false">F26+J26</f>
        <v>3</v>
      </c>
      <c r="O26" s="17" t="n">
        <f aca="false">G26+K26</f>
        <v>70.8</v>
      </c>
    </row>
    <row r="27" customFormat="false" ht="15" hidden="false" customHeight="false" outlineLevel="0" collapsed="false">
      <c r="A27" s="6" t="n">
        <v>4403008</v>
      </c>
      <c r="B27" s="6" t="str">
        <f aca="false">IFERROR(INDEX('TRANS'!$A:$A,MATCH($A27,'TRANS'!$B:$B,0)),"")</f>
        <v>390W-43-46</v>
      </c>
      <c r="C27" s="6" t="str">
        <f aca="false">IFERROR(INDEX('TRANS'!$C:$C,MATCH($A27,'TRANS'!$B:$B,0)),"")</f>
        <v>390W גרב.כסף לסכרתיים לבן43-46</v>
      </c>
      <c r="D27" s="16" t="n">
        <f aca="false">SUMIFS('CEMI Raw'!$C$6:$C$197,'CEMI Raw'!$E$6:$E$197,$A27,'CEMI Raw'!$B$6:$B$197,2025)</f>
        <v>0</v>
      </c>
      <c r="E27" s="17" t="n">
        <f aca="false">SUMIFS('CEMI Raw'!$D$6:$D$197,'CEMI Raw'!$E$6:$E$197,$A27,'CEMI Raw'!$B$6:$B$197,2025)</f>
        <v>0</v>
      </c>
      <c r="F27" s="16" t="n">
        <f aca="false">SUMIFS('CEMI Raw'!$C$6:$C$197,'CEMI Raw'!$E$6:$E$197,$A27,'CEMI Raw'!$B$6:$B$197,2026)</f>
        <v>0</v>
      </c>
      <c r="G27" s="17" t="n">
        <f aca="false">SUMIFS('CEMI Raw'!$D$6:$D$197,'CEMI Raw'!$E$6:$E$197,$A27,'CEMI Raw'!$B$6:$B$197,2026)</f>
        <v>0</v>
      </c>
      <c r="H27" s="16" t="n">
        <f aca="false">SUMIFS('SALES Raw'!$C$6:$C$435,'SALES Raw'!$E$6:$E$435,$A27,'SALES Raw'!$B$6:$B$435,2025)</f>
        <v>39</v>
      </c>
      <c r="I27" s="17" t="n">
        <f aca="false">SUMIFS('SALES Raw'!$D$6:$D$435,'SALES Raw'!$E$6:$E$435,$A27,'SALES Raw'!$B$6:$B$435,2025)</f>
        <v>920.4</v>
      </c>
      <c r="J27" s="16" t="n">
        <f aca="false">SUMIFS('SALES Raw'!$C$6:$C$435,'SALES Raw'!$E$6:$E$435,$A27,'SALES Raw'!$B$6:$B$435,2026)</f>
        <v>10</v>
      </c>
      <c r="K27" s="17" t="n">
        <f aca="false">SUMIFS('SALES Raw'!$D$6:$D$435,'SALES Raw'!$E$6:$E$435,$A27,'SALES Raw'!$B$6:$B$435,2026)</f>
        <v>236</v>
      </c>
      <c r="L27" s="16" t="n">
        <f aca="false">D27+H27</f>
        <v>39</v>
      </c>
      <c r="M27" s="17" t="n">
        <f aca="false">E27+I27</f>
        <v>920.4</v>
      </c>
      <c r="N27" s="16" t="n">
        <f aca="false">F27+J27</f>
        <v>10</v>
      </c>
      <c r="O27" s="17" t="n">
        <f aca="false">G27+K27</f>
        <v>236</v>
      </c>
    </row>
    <row r="28" customFormat="false" ht="15" hidden="false" customHeight="false" outlineLevel="0" collapsed="false">
      <c r="A28" s="6" t="n">
        <v>4403017</v>
      </c>
      <c r="B28" s="6" t="str">
        <f aca="false">IFERROR(INDEX('TRANS'!$A:$A,MATCH($A28,'TRANS'!$B:$B,0)),"")</f>
        <v>394B-35-38</v>
      </c>
      <c r="C28" s="6" t="str">
        <f aca="false">IFERROR(INDEX('TRANS'!$C:$C,MATCH($A28,'TRANS'!$B:$B,0)),"")</f>
        <v>394B גרב.כסף לסכרתים שחור35-38</v>
      </c>
      <c r="D28" s="16" t="n">
        <f aca="false">SUMIFS('CEMI Raw'!$C$6:$C$197,'CEMI Raw'!$E$6:$E$197,$A28,'CEMI Raw'!$B$6:$B$197,2025)</f>
        <v>0</v>
      </c>
      <c r="E28" s="17" t="n">
        <f aca="false">SUMIFS('CEMI Raw'!$D$6:$D$197,'CEMI Raw'!$E$6:$E$197,$A28,'CEMI Raw'!$B$6:$B$197,2025)</f>
        <v>0</v>
      </c>
      <c r="F28" s="16" t="n">
        <f aca="false">SUMIFS('CEMI Raw'!$C$6:$C$197,'CEMI Raw'!$E$6:$E$197,$A28,'CEMI Raw'!$B$6:$B$197,2026)</f>
        <v>7</v>
      </c>
      <c r="G28" s="17" t="n">
        <f aca="false">SUMIFS('CEMI Raw'!$D$6:$D$197,'CEMI Raw'!$E$6:$E$197,$A28,'CEMI Raw'!$B$6:$B$197,2026)</f>
        <v>128.8</v>
      </c>
      <c r="H28" s="16" t="n">
        <f aca="false">SUMIFS('SALES Raw'!$C$6:$C$435,'SALES Raw'!$E$6:$E$435,$A28,'SALES Raw'!$B$6:$B$435,2025)</f>
        <v>63</v>
      </c>
      <c r="I28" s="17" t="n">
        <f aca="false">SUMIFS('SALES Raw'!$D$6:$D$435,'SALES Raw'!$E$6:$E$435,$A28,'SALES Raw'!$B$6:$B$435,2025)</f>
        <v>1159.2</v>
      </c>
      <c r="J28" s="16" t="n">
        <f aca="false">SUMIFS('SALES Raw'!$C$6:$C$435,'SALES Raw'!$E$6:$E$435,$A28,'SALES Raw'!$B$6:$B$435,2026)</f>
        <v>3</v>
      </c>
      <c r="K28" s="17" t="n">
        <f aca="false">SUMIFS('SALES Raw'!$D$6:$D$435,'SALES Raw'!$E$6:$E$435,$A28,'SALES Raw'!$B$6:$B$435,2026)</f>
        <v>55.2</v>
      </c>
      <c r="L28" s="16" t="n">
        <f aca="false">D28+H28</f>
        <v>63</v>
      </c>
      <c r="M28" s="17" t="n">
        <f aca="false">E28+I28</f>
        <v>1159.2</v>
      </c>
      <c r="N28" s="16" t="n">
        <f aca="false">F28+J28</f>
        <v>10</v>
      </c>
      <c r="O28" s="17" t="n">
        <f aca="false">G28+K28</f>
        <v>184</v>
      </c>
    </row>
    <row r="29" customFormat="false" ht="15" hidden="false" customHeight="false" outlineLevel="0" collapsed="false">
      <c r="A29" s="6" t="n">
        <v>4403018</v>
      </c>
      <c r="B29" s="6" t="str">
        <f aca="false">IFERROR(INDEX('TRANS'!$A:$A,MATCH($A29,'TRANS'!$B:$B,0)),"")</f>
        <v>394B-39-42</v>
      </c>
      <c r="C29" s="6" t="str">
        <f aca="false">IFERROR(INDEX('TRANS'!$C:$C,MATCH($A29,'TRANS'!$B:$B,0)),"")</f>
        <v>394B גרב.כסף לסכרתים שחור39-42</v>
      </c>
      <c r="D29" s="16" t="n">
        <f aca="false">SUMIFS('CEMI Raw'!$C$6:$C$197,'CEMI Raw'!$E$6:$E$197,$A29,'CEMI Raw'!$B$6:$B$197,2025)</f>
        <v>0</v>
      </c>
      <c r="E29" s="17" t="n">
        <f aca="false">SUMIFS('CEMI Raw'!$D$6:$D$197,'CEMI Raw'!$E$6:$E$197,$A29,'CEMI Raw'!$B$6:$B$197,2025)</f>
        <v>0</v>
      </c>
      <c r="F29" s="16" t="n">
        <f aca="false">SUMIFS('CEMI Raw'!$C$6:$C$197,'CEMI Raw'!$E$6:$E$197,$A29,'CEMI Raw'!$B$6:$B$197,2026)</f>
        <v>0</v>
      </c>
      <c r="G29" s="17" t="n">
        <f aca="false">SUMIFS('CEMI Raw'!$D$6:$D$197,'CEMI Raw'!$E$6:$E$197,$A29,'CEMI Raw'!$B$6:$B$197,2026)</f>
        <v>0</v>
      </c>
      <c r="H29" s="16" t="n">
        <f aca="false">SUMIFS('SALES Raw'!$C$6:$C$435,'SALES Raw'!$E$6:$E$435,$A29,'SALES Raw'!$B$6:$B$435,2025)</f>
        <v>191</v>
      </c>
      <c r="I29" s="17" t="n">
        <f aca="false">SUMIFS('SALES Raw'!$D$6:$D$435,'SALES Raw'!$E$6:$E$435,$A29,'SALES Raw'!$B$6:$B$435,2025)</f>
        <v>3514.4</v>
      </c>
      <c r="J29" s="16" t="n">
        <f aca="false">SUMIFS('SALES Raw'!$C$6:$C$435,'SALES Raw'!$E$6:$E$435,$A29,'SALES Raw'!$B$6:$B$435,2026)</f>
        <v>20</v>
      </c>
      <c r="K29" s="17" t="n">
        <f aca="false">SUMIFS('SALES Raw'!$D$6:$D$435,'SALES Raw'!$E$6:$E$435,$A29,'SALES Raw'!$B$6:$B$435,2026)</f>
        <v>368</v>
      </c>
      <c r="L29" s="16" t="n">
        <f aca="false">D29+H29</f>
        <v>191</v>
      </c>
      <c r="M29" s="17" t="n">
        <f aca="false">E29+I29</f>
        <v>3514.4</v>
      </c>
      <c r="N29" s="16" t="n">
        <f aca="false">F29+J29</f>
        <v>20</v>
      </c>
      <c r="O29" s="17" t="n">
        <f aca="false">G29+K29</f>
        <v>368</v>
      </c>
    </row>
    <row r="30" customFormat="false" ht="15" hidden="false" customHeight="false" outlineLevel="0" collapsed="false">
      <c r="A30" s="6" t="n">
        <v>4403019</v>
      </c>
      <c r="B30" s="6" t="str">
        <f aca="false">IFERROR(INDEX('TRANS'!$A:$A,MATCH($A30,'TRANS'!$B:$B,0)),"")</f>
        <v>394B-43-46</v>
      </c>
      <c r="C30" s="6" t="str">
        <f aca="false">IFERROR(INDEX('TRANS'!$C:$C,MATCH($A30,'TRANS'!$B:$B,0)),"")</f>
        <v>394B גרב.כסף לסכרתים שחור43-46</v>
      </c>
      <c r="D30" s="16" t="n">
        <f aca="false">SUMIFS('CEMI Raw'!$C$6:$C$197,'CEMI Raw'!$E$6:$E$197,$A30,'CEMI Raw'!$B$6:$B$197,2025)</f>
        <v>0</v>
      </c>
      <c r="E30" s="17" t="n">
        <f aca="false">SUMIFS('CEMI Raw'!$D$6:$D$197,'CEMI Raw'!$E$6:$E$197,$A30,'CEMI Raw'!$B$6:$B$197,2025)</f>
        <v>0</v>
      </c>
      <c r="F30" s="16" t="n">
        <f aca="false">SUMIFS('CEMI Raw'!$C$6:$C$197,'CEMI Raw'!$E$6:$E$197,$A30,'CEMI Raw'!$B$6:$B$197,2026)</f>
        <v>18</v>
      </c>
      <c r="G30" s="17" t="n">
        <f aca="false">SUMIFS('CEMI Raw'!$D$6:$D$197,'CEMI Raw'!$E$6:$E$197,$A30,'CEMI Raw'!$B$6:$B$197,2026)</f>
        <v>331.2</v>
      </c>
      <c r="H30" s="16" t="n">
        <f aca="false">SUMIFS('SALES Raw'!$C$6:$C$435,'SALES Raw'!$E$6:$E$435,$A30,'SALES Raw'!$B$6:$B$435,2025)</f>
        <v>206</v>
      </c>
      <c r="I30" s="17" t="n">
        <f aca="false">SUMIFS('SALES Raw'!$D$6:$D$435,'SALES Raw'!$E$6:$E$435,$A30,'SALES Raw'!$B$6:$B$435,2025)</f>
        <v>3790.4</v>
      </c>
      <c r="J30" s="16" t="n">
        <f aca="false">SUMIFS('SALES Raw'!$C$6:$C$435,'SALES Raw'!$E$6:$E$435,$A30,'SALES Raw'!$B$6:$B$435,2026)</f>
        <v>21</v>
      </c>
      <c r="K30" s="17" t="n">
        <f aca="false">SUMIFS('SALES Raw'!$D$6:$D$435,'SALES Raw'!$E$6:$E$435,$A30,'SALES Raw'!$B$6:$B$435,2026)</f>
        <v>386.4</v>
      </c>
      <c r="L30" s="16" t="n">
        <f aca="false">D30+H30</f>
        <v>206</v>
      </c>
      <c r="M30" s="17" t="n">
        <f aca="false">E30+I30</f>
        <v>3790.4</v>
      </c>
      <c r="N30" s="16" t="n">
        <f aca="false">F30+J30</f>
        <v>39</v>
      </c>
      <c r="O30" s="17" t="n">
        <f aca="false">G30+K30</f>
        <v>717.6</v>
      </c>
    </row>
    <row r="31" customFormat="false" ht="15" hidden="false" customHeight="false" outlineLevel="0" collapsed="false">
      <c r="A31" s="6" t="n">
        <v>4403023</v>
      </c>
      <c r="B31" s="6" t="str">
        <f aca="false">IFERROR(INDEX('TRANS'!$A:$A,MATCH($A31,'TRANS'!$B:$B,0)),"")</f>
        <v>394W-35-38</v>
      </c>
      <c r="C31" s="6" t="str">
        <f aca="false">IFERROR(INDEX('TRANS'!$C:$C,MATCH($A31,'TRANS'!$B:$B,0)),"")</f>
        <v>394W 35-38 גרב.כסף לסכרתים לבן</v>
      </c>
      <c r="D31" s="16" t="n">
        <f aca="false">SUMIFS('CEMI Raw'!$C$6:$C$197,'CEMI Raw'!$E$6:$E$197,$A31,'CEMI Raw'!$B$6:$B$197,2025)</f>
        <v>0</v>
      </c>
      <c r="E31" s="17" t="n">
        <f aca="false">SUMIFS('CEMI Raw'!$D$6:$D$197,'CEMI Raw'!$E$6:$E$197,$A31,'CEMI Raw'!$B$6:$B$197,2025)</f>
        <v>0</v>
      </c>
      <c r="F31" s="16" t="n">
        <f aca="false">SUMIFS('CEMI Raw'!$C$6:$C$197,'CEMI Raw'!$E$6:$E$197,$A31,'CEMI Raw'!$B$6:$B$197,2026)</f>
        <v>7</v>
      </c>
      <c r="G31" s="17" t="n">
        <f aca="false">SUMIFS('CEMI Raw'!$D$6:$D$197,'CEMI Raw'!$E$6:$E$197,$A31,'CEMI Raw'!$B$6:$B$197,2026)</f>
        <v>128.8</v>
      </c>
      <c r="H31" s="16" t="n">
        <f aca="false">SUMIFS('SALES Raw'!$C$6:$C$435,'SALES Raw'!$E$6:$E$435,$A31,'SALES Raw'!$B$6:$B$435,2025)</f>
        <v>49</v>
      </c>
      <c r="I31" s="17" t="n">
        <f aca="false">SUMIFS('SALES Raw'!$D$6:$D$435,'SALES Raw'!$E$6:$E$435,$A31,'SALES Raw'!$B$6:$B$435,2025)</f>
        <v>901.6</v>
      </c>
      <c r="J31" s="16" t="n">
        <f aca="false">SUMIFS('SALES Raw'!$C$6:$C$435,'SALES Raw'!$E$6:$E$435,$A31,'SALES Raw'!$B$6:$B$435,2026)</f>
        <v>14</v>
      </c>
      <c r="K31" s="17" t="n">
        <f aca="false">SUMIFS('SALES Raw'!$D$6:$D$435,'SALES Raw'!$E$6:$E$435,$A31,'SALES Raw'!$B$6:$B$435,2026)</f>
        <v>257.6</v>
      </c>
      <c r="L31" s="16" t="n">
        <f aca="false">D31+H31</f>
        <v>49</v>
      </c>
      <c r="M31" s="17" t="n">
        <f aca="false">E31+I31</f>
        <v>901.6</v>
      </c>
      <c r="N31" s="16" t="n">
        <f aca="false">F31+J31</f>
        <v>21</v>
      </c>
      <c r="O31" s="17" t="n">
        <f aca="false">G31+K31</f>
        <v>386.4</v>
      </c>
    </row>
    <row r="32" customFormat="false" ht="15" hidden="false" customHeight="false" outlineLevel="0" collapsed="false">
      <c r="A32" s="6" t="n">
        <v>4403024</v>
      </c>
      <c r="B32" s="6" t="str">
        <f aca="false">IFERROR(INDEX('TRANS'!$A:$A,MATCH($A32,'TRANS'!$B:$B,0)),"")</f>
        <v>394W-39-42</v>
      </c>
      <c r="C32" s="6" t="str">
        <f aca="false">IFERROR(INDEX('TRANS'!$C:$C,MATCH($A32,'TRANS'!$B:$B,0)),"")</f>
        <v>394W 39-42 גרב.כסף לסכרתים לבן</v>
      </c>
      <c r="D32" s="16" t="n">
        <f aca="false">SUMIFS('CEMI Raw'!$C$6:$C$197,'CEMI Raw'!$E$6:$E$197,$A32,'CEMI Raw'!$B$6:$B$197,2025)</f>
        <v>0</v>
      </c>
      <c r="E32" s="17" t="n">
        <f aca="false">SUMIFS('CEMI Raw'!$D$6:$D$197,'CEMI Raw'!$E$6:$E$197,$A32,'CEMI Raw'!$B$6:$B$197,2025)</f>
        <v>0</v>
      </c>
      <c r="F32" s="16" t="n">
        <f aca="false">SUMIFS('CEMI Raw'!$C$6:$C$197,'CEMI Raw'!$E$6:$E$197,$A32,'CEMI Raw'!$B$6:$B$197,2026)</f>
        <v>15</v>
      </c>
      <c r="G32" s="17" t="n">
        <f aca="false">SUMIFS('CEMI Raw'!$D$6:$D$197,'CEMI Raw'!$E$6:$E$197,$A32,'CEMI Raw'!$B$6:$B$197,2026)</f>
        <v>276</v>
      </c>
      <c r="H32" s="16" t="n">
        <f aca="false">SUMIFS('SALES Raw'!$C$6:$C$435,'SALES Raw'!$E$6:$E$435,$A32,'SALES Raw'!$B$6:$B$435,2025)</f>
        <v>37</v>
      </c>
      <c r="I32" s="17" t="n">
        <f aca="false">SUMIFS('SALES Raw'!$D$6:$D$435,'SALES Raw'!$E$6:$E$435,$A32,'SALES Raw'!$B$6:$B$435,2025)</f>
        <v>680.8</v>
      </c>
      <c r="J32" s="16" t="n">
        <f aca="false">SUMIFS('SALES Raw'!$C$6:$C$435,'SALES Raw'!$E$6:$E$435,$A32,'SALES Raw'!$B$6:$B$435,2026)</f>
        <v>31</v>
      </c>
      <c r="K32" s="17" t="n">
        <f aca="false">SUMIFS('SALES Raw'!$D$6:$D$435,'SALES Raw'!$E$6:$E$435,$A32,'SALES Raw'!$B$6:$B$435,2026)</f>
        <v>570.4</v>
      </c>
      <c r="L32" s="16" t="n">
        <f aca="false">D32+H32</f>
        <v>37</v>
      </c>
      <c r="M32" s="17" t="n">
        <f aca="false">E32+I32</f>
        <v>680.8</v>
      </c>
      <c r="N32" s="16" t="n">
        <f aca="false">F32+J32</f>
        <v>46</v>
      </c>
      <c r="O32" s="17" t="n">
        <f aca="false">G32+K32</f>
        <v>846.4</v>
      </c>
    </row>
    <row r="33" customFormat="false" ht="15" hidden="false" customHeight="false" outlineLevel="0" collapsed="false">
      <c r="A33" s="6" t="n">
        <v>4403025</v>
      </c>
      <c r="B33" s="6" t="str">
        <f aca="false">IFERROR(INDEX('TRANS'!$A:$A,MATCH($A33,'TRANS'!$B:$B,0)),"")</f>
        <v>394W-43-46</v>
      </c>
      <c r="C33" s="6" t="str">
        <f aca="false">IFERROR(INDEX('TRANS'!$C:$C,MATCH($A33,'TRANS'!$B:$B,0)),"")</f>
        <v>394W 43-46 גרב.כסף לסכרתים לבן</v>
      </c>
      <c r="D33" s="16" t="n">
        <f aca="false">SUMIFS('CEMI Raw'!$C$6:$C$197,'CEMI Raw'!$E$6:$E$197,$A33,'CEMI Raw'!$B$6:$B$197,2025)</f>
        <v>0</v>
      </c>
      <c r="E33" s="17" t="n">
        <f aca="false">SUMIFS('CEMI Raw'!$D$6:$D$197,'CEMI Raw'!$E$6:$E$197,$A33,'CEMI Raw'!$B$6:$B$197,2025)</f>
        <v>0</v>
      </c>
      <c r="F33" s="16" t="n">
        <f aca="false">SUMIFS('CEMI Raw'!$C$6:$C$197,'CEMI Raw'!$E$6:$E$197,$A33,'CEMI Raw'!$B$6:$B$197,2026)</f>
        <v>19</v>
      </c>
      <c r="G33" s="17" t="n">
        <f aca="false">SUMIFS('CEMI Raw'!$D$6:$D$197,'CEMI Raw'!$E$6:$E$197,$A33,'CEMI Raw'!$B$6:$B$197,2026)</f>
        <v>349.6</v>
      </c>
      <c r="H33" s="16" t="n">
        <f aca="false">SUMIFS('SALES Raw'!$C$6:$C$435,'SALES Raw'!$E$6:$E$435,$A33,'SALES Raw'!$B$6:$B$435,2025)</f>
        <v>50</v>
      </c>
      <c r="I33" s="17" t="n">
        <f aca="false">SUMIFS('SALES Raw'!$D$6:$D$435,'SALES Raw'!$E$6:$E$435,$A33,'SALES Raw'!$B$6:$B$435,2025)</f>
        <v>920</v>
      </c>
      <c r="J33" s="16" t="n">
        <f aca="false">SUMIFS('SALES Raw'!$C$6:$C$435,'SALES Raw'!$E$6:$E$435,$A33,'SALES Raw'!$B$6:$B$435,2026)</f>
        <v>20</v>
      </c>
      <c r="K33" s="17" t="n">
        <f aca="false">SUMIFS('SALES Raw'!$D$6:$D$435,'SALES Raw'!$E$6:$E$435,$A33,'SALES Raw'!$B$6:$B$435,2026)</f>
        <v>368</v>
      </c>
      <c r="L33" s="16" t="n">
        <f aca="false">D33+H33</f>
        <v>50</v>
      </c>
      <c r="M33" s="17" t="n">
        <f aca="false">E33+I33</f>
        <v>920</v>
      </c>
      <c r="N33" s="16" t="n">
        <f aca="false">F33+J33</f>
        <v>39</v>
      </c>
      <c r="O33" s="17" t="n">
        <f aca="false">G33+K33</f>
        <v>717.6</v>
      </c>
    </row>
    <row r="34" customFormat="false" ht="15" hidden="false" customHeight="false" outlineLevel="0" collapsed="false">
      <c r="A34" s="6" t="n">
        <v>4403029</v>
      </c>
      <c r="B34" s="6" t="str">
        <f aca="false">IFERROR(INDEX('TRANS'!$A:$A,MATCH($A34,'TRANS'!$B:$B,0)),"")</f>
        <v>397-39-42</v>
      </c>
      <c r="C34" s="6" t="str">
        <f aca="false">IFERROR(INDEX('TRANS'!$C:$C,MATCH($A34,'TRANS'!$B:$B,0)),"")</f>
        <v>397 39-42 גרבי טיסה מידה</v>
      </c>
      <c r="D34" s="16" t="n">
        <f aca="false">SUMIFS('CEMI Raw'!$C$6:$C$197,'CEMI Raw'!$E$6:$E$197,$A34,'CEMI Raw'!$B$6:$B$197,2025)</f>
        <v>0</v>
      </c>
      <c r="E34" s="17" t="n">
        <f aca="false">SUMIFS('CEMI Raw'!$D$6:$D$197,'CEMI Raw'!$E$6:$E$197,$A34,'CEMI Raw'!$B$6:$B$197,2025)</f>
        <v>0</v>
      </c>
      <c r="F34" s="16" t="n">
        <f aca="false">SUMIFS('CEMI Raw'!$C$6:$C$197,'CEMI Raw'!$E$6:$E$197,$A34,'CEMI Raw'!$B$6:$B$197,2026)</f>
        <v>0</v>
      </c>
      <c r="G34" s="17" t="n">
        <f aca="false">SUMIFS('CEMI Raw'!$D$6:$D$197,'CEMI Raw'!$E$6:$E$197,$A34,'CEMI Raw'!$B$6:$B$197,2026)</f>
        <v>0</v>
      </c>
      <c r="H34" s="16" t="n">
        <f aca="false">SUMIFS('SALES Raw'!$C$6:$C$435,'SALES Raw'!$E$6:$E$435,$A34,'SALES Raw'!$B$6:$B$435,2025)</f>
        <v>312</v>
      </c>
      <c r="I34" s="17" t="n">
        <f aca="false">SUMIFS('SALES Raw'!$D$6:$D$435,'SALES Raw'!$E$6:$E$435,$A34,'SALES Raw'!$B$6:$B$435,2025)</f>
        <v>13044.72</v>
      </c>
      <c r="J34" s="16" t="n">
        <f aca="false">SUMIFS('SALES Raw'!$C$6:$C$435,'SALES Raw'!$E$6:$E$435,$A34,'SALES Raw'!$B$6:$B$435,2026)</f>
        <v>-2</v>
      </c>
      <c r="K34" s="17" t="n">
        <f aca="false">SUMIFS('SALES Raw'!$D$6:$D$435,'SALES Raw'!$E$6:$E$435,$A34,'SALES Raw'!$B$6:$B$435,2026)</f>
        <v>-83.62</v>
      </c>
      <c r="L34" s="16" t="n">
        <f aca="false">D34+H34</f>
        <v>312</v>
      </c>
      <c r="M34" s="17" t="n">
        <f aca="false">E34+I34</f>
        <v>13044.72</v>
      </c>
      <c r="N34" s="16" t="n">
        <f aca="false">F34+J34</f>
        <v>-2</v>
      </c>
      <c r="O34" s="17" t="n">
        <f aca="false">G34+K34</f>
        <v>-83.62</v>
      </c>
    </row>
    <row r="35" customFormat="false" ht="15" hidden="false" customHeight="false" outlineLevel="0" collapsed="false">
      <c r="A35" s="6" t="n">
        <v>4403041</v>
      </c>
      <c r="B35" s="6" t="str">
        <f aca="false">IFERROR(INDEX('TRANS'!$A:$A,MATCH($A35,'TRANS'!$B:$B,0)),"")</f>
        <v>397A-35-38</v>
      </c>
      <c r="C35" s="6" t="str">
        <f aca="false">IFERROR(INDEX('TRANS'!$C:$C,MATCH($A35,'TRANS'!$B:$B,0)),"")</f>
        <v>397A-גרבי טיסה אנטי בקטרי35-38</v>
      </c>
      <c r="D35" s="16" t="n">
        <f aca="false">SUMIFS('CEMI Raw'!$C$6:$C$197,'CEMI Raw'!$E$6:$E$197,$A35,'CEMI Raw'!$B$6:$B$197,2025)</f>
        <v>0</v>
      </c>
      <c r="E35" s="17" t="n">
        <f aca="false">SUMIFS('CEMI Raw'!$D$6:$D$197,'CEMI Raw'!$E$6:$E$197,$A35,'CEMI Raw'!$B$6:$B$197,2025)</f>
        <v>0</v>
      </c>
      <c r="F35" s="16" t="n">
        <f aca="false">SUMIFS('CEMI Raw'!$C$6:$C$197,'CEMI Raw'!$E$6:$E$197,$A35,'CEMI Raw'!$B$6:$B$197,2026)</f>
        <v>102</v>
      </c>
      <c r="G35" s="17" t="n">
        <f aca="false">SUMIFS('CEMI Raw'!$D$6:$D$197,'CEMI Raw'!$E$6:$E$197,$A35,'CEMI Raw'!$B$6:$B$197,2026)</f>
        <v>4264.6</v>
      </c>
      <c r="H35" s="16" t="n">
        <f aca="false">SUMIFS('SALES Raw'!$C$6:$C$435,'SALES Raw'!$E$6:$E$435,$A35,'SALES Raw'!$B$6:$B$435,2025)</f>
        <v>125</v>
      </c>
      <c r="I35" s="17" t="n">
        <f aca="false">SUMIFS('SALES Raw'!$D$6:$D$435,'SALES Raw'!$E$6:$E$435,$A35,'SALES Raw'!$B$6:$B$435,2025)</f>
        <v>5226.25</v>
      </c>
      <c r="J35" s="16" t="n">
        <f aca="false">SUMIFS('SALES Raw'!$C$6:$C$435,'SALES Raw'!$E$6:$E$435,$A35,'SALES Raw'!$B$6:$B$435,2026)</f>
        <v>-3</v>
      </c>
      <c r="K35" s="17" t="n">
        <f aca="false">SUMIFS('SALES Raw'!$D$6:$D$435,'SALES Raw'!$E$6:$E$435,$A35,'SALES Raw'!$B$6:$B$435,2026)</f>
        <v>-125.43</v>
      </c>
      <c r="L35" s="16" t="n">
        <f aca="false">D35+H35</f>
        <v>125</v>
      </c>
      <c r="M35" s="17" t="n">
        <f aca="false">E35+I35</f>
        <v>5226.25</v>
      </c>
      <c r="N35" s="16" t="n">
        <f aca="false">F35+J35</f>
        <v>99</v>
      </c>
      <c r="O35" s="17" t="n">
        <f aca="false">G35+K35</f>
        <v>4139.17</v>
      </c>
    </row>
    <row r="36" customFormat="false" ht="15" hidden="false" customHeight="false" outlineLevel="0" collapsed="false">
      <c r="A36" s="6" t="n">
        <v>4403042</v>
      </c>
      <c r="B36" s="6" t="str">
        <f aca="false">IFERROR(INDEX('TRANS'!$A:$A,MATCH($A36,'TRANS'!$B:$B,0)),"")</f>
        <v>397A-39-42</v>
      </c>
      <c r="C36" s="6" t="str">
        <f aca="false">IFERROR(INDEX('TRANS'!$C:$C,MATCH($A36,'TRANS'!$B:$B,0)),"")</f>
        <v>397A-גרבי טיסה אנטי בקטרי39-42</v>
      </c>
      <c r="D36" s="16" t="n">
        <f aca="false">SUMIFS('CEMI Raw'!$C$6:$C$197,'CEMI Raw'!$E$6:$E$197,$A36,'CEMI Raw'!$B$6:$B$197,2025)</f>
        <v>0</v>
      </c>
      <c r="E36" s="17" t="n">
        <f aca="false">SUMIFS('CEMI Raw'!$D$6:$D$197,'CEMI Raw'!$E$6:$E$197,$A36,'CEMI Raw'!$B$6:$B$197,2025)</f>
        <v>0</v>
      </c>
      <c r="F36" s="16" t="n">
        <f aca="false">SUMIFS('CEMI Raw'!$C$6:$C$197,'CEMI Raw'!$E$6:$E$197,$A36,'CEMI Raw'!$B$6:$B$197,2026)</f>
        <v>147</v>
      </c>
      <c r="G36" s="17" t="n">
        <f aca="false">SUMIFS('CEMI Raw'!$D$6:$D$197,'CEMI Raw'!$E$6:$E$197,$A36,'CEMI Raw'!$B$6:$B$197,2026)</f>
        <v>6146.1</v>
      </c>
      <c r="H36" s="16" t="n">
        <f aca="false">SUMIFS('SALES Raw'!$C$6:$C$435,'SALES Raw'!$E$6:$E$435,$A36,'SALES Raw'!$B$6:$B$435,2025)</f>
        <v>0</v>
      </c>
      <c r="I36" s="17" t="n">
        <f aca="false">SUMIFS('SALES Raw'!$D$6:$D$435,'SALES Raw'!$E$6:$E$435,$A36,'SALES Raw'!$B$6:$B$435,2025)</f>
        <v>0</v>
      </c>
      <c r="J36" s="16" t="n">
        <f aca="false">SUMIFS('SALES Raw'!$C$6:$C$435,'SALES Raw'!$E$6:$E$435,$A36,'SALES Raw'!$B$6:$B$435,2026)</f>
        <v>0</v>
      </c>
      <c r="K36" s="17" t="n">
        <f aca="false">SUMIFS('SALES Raw'!$D$6:$D$435,'SALES Raw'!$E$6:$E$435,$A36,'SALES Raw'!$B$6:$B$435,2026)</f>
        <v>0</v>
      </c>
      <c r="L36" s="16" t="n">
        <f aca="false">D36+H36</f>
        <v>0</v>
      </c>
      <c r="M36" s="17" t="n">
        <f aca="false">E36+I36</f>
        <v>0</v>
      </c>
      <c r="N36" s="16" t="n">
        <f aca="false">F36+J36</f>
        <v>147</v>
      </c>
      <c r="O36" s="17" t="n">
        <f aca="false">G36+K36</f>
        <v>6146.1</v>
      </c>
    </row>
    <row r="37" customFormat="false" ht="15" hidden="false" customHeight="false" outlineLevel="0" collapsed="false">
      <c r="A37" s="6" t="n">
        <v>4403043</v>
      </c>
      <c r="B37" s="6" t="str">
        <f aca="false">IFERROR(INDEX('TRANS'!$A:$A,MATCH($A37,'TRANS'!$B:$B,0)),"")</f>
        <v>397A-43-46</v>
      </c>
      <c r="C37" s="6" t="str">
        <f aca="false">IFERROR(INDEX('TRANS'!$C:$C,MATCH($A37,'TRANS'!$B:$B,0)),"")</f>
        <v>397A-גרבי טיסה אנטי בקטרי43-46</v>
      </c>
      <c r="D37" s="16" t="n">
        <f aca="false">SUMIFS('CEMI Raw'!$C$6:$C$197,'CEMI Raw'!$E$6:$E$197,$A37,'CEMI Raw'!$B$6:$B$197,2025)</f>
        <v>0</v>
      </c>
      <c r="E37" s="17" t="n">
        <f aca="false">SUMIFS('CEMI Raw'!$D$6:$D$197,'CEMI Raw'!$E$6:$E$197,$A37,'CEMI Raw'!$B$6:$B$197,2025)</f>
        <v>0</v>
      </c>
      <c r="F37" s="16" t="n">
        <f aca="false">SUMIFS('CEMI Raw'!$C$6:$C$197,'CEMI Raw'!$E$6:$E$197,$A37,'CEMI Raw'!$B$6:$B$197,2026)</f>
        <v>167</v>
      </c>
      <c r="G37" s="17" t="n">
        <f aca="false">SUMIFS('CEMI Raw'!$D$6:$D$197,'CEMI Raw'!$E$6:$E$197,$A37,'CEMI Raw'!$B$6:$B$197,2026)</f>
        <v>6605.9</v>
      </c>
      <c r="H37" s="16" t="n">
        <f aca="false">SUMIFS('SALES Raw'!$C$6:$C$435,'SALES Raw'!$E$6:$E$435,$A37,'SALES Raw'!$B$6:$B$435,2025)</f>
        <v>284</v>
      </c>
      <c r="I37" s="17" t="n">
        <f aca="false">SUMIFS('SALES Raw'!$D$6:$D$435,'SALES Raw'!$E$6:$E$435,$A37,'SALES Raw'!$B$6:$B$435,2025)</f>
        <v>11874.04</v>
      </c>
      <c r="J37" s="16" t="n">
        <f aca="false">SUMIFS('SALES Raw'!$C$6:$C$435,'SALES Raw'!$E$6:$E$435,$A37,'SALES Raw'!$B$6:$B$435,2026)</f>
        <v>-2</v>
      </c>
      <c r="K37" s="17" t="n">
        <f aca="false">SUMIFS('SALES Raw'!$D$6:$D$435,'SALES Raw'!$E$6:$E$435,$A37,'SALES Raw'!$B$6:$B$435,2026)</f>
        <v>-83.62</v>
      </c>
      <c r="L37" s="16" t="n">
        <f aca="false">D37+H37</f>
        <v>284</v>
      </c>
      <c r="M37" s="17" t="n">
        <f aca="false">E37+I37</f>
        <v>11874.04</v>
      </c>
      <c r="N37" s="16" t="n">
        <f aca="false">F37+J37</f>
        <v>165</v>
      </c>
      <c r="O37" s="17" t="n">
        <f aca="false">G37+K37</f>
        <v>6522.28</v>
      </c>
    </row>
    <row r="38" customFormat="false" ht="15" hidden="false" customHeight="false" outlineLevel="0" collapsed="false">
      <c r="A38" s="6" t="n">
        <v>4408014</v>
      </c>
      <c r="B38" s="6" t="str">
        <f aca="false">IFERROR(INDEX('TRANS'!$A:$A,MATCH($A38,'TRANS'!$B:$B,0)),"")</f>
        <v>07AU S</v>
      </c>
      <c r="C38" s="6" t="str">
        <f aca="false">IFERROR(INDEX('TRANS'!$C:$C,MATCH($A38,'TRANS'!$B:$B,0)),"")</f>
        <v>07AU S ח.גב """"איטלקית"""" אורירית</v>
      </c>
      <c r="D38" s="16" t="n">
        <f aca="false">SUMIFS('CEMI Raw'!$C$6:$C$197,'CEMI Raw'!$E$6:$E$197,$A38,'CEMI Raw'!$B$6:$B$197,2025)</f>
        <v>0</v>
      </c>
      <c r="E38" s="17" t="n">
        <f aca="false">SUMIFS('CEMI Raw'!$D$6:$D$197,'CEMI Raw'!$E$6:$E$197,$A38,'CEMI Raw'!$B$6:$B$197,2025)</f>
        <v>0</v>
      </c>
      <c r="F38" s="16" t="n">
        <f aca="false">SUMIFS('CEMI Raw'!$C$6:$C$197,'CEMI Raw'!$E$6:$E$197,$A38,'CEMI Raw'!$B$6:$B$197,2026)</f>
        <v>0</v>
      </c>
      <c r="G38" s="17" t="n">
        <f aca="false">SUMIFS('CEMI Raw'!$D$6:$D$197,'CEMI Raw'!$E$6:$E$197,$A38,'CEMI Raw'!$B$6:$B$197,2026)</f>
        <v>0</v>
      </c>
      <c r="H38" s="16" t="n">
        <f aca="false">SUMIFS('SALES Raw'!$C$6:$C$435,'SALES Raw'!$E$6:$E$435,$A38,'SALES Raw'!$B$6:$B$435,2025)</f>
        <v>6</v>
      </c>
      <c r="I38" s="17" t="n">
        <f aca="false">SUMIFS('SALES Raw'!$D$6:$D$435,'SALES Raw'!$E$6:$E$435,$A38,'SALES Raw'!$B$6:$B$435,2025)</f>
        <v>1053</v>
      </c>
      <c r="J38" s="16" t="n">
        <f aca="false">SUMIFS('SALES Raw'!$C$6:$C$435,'SALES Raw'!$E$6:$E$435,$A38,'SALES Raw'!$B$6:$B$435,2026)</f>
        <v>3</v>
      </c>
      <c r="K38" s="17" t="n">
        <f aca="false">SUMIFS('SALES Raw'!$D$6:$D$435,'SALES Raw'!$E$6:$E$435,$A38,'SALES Raw'!$B$6:$B$435,2026)</f>
        <v>526.5</v>
      </c>
      <c r="L38" s="16" t="n">
        <f aca="false">D38+H38</f>
        <v>6</v>
      </c>
      <c r="M38" s="17" t="n">
        <f aca="false">E38+I38</f>
        <v>1053</v>
      </c>
      <c r="N38" s="16" t="n">
        <f aca="false">F38+J38</f>
        <v>3</v>
      </c>
      <c r="O38" s="17" t="n">
        <f aca="false">G38+K38</f>
        <v>526.5</v>
      </c>
    </row>
    <row r="39" customFormat="false" ht="15" hidden="false" customHeight="false" outlineLevel="0" collapsed="false">
      <c r="A39" s="6" t="n">
        <v>4408015</v>
      </c>
      <c r="B39" s="6" t="str">
        <f aca="false">IFERROR(INDEX('TRANS'!$A:$A,MATCH($A39,'TRANS'!$B:$B,0)),"")</f>
        <v>07AU L</v>
      </c>
      <c r="C39" s="6" t="str">
        <f aca="false">IFERROR(INDEX('TRANS'!$C:$C,MATCH($A39,'TRANS'!$B:$B,0)),"")</f>
        <v>07AU L ח.גב """"איטלקית"""" אורירית</v>
      </c>
      <c r="D39" s="16" t="n">
        <f aca="false">SUMIFS('CEMI Raw'!$C$6:$C$197,'CEMI Raw'!$E$6:$E$197,$A39,'CEMI Raw'!$B$6:$B$197,2025)</f>
        <v>0</v>
      </c>
      <c r="E39" s="17" t="n">
        <f aca="false">SUMIFS('CEMI Raw'!$D$6:$D$197,'CEMI Raw'!$E$6:$E$197,$A39,'CEMI Raw'!$B$6:$B$197,2025)</f>
        <v>0</v>
      </c>
      <c r="F39" s="16" t="n">
        <f aca="false">SUMIFS('CEMI Raw'!$C$6:$C$197,'CEMI Raw'!$E$6:$E$197,$A39,'CEMI Raw'!$B$6:$B$197,2026)</f>
        <v>0</v>
      </c>
      <c r="G39" s="17" t="n">
        <f aca="false">SUMIFS('CEMI Raw'!$D$6:$D$197,'CEMI Raw'!$E$6:$E$197,$A39,'CEMI Raw'!$B$6:$B$197,2026)</f>
        <v>0</v>
      </c>
      <c r="H39" s="16" t="n">
        <f aca="false">SUMIFS('SALES Raw'!$C$6:$C$435,'SALES Raw'!$E$6:$E$435,$A39,'SALES Raw'!$B$6:$B$435,2025)</f>
        <v>64</v>
      </c>
      <c r="I39" s="17" t="n">
        <f aca="false">SUMIFS('SALES Raw'!$D$6:$D$435,'SALES Raw'!$E$6:$E$435,$A39,'SALES Raw'!$B$6:$B$435,2025)</f>
        <v>11232</v>
      </c>
      <c r="J39" s="16" t="n">
        <f aca="false">SUMIFS('SALES Raw'!$C$6:$C$435,'SALES Raw'!$E$6:$E$435,$A39,'SALES Raw'!$B$6:$B$435,2026)</f>
        <v>12</v>
      </c>
      <c r="K39" s="17" t="n">
        <f aca="false">SUMIFS('SALES Raw'!$D$6:$D$435,'SALES Raw'!$E$6:$E$435,$A39,'SALES Raw'!$B$6:$B$435,2026)</f>
        <v>2106</v>
      </c>
      <c r="L39" s="16" t="n">
        <f aca="false">D39+H39</f>
        <v>64</v>
      </c>
      <c r="M39" s="17" t="n">
        <f aca="false">E39+I39</f>
        <v>11232</v>
      </c>
      <c r="N39" s="16" t="n">
        <f aca="false">F39+J39</f>
        <v>12</v>
      </c>
      <c r="O39" s="17" t="n">
        <f aca="false">G39+K39</f>
        <v>2106</v>
      </c>
    </row>
    <row r="40" customFormat="false" ht="15" hidden="false" customHeight="false" outlineLevel="0" collapsed="false">
      <c r="A40" s="6" t="n">
        <v>4408016</v>
      </c>
      <c r="B40" s="6" t="str">
        <f aca="false">IFERROR(INDEX('TRANS'!$A:$A,MATCH($A40,'TRANS'!$B:$B,0)),"")</f>
        <v>07AU M</v>
      </c>
      <c r="C40" s="6" t="str">
        <f aca="false">IFERROR(INDEX('TRANS'!$C:$C,MATCH($A40,'TRANS'!$B:$B,0)),"")</f>
        <v>07AU M ח.גב """"איטלקית"""" אורירית</v>
      </c>
      <c r="D40" s="16" t="n">
        <f aca="false">SUMIFS('CEMI Raw'!$C$6:$C$197,'CEMI Raw'!$E$6:$E$197,$A40,'CEMI Raw'!$B$6:$B$197,2025)</f>
        <v>0</v>
      </c>
      <c r="E40" s="17" t="n">
        <f aca="false">SUMIFS('CEMI Raw'!$D$6:$D$197,'CEMI Raw'!$E$6:$E$197,$A40,'CEMI Raw'!$B$6:$B$197,2025)</f>
        <v>0</v>
      </c>
      <c r="F40" s="16" t="n">
        <f aca="false">SUMIFS('CEMI Raw'!$C$6:$C$197,'CEMI Raw'!$E$6:$E$197,$A40,'CEMI Raw'!$B$6:$B$197,2026)</f>
        <v>0</v>
      </c>
      <c r="G40" s="17" t="n">
        <f aca="false">SUMIFS('CEMI Raw'!$D$6:$D$197,'CEMI Raw'!$E$6:$E$197,$A40,'CEMI Raw'!$B$6:$B$197,2026)</f>
        <v>0</v>
      </c>
      <c r="H40" s="16" t="n">
        <f aca="false">SUMIFS('SALES Raw'!$C$6:$C$435,'SALES Raw'!$E$6:$E$435,$A40,'SALES Raw'!$B$6:$B$435,2025)</f>
        <v>21</v>
      </c>
      <c r="I40" s="17" t="n">
        <f aca="false">SUMIFS('SALES Raw'!$D$6:$D$435,'SALES Raw'!$E$6:$E$435,$A40,'SALES Raw'!$B$6:$B$435,2025)</f>
        <v>3685.5</v>
      </c>
      <c r="J40" s="16" t="n">
        <f aca="false">SUMIFS('SALES Raw'!$C$6:$C$435,'SALES Raw'!$E$6:$E$435,$A40,'SALES Raw'!$B$6:$B$435,2026)</f>
        <v>4</v>
      </c>
      <c r="K40" s="17" t="n">
        <f aca="false">SUMIFS('SALES Raw'!$D$6:$D$435,'SALES Raw'!$E$6:$E$435,$A40,'SALES Raw'!$B$6:$B$435,2026)</f>
        <v>702</v>
      </c>
      <c r="L40" s="16" t="n">
        <f aca="false">D40+H40</f>
        <v>21</v>
      </c>
      <c r="M40" s="17" t="n">
        <f aca="false">E40+I40</f>
        <v>3685.5</v>
      </c>
      <c r="N40" s="16" t="n">
        <f aca="false">F40+J40</f>
        <v>4</v>
      </c>
      <c r="O40" s="17" t="n">
        <f aca="false">G40+K40</f>
        <v>702</v>
      </c>
    </row>
    <row r="41" customFormat="false" ht="15" hidden="false" customHeight="false" outlineLevel="0" collapsed="false">
      <c r="A41" s="6" t="n">
        <v>4408017</v>
      </c>
      <c r="B41" s="6" t="str">
        <f aca="false">IFERROR(INDEX('TRANS'!$A:$A,MATCH($A41,'TRANS'!$B:$B,0)),"")</f>
        <v>07AU XL</v>
      </c>
      <c r="C41" s="6" t="str">
        <f aca="false">IFERROR(INDEX('TRANS'!$C:$C,MATCH($A41,'TRANS'!$B:$B,0)),"")</f>
        <v>07AU XL ח.גב """"איטלקית"""" אורירית</v>
      </c>
      <c r="D41" s="16" t="n">
        <f aca="false">SUMIFS('CEMI Raw'!$C$6:$C$197,'CEMI Raw'!$E$6:$E$197,$A41,'CEMI Raw'!$B$6:$B$197,2025)</f>
        <v>0</v>
      </c>
      <c r="E41" s="17" t="n">
        <f aca="false">SUMIFS('CEMI Raw'!$D$6:$D$197,'CEMI Raw'!$E$6:$E$197,$A41,'CEMI Raw'!$B$6:$B$197,2025)</f>
        <v>0</v>
      </c>
      <c r="F41" s="16" t="n">
        <f aca="false">SUMIFS('CEMI Raw'!$C$6:$C$197,'CEMI Raw'!$E$6:$E$197,$A41,'CEMI Raw'!$B$6:$B$197,2026)</f>
        <v>0</v>
      </c>
      <c r="G41" s="17" t="n">
        <f aca="false">SUMIFS('CEMI Raw'!$D$6:$D$197,'CEMI Raw'!$E$6:$E$197,$A41,'CEMI Raw'!$B$6:$B$197,2026)</f>
        <v>0</v>
      </c>
      <c r="H41" s="16" t="n">
        <f aca="false">SUMIFS('SALES Raw'!$C$6:$C$435,'SALES Raw'!$E$6:$E$435,$A41,'SALES Raw'!$B$6:$B$435,2025)</f>
        <v>67</v>
      </c>
      <c r="I41" s="17" t="n">
        <f aca="false">SUMIFS('SALES Raw'!$D$6:$D$435,'SALES Raw'!$E$6:$E$435,$A41,'SALES Raw'!$B$6:$B$435,2025)</f>
        <v>11758.5</v>
      </c>
      <c r="J41" s="16" t="n">
        <f aca="false">SUMIFS('SALES Raw'!$C$6:$C$435,'SALES Raw'!$E$6:$E$435,$A41,'SALES Raw'!$B$6:$B$435,2026)</f>
        <v>11</v>
      </c>
      <c r="K41" s="17" t="n">
        <f aca="false">SUMIFS('SALES Raw'!$D$6:$D$435,'SALES Raw'!$E$6:$E$435,$A41,'SALES Raw'!$B$6:$B$435,2026)</f>
        <v>1930.5</v>
      </c>
      <c r="L41" s="16" t="n">
        <f aca="false">D41+H41</f>
        <v>67</v>
      </c>
      <c r="M41" s="17" t="n">
        <f aca="false">E41+I41</f>
        <v>11758.5</v>
      </c>
      <c r="N41" s="16" t="n">
        <f aca="false">F41+J41</f>
        <v>11</v>
      </c>
      <c r="O41" s="17" t="n">
        <f aca="false">G41+K41</f>
        <v>1930.5</v>
      </c>
    </row>
    <row r="42" customFormat="false" ht="15" hidden="false" customHeight="false" outlineLevel="0" collapsed="false">
      <c r="A42" s="6" t="n">
        <v>4408018</v>
      </c>
      <c r="B42" s="6" t="str">
        <f aca="false">IFERROR(INDEX('TRANS'!$A:$A,MATCH($A42,'TRANS'!$B:$B,0)),"")</f>
        <v>07AU XXL</v>
      </c>
      <c r="C42" s="6" t="str">
        <f aca="false">IFERROR(INDEX('TRANS'!$C:$C,MATCH($A42,'TRANS'!$B:$B,0)),"")</f>
        <v>07AU XXL.ח.גב """"איטלקית"""" אוריר</v>
      </c>
      <c r="D42" s="16" t="n">
        <f aca="false">SUMIFS('CEMI Raw'!$C$6:$C$197,'CEMI Raw'!$E$6:$E$197,$A42,'CEMI Raw'!$B$6:$B$197,2025)</f>
        <v>0</v>
      </c>
      <c r="E42" s="17" t="n">
        <f aca="false">SUMIFS('CEMI Raw'!$D$6:$D$197,'CEMI Raw'!$E$6:$E$197,$A42,'CEMI Raw'!$B$6:$B$197,2025)</f>
        <v>0</v>
      </c>
      <c r="F42" s="16" t="n">
        <f aca="false">SUMIFS('CEMI Raw'!$C$6:$C$197,'CEMI Raw'!$E$6:$E$197,$A42,'CEMI Raw'!$B$6:$B$197,2026)</f>
        <v>0</v>
      </c>
      <c r="G42" s="17" t="n">
        <f aca="false">SUMIFS('CEMI Raw'!$D$6:$D$197,'CEMI Raw'!$E$6:$E$197,$A42,'CEMI Raw'!$B$6:$B$197,2026)</f>
        <v>0</v>
      </c>
      <c r="H42" s="16" t="n">
        <f aca="false">SUMIFS('SALES Raw'!$C$6:$C$435,'SALES Raw'!$E$6:$E$435,$A42,'SALES Raw'!$B$6:$B$435,2025)</f>
        <v>52</v>
      </c>
      <c r="I42" s="17" t="n">
        <f aca="false">SUMIFS('SALES Raw'!$D$6:$D$435,'SALES Raw'!$E$6:$E$435,$A42,'SALES Raw'!$B$6:$B$435,2025)</f>
        <v>9126</v>
      </c>
      <c r="J42" s="16" t="n">
        <f aca="false">SUMIFS('SALES Raw'!$C$6:$C$435,'SALES Raw'!$E$6:$E$435,$A42,'SALES Raw'!$B$6:$B$435,2026)</f>
        <v>4</v>
      </c>
      <c r="K42" s="17" t="n">
        <f aca="false">SUMIFS('SALES Raw'!$D$6:$D$435,'SALES Raw'!$E$6:$E$435,$A42,'SALES Raw'!$B$6:$B$435,2026)</f>
        <v>702</v>
      </c>
      <c r="L42" s="16" t="n">
        <f aca="false">D42+H42</f>
        <v>52</v>
      </c>
      <c r="M42" s="17" t="n">
        <f aca="false">E42+I42</f>
        <v>9126</v>
      </c>
      <c r="N42" s="16" t="n">
        <f aca="false">F42+J42</f>
        <v>4</v>
      </c>
      <c r="O42" s="17" t="n">
        <f aca="false">G42+K42</f>
        <v>702</v>
      </c>
    </row>
    <row r="43" customFormat="false" ht="15" hidden="false" customHeight="false" outlineLevel="0" collapsed="false">
      <c r="A43" s="6" t="n">
        <v>4408031</v>
      </c>
      <c r="B43" s="6" t="str">
        <f aca="false">IFERROR(INDEX('TRANS'!$A:$A,MATCH($A43,'TRANS'!$B:$B,0)),"")</f>
        <v>11 S</v>
      </c>
      <c r="C43" s="6" t="str">
        <f aca="false">IFERROR(INDEX('TRANS'!$C:$C,MATCH($A43,'TRANS'!$B:$B,0)),"")</f>
        <v>11 S""""חגורת בטן""""אורירית</v>
      </c>
      <c r="D43" s="16" t="n">
        <f aca="false">SUMIFS('CEMI Raw'!$C$6:$C$197,'CEMI Raw'!$E$6:$E$197,$A43,'CEMI Raw'!$B$6:$B$197,2025)</f>
        <v>0</v>
      </c>
      <c r="E43" s="17" t="n">
        <f aca="false">SUMIFS('CEMI Raw'!$D$6:$D$197,'CEMI Raw'!$E$6:$E$197,$A43,'CEMI Raw'!$B$6:$B$197,2025)</f>
        <v>0</v>
      </c>
      <c r="F43" s="16" t="n">
        <f aca="false">SUMIFS('CEMI Raw'!$C$6:$C$197,'CEMI Raw'!$E$6:$E$197,$A43,'CEMI Raw'!$B$6:$B$197,2026)</f>
        <v>0</v>
      </c>
      <c r="G43" s="17" t="n">
        <f aca="false">SUMIFS('CEMI Raw'!$D$6:$D$197,'CEMI Raw'!$E$6:$E$197,$A43,'CEMI Raw'!$B$6:$B$197,2026)</f>
        <v>0</v>
      </c>
      <c r="H43" s="16" t="n">
        <f aca="false">SUMIFS('SALES Raw'!$C$6:$C$435,'SALES Raw'!$E$6:$E$435,$A43,'SALES Raw'!$B$6:$B$435,2025)</f>
        <v>33</v>
      </c>
      <c r="I43" s="17" t="n">
        <f aca="false">SUMIFS('SALES Raw'!$D$6:$D$435,'SALES Raw'!$E$6:$E$435,$A43,'SALES Raw'!$B$6:$B$435,2025)</f>
        <v>2387.22</v>
      </c>
      <c r="J43" s="16" t="n">
        <f aca="false">SUMIFS('SALES Raw'!$C$6:$C$435,'SALES Raw'!$E$6:$E$435,$A43,'SALES Raw'!$B$6:$B$435,2026)</f>
        <v>2</v>
      </c>
      <c r="K43" s="17" t="n">
        <f aca="false">SUMIFS('SALES Raw'!$D$6:$D$435,'SALES Raw'!$E$6:$E$435,$A43,'SALES Raw'!$B$6:$B$435,2026)</f>
        <v>144.68</v>
      </c>
      <c r="L43" s="16" t="n">
        <f aca="false">D43+H43</f>
        <v>33</v>
      </c>
      <c r="M43" s="17" t="n">
        <f aca="false">E43+I43</f>
        <v>2387.22</v>
      </c>
      <c r="N43" s="16" t="n">
        <f aca="false">F43+J43</f>
        <v>2</v>
      </c>
      <c r="O43" s="17" t="n">
        <f aca="false">G43+K43</f>
        <v>144.68</v>
      </c>
    </row>
    <row r="44" customFormat="false" ht="15" hidden="false" customHeight="false" outlineLevel="0" collapsed="false">
      <c r="A44" s="6" t="n">
        <v>4408032</v>
      </c>
      <c r="B44" s="6" t="str">
        <f aca="false">IFERROR(INDEX('TRANS'!$A:$A,MATCH($A44,'TRANS'!$B:$B,0)),"")</f>
        <v>11 L</v>
      </c>
      <c r="C44" s="6" t="str">
        <f aca="false">IFERROR(INDEX('TRANS'!$C:$C,MATCH($A44,'TRANS'!$B:$B,0)),"")</f>
        <v>11 L""""חגורת בטן""""אורירית</v>
      </c>
      <c r="D44" s="16" t="n">
        <f aca="false">SUMIFS('CEMI Raw'!$C$6:$C$197,'CEMI Raw'!$E$6:$E$197,$A44,'CEMI Raw'!$B$6:$B$197,2025)</f>
        <v>0</v>
      </c>
      <c r="E44" s="17" t="n">
        <f aca="false">SUMIFS('CEMI Raw'!$D$6:$D$197,'CEMI Raw'!$E$6:$E$197,$A44,'CEMI Raw'!$B$6:$B$197,2025)</f>
        <v>0</v>
      </c>
      <c r="F44" s="16" t="n">
        <f aca="false">SUMIFS('CEMI Raw'!$C$6:$C$197,'CEMI Raw'!$E$6:$E$197,$A44,'CEMI Raw'!$B$6:$B$197,2026)</f>
        <v>0</v>
      </c>
      <c r="G44" s="17" t="n">
        <f aca="false">SUMIFS('CEMI Raw'!$D$6:$D$197,'CEMI Raw'!$E$6:$E$197,$A44,'CEMI Raw'!$B$6:$B$197,2026)</f>
        <v>0</v>
      </c>
      <c r="H44" s="16" t="n">
        <f aca="false">SUMIFS('SALES Raw'!$C$6:$C$435,'SALES Raw'!$E$6:$E$435,$A44,'SALES Raw'!$B$6:$B$435,2025)</f>
        <v>74</v>
      </c>
      <c r="I44" s="17" t="n">
        <f aca="false">SUMIFS('SALES Raw'!$D$6:$D$435,'SALES Raw'!$E$6:$E$435,$A44,'SALES Raw'!$B$6:$B$435,2025)</f>
        <v>5353.16</v>
      </c>
      <c r="J44" s="16" t="n">
        <f aca="false">SUMIFS('SALES Raw'!$C$6:$C$435,'SALES Raw'!$E$6:$E$435,$A44,'SALES Raw'!$B$6:$B$435,2026)</f>
        <v>17</v>
      </c>
      <c r="K44" s="17" t="n">
        <f aca="false">SUMIFS('SALES Raw'!$D$6:$D$435,'SALES Raw'!$E$6:$E$435,$A44,'SALES Raw'!$B$6:$B$435,2026)</f>
        <v>1229.78</v>
      </c>
      <c r="L44" s="16" t="n">
        <f aca="false">D44+H44</f>
        <v>74</v>
      </c>
      <c r="M44" s="17" t="n">
        <f aca="false">E44+I44</f>
        <v>5353.16</v>
      </c>
      <c r="N44" s="16" t="n">
        <f aca="false">F44+J44</f>
        <v>17</v>
      </c>
      <c r="O44" s="17" t="n">
        <f aca="false">G44+K44</f>
        <v>1229.78</v>
      </c>
    </row>
    <row r="45" customFormat="false" ht="15" hidden="false" customHeight="false" outlineLevel="0" collapsed="false">
      <c r="A45" s="6" t="n">
        <v>4408033</v>
      </c>
      <c r="B45" s="6" t="str">
        <f aca="false">IFERROR(INDEX('TRANS'!$A:$A,MATCH($A45,'TRANS'!$B:$B,0)),"")</f>
        <v>11 M</v>
      </c>
      <c r="C45" s="6" t="str">
        <f aca="false">IFERROR(INDEX('TRANS'!$C:$C,MATCH($A45,'TRANS'!$B:$B,0)),"")</f>
        <v>11 M""""חגורת בטן""""אורירית</v>
      </c>
      <c r="D45" s="16" t="n">
        <f aca="false">SUMIFS('CEMI Raw'!$C$6:$C$197,'CEMI Raw'!$E$6:$E$197,$A45,'CEMI Raw'!$B$6:$B$197,2025)</f>
        <v>0</v>
      </c>
      <c r="E45" s="17" t="n">
        <f aca="false">SUMIFS('CEMI Raw'!$D$6:$D$197,'CEMI Raw'!$E$6:$E$197,$A45,'CEMI Raw'!$B$6:$B$197,2025)</f>
        <v>0</v>
      </c>
      <c r="F45" s="16" t="n">
        <f aca="false">SUMIFS('CEMI Raw'!$C$6:$C$197,'CEMI Raw'!$E$6:$E$197,$A45,'CEMI Raw'!$B$6:$B$197,2026)</f>
        <v>0</v>
      </c>
      <c r="G45" s="17" t="n">
        <f aca="false">SUMIFS('CEMI Raw'!$D$6:$D$197,'CEMI Raw'!$E$6:$E$197,$A45,'CEMI Raw'!$B$6:$B$197,2026)</f>
        <v>0</v>
      </c>
      <c r="H45" s="16" t="n">
        <f aca="false">SUMIFS('SALES Raw'!$C$6:$C$435,'SALES Raw'!$E$6:$E$435,$A45,'SALES Raw'!$B$6:$B$435,2025)</f>
        <v>57</v>
      </c>
      <c r="I45" s="17" t="n">
        <f aca="false">SUMIFS('SALES Raw'!$D$6:$D$435,'SALES Raw'!$E$6:$E$435,$A45,'SALES Raw'!$B$6:$B$435,2025)</f>
        <v>4123.38</v>
      </c>
      <c r="J45" s="16" t="n">
        <f aca="false">SUMIFS('SALES Raw'!$C$6:$C$435,'SALES Raw'!$E$6:$E$435,$A45,'SALES Raw'!$B$6:$B$435,2026)</f>
        <v>12</v>
      </c>
      <c r="K45" s="17" t="n">
        <f aca="false">SUMIFS('SALES Raw'!$D$6:$D$435,'SALES Raw'!$E$6:$E$435,$A45,'SALES Raw'!$B$6:$B$435,2026)</f>
        <v>868.08</v>
      </c>
      <c r="L45" s="16" t="n">
        <f aca="false">D45+H45</f>
        <v>57</v>
      </c>
      <c r="M45" s="17" t="n">
        <f aca="false">E45+I45</f>
        <v>4123.38</v>
      </c>
      <c r="N45" s="16" t="n">
        <f aca="false">F45+J45</f>
        <v>12</v>
      </c>
      <c r="O45" s="17" t="n">
        <f aca="false">G45+K45</f>
        <v>868.08</v>
      </c>
    </row>
    <row r="46" customFormat="false" ht="15" hidden="false" customHeight="false" outlineLevel="0" collapsed="false">
      <c r="A46" s="6" t="n">
        <v>4408034</v>
      </c>
      <c r="B46" s="6" t="str">
        <f aca="false">IFERROR(INDEX('TRANS'!$A:$A,MATCH($A46,'TRANS'!$B:$B,0)),"")</f>
        <v>11 XL</v>
      </c>
      <c r="C46" s="6" t="str">
        <f aca="false">IFERROR(INDEX('TRANS'!$C:$C,MATCH($A46,'TRANS'!$B:$B,0)),"")</f>
        <v>11 XL""""חגורת בטן""""אורירית</v>
      </c>
      <c r="D46" s="16" t="n">
        <f aca="false">SUMIFS('CEMI Raw'!$C$6:$C$197,'CEMI Raw'!$E$6:$E$197,$A46,'CEMI Raw'!$B$6:$B$197,2025)</f>
        <v>0</v>
      </c>
      <c r="E46" s="17" t="n">
        <f aca="false">SUMIFS('CEMI Raw'!$D$6:$D$197,'CEMI Raw'!$E$6:$E$197,$A46,'CEMI Raw'!$B$6:$B$197,2025)</f>
        <v>0</v>
      </c>
      <c r="F46" s="16" t="n">
        <f aca="false">SUMIFS('CEMI Raw'!$C$6:$C$197,'CEMI Raw'!$E$6:$E$197,$A46,'CEMI Raw'!$B$6:$B$197,2026)</f>
        <v>0</v>
      </c>
      <c r="G46" s="17" t="n">
        <f aca="false">SUMIFS('CEMI Raw'!$D$6:$D$197,'CEMI Raw'!$E$6:$E$197,$A46,'CEMI Raw'!$B$6:$B$197,2026)</f>
        <v>0</v>
      </c>
      <c r="H46" s="16" t="n">
        <f aca="false">SUMIFS('SALES Raw'!$C$6:$C$435,'SALES Raw'!$E$6:$E$435,$A46,'SALES Raw'!$B$6:$B$435,2025)</f>
        <v>112</v>
      </c>
      <c r="I46" s="17" t="n">
        <f aca="false">SUMIFS('SALES Raw'!$D$6:$D$435,'SALES Raw'!$E$6:$E$435,$A46,'SALES Raw'!$B$6:$B$435,2025)</f>
        <v>8102.08000000001</v>
      </c>
      <c r="J46" s="16" t="n">
        <f aca="false">SUMIFS('SALES Raw'!$C$6:$C$435,'SALES Raw'!$E$6:$E$435,$A46,'SALES Raw'!$B$6:$B$435,2026)</f>
        <v>38</v>
      </c>
      <c r="K46" s="17" t="n">
        <f aca="false">SUMIFS('SALES Raw'!$D$6:$D$435,'SALES Raw'!$E$6:$E$435,$A46,'SALES Raw'!$B$6:$B$435,2026)</f>
        <v>2748.92</v>
      </c>
      <c r="L46" s="16" t="n">
        <f aca="false">D46+H46</f>
        <v>112</v>
      </c>
      <c r="M46" s="17" t="n">
        <f aca="false">E46+I46</f>
        <v>8102.08000000001</v>
      </c>
      <c r="N46" s="16" t="n">
        <f aca="false">F46+J46</f>
        <v>38</v>
      </c>
      <c r="O46" s="17" t="n">
        <f aca="false">G46+K46</f>
        <v>2748.92</v>
      </c>
    </row>
    <row r="47" customFormat="false" ht="15" hidden="false" customHeight="false" outlineLevel="0" collapsed="false">
      <c r="A47" s="6" t="n">
        <v>4408035</v>
      </c>
      <c r="B47" s="6" t="str">
        <f aca="false">IFERROR(INDEX('TRANS'!$A:$A,MATCH($A47,'TRANS'!$B:$B,0)),"")</f>
        <v>11 XXL</v>
      </c>
      <c r="C47" s="6" t="str">
        <f aca="false">IFERROR(INDEX('TRANS'!$C:$C,MATCH($A47,'TRANS'!$B:$B,0)),"")</f>
        <v>11 XXL""""חגורת בטן""""אורירית</v>
      </c>
      <c r="D47" s="16" t="n">
        <f aca="false">SUMIFS('CEMI Raw'!$C$6:$C$197,'CEMI Raw'!$E$6:$E$197,$A47,'CEMI Raw'!$B$6:$B$197,2025)</f>
        <v>0</v>
      </c>
      <c r="E47" s="17" t="n">
        <f aca="false">SUMIFS('CEMI Raw'!$D$6:$D$197,'CEMI Raw'!$E$6:$E$197,$A47,'CEMI Raw'!$B$6:$B$197,2025)</f>
        <v>0</v>
      </c>
      <c r="F47" s="16" t="n">
        <f aca="false">SUMIFS('CEMI Raw'!$C$6:$C$197,'CEMI Raw'!$E$6:$E$197,$A47,'CEMI Raw'!$B$6:$B$197,2026)</f>
        <v>0</v>
      </c>
      <c r="G47" s="17" t="n">
        <f aca="false">SUMIFS('CEMI Raw'!$D$6:$D$197,'CEMI Raw'!$E$6:$E$197,$A47,'CEMI Raw'!$B$6:$B$197,2026)</f>
        <v>0</v>
      </c>
      <c r="H47" s="16" t="n">
        <f aca="false">SUMIFS('SALES Raw'!$C$6:$C$435,'SALES Raw'!$E$6:$E$435,$A47,'SALES Raw'!$B$6:$B$435,2025)</f>
        <v>76</v>
      </c>
      <c r="I47" s="17" t="n">
        <f aca="false">SUMIFS('SALES Raw'!$D$6:$D$435,'SALES Raw'!$E$6:$E$435,$A47,'SALES Raw'!$B$6:$B$435,2025)</f>
        <v>5497.84</v>
      </c>
      <c r="J47" s="16" t="n">
        <f aca="false">SUMIFS('SALES Raw'!$C$6:$C$435,'SALES Raw'!$E$6:$E$435,$A47,'SALES Raw'!$B$6:$B$435,2026)</f>
        <v>13</v>
      </c>
      <c r="K47" s="17" t="n">
        <f aca="false">SUMIFS('SALES Raw'!$D$6:$D$435,'SALES Raw'!$E$6:$E$435,$A47,'SALES Raw'!$B$6:$B$435,2026)</f>
        <v>940.42</v>
      </c>
      <c r="L47" s="16" t="n">
        <f aca="false">D47+H47</f>
        <v>76</v>
      </c>
      <c r="M47" s="17" t="n">
        <f aca="false">E47+I47</f>
        <v>5497.84</v>
      </c>
      <c r="N47" s="16" t="n">
        <f aca="false">F47+J47</f>
        <v>13</v>
      </c>
      <c r="O47" s="17" t="n">
        <f aca="false">G47+K47</f>
        <v>940.42</v>
      </c>
    </row>
    <row r="48" customFormat="false" ht="15" hidden="false" customHeight="false" outlineLevel="0" collapsed="false">
      <c r="A48" s="6" t="n">
        <v>4408051</v>
      </c>
      <c r="B48" s="6" t="str">
        <f aca="false">IFERROR(INDEX('TRANS'!$A:$A,MATCH($A48,'TRANS'!$B:$B,0)),"")</f>
        <v>21 S</v>
      </c>
      <c r="C48" s="6" t="str">
        <f aca="false">IFERROR(INDEX('TRANS'!$C:$C,MATCH($A48,'TRANS'!$B:$B,0)),"")</f>
        <v>21 S  חבק יד ארוך</v>
      </c>
      <c r="D48" s="16" t="n">
        <f aca="false">SUMIFS('CEMI Raw'!$C$6:$C$197,'CEMI Raw'!$E$6:$E$197,$A48,'CEMI Raw'!$B$6:$B$197,2025)</f>
        <v>0</v>
      </c>
      <c r="E48" s="17" t="n">
        <f aca="false">SUMIFS('CEMI Raw'!$D$6:$D$197,'CEMI Raw'!$E$6:$E$197,$A48,'CEMI Raw'!$B$6:$B$197,2025)</f>
        <v>0</v>
      </c>
      <c r="F48" s="16" t="n">
        <f aca="false">SUMIFS('CEMI Raw'!$C$6:$C$197,'CEMI Raw'!$E$6:$E$197,$A48,'CEMI Raw'!$B$6:$B$197,2026)</f>
        <v>62</v>
      </c>
      <c r="G48" s="17" t="n">
        <f aca="false">SUMIFS('CEMI Raw'!$D$6:$D$197,'CEMI Raw'!$E$6:$E$197,$A48,'CEMI Raw'!$B$6:$B$197,2026)</f>
        <v>1447.5</v>
      </c>
      <c r="H48" s="16" t="n">
        <f aca="false">SUMIFS('SALES Raw'!$C$6:$C$435,'SALES Raw'!$E$6:$E$435,$A48,'SALES Raw'!$B$6:$B$435,2025)</f>
        <v>181</v>
      </c>
      <c r="I48" s="17" t="n">
        <f aca="false">SUMIFS('SALES Raw'!$D$6:$D$435,'SALES Raw'!$E$6:$E$435,$A48,'SALES Raw'!$B$6:$B$435,2025)</f>
        <v>4421.83</v>
      </c>
      <c r="J48" s="16" t="n">
        <f aca="false">SUMIFS('SALES Raw'!$C$6:$C$435,'SALES Raw'!$E$6:$E$435,$A48,'SALES Raw'!$B$6:$B$435,2026)</f>
        <v>44</v>
      </c>
      <c r="K48" s="17" t="n">
        <f aca="false">SUMIFS('SALES Raw'!$D$6:$D$435,'SALES Raw'!$E$6:$E$435,$A48,'SALES Raw'!$B$6:$B$435,2026)</f>
        <v>1074.92</v>
      </c>
      <c r="L48" s="16" t="n">
        <f aca="false">D48+H48</f>
        <v>181</v>
      </c>
      <c r="M48" s="17" t="n">
        <f aca="false">E48+I48</f>
        <v>4421.83</v>
      </c>
      <c r="N48" s="16" t="n">
        <f aca="false">F48+J48</f>
        <v>106</v>
      </c>
      <c r="O48" s="17" t="n">
        <f aca="false">G48+K48</f>
        <v>2522.42</v>
      </c>
    </row>
    <row r="49" customFormat="false" ht="15" hidden="false" customHeight="false" outlineLevel="0" collapsed="false">
      <c r="A49" s="6" t="n">
        <v>4408052</v>
      </c>
      <c r="B49" s="6" t="str">
        <f aca="false">IFERROR(INDEX('TRANS'!$A:$A,MATCH($A49,'TRANS'!$B:$B,0)),"")</f>
        <v>21 L</v>
      </c>
      <c r="C49" s="6" t="str">
        <f aca="false">IFERROR(INDEX('TRANS'!$C:$C,MATCH($A49,'TRANS'!$B:$B,0)),"")</f>
        <v>21 L  חבק יד ארוך</v>
      </c>
      <c r="D49" s="16" t="n">
        <f aca="false">SUMIFS('CEMI Raw'!$C$6:$C$197,'CEMI Raw'!$E$6:$E$197,$A49,'CEMI Raw'!$B$6:$B$197,2025)</f>
        <v>0</v>
      </c>
      <c r="E49" s="17" t="n">
        <f aca="false">SUMIFS('CEMI Raw'!$D$6:$D$197,'CEMI Raw'!$E$6:$E$197,$A49,'CEMI Raw'!$B$6:$B$197,2025)</f>
        <v>0</v>
      </c>
      <c r="F49" s="16" t="n">
        <f aca="false">SUMIFS('CEMI Raw'!$C$6:$C$197,'CEMI Raw'!$E$6:$E$197,$A49,'CEMI Raw'!$B$6:$B$197,2026)</f>
        <v>120</v>
      </c>
      <c r="G49" s="17" t="n">
        <f aca="false">SUMIFS('CEMI Raw'!$D$6:$D$197,'CEMI Raw'!$E$6:$E$197,$A49,'CEMI Raw'!$B$6:$B$197,2026)</f>
        <v>2766.6</v>
      </c>
      <c r="H49" s="16" t="n">
        <f aca="false">SUMIFS('SALES Raw'!$C$6:$C$435,'SALES Raw'!$E$6:$E$435,$A49,'SALES Raw'!$B$6:$B$435,2025)</f>
        <v>315</v>
      </c>
      <c r="I49" s="17" t="n">
        <f aca="false">SUMIFS('SALES Raw'!$D$6:$D$435,'SALES Raw'!$E$6:$E$435,$A49,'SALES Raw'!$B$6:$B$435,2025)</f>
        <v>7695.45</v>
      </c>
      <c r="J49" s="16" t="n">
        <f aca="false">SUMIFS('SALES Raw'!$C$6:$C$435,'SALES Raw'!$E$6:$E$435,$A49,'SALES Raw'!$B$6:$B$435,2026)</f>
        <v>83</v>
      </c>
      <c r="K49" s="17" t="n">
        <f aca="false">SUMIFS('SALES Raw'!$D$6:$D$435,'SALES Raw'!$E$6:$E$435,$A49,'SALES Raw'!$B$6:$B$435,2026)</f>
        <v>2056.32</v>
      </c>
      <c r="L49" s="16" t="n">
        <f aca="false">D49+H49</f>
        <v>315</v>
      </c>
      <c r="M49" s="17" t="n">
        <f aca="false">E49+I49</f>
        <v>7695.45</v>
      </c>
      <c r="N49" s="16" t="n">
        <f aca="false">F49+J49</f>
        <v>203</v>
      </c>
      <c r="O49" s="17" t="n">
        <f aca="false">G49+K49</f>
        <v>4822.92</v>
      </c>
    </row>
    <row r="50" customFormat="false" ht="15" hidden="false" customHeight="false" outlineLevel="0" collapsed="false">
      <c r="A50" s="6" t="n">
        <v>4408053</v>
      </c>
      <c r="B50" s="6" t="str">
        <f aca="false">IFERROR(INDEX('TRANS'!$A:$A,MATCH($A50,'TRANS'!$B:$B,0)),"")</f>
        <v>21 M</v>
      </c>
      <c r="C50" s="6" t="str">
        <f aca="false">IFERROR(INDEX('TRANS'!$C:$C,MATCH($A50,'TRANS'!$B:$B,0)),"")</f>
        <v>21 M  חבק יד ארוך</v>
      </c>
      <c r="D50" s="16" t="n">
        <f aca="false">SUMIFS('CEMI Raw'!$C$6:$C$197,'CEMI Raw'!$E$6:$E$197,$A50,'CEMI Raw'!$B$6:$B$197,2025)</f>
        <v>0</v>
      </c>
      <c r="E50" s="17" t="n">
        <f aca="false">SUMIFS('CEMI Raw'!$D$6:$D$197,'CEMI Raw'!$E$6:$E$197,$A50,'CEMI Raw'!$B$6:$B$197,2025)</f>
        <v>0</v>
      </c>
      <c r="F50" s="16" t="n">
        <f aca="false">SUMIFS('CEMI Raw'!$C$6:$C$197,'CEMI Raw'!$E$6:$E$197,$A50,'CEMI Raw'!$B$6:$B$197,2026)</f>
        <v>154</v>
      </c>
      <c r="G50" s="17" t="n">
        <f aca="false">SUMIFS('CEMI Raw'!$D$6:$D$197,'CEMI Raw'!$E$6:$E$197,$A50,'CEMI Raw'!$B$6:$B$197,2026)</f>
        <v>3505.6</v>
      </c>
      <c r="H50" s="16" t="n">
        <f aca="false">SUMIFS('SALES Raw'!$C$6:$C$435,'SALES Raw'!$E$6:$E$435,$A50,'SALES Raw'!$B$6:$B$435,2025)</f>
        <v>434</v>
      </c>
      <c r="I50" s="17" t="n">
        <f aca="false">SUMIFS('SALES Raw'!$D$6:$D$435,'SALES Raw'!$E$6:$E$435,$A50,'SALES Raw'!$B$6:$B$435,2025)</f>
        <v>10602.62</v>
      </c>
      <c r="J50" s="16" t="n">
        <f aca="false">SUMIFS('SALES Raw'!$C$6:$C$435,'SALES Raw'!$E$6:$E$435,$A50,'SALES Raw'!$B$6:$B$435,2026)</f>
        <v>123</v>
      </c>
      <c r="K50" s="17" t="n">
        <f aca="false">SUMIFS('SALES Raw'!$D$6:$D$435,'SALES Raw'!$E$6:$E$435,$A50,'SALES Raw'!$B$6:$B$435,2026)</f>
        <v>3004.89</v>
      </c>
      <c r="L50" s="16" t="n">
        <f aca="false">D50+H50</f>
        <v>434</v>
      </c>
      <c r="M50" s="17" t="n">
        <f aca="false">E50+I50</f>
        <v>10602.62</v>
      </c>
      <c r="N50" s="16" t="n">
        <f aca="false">F50+J50</f>
        <v>277</v>
      </c>
      <c r="O50" s="17" t="n">
        <f aca="false">G50+K50</f>
        <v>6510.49</v>
      </c>
    </row>
    <row r="51" customFormat="false" ht="15" hidden="false" customHeight="false" outlineLevel="0" collapsed="false">
      <c r="A51" s="6" t="n">
        <v>4408054</v>
      </c>
      <c r="B51" s="6" t="str">
        <f aca="false">IFERROR(INDEX('TRANS'!$A:$A,MATCH($A51,'TRANS'!$B:$B,0)),"")</f>
        <v>21 XL</v>
      </c>
      <c r="C51" s="6" t="str">
        <f aca="false">IFERROR(INDEX('TRANS'!$C:$C,MATCH($A51,'TRANS'!$B:$B,0)),"")</f>
        <v>21 XL חבק יד ארוך</v>
      </c>
      <c r="D51" s="16" t="n">
        <f aca="false">SUMIFS('CEMI Raw'!$C$6:$C$197,'CEMI Raw'!$E$6:$E$197,$A51,'CEMI Raw'!$B$6:$B$197,2025)</f>
        <v>0</v>
      </c>
      <c r="E51" s="17" t="n">
        <f aca="false">SUMIFS('CEMI Raw'!$D$6:$D$197,'CEMI Raw'!$E$6:$E$197,$A51,'CEMI Raw'!$B$6:$B$197,2025)</f>
        <v>0</v>
      </c>
      <c r="F51" s="16" t="n">
        <f aca="false">SUMIFS('CEMI Raw'!$C$6:$C$197,'CEMI Raw'!$E$6:$E$197,$A51,'CEMI Raw'!$B$6:$B$197,2026)</f>
        <v>46</v>
      </c>
      <c r="G51" s="17" t="n">
        <f aca="false">SUMIFS('CEMI Raw'!$D$6:$D$197,'CEMI Raw'!$E$6:$E$197,$A51,'CEMI Raw'!$B$6:$B$197,2026)</f>
        <v>1093.2</v>
      </c>
      <c r="H51" s="16" t="n">
        <f aca="false">SUMIFS('SALES Raw'!$C$6:$C$435,'SALES Raw'!$E$6:$E$435,$A51,'SALES Raw'!$B$6:$B$435,2025)</f>
        <v>157</v>
      </c>
      <c r="I51" s="17" t="n">
        <f aca="false">SUMIFS('SALES Raw'!$D$6:$D$435,'SALES Raw'!$E$6:$E$435,$A51,'SALES Raw'!$B$6:$B$435,2025)</f>
        <v>3835.51</v>
      </c>
      <c r="J51" s="16" t="n">
        <f aca="false">SUMIFS('SALES Raw'!$C$6:$C$435,'SALES Raw'!$E$6:$E$435,$A51,'SALES Raw'!$B$6:$B$435,2026)</f>
        <v>35</v>
      </c>
      <c r="K51" s="17" t="n">
        <f aca="false">SUMIFS('SALES Raw'!$D$6:$D$435,'SALES Raw'!$E$6:$E$435,$A51,'SALES Raw'!$B$6:$B$435,2026)</f>
        <v>855.05</v>
      </c>
      <c r="L51" s="16" t="n">
        <f aca="false">D51+H51</f>
        <v>157</v>
      </c>
      <c r="M51" s="17" t="n">
        <f aca="false">E51+I51</f>
        <v>3835.51</v>
      </c>
      <c r="N51" s="16" t="n">
        <f aca="false">F51+J51</f>
        <v>81</v>
      </c>
      <c r="O51" s="17" t="n">
        <f aca="false">G51+K51</f>
        <v>1948.25</v>
      </c>
    </row>
    <row r="52" customFormat="false" ht="15" hidden="false" customHeight="false" outlineLevel="0" collapsed="false">
      <c r="A52" s="6" t="n">
        <v>4408069</v>
      </c>
      <c r="B52" s="6" t="str">
        <f aca="false">IFERROR(INDEX('TRANS'!$A:$A,MATCH($A52,'TRANS'!$B:$B,0)),"")</f>
        <v>38 0</v>
      </c>
      <c r="C52" s="6" t="str">
        <f aca="false">IFERROR(INDEX('TRANS'!$C:$C,MATCH($A52,'TRANS'!$B:$B,0)),"")</f>
        <v>38 .חבישת""""הלוקס ולגוס""""לאחר נית</v>
      </c>
      <c r="D52" s="16" t="n">
        <f aca="false">SUMIFS('CEMI Raw'!$C$6:$C$197,'CEMI Raw'!$E$6:$E$197,$A52,'CEMI Raw'!$B$6:$B$197,2025)</f>
        <v>0</v>
      </c>
      <c r="E52" s="17" t="n">
        <f aca="false">SUMIFS('CEMI Raw'!$D$6:$D$197,'CEMI Raw'!$E$6:$E$197,$A52,'CEMI Raw'!$B$6:$B$197,2025)</f>
        <v>0</v>
      </c>
      <c r="F52" s="16" t="n">
        <f aca="false">SUMIFS('CEMI Raw'!$C$6:$C$197,'CEMI Raw'!$E$6:$E$197,$A52,'CEMI Raw'!$B$6:$B$197,2026)</f>
        <v>0</v>
      </c>
      <c r="G52" s="17" t="n">
        <f aca="false">SUMIFS('CEMI Raw'!$D$6:$D$197,'CEMI Raw'!$E$6:$E$197,$A52,'CEMI Raw'!$B$6:$B$197,2026)</f>
        <v>0</v>
      </c>
      <c r="H52" s="16" t="n">
        <f aca="false">SUMIFS('SALES Raw'!$C$6:$C$435,'SALES Raw'!$E$6:$E$435,$A52,'SALES Raw'!$B$6:$B$435,2025)</f>
        <v>17</v>
      </c>
      <c r="I52" s="17" t="n">
        <f aca="false">SUMIFS('SALES Raw'!$D$6:$D$435,'SALES Raw'!$E$6:$E$435,$A52,'SALES Raw'!$B$6:$B$435,2025)</f>
        <v>910.01</v>
      </c>
      <c r="J52" s="16" t="n">
        <f aca="false">SUMIFS('SALES Raw'!$C$6:$C$435,'SALES Raw'!$E$6:$E$435,$A52,'SALES Raw'!$B$6:$B$435,2026)</f>
        <v>1</v>
      </c>
      <c r="K52" s="17" t="n">
        <f aca="false">SUMIFS('SALES Raw'!$D$6:$D$435,'SALES Raw'!$E$6:$E$435,$A52,'SALES Raw'!$B$6:$B$435,2026)</f>
        <v>53.53</v>
      </c>
      <c r="L52" s="16" t="n">
        <f aca="false">D52+H52</f>
        <v>17</v>
      </c>
      <c r="M52" s="17" t="n">
        <f aca="false">E52+I52</f>
        <v>910.01</v>
      </c>
      <c r="N52" s="16" t="n">
        <f aca="false">F52+J52</f>
        <v>1</v>
      </c>
      <c r="O52" s="17" t="n">
        <f aca="false">G52+K52</f>
        <v>53.53</v>
      </c>
    </row>
    <row r="53" customFormat="false" ht="15" hidden="false" customHeight="false" outlineLevel="0" collapsed="false">
      <c r="A53" s="6" t="n">
        <v>4408070</v>
      </c>
      <c r="B53" s="6" t="str">
        <f aca="false">IFERROR(INDEX('TRANS'!$A:$A,MATCH($A53,'TRANS'!$B:$B,0)),"")</f>
        <v>59D S</v>
      </c>
      <c r="C53" s="6" t="str">
        <f aca="false">IFERROR(INDEX('TRANS'!$C:$C,MATCH($A53,'TRANS'!$B:$B,0)),"")</f>
        <v>59D S חגורת שבר דו צדדי</v>
      </c>
      <c r="D53" s="16" t="n">
        <f aca="false">SUMIFS('CEMI Raw'!$C$6:$C$197,'CEMI Raw'!$E$6:$E$197,$A53,'CEMI Raw'!$B$6:$B$197,2025)</f>
        <v>0</v>
      </c>
      <c r="E53" s="17" t="n">
        <f aca="false">SUMIFS('CEMI Raw'!$D$6:$D$197,'CEMI Raw'!$E$6:$E$197,$A53,'CEMI Raw'!$B$6:$B$197,2025)</f>
        <v>0</v>
      </c>
      <c r="F53" s="16" t="n">
        <f aca="false">SUMIFS('CEMI Raw'!$C$6:$C$197,'CEMI Raw'!$E$6:$E$197,$A53,'CEMI Raw'!$B$6:$B$197,2026)</f>
        <v>0</v>
      </c>
      <c r="G53" s="17" t="n">
        <f aca="false">SUMIFS('CEMI Raw'!$D$6:$D$197,'CEMI Raw'!$E$6:$E$197,$A53,'CEMI Raw'!$B$6:$B$197,2026)</f>
        <v>0</v>
      </c>
      <c r="H53" s="16" t="n">
        <f aca="false">SUMIFS('SALES Raw'!$C$6:$C$435,'SALES Raw'!$E$6:$E$435,$A53,'SALES Raw'!$B$6:$B$435,2025)</f>
        <v>2</v>
      </c>
      <c r="I53" s="17" t="n">
        <f aca="false">SUMIFS('SALES Raw'!$D$6:$D$435,'SALES Raw'!$E$6:$E$435,$A53,'SALES Raw'!$B$6:$B$435,2025)</f>
        <v>391.46</v>
      </c>
      <c r="J53" s="16" t="n">
        <f aca="false">SUMIFS('SALES Raw'!$C$6:$C$435,'SALES Raw'!$E$6:$E$435,$A53,'SALES Raw'!$B$6:$B$435,2026)</f>
        <v>1</v>
      </c>
      <c r="K53" s="17" t="n">
        <f aca="false">SUMIFS('SALES Raw'!$D$6:$D$435,'SALES Raw'!$E$6:$E$435,$A53,'SALES Raw'!$B$6:$B$435,2026)</f>
        <v>195.73</v>
      </c>
      <c r="L53" s="16" t="n">
        <f aca="false">D53+H53</f>
        <v>2</v>
      </c>
      <c r="M53" s="17" t="n">
        <f aca="false">E53+I53</f>
        <v>391.46</v>
      </c>
      <c r="N53" s="16" t="n">
        <f aca="false">F53+J53</f>
        <v>1</v>
      </c>
      <c r="O53" s="17" t="n">
        <f aca="false">G53+K53</f>
        <v>195.73</v>
      </c>
    </row>
    <row r="54" customFormat="false" ht="15" hidden="false" customHeight="false" outlineLevel="0" collapsed="false">
      <c r="A54" s="6" t="n">
        <v>4408071</v>
      </c>
      <c r="B54" s="6" t="str">
        <f aca="false">IFERROR(INDEX('TRANS'!$A:$A,MATCH($A54,'TRANS'!$B:$B,0)),"")</f>
        <v>59D L</v>
      </c>
      <c r="C54" s="6" t="str">
        <f aca="false">IFERROR(INDEX('TRANS'!$C:$C,MATCH($A54,'TRANS'!$B:$B,0)),"")</f>
        <v>59D L חגורת שבר דו צדדי</v>
      </c>
      <c r="D54" s="16" t="n">
        <f aca="false">SUMIFS('CEMI Raw'!$C$6:$C$197,'CEMI Raw'!$E$6:$E$197,$A54,'CEMI Raw'!$B$6:$B$197,2025)</f>
        <v>0</v>
      </c>
      <c r="E54" s="17" t="n">
        <f aca="false">SUMIFS('CEMI Raw'!$D$6:$D$197,'CEMI Raw'!$E$6:$E$197,$A54,'CEMI Raw'!$B$6:$B$197,2025)</f>
        <v>0</v>
      </c>
      <c r="F54" s="16" t="n">
        <f aca="false">SUMIFS('CEMI Raw'!$C$6:$C$197,'CEMI Raw'!$E$6:$E$197,$A54,'CEMI Raw'!$B$6:$B$197,2026)</f>
        <v>2</v>
      </c>
      <c r="G54" s="17" t="n">
        <f aca="false">SUMIFS('CEMI Raw'!$D$6:$D$197,'CEMI Raw'!$E$6:$E$197,$A54,'CEMI Raw'!$B$6:$B$197,2026)</f>
        <v>342.5</v>
      </c>
      <c r="H54" s="16" t="n">
        <f aca="false">SUMIFS('SALES Raw'!$C$6:$C$435,'SALES Raw'!$E$6:$E$435,$A54,'SALES Raw'!$B$6:$B$435,2025)</f>
        <v>5</v>
      </c>
      <c r="I54" s="17" t="n">
        <f aca="false">SUMIFS('SALES Raw'!$D$6:$D$435,'SALES Raw'!$E$6:$E$435,$A54,'SALES Raw'!$B$6:$B$435,2025)</f>
        <v>978.65</v>
      </c>
      <c r="J54" s="16" t="n">
        <f aca="false">SUMIFS('SALES Raw'!$C$6:$C$435,'SALES Raw'!$E$6:$E$435,$A54,'SALES Raw'!$B$6:$B$435,2026)</f>
        <v>-1</v>
      </c>
      <c r="K54" s="17" t="n">
        <f aca="false">SUMIFS('SALES Raw'!$D$6:$D$435,'SALES Raw'!$E$6:$E$435,$A54,'SALES Raw'!$B$6:$B$435,2026)</f>
        <v>-195.73</v>
      </c>
      <c r="L54" s="16" t="n">
        <f aca="false">D54+H54</f>
        <v>5</v>
      </c>
      <c r="M54" s="17" t="n">
        <f aca="false">E54+I54</f>
        <v>978.65</v>
      </c>
      <c r="N54" s="16" t="n">
        <f aca="false">F54+J54</f>
        <v>1</v>
      </c>
      <c r="O54" s="17" t="n">
        <f aca="false">G54+K54</f>
        <v>146.77</v>
      </c>
    </row>
    <row r="55" customFormat="false" ht="15" hidden="false" customHeight="false" outlineLevel="0" collapsed="false">
      <c r="A55" s="6" t="n">
        <v>4408072</v>
      </c>
      <c r="B55" s="6" t="str">
        <f aca="false">IFERROR(INDEX('TRANS'!$A:$A,MATCH($A55,'TRANS'!$B:$B,0)),"")</f>
        <v>59D M</v>
      </c>
      <c r="C55" s="6" t="str">
        <f aca="false">IFERROR(INDEX('TRANS'!$C:$C,MATCH($A55,'TRANS'!$B:$B,0)),"")</f>
        <v>59D M חגורת שבר דו צדדי</v>
      </c>
      <c r="D55" s="16" t="n">
        <f aca="false">SUMIFS('CEMI Raw'!$C$6:$C$197,'CEMI Raw'!$E$6:$E$197,$A55,'CEMI Raw'!$B$6:$B$197,2025)</f>
        <v>0</v>
      </c>
      <c r="E55" s="17" t="n">
        <f aca="false">SUMIFS('CEMI Raw'!$D$6:$D$197,'CEMI Raw'!$E$6:$E$197,$A55,'CEMI Raw'!$B$6:$B$197,2025)</f>
        <v>0</v>
      </c>
      <c r="F55" s="16" t="n">
        <f aca="false">SUMIFS('CEMI Raw'!$C$6:$C$197,'CEMI Raw'!$E$6:$E$197,$A55,'CEMI Raw'!$B$6:$B$197,2026)</f>
        <v>3</v>
      </c>
      <c r="G55" s="17" t="n">
        <f aca="false">SUMIFS('CEMI Raw'!$D$6:$D$197,'CEMI Raw'!$E$6:$E$197,$A55,'CEMI Raw'!$B$6:$B$197,2026)</f>
        <v>587.2</v>
      </c>
      <c r="H55" s="16" t="n">
        <f aca="false">SUMIFS('SALES Raw'!$C$6:$C$435,'SALES Raw'!$E$6:$E$435,$A55,'SALES Raw'!$B$6:$B$435,2025)</f>
        <v>5</v>
      </c>
      <c r="I55" s="17" t="n">
        <f aca="false">SUMIFS('SALES Raw'!$D$6:$D$435,'SALES Raw'!$E$6:$E$435,$A55,'SALES Raw'!$B$6:$B$435,2025)</f>
        <v>978.65</v>
      </c>
      <c r="J55" s="16" t="n">
        <f aca="false">SUMIFS('SALES Raw'!$C$6:$C$435,'SALES Raw'!$E$6:$E$435,$A55,'SALES Raw'!$B$6:$B$435,2026)</f>
        <v>1</v>
      </c>
      <c r="K55" s="17" t="n">
        <f aca="false">SUMIFS('SALES Raw'!$D$6:$D$435,'SALES Raw'!$E$6:$E$435,$A55,'SALES Raw'!$B$6:$B$435,2026)</f>
        <v>195.73</v>
      </c>
      <c r="L55" s="16" t="n">
        <f aca="false">D55+H55</f>
        <v>5</v>
      </c>
      <c r="M55" s="17" t="n">
        <f aca="false">E55+I55</f>
        <v>978.65</v>
      </c>
      <c r="N55" s="16" t="n">
        <f aca="false">F55+J55</f>
        <v>4</v>
      </c>
      <c r="O55" s="17" t="n">
        <f aca="false">G55+K55</f>
        <v>782.93</v>
      </c>
    </row>
    <row r="56" customFormat="false" ht="15" hidden="false" customHeight="false" outlineLevel="0" collapsed="false">
      <c r="A56" s="6" t="n">
        <v>4408073</v>
      </c>
      <c r="B56" s="6" t="str">
        <f aca="false">IFERROR(INDEX('TRANS'!$A:$A,MATCH($A56,'TRANS'!$B:$B,0)),"")</f>
        <v>59D XL</v>
      </c>
      <c r="C56" s="6" t="str">
        <f aca="false">IFERROR(INDEX('TRANS'!$C:$C,MATCH($A56,'TRANS'!$B:$B,0)),"")</f>
        <v>59D XL חגורת שבר דו צדדי</v>
      </c>
      <c r="D56" s="16" t="n">
        <f aca="false">SUMIFS('CEMI Raw'!$C$6:$C$197,'CEMI Raw'!$E$6:$E$197,$A56,'CEMI Raw'!$B$6:$B$197,2025)</f>
        <v>0</v>
      </c>
      <c r="E56" s="17" t="n">
        <f aca="false">SUMIFS('CEMI Raw'!$D$6:$D$197,'CEMI Raw'!$E$6:$E$197,$A56,'CEMI Raw'!$B$6:$B$197,2025)</f>
        <v>0</v>
      </c>
      <c r="F56" s="16" t="n">
        <f aca="false">SUMIFS('CEMI Raw'!$C$6:$C$197,'CEMI Raw'!$E$6:$E$197,$A56,'CEMI Raw'!$B$6:$B$197,2026)</f>
        <v>2</v>
      </c>
      <c r="G56" s="17" t="n">
        <f aca="false">SUMIFS('CEMI Raw'!$D$6:$D$197,'CEMI Raw'!$E$6:$E$197,$A56,'CEMI Raw'!$B$6:$B$197,2026)</f>
        <v>342.5</v>
      </c>
      <c r="H56" s="16" t="n">
        <f aca="false">SUMIFS('SALES Raw'!$C$6:$C$435,'SALES Raw'!$E$6:$E$435,$A56,'SALES Raw'!$B$6:$B$435,2025)</f>
        <v>1</v>
      </c>
      <c r="I56" s="17" t="n">
        <f aca="false">SUMIFS('SALES Raw'!$D$6:$D$435,'SALES Raw'!$E$6:$E$435,$A56,'SALES Raw'!$B$6:$B$435,2025)</f>
        <v>195.73</v>
      </c>
      <c r="J56" s="16" t="n">
        <f aca="false">SUMIFS('SALES Raw'!$C$6:$C$435,'SALES Raw'!$E$6:$E$435,$A56,'SALES Raw'!$B$6:$B$435,2026)</f>
        <v>2</v>
      </c>
      <c r="K56" s="17" t="n">
        <f aca="false">SUMIFS('SALES Raw'!$D$6:$D$435,'SALES Raw'!$E$6:$E$435,$A56,'SALES Raw'!$B$6:$B$435,2026)</f>
        <v>391.46</v>
      </c>
      <c r="L56" s="16" t="n">
        <f aca="false">D56+H56</f>
        <v>1</v>
      </c>
      <c r="M56" s="17" t="n">
        <f aca="false">E56+I56</f>
        <v>195.73</v>
      </c>
      <c r="N56" s="16" t="n">
        <f aca="false">F56+J56</f>
        <v>4</v>
      </c>
      <c r="O56" s="17" t="n">
        <f aca="false">G56+K56</f>
        <v>733.96</v>
      </c>
    </row>
    <row r="57" customFormat="false" ht="15" hidden="false" customHeight="false" outlineLevel="0" collapsed="false">
      <c r="A57" s="6" t="n">
        <v>4408075</v>
      </c>
      <c r="B57" s="6" t="str">
        <f aca="false">IFERROR(INDEX('TRANS'!$A:$A,MATCH($A57,'TRANS'!$B:$B,0)),"")</f>
        <v>59L S</v>
      </c>
      <c r="C57" s="6" t="str">
        <f aca="false">IFERROR(INDEX('TRANS'!$C:$C,MATCH($A57,'TRANS'!$B:$B,0)),"")</f>
        <v>59L S חגורת שבר לצד שמאל</v>
      </c>
      <c r="D57" s="16" t="n">
        <f aca="false">SUMIFS('CEMI Raw'!$C$6:$C$197,'CEMI Raw'!$E$6:$E$197,$A57,'CEMI Raw'!$B$6:$B$197,2025)</f>
        <v>0</v>
      </c>
      <c r="E57" s="17" t="n">
        <f aca="false">SUMIFS('CEMI Raw'!$D$6:$D$197,'CEMI Raw'!$E$6:$E$197,$A57,'CEMI Raw'!$B$6:$B$197,2025)</f>
        <v>0</v>
      </c>
      <c r="F57" s="16" t="n">
        <f aca="false">SUMIFS('CEMI Raw'!$C$6:$C$197,'CEMI Raw'!$E$6:$E$197,$A57,'CEMI Raw'!$B$6:$B$197,2026)</f>
        <v>2</v>
      </c>
      <c r="G57" s="17" t="n">
        <f aca="false">SUMIFS('CEMI Raw'!$D$6:$D$197,'CEMI Raw'!$E$6:$E$197,$A57,'CEMI Raw'!$B$6:$B$197,2026)</f>
        <v>253.1</v>
      </c>
      <c r="H57" s="16" t="n">
        <f aca="false">SUMIFS('SALES Raw'!$C$6:$C$435,'SALES Raw'!$E$6:$E$435,$A57,'SALES Raw'!$B$6:$B$435,2025)</f>
        <v>1</v>
      </c>
      <c r="I57" s="17" t="n">
        <f aca="false">SUMIFS('SALES Raw'!$D$6:$D$435,'SALES Raw'!$E$6:$E$435,$A57,'SALES Raw'!$B$6:$B$435,2025)</f>
        <v>126.57</v>
      </c>
      <c r="J57" s="16" t="n">
        <f aca="false">SUMIFS('SALES Raw'!$C$6:$C$435,'SALES Raw'!$E$6:$E$435,$A57,'SALES Raw'!$B$6:$B$435,2026)</f>
        <v>1</v>
      </c>
      <c r="K57" s="17" t="n">
        <f aca="false">SUMIFS('SALES Raw'!$D$6:$D$435,'SALES Raw'!$E$6:$E$435,$A57,'SALES Raw'!$B$6:$B$435,2026)</f>
        <v>126.57</v>
      </c>
      <c r="L57" s="16" t="n">
        <f aca="false">D57+H57</f>
        <v>1</v>
      </c>
      <c r="M57" s="17" t="n">
        <f aca="false">E57+I57</f>
        <v>126.57</v>
      </c>
      <c r="N57" s="16" t="n">
        <f aca="false">F57+J57</f>
        <v>3</v>
      </c>
      <c r="O57" s="17" t="n">
        <f aca="false">G57+K57</f>
        <v>379.67</v>
      </c>
    </row>
    <row r="58" customFormat="false" ht="15" hidden="false" customHeight="false" outlineLevel="0" collapsed="false">
      <c r="A58" s="6" t="n">
        <v>4408076</v>
      </c>
      <c r="B58" s="6" t="str">
        <f aca="false">IFERROR(INDEX('TRANS'!$A:$A,MATCH($A58,'TRANS'!$B:$B,0)),"")</f>
        <v>59L L</v>
      </c>
      <c r="C58" s="6" t="str">
        <f aca="false">IFERROR(INDEX('TRANS'!$C:$C,MATCH($A58,'TRANS'!$B:$B,0)),"")</f>
        <v>59L L חגורת שבר לצד שמאל</v>
      </c>
      <c r="D58" s="16" t="n">
        <f aca="false">SUMIFS('CEMI Raw'!$C$6:$C$197,'CEMI Raw'!$E$6:$E$197,$A58,'CEMI Raw'!$B$6:$B$197,2025)</f>
        <v>0</v>
      </c>
      <c r="E58" s="17" t="n">
        <f aca="false">SUMIFS('CEMI Raw'!$D$6:$D$197,'CEMI Raw'!$E$6:$E$197,$A58,'CEMI Raw'!$B$6:$B$197,2025)</f>
        <v>0</v>
      </c>
      <c r="F58" s="16" t="n">
        <f aca="false">SUMIFS('CEMI Raw'!$C$6:$C$197,'CEMI Raw'!$E$6:$E$197,$A58,'CEMI Raw'!$B$6:$B$197,2026)</f>
        <v>7</v>
      </c>
      <c r="G58" s="17" t="n">
        <f aca="false">SUMIFS('CEMI Raw'!$D$6:$D$197,'CEMI Raw'!$E$6:$E$197,$A58,'CEMI Raw'!$B$6:$B$197,2026)</f>
        <v>822.7</v>
      </c>
      <c r="H58" s="16" t="n">
        <f aca="false">SUMIFS('SALES Raw'!$C$6:$C$435,'SALES Raw'!$E$6:$E$435,$A58,'SALES Raw'!$B$6:$B$435,2025)</f>
        <v>4</v>
      </c>
      <c r="I58" s="17" t="n">
        <f aca="false">SUMIFS('SALES Raw'!$D$6:$D$435,'SALES Raw'!$E$6:$E$435,$A58,'SALES Raw'!$B$6:$B$435,2025)</f>
        <v>506.28</v>
      </c>
      <c r="J58" s="16" t="n">
        <f aca="false">SUMIFS('SALES Raw'!$C$6:$C$435,'SALES Raw'!$E$6:$E$435,$A58,'SALES Raw'!$B$6:$B$435,2026)</f>
        <v>0</v>
      </c>
      <c r="K58" s="17" t="n">
        <f aca="false">SUMIFS('SALES Raw'!$D$6:$D$435,'SALES Raw'!$E$6:$E$435,$A58,'SALES Raw'!$B$6:$B$435,2026)</f>
        <v>0</v>
      </c>
      <c r="L58" s="16" t="n">
        <f aca="false">D58+H58</f>
        <v>4</v>
      </c>
      <c r="M58" s="17" t="n">
        <f aca="false">E58+I58</f>
        <v>506.28</v>
      </c>
      <c r="N58" s="16" t="n">
        <f aca="false">F58+J58</f>
        <v>7</v>
      </c>
      <c r="O58" s="17" t="n">
        <f aca="false">G58+K58</f>
        <v>822.7</v>
      </c>
    </row>
    <row r="59" customFormat="false" ht="15" hidden="false" customHeight="false" outlineLevel="0" collapsed="false">
      <c r="A59" s="6" t="n">
        <v>4408077</v>
      </c>
      <c r="B59" s="6" t="str">
        <f aca="false">IFERROR(INDEX('TRANS'!$A:$A,MATCH($A59,'TRANS'!$B:$B,0)),"")</f>
        <v>59L M</v>
      </c>
      <c r="C59" s="6" t="str">
        <f aca="false">IFERROR(INDEX('TRANS'!$C:$C,MATCH($A59,'TRANS'!$B:$B,0)),"")</f>
        <v>59L M חגורת שבר לצד שמאל</v>
      </c>
      <c r="D59" s="16" t="n">
        <f aca="false">SUMIFS('CEMI Raw'!$C$6:$C$197,'CEMI Raw'!$E$6:$E$197,$A59,'CEMI Raw'!$B$6:$B$197,2025)</f>
        <v>0</v>
      </c>
      <c r="E59" s="17" t="n">
        <f aca="false">SUMIFS('CEMI Raw'!$D$6:$D$197,'CEMI Raw'!$E$6:$E$197,$A59,'CEMI Raw'!$B$6:$B$197,2025)</f>
        <v>0</v>
      </c>
      <c r="F59" s="16" t="n">
        <f aca="false">SUMIFS('CEMI Raw'!$C$6:$C$197,'CEMI Raw'!$E$6:$E$197,$A59,'CEMI Raw'!$B$6:$B$197,2026)</f>
        <v>1</v>
      </c>
      <c r="G59" s="17" t="n">
        <f aca="false">SUMIFS('CEMI Raw'!$D$6:$D$197,'CEMI Raw'!$E$6:$E$197,$A59,'CEMI Raw'!$B$6:$B$197,2026)</f>
        <v>126.6</v>
      </c>
      <c r="H59" s="16" t="n">
        <f aca="false">SUMIFS('SALES Raw'!$C$6:$C$435,'SALES Raw'!$E$6:$E$435,$A59,'SALES Raw'!$B$6:$B$435,2025)</f>
        <v>15</v>
      </c>
      <c r="I59" s="17" t="n">
        <f aca="false">SUMIFS('SALES Raw'!$D$6:$D$435,'SALES Raw'!$E$6:$E$435,$A59,'SALES Raw'!$B$6:$B$435,2025)</f>
        <v>1898.55</v>
      </c>
      <c r="J59" s="16" t="n">
        <f aca="false">SUMIFS('SALES Raw'!$C$6:$C$435,'SALES Raw'!$E$6:$E$435,$A59,'SALES Raw'!$B$6:$B$435,2026)</f>
        <v>4</v>
      </c>
      <c r="K59" s="17" t="n">
        <f aca="false">SUMIFS('SALES Raw'!$D$6:$D$435,'SALES Raw'!$E$6:$E$435,$A59,'SALES Raw'!$B$6:$B$435,2026)</f>
        <v>506.28</v>
      </c>
      <c r="L59" s="16" t="n">
        <f aca="false">D59+H59</f>
        <v>15</v>
      </c>
      <c r="M59" s="17" t="n">
        <f aca="false">E59+I59</f>
        <v>1898.55</v>
      </c>
      <c r="N59" s="16" t="n">
        <f aca="false">F59+J59</f>
        <v>5</v>
      </c>
      <c r="O59" s="17" t="n">
        <f aca="false">G59+K59</f>
        <v>632.88</v>
      </c>
    </row>
    <row r="60" customFormat="false" ht="15" hidden="false" customHeight="false" outlineLevel="0" collapsed="false">
      <c r="A60" s="6" t="n">
        <v>4408078</v>
      </c>
      <c r="B60" s="6" t="str">
        <f aca="false">IFERROR(INDEX('TRANS'!$A:$A,MATCH($A60,'TRANS'!$B:$B,0)),"")</f>
        <v>59L XL</v>
      </c>
      <c r="C60" s="6" t="str">
        <f aca="false">IFERROR(INDEX('TRANS'!$C:$C,MATCH($A60,'TRANS'!$B:$B,0)),"")</f>
        <v>59L XLחגורת שבר לצד שמאל</v>
      </c>
      <c r="D60" s="16" t="n">
        <f aca="false">SUMIFS('CEMI Raw'!$C$6:$C$197,'CEMI Raw'!$E$6:$E$197,$A60,'CEMI Raw'!$B$6:$B$197,2025)</f>
        <v>0</v>
      </c>
      <c r="E60" s="17" t="n">
        <f aca="false">SUMIFS('CEMI Raw'!$D$6:$D$197,'CEMI Raw'!$E$6:$E$197,$A60,'CEMI Raw'!$B$6:$B$197,2025)</f>
        <v>0</v>
      </c>
      <c r="F60" s="16" t="n">
        <f aca="false">SUMIFS('CEMI Raw'!$C$6:$C$197,'CEMI Raw'!$E$6:$E$197,$A60,'CEMI Raw'!$B$6:$B$197,2026)</f>
        <v>0</v>
      </c>
      <c r="G60" s="17" t="n">
        <f aca="false">SUMIFS('CEMI Raw'!$D$6:$D$197,'CEMI Raw'!$E$6:$E$197,$A60,'CEMI Raw'!$B$6:$B$197,2026)</f>
        <v>0</v>
      </c>
      <c r="H60" s="16" t="n">
        <f aca="false">SUMIFS('SALES Raw'!$C$6:$C$435,'SALES Raw'!$E$6:$E$435,$A60,'SALES Raw'!$B$6:$B$435,2025)</f>
        <v>1</v>
      </c>
      <c r="I60" s="17" t="n">
        <f aca="false">SUMIFS('SALES Raw'!$D$6:$D$435,'SALES Raw'!$E$6:$E$435,$A60,'SALES Raw'!$B$6:$B$435,2025)</f>
        <v>126.57</v>
      </c>
      <c r="J60" s="16" t="n">
        <f aca="false">SUMIFS('SALES Raw'!$C$6:$C$435,'SALES Raw'!$E$6:$E$435,$A60,'SALES Raw'!$B$6:$B$435,2026)</f>
        <v>1</v>
      </c>
      <c r="K60" s="17" t="n">
        <f aca="false">SUMIFS('SALES Raw'!$D$6:$D$435,'SALES Raw'!$E$6:$E$435,$A60,'SALES Raw'!$B$6:$B$435,2026)</f>
        <v>126.57</v>
      </c>
      <c r="L60" s="16" t="n">
        <f aca="false">D60+H60</f>
        <v>1</v>
      </c>
      <c r="M60" s="17" t="n">
        <f aca="false">E60+I60</f>
        <v>126.57</v>
      </c>
      <c r="N60" s="16" t="n">
        <f aca="false">F60+J60</f>
        <v>1</v>
      </c>
      <c r="O60" s="17" t="n">
        <f aca="false">G60+K60</f>
        <v>126.57</v>
      </c>
    </row>
    <row r="61" customFormat="false" ht="15" hidden="false" customHeight="false" outlineLevel="0" collapsed="false">
      <c r="A61" s="6" t="n">
        <v>4408079</v>
      </c>
      <c r="B61" s="6" t="str">
        <f aca="false">IFERROR(INDEX('TRANS'!$A:$A,MATCH($A61,'TRANS'!$B:$B,0)),"")</f>
        <v>59R S</v>
      </c>
      <c r="C61" s="6" t="str">
        <f aca="false">IFERROR(INDEX('TRANS'!$C:$C,MATCH($A61,'TRANS'!$B:$B,0)),"")</f>
        <v>59R S חגורת שבר לצד ימין</v>
      </c>
      <c r="D61" s="16" t="n">
        <f aca="false">SUMIFS('CEMI Raw'!$C$6:$C$197,'CEMI Raw'!$E$6:$E$197,$A61,'CEMI Raw'!$B$6:$B$197,2025)</f>
        <v>0</v>
      </c>
      <c r="E61" s="17" t="n">
        <f aca="false">SUMIFS('CEMI Raw'!$D$6:$D$197,'CEMI Raw'!$E$6:$E$197,$A61,'CEMI Raw'!$B$6:$B$197,2025)</f>
        <v>0</v>
      </c>
      <c r="F61" s="16" t="n">
        <f aca="false">SUMIFS('CEMI Raw'!$C$6:$C$197,'CEMI Raw'!$E$6:$E$197,$A61,'CEMI Raw'!$B$6:$B$197,2026)</f>
        <v>0</v>
      </c>
      <c r="G61" s="17" t="n">
        <f aca="false">SUMIFS('CEMI Raw'!$D$6:$D$197,'CEMI Raw'!$E$6:$E$197,$A61,'CEMI Raw'!$B$6:$B$197,2026)</f>
        <v>0</v>
      </c>
      <c r="H61" s="16" t="n">
        <f aca="false">SUMIFS('SALES Raw'!$C$6:$C$435,'SALES Raw'!$E$6:$E$435,$A61,'SALES Raw'!$B$6:$B$435,2025)</f>
        <v>2</v>
      </c>
      <c r="I61" s="17" t="n">
        <f aca="false">SUMIFS('SALES Raw'!$D$6:$D$435,'SALES Raw'!$E$6:$E$435,$A61,'SALES Raw'!$B$6:$B$435,2025)</f>
        <v>253.14</v>
      </c>
      <c r="J61" s="16" t="n">
        <f aca="false">SUMIFS('SALES Raw'!$C$6:$C$435,'SALES Raw'!$E$6:$E$435,$A61,'SALES Raw'!$B$6:$B$435,2026)</f>
        <v>-1</v>
      </c>
      <c r="K61" s="17" t="n">
        <f aca="false">SUMIFS('SALES Raw'!$D$6:$D$435,'SALES Raw'!$E$6:$E$435,$A61,'SALES Raw'!$B$6:$B$435,2026)</f>
        <v>-126.57</v>
      </c>
      <c r="L61" s="16" t="n">
        <f aca="false">D61+H61</f>
        <v>2</v>
      </c>
      <c r="M61" s="17" t="n">
        <f aca="false">E61+I61</f>
        <v>253.14</v>
      </c>
      <c r="N61" s="16" t="n">
        <f aca="false">F61+J61</f>
        <v>-1</v>
      </c>
      <c r="O61" s="17" t="n">
        <f aca="false">G61+K61</f>
        <v>-126.57</v>
      </c>
    </row>
    <row r="62" customFormat="false" ht="15" hidden="false" customHeight="false" outlineLevel="0" collapsed="false">
      <c r="A62" s="6" t="n">
        <v>4408080</v>
      </c>
      <c r="B62" s="6" t="str">
        <f aca="false">IFERROR(INDEX('TRANS'!$A:$A,MATCH($A62,'TRANS'!$B:$B,0)),"")</f>
        <v>59R L</v>
      </c>
      <c r="C62" s="6" t="str">
        <f aca="false">IFERROR(INDEX('TRANS'!$C:$C,MATCH($A62,'TRANS'!$B:$B,0)),"")</f>
        <v>59R L חגורת שבר לצד ימין</v>
      </c>
      <c r="D62" s="16" t="n">
        <f aca="false">SUMIFS('CEMI Raw'!$C$6:$C$197,'CEMI Raw'!$E$6:$E$197,$A62,'CEMI Raw'!$B$6:$B$197,2025)</f>
        <v>0</v>
      </c>
      <c r="E62" s="17" t="n">
        <f aca="false">SUMIFS('CEMI Raw'!$D$6:$D$197,'CEMI Raw'!$E$6:$E$197,$A62,'CEMI Raw'!$B$6:$B$197,2025)</f>
        <v>0</v>
      </c>
      <c r="F62" s="16" t="n">
        <f aca="false">SUMIFS('CEMI Raw'!$C$6:$C$197,'CEMI Raw'!$E$6:$E$197,$A62,'CEMI Raw'!$B$6:$B$197,2026)</f>
        <v>3</v>
      </c>
      <c r="G62" s="17" t="n">
        <f aca="false">SUMIFS('CEMI Raw'!$D$6:$D$197,'CEMI Raw'!$E$6:$E$197,$A62,'CEMI Raw'!$B$6:$B$197,2026)</f>
        <v>348.1</v>
      </c>
      <c r="H62" s="16" t="n">
        <f aca="false">SUMIFS('SALES Raw'!$C$6:$C$435,'SALES Raw'!$E$6:$E$435,$A62,'SALES Raw'!$B$6:$B$435,2025)</f>
        <v>17</v>
      </c>
      <c r="I62" s="17" t="n">
        <f aca="false">SUMIFS('SALES Raw'!$D$6:$D$435,'SALES Raw'!$E$6:$E$435,$A62,'SALES Raw'!$B$6:$B$435,2025)</f>
        <v>2151.69</v>
      </c>
      <c r="J62" s="16" t="n">
        <f aca="false">SUMIFS('SALES Raw'!$C$6:$C$435,'SALES Raw'!$E$6:$E$435,$A62,'SALES Raw'!$B$6:$B$435,2026)</f>
        <v>3</v>
      </c>
      <c r="K62" s="17" t="n">
        <f aca="false">SUMIFS('SALES Raw'!$D$6:$D$435,'SALES Raw'!$E$6:$E$435,$A62,'SALES Raw'!$B$6:$B$435,2026)</f>
        <v>379.71</v>
      </c>
      <c r="L62" s="16" t="n">
        <f aca="false">D62+H62</f>
        <v>17</v>
      </c>
      <c r="M62" s="17" t="n">
        <f aca="false">E62+I62</f>
        <v>2151.69</v>
      </c>
      <c r="N62" s="16" t="n">
        <f aca="false">F62+J62</f>
        <v>6</v>
      </c>
      <c r="O62" s="17" t="n">
        <f aca="false">G62+K62</f>
        <v>727.81</v>
      </c>
    </row>
    <row r="63" customFormat="false" ht="15" hidden="false" customHeight="false" outlineLevel="0" collapsed="false">
      <c r="A63" s="6" t="n">
        <v>4408081</v>
      </c>
      <c r="B63" s="6" t="str">
        <f aca="false">IFERROR(INDEX('TRANS'!$A:$A,MATCH($A63,'TRANS'!$B:$B,0)),"")</f>
        <v>59R M</v>
      </c>
      <c r="C63" s="6" t="str">
        <f aca="false">IFERROR(INDEX('TRANS'!$C:$C,MATCH($A63,'TRANS'!$B:$B,0)),"")</f>
        <v>59R M חגורת שבר לצד ימין</v>
      </c>
      <c r="D63" s="16" t="n">
        <f aca="false">SUMIFS('CEMI Raw'!$C$6:$C$197,'CEMI Raw'!$E$6:$E$197,$A63,'CEMI Raw'!$B$6:$B$197,2025)</f>
        <v>0</v>
      </c>
      <c r="E63" s="17" t="n">
        <f aca="false">SUMIFS('CEMI Raw'!$D$6:$D$197,'CEMI Raw'!$E$6:$E$197,$A63,'CEMI Raw'!$B$6:$B$197,2025)</f>
        <v>0</v>
      </c>
      <c r="F63" s="16" t="n">
        <f aca="false">SUMIFS('CEMI Raw'!$C$6:$C$197,'CEMI Raw'!$E$6:$E$197,$A63,'CEMI Raw'!$B$6:$B$197,2026)</f>
        <v>10</v>
      </c>
      <c r="G63" s="17" t="n">
        <f aca="false">SUMIFS('CEMI Raw'!$D$6:$D$197,'CEMI Raw'!$E$6:$E$197,$A63,'CEMI Raw'!$B$6:$B$197,2026)</f>
        <v>1139.1</v>
      </c>
      <c r="H63" s="16" t="n">
        <f aca="false">SUMIFS('SALES Raw'!$C$6:$C$435,'SALES Raw'!$E$6:$E$435,$A63,'SALES Raw'!$B$6:$B$435,2025)</f>
        <v>18</v>
      </c>
      <c r="I63" s="17" t="n">
        <f aca="false">SUMIFS('SALES Raw'!$D$6:$D$435,'SALES Raw'!$E$6:$E$435,$A63,'SALES Raw'!$B$6:$B$435,2025)</f>
        <v>2278.26</v>
      </c>
      <c r="J63" s="16" t="n">
        <f aca="false">SUMIFS('SALES Raw'!$C$6:$C$435,'SALES Raw'!$E$6:$E$435,$A63,'SALES Raw'!$B$6:$B$435,2026)</f>
        <v>2</v>
      </c>
      <c r="K63" s="17" t="n">
        <f aca="false">SUMIFS('SALES Raw'!$D$6:$D$435,'SALES Raw'!$E$6:$E$435,$A63,'SALES Raw'!$B$6:$B$435,2026)</f>
        <v>253.14</v>
      </c>
      <c r="L63" s="16" t="n">
        <f aca="false">D63+H63</f>
        <v>18</v>
      </c>
      <c r="M63" s="17" t="n">
        <f aca="false">E63+I63</f>
        <v>2278.26</v>
      </c>
      <c r="N63" s="16" t="n">
        <f aca="false">F63+J63</f>
        <v>12</v>
      </c>
      <c r="O63" s="17" t="n">
        <f aca="false">G63+K63</f>
        <v>1392.24</v>
      </c>
    </row>
    <row r="64" customFormat="false" ht="15" hidden="false" customHeight="false" outlineLevel="0" collapsed="false">
      <c r="A64" s="6" t="n">
        <v>4408082</v>
      </c>
      <c r="B64" s="6" t="str">
        <f aca="false">IFERROR(INDEX('TRANS'!$A:$A,MATCH($A64,'TRANS'!$B:$B,0)),"")</f>
        <v>59R XL</v>
      </c>
      <c r="C64" s="6" t="str">
        <f aca="false">IFERROR(INDEX('TRANS'!$C:$C,MATCH($A64,'TRANS'!$B:$B,0)),"")</f>
        <v>59R XL חגורת שבר לצד ימין</v>
      </c>
      <c r="D64" s="16" t="n">
        <f aca="false">SUMIFS('CEMI Raw'!$C$6:$C$197,'CEMI Raw'!$E$6:$E$197,$A64,'CEMI Raw'!$B$6:$B$197,2025)</f>
        <v>0</v>
      </c>
      <c r="E64" s="17" t="n">
        <f aca="false">SUMIFS('CEMI Raw'!$D$6:$D$197,'CEMI Raw'!$E$6:$E$197,$A64,'CEMI Raw'!$B$6:$B$197,2025)</f>
        <v>0</v>
      </c>
      <c r="F64" s="16" t="n">
        <f aca="false">SUMIFS('CEMI Raw'!$C$6:$C$197,'CEMI Raw'!$E$6:$E$197,$A64,'CEMI Raw'!$B$6:$B$197,2026)</f>
        <v>0</v>
      </c>
      <c r="G64" s="17" t="n">
        <f aca="false">SUMIFS('CEMI Raw'!$D$6:$D$197,'CEMI Raw'!$E$6:$E$197,$A64,'CEMI Raw'!$B$6:$B$197,2026)</f>
        <v>0</v>
      </c>
      <c r="H64" s="16" t="n">
        <f aca="false">SUMIFS('SALES Raw'!$C$6:$C$435,'SALES Raw'!$E$6:$E$435,$A64,'SALES Raw'!$B$6:$B$435,2025)</f>
        <v>7</v>
      </c>
      <c r="I64" s="17" t="n">
        <f aca="false">SUMIFS('SALES Raw'!$D$6:$D$435,'SALES Raw'!$E$6:$E$435,$A64,'SALES Raw'!$B$6:$B$435,2025)</f>
        <v>885.99</v>
      </c>
      <c r="J64" s="16" t="n">
        <f aca="false">SUMIFS('SALES Raw'!$C$6:$C$435,'SALES Raw'!$E$6:$E$435,$A64,'SALES Raw'!$B$6:$B$435,2026)</f>
        <v>0</v>
      </c>
      <c r="K64" s="17" t="n">
        <f aca="false">SUMIFS('SALES Raw'!$D$6:$D$435,'SALES Raw'!$E$6:$E$435,$A64,'SALES Raw'!$B$6:$B$435,2026)</f>
        <v>0</v>
      </c>
      <c r="L64" s="16" t="n">
        <f aca="false">D64+H64</f>
        <v>7</v>
      </c>
      <c r="M64" s="17" t="n">
        <f aca="false">E64+I64</f>
        <v>885.99</v>
      </c>
      <c r="N64" s="16" t="n">
        <f aca="false">F64+J64</f>
        <v>0</v>
      </c>
      <c r="O64" s="17" t="n">
        <f aca="false">G64+K64</f>
        <v>0</v>
      </c>
    </row>
    <row r="65" customFormat="false" ht="15" hidden="false" customHeight="false" outlineLevel="0" collapsed="false">
      <c r="A65" s="6" t="n">
        <v>4408092</v>
      </c>
      <c r="B65" s="6" t="str">
        <f aca="false">IFERROR(INDEX('TRANS'!$A:$A,MATCH($A65,'TRANS'!$B:$B,0)),"")</f>
        <v>T11C XL</v>
      </c>
      <c r="C65" s="6" t="str">
        <f aca="false">IFERROR(INDEX('TRANS'!$C:$C,MATCH($A65,'TRANS'!$B:$B,0)),"")</f>
        <v>T11C XL חגורת גב פוג'יאמה</v>
      </c>
      <c r="D65" s="16" t="n">
        <f aca="false">SUMIFS('CEMI Raw'!$C$6:$C$197,'CEMI Raw'!$E$6:$E$197,$A65,'CEMI Raw'!$B$6:$B$197,2025)</f>
        <v>0</v>
      </c>
      <c r="E65" s="17" t="n">
        <f aca="false">SUMIFS('CEMI Raw'!$D$6:$D$197,'CEMI Raw'!$E$6:$E$197,$A65,'CEMI Raw'!$B$6:$B$197,2025)</f>
        <v>0</v>
      </c>
      <c r="F65" s="16" t="n">
        <f aca="false">SUMIFS('CEMI Raw'!$C$6:$C$197,'CEMI Raw'!$E$6:$E$197,$A65,'CEMI Raw'!$B$6:$B$197,2026)</f>
        <v>0</v>
      </c>
      <c r="G65" s="17" t="n">
        <f aca="false">SUMIFS('CEMI Raw'!$D$6:$D$197,'CEMI Raw'!$E$6:$E$197,$A65,'CEMI Raw'!$B$6:$B$197,2026)</f>
        <v>0</v>
      </c>
      <c r="H65" s="16" t="n">
        <f aca="false">SUMIFS('SALES Raw'!$C$6:$C$435,'SALES Raw'!$E$6:$E$435,$A65,'SALES Raw'!$B$6:$B$435,2025)</f>
        <v>-1</v>
      </c>
      <c r="I65" s="17" t="n">
        <f aca="false">SUMIFS('SALES Raw'!$D$6:$D$435,'SALES Raw'!$E$6:$E$435,$A65,'SALES Raw'!$B$6:$B$435,2025)</f>
        <v>-74.63</v>
      </c>
      <c r="J65" s="16" t="n">
        <f aca="false">SUMIFS('SALES Raw'!$C$6:$C$435,'SALES Raw'!$E$6:$E$435,$A65,'SALES Raw'!$B$6:$B$435,2026)</f>
        <v>0</v>
      </c>
      <c r="K65" s="17" t="n">
        <f aca="false">SUMIFS('SALES Raw'!$D$6:$D$435,'SALES Raw'!$E$6:$E$435,$A65,'SALES Raw'!$B$6:$B$435,2026)</f>
        <v>0</v>
      </c>
      <c r="L65" s="16" t="n">
        <f aca="false">D65+H65</f>
        <v>-1</v>
      </c>
      <c r="M65" s="17" t="n">
        <f aca="false">E65+I65</f>
        <v>-74.63</v>
      </c>
      <c r="N65" s="16" t="n">
        <f aca="false">F65+J65</f>
        <v>0</v>
      </c>
      <c r="O65" s="17" t="n">
        <f aca="false">G65+K65</f>
        <v>0</v>
      </c>
    </row>
    <row r="66" customFormat="false" ht="15" hidden="false" customHeight="false" outlineLevel="0" collapsed="false">
      <c r="A66" s="6" t="n">
        <v>4408151</v>
      </c>
      <c r="B66" s="6" t="str">
        <f aca="false">IFERROR(INDEX('TRANS'!$A:$A,MATCH($A66,'TRANS'!$B:$B,0)),"")</f>
        <v>11TO M</v>
      </c>
      <c r="C66" s="6" t="str">
        <f aca="false">IFERROR(INDEX('TRANS'!$C:$C,MATCH($A66,'TRANS'!$B:$B,0)),"")</f>
        <v>11TO M חגורה למנותחי בית החזה</v>
      </c>
      <c r="D66" s="16" t="n">
        <f aca="false">SUMIFS('CEMI Raw'!$C$6:$C$197,'CEMI Raw'!$E$6:$E$197,$A66,'CEMI Raw'!$B$6:$B$197,2025)</f>
        <v>0</v>
      </c>
      <c r="E66" s="17" t="n">
        <f aca="false">SUMIFS('CEMI Raw'!$D$6:$D$197,'CEMI Raw'!$E$6:$E$197,$A66,'CEMI Raw'!$B$6:$B$197,2025)</f>
        <v>0</v>
      </c>
      <c r="F66" s="16" t="n">
        <f aca="false">SUMIFS('CEMI Raw'!$C$6:$C$197,'CEMI Raw'!$E$6:$E$197,$A66,'CEMI Raw'!$B$6:$B$197,2026)</f>
        <v>1</v>
      </c>
      <c r="G66" s="17" t="n">
        <f aca="false">SUMIFS('CEMI Raw'!$D$6:$D$197,'CEMI Raw'!$E$6:$E$197,$A66,'CEMI Raw'!$B$6:$B$197,2026)</f>
        <v>107.1</v>
      </c>
      <c r="H66" s="16" t="n">
        <f aca="false">SUMIFS('SALES Raw'!$C$6:$C$435,'SALES Raw'!$E$6:$E$435,$A66,'SALES Raw'!$B$6:$B$435,2025)</f>
        <v>8</v>
      </c>
      <c r="I66" s="17" t="n">
        <f aca="false">SUMIFS('SALES Raw'!$D$6:$D$435,'SALES Raw'!$E$6:$E$435,$A66,'SALES Raw'!$B$6:$B$435,2025)</f>
        <v>856.72</v>
      </c>
      <c r="J66" s="16" t="n">
        <f aca="false">SUMIFS('SALES Raw'!$C$6:$C$435,'SALES Raw'!$E$6:$E$435,$A66,'SALES Raw'!$B$6:$B$435,2026)</f>
        <v>0</v>
      </c>
      <c r="K66" s="17" t="n">
        <f aca="false">SUMIFS('SALES Raw'!$D$6:$D$435,'SALES Raw'!$E$6:$E$435,$A66,'SALES Raw'!$B$6:$B$435,2026)</f>
        <v>0</v>
      </c>
      <c r="L66" s="16" t="n">
        <f aca="false">D66+H66</f>
        <v>8</v>
      </c>
      <c r="M66" s="17" t="n">
        <f aca="false">E66+I66</f>
        <v>856.72</v>
      </c>
      <c r="N66" s="16" t="n">
        <f aca="false">F66+J66</f>
        <v>1</v>
      </c>
      <c r="O66" s="17" t="n">
        <f aca="false">G66+K66</f>
        <v>107.1</v>
      </c>
    </row>
    <row r="67" customFormat="false" ht="15" hidden="false" customHeight="false" outlineLevel="0" collapsed="false">
      <c r="A67" s="6" t="n">
        <v>4408152</v>
      </c>
      <c r="B67" s="6" t="str">
        <f aca="false">IFERROR(INDEX('TRANS'!$A:$A,MATCH($A67,'TRANS'!$B:$B,0)),"")</f>
        <v>11TO L</v>
      </c>
      <c r="C67" s="6" t="str">
        <f aca="false">IFERROR(INDEX('TRANS'!$C:$C,MATCH($A67,'TRANS'!$B:$B,0)),"")</f>
        <v>11TO L חגורה למנותחי בית החזה</v>
      </c>
      <c r="D67" s="16" t="n">
        <f aca="false">SUMIFS('CEMI Raw'!$C$6:$C$197,'CEMI Raw'!$E$6:$E$197,$A67,'CEMI Raw'!$B$6:$B$197,2025)</f>
        <v>0</v>
      </c>
      <c r="E67" s="17" t="n">
        <f aca="false">SUMIFS('CEMI Raw'!$D$6:$D$197,'CEMI Raw'!$E$6:$E$197,$A67,'CEMI Raw'!$B$6:$B$197,2025)</f>
        <v>0</v>
      </c>
      <c r="F67" s="16" t="n">
        <f aca="false">SUMIFS('CEMI Raw'!$C$6:$C$197,'CEMI Raw'!$E$6:$E$197,$A67,'CEMI Raw'!$B$6:$B$197,2026)</f>
        <v>10</v>
      </c>
      <c r="G67" s="17" t="n">
        <f aca="false">SUMIFS('CEMI Raw'!$D$6:$D$197,'CEMI Raw'!$E$6:$E$197,$A67,'CEMI Raw'!$B$6:$B$197,2026)</f>
        <v>1017.3</v>
      </c>
      <c r="H67" s="16" t="n">
        <f aca="false">SUMIFS('SALES Raw'!$C$6:$C$435,'SALES Raw'!$E$6:$E$435,$A67,'SALES Raw'!$B$6:$B$435,2025)</f>
        <v>17</v>
      </c>
      <c r="I67" s="17" t="n">
        <f aca="false">SUMIFS('SALES Raw'!$D$6:$D$435,'SALES Raw'!$E$6:$E$435,$A67,'SALES Raw'!$B$6:$B$435,2025)</f>
        <v>1820.53</v>
      </c>
      <c r="J67" s="16" t="n">
        <f aca="false">SUMIFS('SALES Raw'!$C$6:$C$435,'SALES Raw'!$E$6:$E$435,$A67,'SALES Raw'!$B$6:$B$435,2026)</f>
        <v>6</v>
      </c>
      <c r="K67" s="17" t="n">
        <f aca="false">SUMIFS('SALES Raw'!$D$6:$D$435,'SALES Raw'!$E$6:$E$435,$A67,'SALES Raw'!$B$6:$B$435,2026)</f>
        <v>642.54</v>
      </c>
      <c r="L67" s="16" t="n">
        <f aca="false">D67+H67</f>
        <v>17</v>
      </c>
      <c r="M67" s="17" t="n">
        <f aca="false">E67+I67</f>
        <v>1820.53</v>
      </c>
      <c r="N67" s="16" t="n">
        <f aca="false">F67+J67</f>
        <v>16</v>
      </c>
      <c r="O67" s="17" t="n">
        <f aca="false">G67+K67</f>
        <v>1659.84</v>
      </c>
    </row>
    <row r="68" customFormat="false" ht="15" hidden="false" customHeight="false" outlineLevel="0" collapsed="false">
      <c r="A68" s="6" t="n">
        <v>4408153</v>
      </c>
      <c r="B68" s="6" t="str">
        <f aca="false">IFERROR(INDEX('TRANS'!$A:$A,MATCH($A68,'TRANS'!$B:$B,0)),"")</f>
        <v>11TO XL</v>
      </c>
      <c r="C68" s="6" t="str">
        <f aca="false">IFERROR(INDEX('TRANS'!$C:$C,MATCH($A68,'TRANS'!$B:$B,0)),"")</f>
        <v>11TO XLחגורה למנותחי בית החזה</v>
      </c>
      <c r="D68" s="16" t="n">
        <f aca="false">SUMIFS('CEMI Raw'!$C$6:$C$197,'CEMI Raw'!$E$6:$E$197,$A68,'CEMI Raw'!$B$6:$B$197,2025)</f>
        <v>0</v>
      </c>
      <c r="E68" s="17" t="n">
        <f aca="false">SUMIFS('CEMI Raw'!$D$6:$D$197,'CEMI Raw'!$E$6:$E$197,$A68,'CEMI Raw'!$B$6:$B$197,2025)</f>
        <v>0</v>
      </c>
      <c r="F68" s="16" t="n">
        <f aca="false">SUMIFS('CEMI Raw'!$C$6:$C$197,'CEMI Raw'!$E$6:$E$197,$A68,'CEMI Raw'!$B$6:$B$197,2026)</f>
        <v>4</v>
      </c>
      <c r="G68" s="17" t="n">
        <f aca="false">SUMIFS('CEMI Raw'!$D$6:$D$197,'CEMI Raw'!$E$6:$E$197,$A68,'CEMI Raw'!$B$6:$B$197,2026)</f>
        <v>401.6</v>
      </c>
      <c r="H68" s="16" t="n">
        <f aca="false">SUMIFS('SALES Raw'!$C$6:$C$435,'SALES Raw'!$E$6:$E$435,$A68,'SALES Raw'!$B$6:$B$435,2025)</f>
        <v>9</v>
      </c>
      <c r="I68" s="17" t="n">
        <f aca="false">SUMIFS('SALES Raw'!$D$6:$D$435,'SALES Raw'!$E$6:$E$435,$A68,'SALES Raw'!$B$6:$B$435,2025)</f>
        <v>963.81</v>
      </c>
      <c r="J68" s="16" t="n">
        <f aca="false">SUMIFS('SALES Raw'!$C$6:$C$435,'SALES Raw'!$E$6:$E$435,$A68,'SALES Raw'!$B$6:$B$435,2026)</f>
        <v>2</v>
      </c>
      <c r="K68" s="17" t="n">
        <f aca="false">SUMIFS('SALES Raw'!$D$6:$D$435,'SALES Raw'!$E$6:$E$435,$A68,'SALES Raw'!$B$6:$B$435,2026)</f>
        <v>214.18</v>
      </c>
      <c r="L68" s="16" t="n">
        <f aca="false">D68+H68</f>
        <v>9</v>
      </c>
      <c r="M68" s="17" t="n">
        <f aca="false">E68+I68</f>
        <v>963.81</v>
      </c>
      <c r="N68" s="16" t="n">
        <f aca="false">F68+J68</f>
        <v>6</v>
      </c>
      <c r="O68" s="17" t="n">
        <f aca="false">G68+K68</f>
        <v>615.78</v>
      </c>
    </row>
    <row r="69" customFormat="false" ht="15" hidden="false" customHeight="false" outlineLevel="0" collapsed="false">
      <c r="A69" s="6" t="n">
        <v>4408154</v>
      </c>
      <c r="B69" s="6" t="str">
        <f aca="false">IFERROR(INDEX('TRANS'!$A:$A,MATCH($A69,'TRANS'!$B:$B,0)),"")</f>
        <v>11TO XXL</v>
      </c>
      <c r="C69" s="6" t="str">
        <f aca="false">IFERROR(INDEX('TRANS'!$C:$C,MATCH($A69,'TRANS'!$B:$B,0)),"")</f>
        <v>11TO XXLחגורה למנותחי בית החזה</v>
      </c>
      <c r="D69" s="16" t="n">
        <f aca="false">SUMIFS('CEMI Raw'!$C$6:$C$197,'CEMI Raw'!$E$6:$E$197,$A69,'CEMI Raw'!$B$6:$B$197,2025)</f>
        <v>0</v>
      </c>
      <c r="E69" s="17" t="n">
        <f aca="false">SUMIFS('CEMI Raw'!$D$6:$D$197,'CEMI Raw'!$E$6:$E$197,$A69,'CEMI Raw'!$B$6:$B$197,2025)</f>
        <v>0</v>
      </c>
      <c r="F69" s="16" t="n">
        <f aca="false">SUMIFS('CEMI Raw'!$C$6:$C$197,'CEMI Raw'!$E$6:$E$197,$A69,'CEMI Raw'!$B$6:$B$197,2026)</f>
        <v>7</v>
      </c>
      <c r="G69" s="17" t="n">
        <f aca="false">SUMIFS('CEMI Raw'!$D$6:$D$197,'CEMI Raw'!$E$6:$E$197,$A69,'CEMI Raw'!$B$6:$B$197,2026)</f>
        <v>642.5</v>
      </c>
      <c r="H69" s="16" t="n">
        <f aca="false">SUMIFS('SALES Raw'!$C$6:$C$435,'SALES Raw'!$E$6:$E$435,$A69,'SALES Raw'!$B$6:$B$435,2025)</f>
        <v>0</v>
      </c>
      <c r="I69" s="17" t="n">
        <f aca="false">SUMIFS('SALES Raw'!$D$6:$D$435,'SALES Raw'!$E$6:$E$435,$A69,'SALES Raw'!$B$6:$B$435,2025)</f>
        <v>2.8421709430404E-014</v>
      </c>
      <c r="J69" s="16" t="n">
        <f aca="false">SUMIFS('SALES Raw'!$C$6:$C$435,'SALES Raw'!$E$6:$E$435,$A69,'SALES Raw'!$B$6:$B$435,2026)</f>
        <v>5</v>
      </c>
      <c r="K69" s="17" t="n">
        <f aca="false">SUMIFS('SALES Raw'!$D$6:$D$435,'SALES Raw'!$E$6:$E$435,$A69,'SALES Raw'!$B$6:$B$435,2026)</f>
        <v>535.45</v>
      </c>
      <c r="L69" s="16" t="n">
        <f aca="false">D69+H69</f>
        <v>0</v>
      </c>
      <c r="M69" s="17" t="n">
        <f aca="false">E69+I69</f>
        <v>2.8421709430404E-014</v>
      </c>
      <c r="N69" s="16" t="n">
        <f aca="false">F69+J69</f>
        <v>12</v>
      </c>
      <c r="O69" s="17" t="n">
        <f aca="false">G69+K69</f>
        <v>1177.95</v>
      </c>
    </row>
    <row r="70" customFormat="false" ht="15" hidden="false" customHeight="false" outlineLevel="0" collapsed="false">
      <c r="A70" s="6" t="n">
        <v>4408179</v>
      </c>
      <c r="B70" s="6" t="str">
        <f aca="false">IFERROR(INDEX('TRANS'!$A:$A,MATCH($A70,'TRANS'!$B:$B,0)),"")</f>
        <v>13 XL</v>
      </c>
      <c r="C70" s="6" t="str">
        <f aca="false">IFERROR(INDEX('TRANS'!$C:$C,MATCH($A70,'TRANS'!$B:$B,0)),"")</f>
        <v>13 XL חגורה לשבר טבור</v>
      </c>
      <c r="D70" s="16" t="n">
        <f aca="false">SUMIFS('CEMI Raw'!$C$6:$C$197,'CEMI Raw'!$E$6:$E$197,$A70,'CEMI Raw'!$B$6:$B$197,2025)</f>
        <v>0</v>
      </c>
      <c r="E70" s="17" t="n">
        <f aca="false">SUMIFS('CEMI Raw'!$D$6:$D$197,'CEMI Raw'!$E$6:$E$197,$A70,'CEMI Raw'!$B$6:$B$197,2025)</f>
        <v>0</v>
      </c>
      <c r="F70" s="16" t="n">
        <f aca="false">SUMIFS('CEMI Raw'!$C$6:$C$197,'CEMI Raw'!$E$6:$E$197,$A70,'CEMI Raw'!$B$6:$B$197,2026)</f>
        <v>0</v>
      </c>
      <c r="G70" s="17" t="n">
        <f aca="false">SUMIFS('CEMI Raw'!$D$6:$D$197,'CEMI Raw'!$E$6:$E$197,$A70,'CEMI Raw'!$B$6:$B$197,2026)</f>
        <v>0</v>
      </c>
      <c r="H70" s="16" t="n">
        <f aca="false">SUMIFS('SALES Raw'!$C$6:$C$435,'SALES Raw'!$E$6:$E$435,$A70,'SALES Raw'!$B$6:$B$435,2025)</f>
        <v>7</v>
      </c>
      <c r="I70" s="17" t="n">
        <f aca="false">SUMIFS('SALES Raw'!$D$6:$D$435,'SALES Raw'!$E$6:$E$435,$A70,'SALES Raw'!$B$6:$B$435,2025)</f>
        <v>749.63</v>
      </c>
      <c r="J70" s="16" t="n">
        <f aca="false">SUMIFS('SALES Raw'!$C$6:$C$435,'SALES Raw'!$E$6:$E$435,$A70,'SALES Raw'!$B$6:$B$435,2026)</f>
        <v>-2</v>
      </c>
      <c r="K70" s="17" t="n">
        <f aca="false">SUMIFS('SALES Raw'!$D$6:$D$435,'SALES Raw'!$E$6:$E$435,$A70,'SALES Raw'!$B$6:$B$435,2026)</f>
        <v>-214.18</v>
      </c>
      <c r="L70" s="16" t="n">
        <f aca="false">D70+H70</f>
        <v>7</v>
      </c>
      <c r="M70" s="17" t="n">
        <f aca="false">E70+I70</f>
        <v>749.63</v>
      </c>
      <c r="N70" s="16" t="n">
        <f aca="false">F70+J70</f>
        <v>-2</v>
      </c>
      <c r="O70" s="17" t="n">
        <f aca="false">G70+K70</f>
        <v>-214.18</v>
      </c>
    </row>
    <row r="71" customFormat="false" ht="15" hidden="false" customHeight="false" outlineLevel="0" collapsed="false">
      <c r="A71" s="6" t="n">
        <v>4408190</v>
      </c>
      <c r="B71" s="6" t="str">
        <f aca="false">IFERROR(INDEX('TRANS'!$A:$A,MATCH($A71,'TRANS'!$B:$B,0)),"")</f>
        <v>078 M</v>
      </c>
      <c r="C71" s="6" t="str">
        <f aca="false">IFERROR(INDEX('TRANS'!$C:$C,MATCH($A71,'TRANS'!$B:$B,0)),"")</f>
        <v>M078 חגורת גב +סגירה כפולה</v>
      </c>
      <c r="D71" s="16" t="n">
        <f aca="false">SUMIFS('CEMI Raw'!$C$6:$C$197,'CEMI Raw'!$E$6:$E$197,$A71,'CEMI Raw'!$B$6:$B$197,2025)</f>
        <v>0</v>
      </c>
      <c r="E71" s="17" t="n">
        <f aca="false">SUMIFS('CEMI Raw'!$D$6:$D$197,'CEMI Raw'!$E$6:$E$197,$A71,'CEMI Raw'!$B$6:$B$197,2025)</f>
        <v>0</v>
      </c>
      <c r="F71" s="16" t="n">
        <f aca="false">SUMIFS('CEMI Raw'!$C$6:$C$197,'CEMI Raw'!$E$6:$E$197,$A71,'CEMI Raw'!$B$6:$B$197,2026)</f>
        <v>35</v>
      </c>
      <c r="G71" s="17" t="n">
        <f aca="false">SUMIFS('CEMI Raw'!$D$6:$D$197,'CEMI Raw'!$E$6:$E$197,$A71,'CEMI Raw'!$B$6:$B$197,2026)</f>
        <v>2193.8</v>
      </c>
      <c r="H71" s="16" t="n">
        <f aca="false">SUMIFS('SALES Raw'!$C$6:$C$435,'SALES Raw'!$E$6:$E$435,$A71,'SALES Raw'!$B$6:$B$435,2025)</f>
        <v>59</v>
      </c>
      <c r="I71" s="17" t="n">
        <f aca="false">SUMIFS('SALES Raw'!$D$6:$D$435,'SALES Raw'!$E$6:$E$435,$A71,'SALES Raw'!$B$6:$B$435,2025)</f>
        <v>3835</v>
      </c>
      <c r="J71" s="16" t="n">
        <f aca="false">SUMIFS('SALES Raw'!$C$6:$C$435,'SALES Raw'!$E$6:$E$435,$A71,'SALES Raw'!$B$6:$B$435,2026)</f>
        <v>27</v>
      </c>
      <c r="K71" s="17" t="n">
        <f aca="false">SUMIFS('SALES Raw'!$D$6:$D$435,'SALES Raw'!$E$6:$E$435,$A71,'SALES Raw'!$B$6:$B$435,2026)</f>
        <v>1755</v>
      </c>
      <c r="L71" s="16" t="n">
        <f aca="false">D71+H71</f>
        <v>59</v>
      </c>
      <c r="M71" s="17" t="n">
        <f aca="false">E71+I71</f>
        <v>3835</v>
      </c>
      <c r="N71" s="16" t="n">
        <f aca="false">F71+J71</f>
        <v>62</v>
      </c>
      <c r="O71" s="17" t="n">
        <f aca="false">G71+K71</f>
        <v>3948.8</v>
      </c>
    </row>
    <row r="72" customFormat="false" ht="15" hidden="false" customHeight="false" outlineLevel="0" collapsed="false">
      <c r="A72" s="6" t="n">
        <v>4408192</v>
      </c>
      <c r="B72" s="6" t="str">
        <f aca="false">IFERROR(INDEX('TRANS'!$A:$A,MATCH($A72,'TRANS'!$B:$B,0)),"")</f>
        <v>078 L</v>
      </c>
      <c r="C72" s="6" t="str">
        <f aca="false">IFERROR(INDEX('TRANS'!$C:$C,MATCH($A72,'TRANS'!$B:$B,0)),"")</f>
        <v>078 L חגורת גב +סגירה</v>
      </c>
      <c r="D72" s="16" t="n">
        <f aca="false">SUMIFS('CEMI Raw'!$C$6:$C$197,'CEMI Raw'!$E$6:$E$197,$A72,'CEMI Raw'!$B$6:$B$197,2025)</f>
        <v>0</v>
      </c>
      <c r="E72" s="17" t="n">
        <f aca="false">SUMIFS('CEMI Raw'!$D$6:$D$197,'CEMI Raw'!$E$6:$E$197,$A72,'CEMI Raw'!$B$6:$B$197,2025)</f>
        <v>0</v>
      </c>
      <c r="F72" s="16" t="n">
        <f aca="false">SUMIFS('CEMI Raw'!$C$6:$C$197,'CEMI Raw'!$E$6:$E$197,$A72,'CEMI Raw'!$B$6:$B$197,2026)</f>
        <v>69</v>
      </c>
      <c r="G72" s="17" t="n">
        <f aca="false">SUMIFS('CEMI Raw'!$D$6:$D$197,'CEMI Raw'!$E$6:$E$197,$A72,'CEMI Raw'!$B$6:$B$197,2026)</f>
        <v>4241.3</v>
      </c>
      <c r="H72" s="16" t="n">
        <f aca="false">SUMIFS('SALES Raw'!$C$6:$C$435,'SALES Raw'!$E$6:$E$435,$A72,'SALES Raw'!$B$6:$B$435,2025)</f>
        <v>139</v>
      </c>
      <c r="I72" s="17" t="n">
        <f aca="false">SUMIFS('SALES Raw'!$D$6:$D$435,'SALES Raw'!$E$6:$E$435,$A72,'SALES Raw'!$B$6:$B$435,2025)</f>
        <v>9035</v>
      </c>
      <c r="J72" s="16" t="n">
        <f aca="false">SUMIFS('SALES Raw'!$C$6:$C$435,'SALES Raw'!$E$6:$E$435,$A72,'SALES Raw'!$B$6:$B$435,2026)</f>
        <v>60</v>
      </c>
      <c r="K72" s="17" t="n">
        <f aca="false">SUMIFS('SALES Raw'!$D$6:$D$435,'SALES Raw'!$E$6:$E$435,$A72,'SALES Raw'!$B$6:$B$435,2026)</f>
        <v>3900</v>
      </c>
      <c r="L72" s="16" t="n">
        <f aca="false">D72+H72</f>
        <v>139</v>
      </c>
      <c r="M72" s="17" t="n">
        <f aca="false">E72+I72</f>
        <v>9035</v>
      </c>
      <c r="N72" s="16" t="n">
        <f aca="false">F72+J72</f>
        <v>129</v>
      </c>
      <c r="O72" s="17" t="n">
        <f aca="false">G72+K72</f>
        <v>8141.3</v>
      </c>
    </row>
    <row r="73" customFormat="false" ht="15" hidden="false" customHeight="false" outlineLevel="0" collapsed="false">
      <c r="A73" s="6" t="n">
        <v>4408203</v>
      </c>
      <c r="B73" s="6" t="str">
        <f aca="false">IFERROR(INDEX('TRANS'!$A:$A,MATCH($A73,'TRANS'!$B:$B,0)),"")</f>
        <v>14 0</v>
      </c>
      <c r="C73" s="6" t="str">
        <f aca="false">IFERROR(INDEX('TRANS'!$C:$C,MATCH($A73,'TRANS'!$B:$B,0)),"")</f>
        <v>14 0 חגורה למנותחי בית חזה</v>
      </c>
      <c r="D73" s="16" t="n">
        <f aca="false">SUMIFS('CEMI Raw'!$C$6:$C$197,'CEMI Raw'!$E$6:$E$197,$A73,'CEMI Raw'!$B$6:$B$197,2025)</f>
        <v>0</v>
      </c>
      <c r="E73" s="17" t="n">
        <f aca="false">SUMIFS('CEMI Raw'!$D$6:$D$197,'CEMI Raw'!$E$6:$E$197,$A73,'CEMI Raw'!$B$6:$B$197,2025)</f>
        <v>0</v>
      </c>
      <c r="F73" s="16" t="n">
        <f aca="false">SUMIFS('CEMI Raw'!$C$6:$C$197,'CEMI Raw'!$E$6:$E$197,$A73,'CEMI Raw'!$B$6:$B$197,2026)</f>
        <v>3</v>
      </c>
      <c r="G73" s="17" t="n">
        <f aca="false">SUMIFS('CEMI Raw'!$D$6:$D$197,'CEMI Raw'!$E$6:$E$197,$A73,'CEMI Raw'!$B$6:$B$197,2026)</f>
        <v>480</v>
      </c>
      <c r="H73" s="16" t="n">
        <f aca="false">SUMIFS('SALES Raw'!$C$6:$C$435,'SALES Raw'!$E$6:$E$435,$A73,'SALES Raw'!$B$6:$B$435,2025)</f>
        <v>0</v>
      </c>
      <c r="I73" s="17" t="n">
        <f aca="false">SUMIFS('SALES Raw'!$D$6:$D$435,'SALES Raw'!$E$6:$E$435,$A73,'SALES Raw'!$B$6:$B$435,2025)</f>
        <v>0</v>
      </c>
      <c r="J73" s="16" t="n">
        <f aca="false">SUMIFS('SALES Raw'!$C$6:$C$435,'SALES Raw'!$E$6:$E$435,$A73,'SALES Raw'!$B$6:$B$435,2026)</f>
        <v>2</v>
      </c>
      <c r="K73" s="17" t="n">
        <f aca="false">SUMIFS('SALES Raw'!$D$6:$D$435,'SALES Raw'!$E$6:$E$435,$A73,'SALES Raw'!$B$6:$B$435,2026)</f>
        <v>320</v>
      </c>
      <c r="L73" s="16" t="n">
        <f aca="false">D73+H73</f>
        <v>0</v>
      </c>
      <c r="M73" s="17" t="n">
        <f aca="false">E73+I73</f>
        <v>0</v>
      </c>
      <c r="N73" s="16" t="n">
        <f aca="false">F73+J73</f>
        <v>5</v>
      </c>
      <c r="O73" s="17" t="n">
        <f aca="false">G73+K73</f>
        <v>800</v>
      </c>
    </row>
    <row r="74" customFormat="false" ht="15" hidden="false" customHeight="false" outlineLevel="0" collapsed="false">
      <c r="A74" s="6" t="n">
        <v>4408217</v>
      </c>
      <c r="B74" s="6" t="str">
        <f aca="false">IFERROR(INDEX('TRANS'!$A:$A,MATCH($A74,'TRANS'!$B:$B,0)),"")</f>
        <v>078 S</v>
      </c>
      <c r="C74" s="6" t="str">
        <f aca="false">IFERROR(INDEX('TRANS'!$C:$C,MATCH($A74,'TRANS'!$B:$B,0)),"")</f>
        <v>S078 חגורת גב +סגירה כפולה</v>
      </c>
      <c r="D74" s="16" t="n">
        <f aca="false">SUMIFS('CEMI Raw'!$C$6:$C$197,'CEMI Raw'!$E$6:$E$197,$A74,'CEMI Raw'!$B$6:$B$197,2025)</f>
        <v>0</v>
      </c>
      <c r="E74" s="17" t="n">
        <f aca="false">SUMIFS('CEMI Raw'!$D$6:$D$197,'CEMI Raw'!$E$6:$E$197,$A74,'CEMI Raw'!$B$6:$B$197,2025)</f>
        <v>0</v>
      </c>
      <c r="F74" s="16" t="n">
        <f aca="false">SUMIFS('CEMI Raw'!$C$6:$C$197,'CEMI Raw'!$E$6:$E$197,$A74,'CEMI Raw'!$B$6:$B$197,2026)</f>
        <v>4</v>
      </c>
      <c r="G74" s="17" t="n">
        <f aca="false">SUMIFS('CEMI Raw'!$D$6:$D$197,'CEMI Raw'!$E$6:$E$197,$A74,'CEMI Raw'!$B$6:$B$197,2026)</f>
        <v>260</v>
      </c>
      <c r="H74" s="16" t="n">
        <f aca="false">SUMIFS('SALES Raw'!$C$6:$C$435,'SALES Raw'!$E$6:$E$435,$A74,'SALES Raw'!$B$6:$B$435,2025)</f>
        <v>3</v>
      </c>
      <c r="I74" s="17" t="n">
        <f aca="false">SUMIFS('SALES Raw'!$D$6:$D$435,'SALES Raw'!$E$6:$E$435,$A74,'SALES Raw'!$B$6:$B$435,2025)</f>
        <v>195</v>
      </c>
      <c r="J74" s="16" t="n">
        <f aca="false">SUMIFS('SALES Raw'!$C$6:$C$435,'SALES Raw'!$E$6:$E$435,$A74,'SALES Raw'!$B$6:$B$435,2026)</f>
        <v>3</v>
      </c>
      <c r="K74" s="17" t="n">
        <f aca="false">SUMIFS('SALES Raw'!$D$6:$D$435,'SALES Raw'!$E$6:$E$435,$A74,'SALES Raw'!$B$6:$B$435,2026)</f>
        <v>195</v>
      </c>
      <c r="L74" s="16" t="n">
        <f aca="false">D74+H74</f>
        <v>3</v>
      </c>
      <c r="M74" s="17" t="n">
        <f aca="false">E74+I74</f>
        <v>195</v>
      </c>
      <c r="N74" s="16" t="n">
        <f aca="false">F74+J74</f>
        <v>7</v>
      </c>
      <c r="O74" s="17" t="n">
        <f aca="false">G74+K74</f>
        <v>455</v>
      </c>
    </row>
    <row r="75" customFormat="false" ht="15" hidden="false" customHeight="false" outlineLevel="0" collapsed="false">
      <c r="A75" s="6" t="n">
        <v>4408218</v>
      </c>
      <c r="B75" s="6" t="str">
        <f aca="false">IFERROR(INDEX('TRANS'!$A:$A,MATCH($A75,'TRANS'!$B:$B,0)),"")</f>
        <v>078 XL</v>
      </c>
      <c r="C75" s="6" t="str">
        <f aca="false">IFERROR(INDEX('TRANS'!$C:$C,MATCH($A75,'TRANS'!$B:$B,0)),"")</f>
        <v>078XL חגורת גב +סגירה כפולה</v>
      </c>
      <c r="D75" s="16" t="n">
        <f aca="false">SUMIFS('CEMI Raw'!$C$6:$C$197,'CEMI Raw'!$E$6:$E$197,$A75,'CEMI Raw'!$B$6:$B$197,2025)</f>
        <v>0</v>
      </c>
      <c r="E75" s="17" t="n">
        <f aca="false">SUMIFS('CEMI Raw'!$D$6:$D$197,'CEMI Raw'!$E$6:$E$197,$A75,'CEMI Raw'!$B$6:$B$197,2025)</f>
        <v>0</v>
      </c>
      <c r="F75" s="16" t="n">
        <f aca="false">SUMIFS('CEMI Raw'!$C$6:$C$197,'CEMI Raw'!$E$6:$E$197,$A75,'CEMI Raw'!$B$6:$B$197,2026)</f>
        <v>54</v>
      </c>
      <c r="G75" s="17" t="n">
        <f aca="false">SUMIFS('CEMI Raw'!$D$6:$D$197,'CEMI Raw'!$E$6:$E$197,$A75,'CEMI Raw'!$B$6:$B$197,2026)</f>
        <v>3510</v>
      </c>
      <c r="H75" s="16" t="n">
        <f aca="false">SUMIFS('SALES Raw'!$C$6:$C$435,'SALES Raw'!$E$6:$E$435,$A75,'SALES Raw'!$B$6:$B$435,2025)</f>
        <v>115</v>
      </c>
      <c r="I75" s="17" t="n">
        <f aca="false">SUMIFS('SALES Raw'!$D$6:$D$435,'SALES Raw'!$E$6:$E$435,$A75,'SALES Raw'!$B$6:$B$435,2025)</f>
        <v>7475</v>
      </c>
      <c r="J75" s="16" t="n">
        <f aca="false">SUMIFS('SALES Raw'!$C$6:$C$435,'SALES Raw'!$E$6:$E$435,$A75,'SALES Raw'!$B$6:$B$435,2026)</f>
        <v>49</v>
      </c>
      <c r="K75" s="17" t="n">
        <f aca="false">SUMIFS('SALES Raw'!$D$6:$D$435,'SALES Raw'!$E$6:$E$435,$A75,'SALES Raw'!$B$6:$B$435,2026)</f>
        <v>3185</v>
      </c>
      <c r="L75" s="16" t="n">
        <f aca="false">D75+H75</f>
        <v>115</v>
      </c>
      <c r="M75" s="17" t="n">
        <f aca="false">E75+I75</f>
        <v>7475</v>
      </c>
      <c r="N75" s="16" t="n">
        <f aca="false">F75+J75</f>
        <v>103</v>
      </c>
      <c r="O75" s="17" t="n">
        <f aca="false">G75+K75</f>
        <v>6695</v>
      </c>
    </row>
    <row r="76" customFormat="false" ht="15" hidden="false" customHeight="false" outlineLevel="0" collapsed="false">
      <c r="A76" s="6" t="n">
        <v>4408219</v>
      </c>
      <c r="B76" s="6" t="str">
        <f aca="false">IFERROR(INDEX('TRANS'!$A:$A,MATCH($A76,'TRANS'!$B:$B,0)),"")</f>
        <v>078G S</v>
      </c>
      <c r="C76" s="6" t="str">
        <f aca="false">IFERROR(INDEX('TRANS'!$C:$C,MATCH($A76,'TRANS'!$B:$B,0)),"")</f>
        <v>078G-S חגורת גב אפורה</v>
      </c>
      <c r="D76" s="16" t="n">
        <f aca="false">SUMIFS('CEMI Raw'!$C$6:$C$197,'CEMI Raw'!$E$6:$E$197,$A76,'CEMI Raw'!$B$6:$B$197,2025)</f>
        <v>0</v>
      </c>
      <c r="E76" s="17" t="n">
        <f aca="false">SUMIFS('CEMI Raw'!$D$6:$D$197,'CEMI Raw'!$E$6:$E$197,$A76,'CEMI Raw'!$B$6:$B$197,2025)</f>
        <v>0</v>
      </c>
      <c r="F76" s="16" t="n">
        <f aca="false">SUMIFS('CEMI Raw'!$C$6:$C$197,'CEMI Raw'!$E$6:$E$197,$A76,'CEMI Raw'!$B$6:$B$197,2026)</f>
        <v>5</v>
      </c>
      <c r="G76" s="17" t="n">
        <f aca="false">SUMIFS('CEMI Raw'!$D$6:$D$197,'CEMI Raw'!$E$6:$E$197,$A76,'CEMI Raw'!$B$6:$B$197,2026)</f>
        <v>325</v>
      </c>
      <c r="H76" s="16" t="n">
        <f aca="false">SUMIFS('SALES Raw'!$C$6:$C$435,'SALES Raw'!$E$6:$E$435,$A76,'SALES Raw'!$B$6:$B$435,2025)</f>
        <v>26</v>
      </c>
      <c r="I76" s="17" t="n">
        <f aca="false">SUMIFS('SALES Raw'!$D$6:$D$435,'SALES Raw'!$E$6:$E$435,$A76,'SALES Raw'!$B$6:$B$435,2025)</f>
        <v>1690</v>
      </c>
      <c r="J76" s="16" t="n">
        <f aca="false">SUMIFS('SALES Raw'!$C$6:$C$435,'SALES Raw'!$E$6:$E$435,$A76,'SALES Raw'!$B$6:$B$435,2026)</f>
        <v>8</v>
      </c>
      <c r="K76" s="17" t="n">
        <f aca="false">SUMIFS('SALES Raw'!$D$6:$D$435,'SALES Raw'!$E$6:$E$435,$A76,'SALES Raw'!$B$6:$B$435,2026)</f>
        <v>702.36</v>
      </c>
      <c r="L76" s="16" t="n">
        <f aca="false">D76+H76</f>
        <v>26</v>
      </c>
      <c r="M76" s="17" t="n">
        <f aca="false">E76+I76</f>
        <v>1690</v>
      </c>
      <c r="N76" s="16" t="n">
        <f aca="false">F76+J76</f>
        <v>13</v>
      </c>
      <c r="O76" s="17" t="n">
        <f aca="false">G76+K76</f>
        <v>1027.36</v>
      </c>
    </row>
    <row r="77" customFormat="false" ht="15" hidden="false" customHeight="false" outlineLevel="0" collapsed="false">
      <c r="A77" s="6" t="n">
        <v>4408220</v>
      </c>
      <c r="B77" s="6" t="str">
        <f aca="false">IFERROR(INDEX('TRANS'!$A:$A,MATCH($A77,'TRANS'!$B:$B,0)),"")</f>
        <v>078G M</v>
      </c>
      <c r="C77" s="6" t="str">
        <f aca="false">IFERROR(INDEX('TRANS'!$C:$C,MATCH($A77,'TRANS'!$B:$B,0)),"")</f>
        <v>078G-M חגורת גב אפורה</v>
      </c>
      <c r="D77" s="16" t="n">
        <f aca="false">SUMIFS('CEMI Raw'!$C$6:$C$197,'CEMI Raw'!$E$6:$E$197,$A77,'CEMI Raw'!$B$6:$B$197,2025)</f>
        <v>0</v>
      </c>
      <c r="E77" s="17" t="n">
        <f aca="false">SUMIFS('CEMI Raw'!$D$6:$D$197,'CEMI Raw'!$E$6:$E$197,$A77,'CEMI Raw'!$B$6:$B$197,2025)</f>
        <v>0</v>
      </c>
      <c r="F77" s="16" t="n">
        <f aca="false">SUMIFS('CEMI Raw'!$C$6:$C$197,'CEMI Raw'!$E$6:$E$197,$A77,'CEMI Raw'!$B$6:$B$197,2026)</f>
        <v>30</v>
      </c>
      <c r="G77" s="17" t="n">
        <f aca="false">SUMIFS('CEMI Raw'!$D$6:$D$197,'CEMI Raw'!$E$6:$E$197,$A77,'CEMI Raw'!$B$6:$B$197,2026)</f>
        <v>1950</v>
      </c>
      <c r="H77" s="16" t="n">
        <f aca="false">SUMIFS('SALES Raw'!$C$6:$C$435,'SALES Raw'!$E$6:$E$435,$A77,'SALES Raw'!$B$6:$B$435,2025)</f>
        <v>150</v>
      </c>
      <c r="I77" s="17" t="n">
        <f aca="false">SUMIFS('SALES Raw'!$D$6:$D$435,'SALES Raw'!$E$6:$E$435,$A77,'SALES Raw'!$B$6:$B$435,2025)</f>
        <v>9750</v>
      </c>
      <c r="J77" s="16" t="n">
        <f aca="false">SUMIFS('SALES Raw'!$C$6:$C$435,'SALES Raw'!$E$6:$E$435,$A77,'SALES Raw'!$B$6:$B$435,2026)</f>
        <v>25</v>
      </c>
      <c r="K77" s="17" t="n">
        <f aca="false">SUMIFS('SALES Raw'!$D$6:$D$435,'SALES Raw'!$E$6:$E$435,$A77,'SALES Raw'!$B$6:$B$435,2026)</f>
        <v>1807.36</v>
      </c>
      <c r="L77" s="16" t="n">
        <f aca="false">D77+H77</f>
        <v>150</v>
      </c>
      <c r="M77" s="17" t="n">
        <f aca="false">E77+I77</f>
        <v>9750</v>
      </c>
      <c r="N77" s="16" t="n">
        <f aca="false">F77+J77</f>
        <v>55</v>
      </c>
      <c r="O77" s="17" t="n">
        <f aca="false">G77+K77</f>
        <v>3757.36</v>
      </c>
    </row>
    <row r="78" customFormat="false" ht="15" hidden="false" customHeight="false" outlineLevel="0" collapsed="false">
      <c r="A78" s="6" t="n">
        <v>4408221</v>
      </c>
      <c r="B78" s="6" t="str">
        <f aca="false">IFERROR(INDEX('TRANS'!$A:$A,MATCH($A78,'TRANS'!$B:$B,0)),"")</f>
        <v>078G L</v>
      </c>
      <c r="C78" s="6" t="str">
        <f aca="false">IFERROR(INDEX('TRANS'!$C:$C,MATCH($A78,'TRANS'!$B:$B,0)),"")</f>
        <v>078G-L חגורת גב אפורה</v>
      </c>
      <c r="D78" s="16" t="n">
        <f aca="false">SUMIFS('CEMI Raw'!$C$6:$C$197,'CEMI Raw'!$E$6:$E$197,$A78,'CEMI Raw'!$B$6:$B$197,2025)</f>
        <v>0</v>
      </c>
      <c r="E78" s="17" t="n">
        <f aca="false">SUMIFS('CEMI Raw'!$D$6:$D$197,'CEMI Raw'!$E$6:$E$197,$A78,'CEMI Raw'!$B$6:$B$197,2025)</f>
        <v>0</v>
      </c>
      <c r="F78" s="16" t="n">
        <f aca="false">SUMIFS('CEMI Raw'!$C$6:$C$197,'CEMI Raw'!$E$6:$E$197,$A78,'CEMI Raw'!$B$6:$B$197,2026)</f>
        <v>102</v>
      </c>
      <c r="G78" s="17" t="n">
        <f aca="false">SUMIFS('CEMI Raw'!$D$6:$D$197,'CEMI Raw'!$E$6:$E$197,$A78,'CEMI Raw'!$B$6:$B$197,2026)</f>
        <v>6630</v>
      </c>
      <c r="H78" s="16" t="n">
        <f aca="false">SUMIFS('SALES Raw'!$C$6:$C$435,'SALES Raw'!$E$6:$E$435,$A78,'SALES Raw'!$B$6:$B$435,2025)</f>
        <v>392</v>
      </c>
      <c r="I78" s="17" t="n">
        <f aca="false">SUMIFS('SALES Raw'!$D$6:$D$435,'SALES Raw'!$E$6:$E$435,$A78,'SALES Raw'!$B$6:$B$435,2025)</f>
        <v>25480</v>
      </c>
      <c r="J78" s="16" t="n">
        <f aca="false">SUMIFS('SALES Raw'!$C$6:$C$435,'SALES Raw'!$E$6:$E$435,$A78,'SALES Raw'!$B$6:$B$435,2026)</f>
        <v>63</v>
      </c>
      <c r="K78" s="17" t="n">
        <f aca="false">SUMIFS('SALES Raw'!$D$6:$D$435,'SALES Raw'!$E$6:$E$435,$A78,'SALES Raw'!$B$6:$B$435,2026)</f>
        <v>4277.36</v>
      </c>
      <c r="L78" s="16" t="n">
        <f aca="false">D78+H78</f>
        <v>392</v>
      </c>
      <c r="M78" s="17" t="n">
        <f aca="false">E78+I78</f>
        <v>25480</v>
      </c>
      <c r="N78" s="16" t="n">
        <f aca="false">F78+J78</f>
        <v>165</v>
      </c>
      <c r="O78" s="17" t="n">
        <f aca="false">G78+K78</f>
        <v>10907.36</v>
      </c>
    </row>
    <row r="79" customFormat="false" ht="15" hidden="false" customHeight="false" outlineLevel="0" collapsed="false">
      <c r="A79" s="6" t="n">
        <v>4408222</v>
      </c>
      <c r="B79" s="6" t="str">
        <f aca="false">IFERROR(INDEX('TRANS'!$A:$A,MATCH($A79,'TRANS'!$B:$B,0)),"")</f>
        <v>078G XL</v>
      </c>
      <c r="C79" s="6" t="str">
        <f aca="false">IFERROR(INDEX('TRANS'!$C:$C,MATCH($A79,'TRANS'!$B:$B,0)),"")</f>
        <v>078G-XLחגורת גב אפורה</v>
      </c>
      <c r="D79" s="16" t="n">
        <f aca="false">SUMIFS('CEMI Raw'!$C$6:$C$197,'CEMI Raw'!$E$6:$E$197,$A79,'CEMI Raw'!$B$6:$B$197,2025)</f>
        <v>0</v>
      </c>
      <c r="E79" s="17" t="n">
        <f aca="false">SUMIFS('CEMI Raw'!$D$6:$D$197,'CEMI Raw'!$E$6:$E$197,$A79,'CEMI Raw'!$B$6:$B$197,2025)</f>
        <v>0</v>
      </c>
      <c r="F79" s="16" t="n">
        <f aca="false">SUMIFS('CEMI Raw'!$C$6:$C$197,'CEMI Raw'!$E$6:$E$197,$A79,'CEMI Raw'!$B$6:$B$197,2026)</f>
        <v>54</v>
      </c>
      <c r="G79" s="17" t="n">
        <f aca="false">SUMIFS('CEMI Raw'!$D$6:$D$197,'CEMI Raw'!$E$6:$E$197,$A79,'CEMI Raw'!$B$6:$B$197,2026)</f>
        <v>3510</v>
      </c>
      <c r="H79" s="16" t="n">
        <f aca="false">SUMIFS('SALES Raw'!$C$6:$C$435,'SALES Raw'!$E$6:$E$435,$A79,'SALES Raw'!$B$6:$B$435,2025)</f>
        <v>279</v>
      </c>
      <c r="I79" s="17" t="n">
        <f aca="false">SUMIFS('SALES Raw'!$D$6:$D$435,'SALES Raw'!$E$6:$E$435,$A79,'SALES Raw'!$B$6:$B$435,2025)</f>
        <v>18135</v>
      </c>
      <c r="J79" s="16" t="n">
        <f aca="false">SUMIFS('SALES Raw'!$C$6:$C$435,'SALES Raw'!$E$6:$E$435,$A79,'SALES Raw'!$B$6:$B$435,2026)</f>
        <v>54</v>
      </c>
      <c r="K79" s="17" t="n">
        <f aca="false">SUMIFS('SALES Raw'!$D$6:$D$435,'SALES Raw'!$E$6:$E$435,$A79,'SALES Raw'!$B$6:$B$435,2026)</f>
        <v>3692.36</v>
      </c>
      <c r="L79" s="16" t="n">
        <f aca="false">D79+H79</f>
        <v>279</v>
      </c>
      <c r="M79" s="17" t="n">
        <f aca="false">E79+I79</f>
        <v>18135</v>
      </c>
      <c r="N79" s="16" t="n">
        <f aca="false">F79+J79</f>
        <v>108</v>
      </c>
      <c r="O79" s="17" t="n">
        <f aca="false">G79+K79</f>
        <v>7202.36</v>
      </c>
    </row>
    <row r="80" customFormat="false" ht="15" hidden="false" customHeight="false" outlineLevel="0" collapsed="false">
      <c r="A80" s="6" t="n">
        <v>4408223</v>
      </c>
      <c r="B80" s="6" t="str">
        <f aca="false">IFERROR(INDEX('TRANS'!$A:$A,MATCH($A80,'TRANS'!$B:$B,0)),"")</f>
        <v>078G XXL</v>
      </c>
      <c r="C80" s="6" t="str">
        <f aca="false">IFERROR(INDEX('TRANS'!$C:$C,MATCH($A80,'TRANS'!$B:$B,0)),"")</f>
        <v>078G-XXLחגורת גב אפורה</v>
      </c>
      <c r="D80" s="16" t="n">
        <f aca="false">SUMIFS('CEMI Raw'!$C$6:$C$197,'CEMI Raw'!$E$6:$E$197,$A80,'CEMI Raw'!$B$6:$B$197,2025)</f>
        <v>0</v>
      </c>
      <c r="E80" s="17" t="n">
        <f aca="false">SUMIFS('CEMI Raw'!$D$6:$D$197,'CEMI Raw'!$E$6:$E$197,$A80,'CEMI Raw'!$B$6:$B$197,2025)</f>
        <v>0</v>
      </c>
      <c r="F80" s="16" t="n">
        <f aca="false">SUMIFS('CEMI Raw'!$C$6:$C$197,'CEMI Raw'!$E$6:$E$197,$A80,'CEMI Raw'!$B$6:$B$197,2026)</f>
        <v>39</v>
      </c>
      <c r="G80" s="17" t="n">
        <f aca="false">SUMIFS('CEMI Raw'!$D$6:$D$197,'CEMI Raw'!$E$6:$E$197,$A80,'CEMI Raw'!$B$6:$B$197,2026)</f>
        <v>2535</v>
      </c>
      <c r="H80" s="16" t="n">
        <f aca="false">SUMIFS('SALES Raw'!$C$6:$C$435,'SALES Raw'!$E$6:$E$435,$A80,'SALES Raw'!$B$6:$B$435,2025)</f>
        <v>145</v>
      </c>
      <c r="I80" s="17" t="n">
        <f aca="false">SUMIFS('SALES Raw'!$D$6:$D$435,'SALES Raw'!$E$6:$E$435,$A80,'SALES Raw'!$B$6:$B$435,2025)</f>
        <v>9425</v>
      </c>
      <c r="J80" s="16" t="n">
        <f aca="false">SUMIFS('SALES Raw'!$C$6:$C$435,'SALES Raw'!$E$6:$E$435,$A80,'SALES Raw'!$B$6:$B$435,2026)</f>
        <v>29</v>
      </c>
      <c r="K80" s="17" t="n">
        <f aca="false">SUMIFS('SALES Raw'!$D$6:$D$435,'SALES Raw'!$E$6:$E$435,$A80,'SALES Raw'!$B$6:$B$435,2026)</f>
        <v>2067.36</v>
      </c>
      <c r="L80" s="16" t="n">
        <f aca="false">D80+H80</f>
        <v>145</v>
      </c>
      <c r="M80" s="17" t="n">
        <f aca="false">E80+I80</f>
        <v>9425</v>
      </c>
      <c r="N80" s="16" t="n">
        <f aca="false">F80+J80</f>
        <v>68</v>
      </c>
      <c r="O80" s="17" t="n">
        <f aca="false">G80+K80</f>
        <v>4602.36</v>
      </c>
    </row>
    <row r="81" customFormat="false" ht="15" hidden="false" customHeight="false" outlineLevel="0" collapsed="false">
      <c r="A81" s="6" t="n">
        <v>4408230</v>
      </c>
      <c r="B81" s="6" t="str">
        <f aca="false">IFERROR(INDEX('TRANS'!$A:$A,MATCH($A81,'TRANS'!$B:$B,0)),"")</f>
        <v>16-L-XL</v>
      </c>
      <c r="C81" s="6" t="str">
        <f aca="false">IFERROR(INDEX('TRANS'!$C:$C,MATCH($A81,'TRANS'!$B:$B,0)),"")</f>
        <v>16 L-XL חגורת הריון</v>
      </c>
      <c r="D81" s="16" t="n">
        <f aca="false">SUMIFS('CEMI Raw'!$C$6:$C$197,'CEMI Raw'!$E$6:$E$197,$A81,'CEMI Raw'!$B$6:$B$197,2025)</f>
        <v>0</v>
      </c>
      <c r="E81" s="17" t="n">
        <f aca="false">SUMIFS('CEMI Raw'!$D$6:$D$197,'CEMI Raw'!$E$6:$E$197,$A81,'CEMI Raw'!$B$6:$B$197,2025)</f>
        <v>0</v>
      </c>
      <c r="F81" s="16" t="n">
        <f aca="false">SUMIFS('CEMI Raw'!$C$6:$C$197,'CEMI Raw'!$E$6:$E$197,$A81,'CEMI Raw'!$B$6:$B$197,2026)</f>
        <v>31</v>
      </c>
      <c r="G81" s="17" t="n">
        <f aca="false">SUMIFS('CEMI Raw'!$D$6:$D$197,'CEMI Raw'!$E$6:$E$197,$A81,'CEMI Raw'!$B$6:$B$197,2026)</f>
        <v>2411.8</v>
      </c>
      <c r="H81" s="16" t="n">
        <f aca="false">SUMIFS('SALES Raw'!$C$6:$C$435,'SALES Raw'!$E$6:$E$435,$A81,'SALES Raw'!$B$6:$B$435,2025)</f>
        <v>70</v>
      </c>
      <c r="I81" s="17" t="n">
        <f aca="false">SUMIFS('SALES Raw'!$D$6:$D$435,'SALES Raw'!$E$6:$E$435,$A81,'SALES Raw'!$B$6:$B$435,2025)</f>
        <v>5446</v>
      </c>
      <c r="J81" s="16" t="n">
        <f aca="false">SUMIFS('SALES Raw'!$C$6:$C$435,'SALES Raw'!$E$6:$E$435,$A81,'SALES Raw'!$B$6:$B$435,2026)</f>
        <v>26</v>
      </c>
      <c r="K81" s="17" t="n">
        <f aca="false">SUMIFS('SALES Raw'!$D$6:$D$435,'SALES Raw'!$E$6:$E$435,$A81,'SALES Raw'!$B$6:$B$435,2026)</f>
        <v>2022.8</v>
      </c>
      <c r="L81" s="16" t="n">
        <f aca="false">D81+H81</f>
        <v>70</v>
      </c>
      <c r="M81" s="17" t="n">
        <f aca="false">E81+I81</f>
        <v>5446</v>
      </c>
      <c r="N81" s="16" t="n">
        <f aca="false">F81+J81</f>
        <v>57</v>
      </c>
      <c r="O81" s="17" t="n">
        <f aca="false">G81+K81</f>
        <v>4434.6</v>
      </c>
    </row>
    <row r="82" customFormat="false" ht="15" hidden="false" customHeight="false" outlineLevel="0" collapsed="false">
      <c r="A82" s="6" t="n">
        <v>4408231</v>
      </c>
      <c r="B82" s="6" t="str">
        <f aca="false">IFERROR(INDEX('TRANS'!$A:$A,MATCH($A82,'TRANS'!$B:$B,0)),"")</f>
        <v>16-S-M</v>
      </c>
      <c r="C82" s="6" t="str">
        <f aca="false">IFERROR(INDEX('TRANS'!$C:$C,MATCH($A82,'TRANS'!$B:$B,0)),"")</f>
        <v>16 S-M חגורת הריון</v>
      </c>
      <c r="D82" s="16" t="n">
        <f aca="false">SUMIFS('CEMI Raw'!$C$6:$C$197,'CEMI Raw'!$E$6:$E$197,$A82,'CEMI Raw'!$B$6:$B$197,2025)</f>
        <v>0</v>
      </c>
      <c r="E82" s="17" t="n">
        <f aca="false">SUMIFS('CEMI Raw'!$D$6:$D$197,'CEMI Raw'!$E$6:$E$197,$A82,'CEMI Raw'!$B$6:$B$197,2025)</f>
        <v>0</v>
      </c>
      <c r="F82" s="16" t="n">
        <f aca="false">SUMIFS('CEMI Raw'!$C$6:$C$197,'CEMI Raw'!$E$6:$E$197,$A82,'CEMI Raw'!$B$6:$B$197,2026)</f>
        <v>17</v>
      </c>
      <c r="G82" s="17" t="n">
        <f aca="false">SUMIFS('CEMI Raw'!$D$6:$D$197,'CEMI Raw'!$E$6:$E$197,$A82,'CEMI Raw'!$B$6:$B$197,2026)</f>
        <v>1322.6</v>
      </c>
      <c r="H82" s="16" t="n">
        <f aca="false">SUMIFS('SALES Raw'!$C$6:$C$435,'SALES Raw'!$E$6:$E$435,$A82,'SALES Raw'!$B$6:$B$435,2025)</f>
        <v>49</v>
      </c>
      <c r="I82" s="17" t="n">
        <f aca="false">SUMIFS('SALES Raw'!$D$6:$D$435,'SALES Raw'!$E$6:$E$435,$A82,'SALES Raw'!$B$6:$B$435,2025)</f>
        <v>3812.2</v>
      </c>
      <c r="J82" s="16" t="n">
        <f aca="false">SUMIFS('SALES Raw'!$C$6:$C$435,'SALES Raw'!$E$6:$E$435,$A82,'SALES Raw'!$B$6:$B$435,2026)</f>
        <v>14</v>
      </c>
      <c r="K82" s="17" t="n">
        <f aca="false">SUMIFS('SALES Raw'!$D$6:$D$435,'SALES Raw'!$E$6:$E$435,$A82,'SALES Raw'!$B$6:$B$435,2026)</f>
        <v>1089.2</v>
      </c>
      <c r="L82" s="16" t="n">
        <f aca="false">D82+H82</f>
        <v>49</v>
      </c>
      <c r="M82" s="17" t="n">
        <f aca="false">E82+I82</f>
        <v>3812.2</v>
      </c>
      <c r="N82" s="16" t="n">
        <f aca="false">F82+J82</f>
        <v>31</v>
      </c>
      <c r="O82" s="17" t="n">
        <f aca="false">G82+K82</f>
        <v>2411.8</v>
      </c>
    </row>
    <row r="83" customFormat="false" ht="15" hidden="false" customHeight="false" outlineLevel="0" collapsed="false">
      <c r="A83" s="6" t="n">
        <v>4408232</v>
      </c>
      <c r="B83" s="6" t="str">
        <f aca="false">IFERROR(INDEX('TRANS'!$A:$A,MATCH($A83,'TRANS'!$B:$B,0)),"")</f>
        <v>16 XXL</v>
      </c>
      <c r="C83" s="6" t="str">
        <f aca="false">IFERROR(INDEX('TRANS'!$C:$C,MATCH($A83,'TRANS'!$B:$B,0)),"")</f>
        <v>16 XXL חגורת הריון</v>
      </c>
      <c r="D83" s="16" t="n">
        <f aca="false">SUMIFS('CEMI Raw'!$C$6:$C$197,'CEMI Raw'!$E$6:$E$197,$A83,'CEMI Raw'!$B$6:$B$197,2025)</f>
        <v>0</v>
      </c>
      <c r="E83" s="17" t="n">
        <f aca="false">SUMIFS('CEMI Raw'!$D$6:$D$197,'CEMI Raw'!$E$6:$E$197,$A83,'CEMI Raw'!$B$6:$B$197,2025)</f>
        <v>0</v>
      </c>
      <c r="F83" s="16" t="n">
        <f aca="false">SUMIFS('CEMI Raw'!$C$6:$C$197,'CEMI Raw'!$E$6:$E$197,$A83,'CEMI Raw'!$B$6:$B$197,2026)</f>
        <v>2</v>
      </c>
      <c r="G83" s="17" t="n">
        <f aca="false">SUMIFS('CEMI Raw'!$D$6:$D$197,'CEMI Raw'!$E$6:$E$197,$A83,'CEMI Raw'!$B$6:$B$197,2026)</f>
        <v>155.6</v>
      </c>
      <c r="H83" s="16" t="n">
        <f aca="false">SUMIFS('SALES Raw'!$C$6:$C$435,'SALES Raw'!$E$6:$E$435,$A83,'SALES Raw'!$B$6:$B$435,2025)</f>
        <v>24</v>
      </c>
      <c r="I83" s="17" t="n">
        <f aca="false">SUMIFS('SALES Raw'!$D$6:$D$435,'SALES Raw'!$E$6:$E$435,$A83,'SALES Raw'!$B$6:$B$435,2025)</f>
        <v>1867.2</v>
      </c>
      <c r="J83" s="16" t="n">
        <f aca="false">SUMIFS('SALES Raw'!$C$6:$C$435,'SALES Raw'!$E$6:$E$435,$A83,'SALES Raw'!$B$6:$B$435,2026)</f>
        <v>9</v>
      </c>
      <c r="K83" s="17" t="n">
        <f aca="false">SUMIFS('SALES Raw'!$D$6:$D$435,'SALES Raw'!$E$6:$E$435,$A83,'SALES Raw'!$B$6:$B$435,2026)</f>
        <v>700.2</v>
      </c>
      <c r="L83" s="16" t="n">
        <f aca="false">D83+H83</f>
        <v>24</v>
      </c>
      <c r="M83" s="17" t="n">
        <f aca="false">E83+I83</f>
        <v>1867.2</v>
      </c>
      <c r="N83" s="16" t="n">
        <f aca="false">F83+J83</f>
        <v>11</v>
      </c>
      <c r="O83" s="17" t="n">
        <f aca="false">G83+K83</f>
        <v>855.8</v>
      </c>
    </row>
    <row r="84" customFormat="false" ht="15" hidden="false" customHeight="false" outlineLevel="0" collapsed="false">
      <c r="A84" s="6" t="n">
        <v>4408259</v>
      </c>
      <c r="B84" s="6" t="str">
        <f aca="false">IFERROR(INDEX('TRANS'!$A:$A,MATCH($A84,'TRANS'!$B:$B,0)),"")</f>
        <v>11STO S</v>
      </c>
      <c r="C84" s="6" t="str">
        <f aca="false">IFERROR(INDEX('TRANS'!$C:$C,MATCH($A84,'TRANS'!$B:$B,0)),"")</f>
        <v>11STO S חגורה אחרי ניתוח</v>
      </c>
      <c r="D84" s="16" t="n">
        <f aca="false">SUMIFS('CEMI Raw'!$C$6:$C$197,'CEMI Raw'!$E$6:$E$197,$A84,'CEMI Raw'!$B$6:$B$197,2025)</f>
        <v>0</v>
      </c>
      <c r="E84" s="17" t="n">
        <f aca="false">SUMIFS('CEMI Raw'!$D$6:$D$197,'CEMI Raw'!$E$6:$E$197,$A84,'CEMI Raw'!$B$6:$B$197,2025)</f>
        <v>0</v>
      </c>
      <c r="F84" s="16" t="n">
        <f aca="false">SUMIFS('CEMI Raw'!$C$6:$C$197,'CEMI Raw'!$E$6:$E$197,$A84,'CEMI Raw'!$B$6:$B$197,2026)</f>
        <v>2</v>
      </c>
      <c r="G84" s="17" t="n">
        <f aca="false">SUMIFS('CEMI Raw'!$D$6:$D$197,'CEMI Raw'!$E$6:$E$197,$A84,'CEMI Raw'!$B$6:$B$197,2026)</f>
        <v>227.2</v>
      </c>
      <c r="H84" s="16" t="n">
        <f aca="false">SUMIFS('SALES Raw'!$C$6:$C$435,'SALES Raw'!$E$6:$E$435,$A84,'SALES Raw'!$B$6:$B$435,2025)</f>
        <v>1</v>
      </c>
      <c r="I84" s="17" t="n">
        <f aca="false">SUMIFS('SALES Raw'!$D$6:$D$435,'SALES Raw'!$E$6:$E$435,$A84,'SALES Raw'!$B$6:$B$435,2025)</f>
        <v>113.58</v>
      </c>
      <c r="J84" s="16" t="n">
        <f aca="false">SUMIFS('SALES Raw'!$C$6:$C$435,'SALES Raw'!$E$6:$E$435,$A84,'SALES Raw'!$B$6:$B$435,2026)</f>
        <v>0</v>
      </c>
      <c r="K84" s="17" t="n">
        <f aca="false">SUMIFS('SALES Raw'!$D$6:$D$435,'SALES Raw'!$E$6:$E$435,$A84,'SALES Raw'!$B$6:$B$435,2026)</f>
        <v>0</v>
      </c>
      <c r="L84" s="16" t="n">
        <f aca="false">D84+H84</f>
        <v>1</v>
      </c>
      <c r="M84" s="17" t="n">
        <f aca="false">E84+I84</f>
        <v>113.58</v>
      </c>
      <c r="N84" s="16" t="n">
        <f aca="false">F84+J84</f>
        <v>2</v>
      </c>
      <c r="O84" s="17" t="n">
        <f aca="false">G84+K84</f>
        <v>227.2</v>
      </c>
    </row>
    <row r="85" customFormat="false" ht="15" hidden="false" customHeight="false" outlineLevel="0" collapsed="false">
      <c r="A85" s="6" t="n">
        <v>4408260</v>
      </c>
      <c r="B85" s="6" t="str">
        <f aca="false">IFERROR(INDEX('TRANS'!$A:$A,MATCH($A85,'TRANS'!$B:$B,0)),"")</f>
        <v>11STO M</v>
      </c>
      <c r="C85" s="6" t="str">
        <f aca="false">IFERROR(INDEX('TRANS'!$C:$C,MATCH($A85,'TRANS'!$B:$B,0)),"")</f>
        <v>11STO M חגורה אחרי ניתוח</v>
      </c>
      <c r="D85" s="16" t="n">
        <f aca="false">SUMIFS('CEMI Raw'!$C$6:$C$197,'CEMI Raw'!$E$6:$E$197,$A85,'CEMI Raw'!$B$6:$B$197,2025)</f>
        <v>0</v>
      </c>
      <c r="E85" s="17" t="n">
        <f aca="false">SUMIFS('CEMI Raw'!$D$6:$D$197,'CEMI Raw'!$E$6:$E$197,$A85,'CEMI Raw'!$B$6:$B$197,2025)</f>
        <v>0</v>
      </c>
      <c r="F85" s="16" t="n">
        <f aca="false">SUMIFS('CEMI Raw'!$C$6:$C$197,'CEMI Raw'!$E$6:$E$197,$A85,'CEMI Raw'!$B$6:$B$197,2026)</f>
        <v>1</v>
      </c>
      <c r="G85" s="17" t="n">
        <f aca="false">SUMIFS('CEMI Raw'!$D$6:$D$197,'CEMI Raw'!$E$6:$E$197,$A85,'CEMI Raw'!$B$6:$B$197,2026)</f>
        <v>113.6</v>
      </c>
      <c r="H85" s="16" t="n">
        <f aca="false">SUMIFS('SALES Raw'!$C$6:$C$435,'SALES Raw'!$E$6:$E$435,$A85,'SALES Raw'!$B$6:$B$435,2025)</f>
        <v>3</v>
      </c>
      <c r="I85" s="17" t="n">
        <f aca="false">SUMIFS('SALES Raw'!$D$6:$D$435,'SALES Raw'!$E$6:$E$435,$A85,'SALES Raw'!$B$6:$B$435,2025)</f>
        <v>340.74</v>
      </c>
      <c r="J85" s="16" t="n">
        <f aca="false">SUMIFS('SALES Raw'!$C$6:$C$435,'SALES Raw'!$E$6:$E$435,$A85,'SALES Raw'!$B$6:$B$435,2026)</f>
        <v>-1</v>
      </c>
      <c r="K85" s="17" t="n">
        <f aca="false">SUMIFS('SALES Raw'!$D$6:$D$435,'SALES Raw'!$E$6:$E$435,$A85,'SALES Raw'!$B$6:$B$435,2026)</f>
        <v>-113.58</v>
      </c>
      <c r="L85" s="16" t="n">
        <f aca="false">D85+H85</f>
        <v>3</v>
      </c>
      <c r="M85" s="17" t="n">
        <f aca="false">E85+I85</f>
        <v>340.74</v>
      </c>
      <c r="N85" s="16" t="n">
        <f aca="false">F85+J85</f>
        <v>0</v>
      </c>
      <c r="O85" s="17" t="n">
        <f aca="false">G85+K85</f>
        <v>0.019999999999996</v>
      </c>
    </row>
    <row r="86" customFormat="false" ht="15" hidden="false" customHeight="false" outlineLevel="0" collapsed="false">
      <c r="A86" s="6" t="n">
        <v>4408261</v>
      </c>
      <c r="B86" s="6" t="str">
        <f aca="false">IFERROR(INDEX('TRANS'!$A:$A,MATCH($A86,'TRANS'!$B:$B,0)),"")</f>
        <v>11STO L</v>
      </c>
      <c r="C86" s="6" t="str">
        <f aca="false">IFERROR(INDEX('TRANS'!$C:$C,MATCH($A86,'TRANS'!$B:$B,0)),"")</f>
        <v>11STO L חגורה אחרי ניתוח</v>
      </c>
      <c r="D86" s="16" t="n">
        <f aca="false">SUMIFS('CEMI Raw'!$C$6:$C$197,'CEMI Raw'!$E$6:$E$197,$A86,'CEMI Raw'!$B$6:$B$197,2025)</f>
        <v>0</v>
      </c>
      <c r="E86" s="17" t="n">
        <f aca="false">SUMIFS('CEMI Raw'!$D$6:$D$197,'CEMI Raw'!$E$6:$E$197,$A86,'CEMI Raw'!$B$6:$B$197,2025)</f>
        <v>0</v>
      </c>
      <c r="F86" s="16" t="n">
        <f aca="false">SUMIFS('CEMI Raw'!$C$6:$C$197,'CEMI Raw'!$E$6:$E$197,$A86,'CEMI Raw'!$B$6:$B$197,2026)</f>
        <v>1</v>
      </c>
      <c r="G86" s="17" t="n">
        <f aca="false">SUMIFS('CEMI Raw'!$D$6:$D$197,'CEMI Raw'!$E$6:$E$197,$A86,'CEMI Raw'!$B$6:$B$197,2026)</f>
        <v>113.6</v>
      </c>
      <c r="H86" s="16" t="n">
        <f aca="false">SUMIFS('SALES Raw'!$C$6:$C$435,'SALES Raw'!$E$6:$E$435,$A86,'SALES Raw'!$B$6:$B$435,2025)</f>
        <v>8</v>
      </c>
      <c r="I86" s="17" t="n">
        <f aca="false">SUMIFS('SALES Raw'!$D$6:$D$435,'SALES Raw'!$E$6:$E$435,$A86,'SALES Raw'!$B$6:$B$435,2025)</f>
        <v>908.64</v>
      </c>
      <c r="J86" s="16" t="n">
        <f aca="false">SUMIFS('SALES Raw'!$C$6:$C$435,'SALES Raw'!$E$6:$E$435,$A86,'SALES Raw'!$B$6:$B$435,2026)</f>
        <v>2</v>
      </c>
      <c r="K86" s="17" t="n">
        <f aca="false">SUMIFS('SALES Raw'!$D$6:$D$435,'SALES Raw'!$E$6:$E$435,$A86,'SALES Raw'!$B$6:$B$435,2026)</f>
        <v>227.16</v>
      </c>
      <c r="L86" s="16" t="n">
        <f aca="false">D86+H86</f>
        <v>8</v>
      </c>
      <c r="M86" s="17" t="n">
        <f aca="false">E86+I86</f>
        <v>908.64</v>
      </c>
      <c r="N86" s="16" t="n">
        <f aca="false">F86+J86</f>
        <v>3</v>
      </c>
      <c r="O86" s="17" t="n">
        <f aca="false">G86+K86</f>
        <v>340.76</v>
      </c>
    </row>
    <row r="87" customFormat="false" ht="15" hidden="false" customHeight="false" outlineLevel="0" collapsed="false">
      <c r="A87" s="6" t="n">
        <v>4408262</v>
      </c>
      <c r="B87" s="6" t="str">
        <f aca="false">IFERROR(INDEX('TRANS'!$A:$A,MATCH($A87,'TRANS'!$B:$B,0)),"")</f>
        <v>11STO XL</v>
      </c>
      <c r="C87" s="6" t="str">
        <f aca="false">IFERROR(INDEX('TRANS'!$C:$C,MATCH($A87,'TRANS'!$B:$B,0)),"")</f>
        <v>11STO XL  חגורה אחרי ניתוח</v>
      </c>
      <c r="D87" s="16" t="n">
        <f aca="false">SUMIFS('CEMI Raw'!$C$6:$C$197,'CEMI Raw'!$E$6:$E$197,$A87,'CEMI Raw'!$B$6:$B$197,2025)</f>
        <v>0</v>
      </c>
      <c r="E87" s="17" t="n">
        <f aca="false">SUMIFS('CEMI Raw'!$D$6:$D$197,'CEMI Raw'!$E$6:$E$197,$A87,'CEMI Raw'!$B$6:$B$197,2025)</f>
        <v>0</v>
      </c>
      <c r="F87" s="16" t="n">
        <f aca="false">SUMIFS('CEMI Raw'!$C$6:$C$197,'CEMI Raw'!$E$6:$E$197,$A87,'CEMI Raw'!$B$6:$B$197,2026)</f>
        <v>4</v>
      </c>
      <c r="G87" s="17" t="n">
        <f aca="false">SUMIFS('CEMI Raw'!$D$6:$D$197,'CEMI Raw'!$E$6:$E$197,$A87,'CEMI Raw'!$B$6:$B$197,2026)</f>
        <v>454.3</v>
      </c>
      <c r="H87" s="16" t="n">
        <f aca="false">SUMIFS('SALES Raw'!$C$6:$C$435,'SALES Raw'!$E$6:$E$435,$A87,'SALES Raw'!$B$6:$B$435,2025)</f>
        <v>7</v>
      </c>
      <c r="I87" s="17" t="n">
        <f aca="false">SUMIFS('SALES Raw'!$D$6:$D$435,'SALES Raw'!$E$6:$E$435,$A87,'SALES Raw'!$B$6:$B$435,2025)</f>
        <v>795.06</v>
      </c>
      <c r="J87" s="16" t="n">
        <f aca="false">SUMIFS('SALES Raw'!$C$6:$C$435,'SALES Raw'!$E$6:$E$435,$A87,'SALES Raw'!$B$6:$B$435,2026)</f>
        <v>0</v>
      </c>
      <c r="K87" s="17" t="n">
        <f aca="false">SUMIFS('SALES Raw'!$D$6:$D$435,'SALES Raw'!$E$6:$E$435,$A87,'SALES Raw'!$B$6:$B$435,2026)</f>
        <v>0</v>
      </c>
      <c r="L87" s="16" t="n">
        <f aca="false">D87+H87</f>
        <v>7</v>
      </c>
      <c r="M87" s="17" t="n">
        <f aca="false">E87+I87</f>
        <v>795.06</v>
      </c>
      <c r="N87" s="16" t="n">
        <f aca="false">F87+J87</f>
        <v>4</v>
      </c>
      <c r="O87" s="17" t="n">
        <f aca="false">G87+K87</f>
        <v>454.3</v>
      </c>
    </row>
    <row r="88" customFormat="false" ht="15" hidden="false" customHeight="false" outlineLevel="0" collapsed="false">
      <c r="A88" s="6" t="n">
        <v>4408263</v>
      </c>
      <c r="B88" s="6" t="str">
        <f aca="false">IFERROR(INDEX('TRANS'!$A:$A,MATCH($A88,'TRANS'!$B:$B,0)),"")</f>
        <v>11STO XXL</v>
      </c>
      <c r="C88" s="6" t="str">
        <f aca="false">IFERROR(INDEX('TRANS'!$C:$C,MATCH($A88,'TRANS'!$B:$B,0)),"")</f>
        <v>11STO XXL חגורה אחרי ניתוח</v>
      </c>
      <c r="D88" s="16" t="n">
        <f aca="false">SUMIFS('CEMI Raw'!$C$6:$C$197,'CEMI Raw'!$E$6:$E$197,$A88,'CEMI Raw'!$B$6:$B$197,2025)</f>
        <v>0</v>
      </c>
      <c r="E88" s="17" t="n">
        <f aca="false">SUMIFS('CEMI Raw'!$D$6:$D$197,'CEMI Raw'!$E$6:$E$197,$A88,'CEMI Raw'!$B$6:$B$197,2025)</f>
        <v>0</v>
      </c>
      <c r="F88" s="16" t="n">
        <f aca="false">SUMIFS('CEMI Raw'!$C$6:$C$197,'CEMI Raw'!$E$6:$E$197,$A88,'CEMI Raw'!$B$6:$B$197,2026)</f>
        <v>1</v>
      </c>
      <c r="G88" s="17" t="n">
        <f aca="false">SUMIFS('CEMI Raw'!$D$6:$D$197,'CEMI Raw'!$E$6:$E$197,$A88,'CEMI Raw'!$B$6:$B$197,2026)</f>
        <v>113.6</v>
      </c>
      <c r="H88" s="16" t="n">
        <f aca="false">SUMIFS('SALES Raw'!$C$6:$C$435,'SALES Raw'!$E$6:$E$435,$A88,'SALES Raw'!$B$6:$B$435,2025)</f>
        <v>7</v>
      </c>
      <c r="I88" s="17" t="n">
        <f aca="false">SUMIFS('SALES Raw'!$D$6:$D$435,'SALES Raw'!$E$6:$E$435,$A88,'SALES Raw'!$B$6:$B$435,2025)</f>
        <v>795.06</v>
      </c>
      <c r="J88" s="16" t="n">
        <f aca="false">SUMIFS('SALES Raw'!$C$6:$C$435,'SALES Raw'!$E$6:$E$435,$A88,'SALES Raw'!$B$6:$B$435,2026)</f>
        <v>0</v>
      </c>
      <c r="K88" s="17" t="n">
        <f aca="false">SUMIFS('SALES Raw'!$D$6:$D$435,'SALES Raw'!$E$6:$E$435,$A88,'SALES Raw'!$B$6:$B$435,2026)</f>
        <v>0</v>
      </c>
      <c r="L88" s="16" t="n">
        <f aca="false">D88+H88</f>
        <v>7</v>
      </c>
      <c r="M88" s="17" t="n">
        <f aca="false">E88+I88</f>
        <v>795.06</v>
      </c>
      <c r="N88" s="16" t="n">
        <f aca="false">F88+J88</f>
        <v>1</v>
      </c>
      <c r="O88" s="17" t="n">
        <f aca="false">G88+K88</f>
        <v>113.6</v>
      </c>
    </row>
    <row r="89" customFormat="false" ht="15" hidden="false" customHeight="false" outlineLevel="0" collapsed="false">
      <c r="A89" s="6" t="n">
        <v>4408267</v>
      </c>
      <c r="B89" s="6" t="str">
        <f aca="false">IFERROR(INDEX('TRANS'!$A:$A,MATCH($A89,'TRANS'!$B:$B,0)),"")</f>
        <v>ST25 0</v>
      </c>
      <c r="C89" s="6" t="str">
        <f aca="false">IFERROR(INDEX('TRANS'!$C:$C,MATCH($A89,'TRANS'!$B:$B,0)),"")</f>
        <v>ST25 חבק שורש לכף היד</v>
      </c>
      <c r="D89" s="16" t="n">
        <f aca="false">SUMIFS('CEMI Raw'!$C$6:$C$197,'CEMI Raw'!$E$6:$E$197,$A89,'CEMI Raw'!$B$6:$B$197,2025)</f>
        <v>0</v>
      </c>
      <c r="E89" s="17" t="n">
        <f aca="false">SUMIFS('CEMI Raw'!$D$6:$D$197,'CEMI Raw'!$E$6:$E$197,$A89,'CEMI Raw'!$B$6:$B$197,2025)</f>
        <v>0</v>
      </c>
      <c r="F89" s="16" t="n">
        <f aca="false">SUMIFS('CEMI Raw'!$C$6:$C$197,'CEMI Raw'!$E$6:$E$197,$A89,'CEMI Raw'!$B$6:$B$197,2026)</f>
        <v>327</v>
      </c>
      <c r="G89" s="17" t="n">
        <f aca="false">SUMIFS('CEMI Raw'!$D$6:$D$197,'CEMI Raw'!$E$6:$E$197,$A89,'CEMI Raw'!$B$6:$B$197,2026)</f>
        <v>5739.6</v>
      </c>
      <c r="H89" s="16" t="n">
        <f aca="false">SUMIFS('SALES Raw'!$C$6:$C$435,'SALES Raw'!$E$6:$E$435,$A89,'SALES Raw'!$B$6:$B$435,2025)</f>
        <v>474</v>
      </c>
      <c r="I89" s="17" t="n">
        <f aca="false">SUMIFS('SALES Raw'!$D$6:$D$435,'SALES Raw'!$E$6:$E$435,$A89,'SALES Raw'!$B$6:$B$435,2025)</f>
        <v>8769</v>
      </c>
      <c r="J89" s="16" t="n">
        <f aca="false">SUMIFS('SALES Raw'!$C$6:$C$435,'SALES Raw'!$E$6:$E$435,$A89,'SALES Raw'!$B$6:$B$435,2026)</f>
        <v>221</v>
      </c>
      <c r="K89" s="17" t="n">
        <f aca="false">SUMIFS('SALES Raw'!$D$6:$D$435,'SALES Raw'!$E$6:$E$435,$A89,'SALES Raw'!$B$6:$B$435,2026)</f>
        <v>4088.5</v>
      </c>
      <c r="L89" s="16" t="n">
        <f aca="false">D89+H89</f>
        <v>474</v>
      </c>
      <c r="M89" s="17" t="n">
        <f aca="false">E89+I89</f>
        <v>8769</v>
      </c>
      <c r="N89" s="16" t="n">
        <f aca="false">F89+J89</f>
        <v>548</v>
      </c>
      <c r="O89" s="17" t="n">
        <f aca="false">G89+K89</f>
        <v>9828.1</v>
      </c>
    </row>
    <row r="90" customFormat="false" ht="15" hidden="false" customHeight="false" outlineLevel="0" collapsed="false">
      <c r="A90" s="6" t="n">
        <v>4408268</v>
      </c>
      <c r="B90" s="6" t="str">
        <f aca="false">IFERROR(INDEX('TRANS'!$A:$A,MATCH($A90,'TRANS'!$B:$B,0)),"")</f>
        <v>ST20 0</v>
      </c>
      <c r="C90" s="6" t="str">
        <f aca="false">IFERROR(INDEX('TRANS'!$C:$C,MATCH($A90,'TRANS'!$B:$B,0)),"")</f>
        <v>ST20 חבק יד</v>
      </c>
      <c r="D90" s="16" t="n">
        <f aca="false">SUMIFS('CEMI Raw'!$C$6:$C$197,'CEMI Raw'!$E$6:$E$197,$A90,'CEMI Raw'!$B$6:$B$197,2025)</f>
        <v>0</v>
      </c>
      <c r="E90" s="17" t="n">
        <f aca="false">SUMIFS('CEMI Raw'!$D$6:$D$197,'CEMI Raw'!$E$6:$E$197,$A90,'CEMI Raw'!$B$6:$B$197,2025)</f>
        <v>0</v>
      </c>
      <c r="F90" s="16" t="n">
        <f aca="false">SUMIFS('CEMI Raw'!$C$6:$C$197,'CEMI Raw'!$E$6:$E$197,$A90,'CEMI Raw'!$B$6:$B$197,2026)</f>
        <v>72</v>
      </c>
      <c r="G90" s="17" t="n">
        <f aca="false">SUMIFS('CEMI Raw'!$D$6:$D$197,'CEMI Raw'!$E$6:$E$197,$A90,'CEMI Raw'!$B$6:$B$197,2026)</f>
        <v>1133</v>
      </c>
      <c r="H90" s="16" t="n">
        <f aca="false">SUMIFS('SALES Raw'!$C$6:$C$435,'SALES Raw'!$E$6:$E$435,$A90,'SALES Raw'!$B$6:$B$435,2025)</f>
        <v>172</v>
      </c>
      <c r="I90" s="17" t="n">
        <f aca="false">SUMIFS('SALES Raw'!$D$6:$D$435,'SALES Raw'!$E$6:$E$435,$A90,'SALES Raw'!$B$6:$B$435,2025)</f>
        <v>2855.2</v>
      </c>
      <c r="J90" s="16" t="n">
        <f aca="false">SUMIFS('SALES Raw'!$C$6:$C$435,'SALES Raw'!$E$6:$E$435,$A90,'SALES Raw'!$B$6:$B$435,2026)</f>
        <v>44</v>
      </c>
      <c r="K90" s="17" t="n">
        <f aca="false">SUMIFS('SALES Raw'!$D$6:$D$435,'SALES Raw'!$E$6:$E$435,$A90,'SALES Raw'!$B$6:$B$435,2026)</f>
        <v>730.4</v>
      </c>
      <c r="L90" s="16" t="n">
        <f aca="false">D90+H90</f>
        <v>172</v>
      </c>
      <c r="M90" s="17" t="n">
        <f aca="false">E90+I90</f>
        <v>2855.2</v>
      </c>
      <c r="N90" s="16" t="n">
        <f aca="false">F90+J90</f>
        <v>116</v>
      </c>
      <c r="O90" s="17" t="n">
        <f aca="false">G90+K90</f>
        <v>1863.4</v>
      </c>
    </row>
    <row r="91" customFormat="false" ht="15" hidden="false" customHeight="false" outlineLevel="0" collapsed="false">
      <c r="A91" s="6" t="n">
        <v>4408269</v>
      </c>
      <c r="B91" s="6" t="str">
        <f aca="false">IFERROR(INDEX('TRANS'!$A:$A,MATCH($A91,'TRANS'!$B:$B,0)),"")</f>
        <v>ST37 0</v>
      </c>
      <c r="C91" s="6" t="str">
        <f aca="false">IFERROR(INDEX('TRANS'!$C:$C,MATCH($A91,'TRANS'!$B:$B,0)),"")</f>
        <v>ST37 חבק לקרסול</v>
      </c>
      <c r="D91" s="16" t="n">
        <f aca="false">SUMIFS('CEMI Raw'!$C$6:$C$197,'CEMI Raw'!$E$6:$E$197,$A91,'CEMI Raw'!$B$6:$B$197,2025)</f>
        <v>0</v>
      </c>
      <c r="E91" s="17" t="n">
        <f aca="false">SUMIFS('CEMI Raw'!$D$6:$D$197,'CEMI Raw'!$E$6:$E$197,$A91,'CEMI Raw'!$B$6:$B$197,2025)</f>
        <v>0</v>
      </c>
      <c r="F91" s="16" t="n">
        <f aca="false">SUMIFS('CEMI Raw'!$C$6:$C$197,'CEMI Raw'!$E$6:$E$197,$A91,'CEMI Raw'!$B$6:$B$197,2026)</f>
        <v>97</v>
      </c>
      <c r="G91" s="17" t="n">
        <f aca="false">SUMIFS('CEMI Raw'!$D$6:$D$197,'CEMI Raw'!$E$6:$E$197,$A91,'CEMI Raw'!$B$6:$B$197,2026)</f>
        <v>1989.8</v>
      </c>
      <c r="H91" s="16" t="n">
        <f aca="false">SUMIFS('SALES Raw'!$C$6:$C$435,'SALES Raw'!$E$6:$E$435,$A91,'SALES Raw'!$B$6:$B$435,2025)</f>
        <v>177</v>
      </c>
      <c r="I91" s="17" t="n">
        <f aca="false">SUMIFS('SALES Raw'!$D$6:$D$435,'SALES Raw'!$E$6:$E$435,$A91,'SALES Raw'!$B$6:$B$435,2025)</f>
        <v>3717</v>
      </c>
      <c r="J91" s="16" t="n">
        <f aca="false">SUMIFS('SALES Raw'!$C$6:$C$435,'SALES Raw'!$E$6:$E$435,$A91,'SALES Raw'!$B$6:$B$435,2026)</f>
        <v>73</v>
      </c>
      <c r="K91" s="17" t="n">
        <f aca="false">SUMIFS('SALES Raw'!$D$6:$D$435,'SALES Raw'!$E$6:$E$435,$A91,'SALES Raw'!$B$6:$B$435,2026)</f>
        <v>1533</v>
      </c>
      <c r="L91" s="16" t="n">
        <f aca="false">D91+H91</f>
        <v>177</v>
      </c>
      <c r="M91" s="17" t="n">
        <f aca="false">E91+I91</f>
        <v>3717</v>
      </c>
      <c r="N91" s="16" t="n">
        <f aca="false">F91+J91</f>
        <v>170</v>
      </c>
      <c r="O91" s="17" t="n">
        <f aca="false">G91+K91</f>
        <v>3522.8</v>
      </c>
    </row>
    <row r="92" customFormat="false" ht="15" hidden="false" customHeight="false" outlineLevel="0" collapsed="false">
      <c r="A92" s="6" t="n">
        <v>4408270</v>
      </c>
      <c r="B92" s="6" t="str">
        <f aca="false">IFERROR(INDEX('TRANS'!$A:$A,MATCH($A92,'TRANS'!$B:$B,0)),"")</f>
        <v>ST11 0</v>
      </c>
      <c r="C92" s="6" t="str">
        <f aca="false">IFERROR(INDEX('TRANS'!$C:$C,MATCH($A92,'TRANS'!$B:$B,0)),"")</f>
        <v>ST11  חגורת בטן</v>
      </c>
      <c r="D92" s="16" t="n">
        <f aca="false">SUMIFS('CEMI Raw'!$C$6:$C$197,'CEMI Raw'!$E$6:$E$197,$A92,'CEMI Raw'!$B$6:$B$197,2025)</f>
        <v>0</v>
      </c>
      <c r="E92" s="17" t="n">
        <f aca="false">SUMIFS('CEMI Raw'!$D$6:$D$197,'CEMI Raw'!$E$6:$E$197,$A92,'CEMI Raw'!$B$6:$B$197,2025)</f>
        <v>0</v>
      </c>
      <c r="F92" s="16" t="n">
        <f aca="false">SUMIFS('CEMI Raw'!$C$6:$C$197,'CEMI Raw'!$E$6:$E$197,$A92,'CEMI Raw'!$B$6:$B$197,2026)</f>
        <v>5</v>
      </c>
      <c r="G92" s="17" t="n">
        <f aca="false">SUMIFS('CEMI Raw'!$D$6:$D$197,'CEMI Raw'!$E$6:$E$197,$A92,'CEMI Raw'!$B$6:$B$197,2026)</f>
        <v>171</v>
      </c>
      <c r="H92" s="16" t="n">
        <f aca="false">SUMIFS('SALES Raw'!$C$6:$C$435,'SALES Raw'!$E$6:$E$435,$A92,'SALES Raw'!$B$6:$B$435,2025)</f>
        <v>58</v>
      </c>
      <c r="I92" s="17" t="n">
        <f aca="false">SUMIFS('SALES Raw'!$D$6:$D$435,'SALES Raw'!$E$6:$E$435,$A92,'SALES Raw'!$B$6:$B$435,2025)</f>
        <v>2088</v>
      </c>
      <c r="J92" s="16" t="n">
        <f aca="false">SUMIFS('SALES Raw'!$C$6:$C$435,'SALES Raw'!$E$6:$E$435,$A92,'SALES Raw'!$B$6:$B$435,2026)</f>
        <v>6</v>
      </c>
      <c r="K92" s="17" t="n">
        <f aca="false">SUMIFS('SALES Raw'!$D$6:$D$435,'SALES Raw'!$E$6:$E$435,$A92,'SALES Raw'!$B$6:$B$435,2026)</f>
        <v>306.36</v>
      </c>
      <c r="L92" s="16" t="n">
        <f aca="false">D92+H92</f>
        <v>58</v>
      </c>
      <c r="M92" s="17" t="n">
        <f aca="false">E92+I92</f>
        <v>2088</v>
      </c>
      <c r="N92" s="16" t="n">
        <f aca="false">F92+J92</f>
        <v>11</v>
      </c>
      <c r="O92" s="17" t="n">
        <f aca="false">G92+K92</f>
        <v>477.36</v>
      </c>
    </row>
    <row r="93" customFormat="false" ht="15" hidden="false" customHeight="false" outlineLevel="0" collapsed="false">
      <c r="A93" s="6" t="n">
        <v>4408271</v>
      </c>
      <c r="B93" s="6" t="str">
        <f aca="false">IFERROR(INDEX('TRANS'!$A:$A,MATCH($A93,'TRANS'!$B:$B,0)),"")</f>
        <v>70N XS</v>
      </c>
      <c r="C93" s="6" t="str">
        <f aca="false">IFERROR(INDEX('TRANS'!$C:$C,MATCH($A93,'TRANS'!$B:$B,0)),"")</f>
        <v>70N XS חגורת פאבליק</v>
      </c>
      <c r="D93" s="16" t="n">
        <f aca="false">SUMIFS('CEMI Raw'!$C$6:$C$197,'CEMI Raw'!$E$6:$E$197,$A93,'CEMI Raw'!$B$6:$B$197,2025)</f>
        <v>0</v>
      </c>
      <c r="E93" s="17" t="n">
        <f aca="false">SUMIFS('CEMI Raw'!$D$6:$D$197,'CEMI Raw'!$E$6:$E$197,$A93,'CEMI Raw'!$B$6:$B$197,2025)</f>
        <v>0</v>
      </c>
      <c r="F93" s="16" t="n">
        <f aca="false">SUMIFS('CEMI Raw'!$C$6:$C$197,'CEMI Raw'!$E$6:$E$197,$A93,'CEMI Raw'!$B$6:$B$197,2026)</f>
        <v>8</v>
      </c>
      <c r="G93" s="17" t="n">
        <f aca="false">SUMIFS('CEMI Raw'!$D$6:$D$197,'CEMI Raw'!$E$6:$E$197,$A93,'CEMI Raw'!$B$6:$B$197,2026)</f>
        <v>1672</v>
      </c>
      <c r="H93" s="16" t="n">
        <f aca="false">SUMIFS('SALES Raw'!$C$6:$C$435,'SALES Raw'!$E$6:$E$435,$A93,'SALES Raw'!$B$6:$B$435,2025)</f>
        <v>0</v>
      </c>
      <c r="I93" s="17" t="n">
        <f aca="false">SUMIFS('SALES Raw'!$D$6:$D$435,'SALES Raw'!$E$6:$E$435,$A93,'SALES Raw'!$B$6:$B$435,2025)</f>
        <v>0</v>
      </c>
      <c r="J93" s="16" t="n">
        <f aca="false">SUMIFS('SALES Raw'!$C$6:$C$435,'SALES Raw'!$E$6:$E$435,$A93,'SALES Raw'!$B$6:$B$435,2026)</f>
        <v>0</v>
      </c>
      <c r="K93" s="17" t="n">
        <f aca="false">SUMIFS('SALES Raw'!$D$6:$D$435,'SALES Raw'!$E$6:$E$435,$A93,'SALES Raw'!$B$6:$B$435,2026)</f>
        <v>0</v>
      </c>
      <c r="L93" s="16" t="n">
        <f aca="false">D93+H93</f>
        <v>0</v>
      </c>
      <c r="M93" s="17" t="n">
        <f aca="false">E93+I93</f>
        <v>0</v>
      </c>
      <c r="N93" s="16" t="n">
        <f aca="false">F93+J93</f>
        <v>8</v>
      </c>
      <c r="O93" s="17" t="n">
        <f aca="false">G93+K93</f>
        <v>1672</v>
      </c>
    </row>
    <row r="94" customFormat="false" ht="15" hidden="false" customHeight="false" outlineLevel="0" collapsed="false">
      <c r="A94" s="6" t="n">
        <v>4408272</v>
      </c>
      <c r="B94" s="6" t="str">
        <f aca="false">IFERROR(INDEX('TRANS'!$A:$A,MATCH($A94,'TRANS'!$B:$B,0)),"")</f>
        <v>70N S</v>
      </c>
      <c r="C94" s="6" t="str">
        <f aca="false">IFERROR(INDEX('TRANS'!$C:$C,MATCH($A94,'TRANS'!$B:$B,0)),"")</f>
        <v>70N S חגורת פאבליק</v>
      </c>
      <c r="D94" s="16" t="n">
        <f aca="false">SUMIFS('CEMI Raw'!$C$6:$C$197,'CEMI Raw'!$E$6:$E$197,$A94,'CEMI Raw'!$B$6:$B$197,2025)</f>
        <v>0</v>
      </c>
      <c r="E94" s="17" t="n">
        <f aca="false">SUMIFS('CEMI Raw'!$D$6:$D$197,'CEMI Raw'!$E$6:$E$197,$A94,'CEMI Raw'!$B$6:$B$197,2025)</f>
        <v>0</v>
      </c>
      <c r="F94" s="16" t="n">
        <f aca="false">SUMIFS('CEMI Raw'!$C$6:$C$197,'CEMI Raw'!$E$6:$E$197,$A94,'CEMI Raw'!$B$6:$B$197,2026)</f>
        <v>2</v>
      </c>
      <c r="G94" s="17" t="n">
        <f aca="false">SUMIFS('CEMI Raw'!$D$6:$D$197,'CEMI Raw'!$E$6:$E$197,$A94,'CEMI Raw'!$B$6:$B$197,2026)</f>
        <v>431</v>
      </c>
      <c r="H94" s="16" t="n">
        <f aca="false">SUMIFS('SALES Raw'!$C$6:$C$435,'SALES Raw'!$E$6:$E$435,$A94,'SALES Raw'!$B$6:$B$435,2025)</f>
        <v>0</v>
      </c>
      <c r="I94" s="17" t="n">
        <f aca="false">SUMIFS('SALES Raw'!$D$6:$D$435,'SALES Raw'!$E$6:$E$435,$A94,'SALES Raw'!$B$6:$B$435,2025)</f>
        <v>0</v>
      </c>
      <c r="J94" s="16" t="n">
        <f aca="false">SUMIFS('SALES Raw'!$C$6:$C$435,'SALES Raw'!$E$6:$E$435,$A94,'SALES Raw'!$B$6:$B$435,2026)</f>
        <v>0</v>
      </c>
      <c r="K94" s="17" t="n">
        <f aca="false">SUMIFS('SALES Raw'!$D$6:$D$435,'SALES Raw'!$E$6:$E$435,$A94,'SALES Raw'!$B$6:$B$435,2026)</f>
        <v>0</v>
      </c>
      <c r="L94" s="16" t="n">
        <f aca="false">D94+H94</f>
        <v>0</v>
      </c>
      <c r="M94" s="17" t="n">
        <f aca="false">E94+I94</f>
        <v>0</v>
      </c>
      <c r="N94" s="16" t="n">
        <f aca="false">F94+J94</f>
        <v>2</v>
      </c>
      <c r="O94" s="17" t="n">
        <f aca="false">G94+K94</f>
        <v>431</v>
      </c>
    </row>
    <row r="95" customFormat="false" ht="15" hidden="false" customHeight="false" outlineLevel="0" collapsed="false">
      <c r="A95" s="6" t="n">
        <v>4408273</v>
      </c>
      <c r="B95" s="6" t="str">
        <f aca="false">IFERROR(INDEX('TRANS'!$A:$A,MATCH($A95,'TRANS'!$B:$B,0)),"")</f>
        <v>70N M</v>
      </c>
      <c r="C95" s="6" t="str">
        <f aca="false">IFERROR(INDEX('TRANS'!$C:$C,MATCH($A95,'TRANS'!$B:$B,0)),"")</f>
        <v>70N M חגורת פאבליק</v>
      </c>
      <c r="D95" s="16" t="n">
        <f aca="false">SUMIFS('CEMI Raw'!$C$6:$C$197,'CEMI Raw'!$E$6:$E$197,$A95,'CEMI Raw'!$B$6:$B$197,2025)</f>
        <v>0</v>
      </c>
      <c r="E95" s="17" t="n">
        <f aca="false">SUMIFS('CEMI Raw'!$D$6:$D$197,'CEMI Raw'!$E$6:$E$197,$A95,'CEMI Raw'!$B$6:$B$197,2025)</f>
        <v>0</v>
      </c>
      <c r="F95" s="16" t="n">
        <f aca="false">SUMIFS('CEMI Raw'!$C$6:$C$197,'CEMI Raw'!$E$6:$E$197,$A95,'CEMI Raw'!$B$6:$B$197,2026)</f>
        <v>1</v>
      </c>
      <c r="G95" s="17" t="n">
        <f aca="false">SUMIFS('CEMI Raw'!$D$6:$D$197,'CEMI Raw'!$E$6:$E$197,$A95,'CEMI Raw'!$B$6:$B$197,2026)</f>
        <v>222</v>
      </c>
      <c r="H95" s="16" t="n">
        <f aca="false">SUMIFS('SALES Raw'!$C$6:$C$435,'SALES Raw'!$E$6:$E$435,$A95,'SALES Raw'!$B$6:$B$435,2025)</f>
        <v>0</v>
      </c>
      <c r="I95" s="17" t="n">
        <f aca="false">SUMIFS('SALES Raw'!$D$6:$D$435,'SALES Raw'!$E$6:$E$435,$A95,'SALES Raw'!$B$6:$B$435,2025)</f>
        <v>0</v>
      </c>
      <c r="J95" s="16" t="n">
        <f aca="false">SUMIFS('SALES Raw'!$C$6:$C$435,'SALES Raw'!$E$6:$E$435,$A95,'SALES Raw'!$B$6:$B$435,2026)</f>
        <v>0</v>
      </c>
      <c r="K95" s="17" t="n">
        <f aca="false">SUMIFS('SALES Raw'!$D$6:$D$435,'SALES Raw'!$E$6:$E$435,$A95,'SALES Raw'!$B$6:$B$435,2026)</f>
        <v>0</v>
      </c>
      <c r="L95" s="16" t="n">
        <f aca="false">D95+H95</f>
        <v>0</v>
      </c>
      <c r="M95" s="17" t="n">
        <f aca="false">E95+I95</f>
        <v>0</v>
      </c>
      <c r="N95" s="16" t="n">
        <f aca="false">F95+J95</f>
        <v>1</v>
      </c>
      <c r="O95" s="17" t="n">
        <f aca="false">G95+K95</f>
        <v>222</v>
      </c>
    </row>
    <row r="96" customFormat="false" ht="15" hidden="false" customHeight="false" outlineLevel="0" collapsed="false">
      <c r="A96" s="6" t="n">
        <v>4408274</v>
      </c>
      <c r="B96" s="6" t="str">
        <f aca="false">IFERROR(INDEX('TRANS'!$A:$A,MATCH($A96,'TRANS'!$B:$B,0)),"")</f>
        <v>70N L</v>
      </c>
      <c r="C96" s="6" t="str">
        <f aca="false">IFERROR(INDEX('TRANS'!$C:$C,MATCH($A96,'TRANS'!$B:$B,0)),"")</f>
        <v>70N L חגורת פאבליק</v>
      </c>
      <c r="D96" s="16" t="n">
        <f aca="false">SUMIFS('CEMI Raw'!$C$6:$C$197,'CEMI Raw'!$E$6:$E$197,$A96,'CEMI Raw'!$B$6:$B$197,2025)</f>
        <v>0</v>
      </c>
      <c r="E96" s="17" t="n">
        <f aca="false">SUMIFS('CEMI Raw'!$D$6:$D$197,'CEMI Raw'!$E$6:$E$197,$A96,'CEMI Raw'!$B$6:$B$197,2025)</f>
        <v>0</v>
      </c>
      <c r="F96" s="16" t="n">
        <f aca="false">SUMIFS('CEMI Raw'!$C$6:$C$197,'CEMI Raw'!$E$6:$E$197,$A96,'CEMI Raw'!$B$6:$B$197,2026)</f>
        <v>1</v>
      </c>
      <c r="G96" s="17" t="n">
        <f aca="false">SUMIFS('CEMI Raw'!$D$6:$D$197,'CEMI Raw'!$E$6:$E$197,$A96,'CEMI Raw'!$B$6:$B$197,2026)</f>
        <v>222</v>
      </c>
      <c r="H96" s="16" t="n">
        <f aca="false">SUMIFS('SALES Raw'!$C$6:$C$435,'SALES Raw'!$E$6:$E$435,$A96,'SALES Raw'!$B$6:$B$435,2025)</f>
        <v>0</v>
      </c>
      <c r="I96" s="17" t="n">
        <f aca="false">SUMIFS('SALES Raw'!$D$6:$D$435,'SALES Raw'!$E$6:$E$435,$A96,'SALES Raw'!$B$6:$B$435,2025)</f>
        <v>0</v>
      </c>
      <c r="J96" s="16" t="n">
        <f aca="false">SUMIFS('SALES Raw'!$C$6:$C$435,'SALES Raw'!$E$6:$E$435,$A96,'SALES Raw'!$B$6:$B$435,2026)</f>
        <v>0</v>
      </c>
      <c r="K96" s="17" t="n">
        <f aca="false">SUMIFS('SALES Raw'!$D$6:$D$435,'SALES Raw'!$E$6:$E$435,$A96,'SALES Raw'!$B$6:$B$435,2026)</f>
        <v>0</v>
      </c>
      <c r="L96" s="16" t="n">
        <f aca="false">D96+H96</f>
        <v>0</v>
      </c>
      <c r="M96" s="17" t="n">
        <f aca="false">E96+I96</f>
        <v>0</v>
      </c>
      <c r="N96" s="16" t="n">
        <f aca="false">F96+J96</f>
        <v>1</v>
      </c>
      <c r="O96" s="17" t="n">
        <f aca="false">G96+K96</f>
        <v>222</v>
      </c>
    </row>
    <row r="97" customFormat="false" ht="15" hidden="false" customHeight="false" outlineLevel="0" collapsed="false">
      <c r="A97" s="6" t="n">
        <v>4409000</v>
      </c>
      <c r="B97" s="6" t="str">
        <f aca="false">IFERROR(INDEX('TRANS'!$A:$A,MATCH($A97,'TRANS'!$B:$B,0)),"")</f>
        <v>365-S-L</v>
      </c>
      <c r="C97" s="6" t="str">
        <f aca="false">IFERROR(INDEX('TRANS'!$C:$C,MATCH($A97,'TRANS'!$B:$B,0)),"")</f>
        <v>365 S-Lטבעת אלסטית מסיליקון</v>
      </c>
      <c r="D97" s="16" t="n">
        <f aca="false">SUMIFS('CEMI Raw'!$C$6:$C$197,'CEMI Raw'!$E$6:$E$197,$A97,'CEMI Raw'!$B$6:$B$197,2025)</f>
        <v>0</v>
      </c>
      <c r="E97" s="17" t="n">
        <f aca="false">SUMIFS('CEMI Raw'!$D$6:$D$197,'CEMI Raw'!$E$6:$E$197,$A97,'CEMI Raw'!$B$6:$B$197,2025)</f>
        <v>0</v>
      </c>
      <c r="F97" s="16" t="n">
        <f aca="false">SUMIFS('CEMI Raw'!$C$6:$C$197,'CEMI Raw'!$E$6:$E$197,$A97,'CEMI Raw'!$B$6:$B$197,2026)</f>
        <v>138</v>
      </c>
      <c r="G97" s="17" t="n">
        <f aca="false">SUMIFS('CEMI Raw'!$D$6:$D$197,'CEMI Raw'!$E$6:$E$197,$A97,'CEMI Raw'!$B$6:$B$197,2026)</f>
        <v>1250.1</v>
      </c>
      <c r="H97" s="16" t="n">
        <f aca="false">SUMIFS('SALES Raw'!$C$6:$C$435,'SALES Raw'!$E$6:$E$435,$A97,'SALES Raw'!$B$6:$B$435,2025)</f>
        <v>335</v>
      </c>
      <c r="I97" s="17" t="n">
        <f aca="false">SUMIFS('SALES Raw'!$D$6:$D$435,'SALES Raw'!$E$6:$E$435,$A97,'SALES Raw'!$B$6:$B$435,2025)</f>
        <v>3252.85</v>
      </c>
      <c r="J97" s="16" t="n">
        <f aca="false">SUMIFS('SALES Raw'!$C$6:$C$435,'SALES Raw'!$E$6:$E$435,$A97,'SALES Raw'!$B$6:$B$435,2026)</f>
        <v>116</v>
      </c>
      <c r="K97" s="17" t="n">
        <f aca="false">SUMIFS('SALES Raw'!$D$6:$D$435,'SALES Raw'!$E$6:$E$435,$A97,'SALES Raw'!$B$6:$B$435,2026)</f>
        <v>1126.36</v>
      </c>
      <c r="L97" s="16" t="n">
        <f aca="false">D97+H97</f>
        <v>335</v>
      </c>
      <c r="M97" s="17" t="n">
        <f aca="false">E97+I97</f>
        <v>3252.85</v>
      </c>
      <c r="N97" s="16" t="n">
        <f aca="false">F97+J97</f>
        <v>254</v>
      </c>
      <c r="O97" s="17" t="n">
        <f aca="false">G97+K97</f>
        <v>2376.46</v>
      </c>
    </row>
    <row r="98" customFormat="false" ht="15" hidden="false" customHeight="false" outlineLevel="0" collapsed="false">
      <c r="A98" s="6" t="n">
        <v>4409001</v>
      </c>
      <c r="B98" s="6" t="str">
        <f aca="false">IFERROR(INDEX('TRANS'!$A:$A,MATCH($A98,'TRANS'!$B:$B,0)),"")</f>
        <v>365-XL</v>
      </c>
      <c r="C98" s="6" t="str">
        <f aca="false">IFERROR(INDEX('TRANS'!$C:$C,MATCH($A98,'TRANS'!$B:$B,0)),"")</f>
        <v>365  X-Lטבעת אלסטית מסיליקון</v>
      </c>
      <c r="D98" s="16" t="n">
        <f aca="false">SUMIFS('CEMI Raw'!$C$6:$C$197,'CEMI Raw'!$E$6:$E$197,$A98,'CEMI Raw'!$B$6:$B$197,2025)</f>
        <v>0</v>
      </c>
      <c r="E98" s="17" t="n">
        <f aca="false">SUMIFS('CEMI Raw'!$D$6:$D$197,'CEMI Raw'!$E$6:$E$197,$A98,'CEMI Raw'!$B$6:$B$197,2025)</f>
        <v>0</v>
      </c>
      <c r="F98" s="16" t="n">
        <f aca="false">SUMIFS('CEMI Raw'!$C$6:$C$197,'CEMI Raw'!$E$6:$E$197,$A98,'CEMI Raw'!$B$6:$B$197,2026)</f>
        <v>26</v>
      </c>
      <c r="G98" s="17" t="n">
        <f aca="false">SUMIFS('CEMI Raw'!$D$6:$D$197,'CEMI Raw'!$E$6:$E$197,$A98,'CEMI Raw'!$B$6:$B$197,2026)</f>
        <v>200</v>
      </c>
      <c r="H98" s="16" t="n">
        <f aca="false">SUMIFS('SALES Raw'!$C$6:$C$435,'SALES Raw'!$E$6:$E$435,$A98,'SALES Raw'!$B$6:$B$435,2025)</f>
        <v>158</v>
      </c>
      <c r="I98" s="17" t="n">
        <f aca="false">SUMIFS('SALES Raw'!$D$6:$D$435,'SALES Raw'!$E$6:$E$435,$A98,'SALES Raw'!$B$6:$B$435,2025)</f>
        <v>1276.64</v>
      </c>
      <c r="J98" s="16" t="n">
        <f aca="false">SUMIFS('SALES Raw'!$C$6:$C$435,'SALES Raw'!$E$6:$E$435,$A98,'SALES Raw'!$B$6:$B$435,2026)</f>
        <v>63</v>
      </c>
      <c r="K98" s="17" t="n">
        <f aca="false">SUMIFS('SALES Raw'!$D$6:$D$435,'SALES Raw'!$E$6:$E$435,$A98,'SALES Raw'!$B$6:$B$435,2026)</f>
        <v>509.04</v>
      </c>
      <c r="L98" s="16" t="n">
        <f aca="false">D98+H98</f>
        <v>158</v>
      </c>
      <c r="M98" s="17" t="n">
        <f aca="false">E98+I98</f>
        <v>1276.64</v>
      </c>
      <c r="N98" s="16" t="n">
        <f aca="false">F98+J98</f>
        <v>89</v>
      </c>
      <c r="O98" s="17" t="n">
        <f aca="false">G98+K98</f>
        <v>709.04</v>
      </c>
    </row>
    <row r="99" customFormat="false" ht="15" hidden="false" customHeight="false" outlineLevel="0" collapsed="false">
      <c r="A99" s="6" t="n">
        <v>4409004</v>
      </c>
      <c r="B99" s="6" t="str">
        <f aca="false">IFERROR(INDEX('TRANS'!$A:$A,MATCH($A99,'TRANS'!$B:$B,0)),"")</f>
        <v>FC335 0</v>
      </c>
      <c r="C99" s="6" t="str">
        <f aca="false">IFERROR(INDEX('TRANS'!$C:$C,MATCH($A99,'TRANS'!$B:$B,0)),"")</f>
        <v>FC335 טלק מעושר באלוורה</v>
      </c>
      <c r="D99" s="16" t="n">
        <f aca="false">SUMIFS('CEMI Raw'!$C$6:$C$197,'CEMI Raw'!$E$6:$E$197,$A99,'CEMI Raw'!$B$6:$B$197,2025)</f>
        <v>0</v>
      </c>
      <c r="E99" s="17" t="n">
        <f aca="false">SUMIFS('CEMI Raw'!$D$6:$D$197,'CEMI Raw'!$E$6:$E$197,$A99,'CEMI Raw'!$B$6:$B$197,2025)</f>
        <v>0</v>
      </c>
      <c r="F99" s="16" t="n">
        <f aca="false">SUMIFS('CEMI Raw'!$C$6:$C$197,'CEMI Raw'!$E$6:$E$197,$A99,'CEMI Raw'!$B$6:$B$197,2026)</f>
        <v>276</v>
      </c>
      <c r="G99" s="17" t="n">
        <f aca="false">SUMIFS('CEMI Raw'!$D$6:$D$197,'CEMI Raw'!$E$6:$E$197,$A99,'CEMI Raw'!$B$6:$B$197,2026)</f>
        <v>3534.3</v>
      </c>
      <c r="H99" s="16" t="n">
        <f aca="false">SUMIFS('SALES Raw'!$C$6:$C$435,'SALES Raw'!$E$6:$E$435,$A99,'SALES Raw'!$B$6:$B$435,2025)</f>
        <v>1180</v>
      </c>
      <c r="I99" s="17" t="n">
        <f aca="false">SUMIFS('SALES Raw'!$D$6:$D$435,'SALES Raw'!$E$6:$E$435,$A99,'SALES Raw'!$B$6:$B$435,2025)</f>
        <v>15812</v>
      </c>
      <c r="J99" s="16" t="n">
        <f aca="false">SUMIFS('SALES Raw'!$C$6:$C$435,'SALES Raw'!$E$6:$E$435,$A99,'SALES Raw'!$B$6:$B$435,2026)</f>
        <v>192</v>
      </c>
      <c r="K99" s="17" t="n">
        <f aca="false">SUMIFS('SALES Raw'!$D$6:$D$435,'SALES Raw'!$E$6:$E$435,$A99,'SALES Raw'!$B$6:$B$435,2026)</f>
        <v>2572.8</v>
      </c>
      <c r="L99" s="16" t="n">
        <f aca="false">D99+H99</f>
        <v>1180</v>
      </c>
      <c r="M99" s="17" t="n">
        <f aca="false">E99+I99</f>
        <v>15812</v>
      </c>
      <c r="N99" s="16" t="n">
        <f aca="false">F99+J99</f>
        <v>468</v>
      </c>
      <c r="O99" s="17" t="n">
        <f aca="false">G99+K99</f>
        <v>6107.1</v>
      </c>
    </row>
    <row r="100" customFormat="false" ht="15" hidden="false" customHeight="false" outlineLevel="0" collapsed="false">
      <c r="A100" s="6" t="n">
        <v>4409014</v>
      </c>
      <c r="B100" s="6" t="str">
        <f aca="false">IFERROR(INDEX('TRANS'!$A:$A,MATCH($A100,'TRANS'!$B:$B,0)),"")</f>
        <v>808KT-P</v>
      </c>
      <c r="C100" s="6" t="str">
        <f aca="false">IFERROR(INDEX('TRANS'!$C:$C,MATCH($A100,'TRANS'!$B:$B,0)),"")</f>
        <v>808KT-P        טייפ קינזיולוגי</v>
      </c>
      <c r="D100" s="16" t="n">
        <f aca="false">SUMIFS('CEMI Raw'!$C$6:$C$197,'CEMI Raw'!$E$6:$E$197,$A100,'CEMI Raw'!$B$6:$B$197,2025)</f>
        <v>0</v>
      </c>
      <c r="E100" s="17" t="n">
        <f aca="false">SUMIFS('CEMI Raw'!$D$6:$D$197,'CEMI Raw'!$E$6:$E$197,$A100,'CEMI Raw'!$B$6:$B$197,2025)</f>
        <v>0</v>
      </c>
      <c r="F100" s="16" t="n">
        <f aca="false">SUMIFS('CEMI Raw'!$C$6:$C$197,'CEMI Raw'!$E$6:$E$197,$A100,'CEMI Raw'!$B$6:$B$197,2026)</f>
        <v>31</v>
      </c>
      <c r="G100" s="17" t="n">
        <f aca="false">SUMIFS('CEMI Raw'!$D$6:$D$197,'CEMI Raw'!$E$6:$E$197,$A100,'CEMI Raw'!$B$6:$B$197,2026)</f>
        <v>775</v>
      </c>
      <c r="H100" s="16" t="n">
        <f aca="false">SUMIFS('SALES Raw'!$C$6:$C$435,'SALES Raw'!$E$6:$E$435,$A100,'SALES Raw'!$B$6:$B$435,2025)</f>
        <v>92</v>
      </c>
      <c r="I100" s="17" t="n">
        <f aca="false">SUMIFS('SALES Raw'!$D$6:$D$435,'SALES Raw'!$E$6:$E$435,$A100,'SALES Raw'!$B$6:$B$435,2025)</f>
        <v>2300</v>
      </c>
      <c r="J100" s="16" t="n">
        <f aca="false">SUMIFS('SALES Raw'!$C$6:$C$435,'SALES Raw'!$E$6:$E$435,$A100,'SALES Raw'!$B$6:$B$435,2026)</f>
        <v>30</v>
      </c>
      <c r="K100" s="17" t="n">
        <f aca="false">SUMIFS('SALES Raw'!$D$6:$D$435,'SALES Raw'!$E$6:$E$435,$A100,'SALES Raw'!$B$6:$B$435,2026)</f>
        <v>750</v>
      </c>
      <c r="L100" s="16" t="n">
        <f aca="false">D100+H100</f>
        <v>92</v>
      </c>
      <c r="M100" s="17" t="n">
        <f aca="false">E100+I100</f>
        <v>2300</v>
      </c>
      <c r="N100" s="16" t="n">
        <f aca="false">F100+J100</f>
        <v>61</v>
      </c>
      <c r="O100" s="17" t="n">
        <f aca="false">G100+K100</f>
        <v>1525</v>
      </c>
    </row>
    <row r="101" customFormat="false" ht="15" hidden="false" customHeight="false" outlineLevel="0" collapsed="false">
      <c r="A101" s="6" t="n">
        <v>4409015</v>
      </c>
      <c r="B101" s="6" t="str">
        <f aca="false">IFERROR(INDEX('TRANS'!$A:$A,MATCH($A101,'TRANS'!$B:$B,0)),"")</f>
        <v>808KT-BL</v>
      </c>
      <c r="C101" s="6" t="str">
        <f aca="false">IFERROR(INDEX('TRANS'!$C:$C,MATCH($A101,'TRANS'!$B:$B,0)),"")</f>
        <v>808KT-BL       טייפ קינזיולוגי</v>
      </c>
      <c r="D101" s="16" t="n">
        <f aca="false">SUMIFS('CEMI Raw'!$C$6:$C$197,'CEMI Raw'!$E$6:$E$197,$A101,'CEMI Raw'!$B$6:$B$197,2025)</f>
        <v>0</v>
      </c>
      <c r="E101" s="17" t="n">
        <f aca="false">SUMIFS('CEMI Raw'!$D$6:$D$197,'CEMI Raw'!$E$6:$E$197,$A101,'CEMI Raw'!$B$6:$B$197,2025)</f>
        <v>0</v>
      </c>
      <c r="F101" s="16" t="n">
        <f aca="false">SUMIFS('CEMI Raw'!$C$6:$C$197,'CEMI Raw'!$E$6:$E$197,$A101,'CEMI Raw'!$B$6:$B$197,2026)</f>
        <v>35</v>
      </c>
      <c r="G101" s="17" t="n">
        <f aca="false">SUMIFS('CEMI Raw'!$D$6:$D$197,'CEMI Raw'!$E$6:$E$197,$A101,'CEMI Raw'!$B$6:$B$197,2026)</f>
        <v>875</v>
      </c>
      <c r="H101" s="16" t="n">
        <f aca="false">SUMIFS('SALES Raw'!$C$6:$C$435,'SALES Raw'!$E$6:$E$435,$A101,'SALES Raw'!$B$6:$B$435,2025)</f>
        <v>111</v>
      </c>
      <c r="I101" s="17" t="n">
        <f aca="false">SUMIFS('SALES Raw'!$D$6:$D$435,'SALES Raw'!$E$6:$E$435,$A101,'SALES Raw'!$B$6:$B$435,2025)</f>
        <v>2775</v>
      </c>
      <c r="J101" s="16" t="n">
        <f aca="false">SUMIFS('SALES Raw'!$C$6:$C$435,'SALES Raw'!$E$6:$E$435,$A101,'SALES Raw'!$B$6:$B$435,2026)</f>
        <v>43</v>
      </c>
      <c r="K101" s="17" t="n">
        <f aca="false">SUMIFS('SALES Raw'!$D$6:$D$435,'SALES Raw'!$E$6:$E$435,$A101,'SALES Raw'!$B$6:$B$435,2026)</f>
        <v>1075</v>
      </c>
      <c r="L101" s="16" t="n">
        <f aca="false">D101+H101</f>
        <v>111</v>
      </c>
      <c r="M101" s="17" t="n">
        <f aca="false">E101+I101</f>
        <v>2775</v>
      </c>
      <c r="N101" s="16" t="n">
        <f aca="false">F101+J101</f>
        <v>78</v>
      </c>
      <c r="O101" s="17" t="n">
        <f aca="false">G101+K101</f>
        <v>1950</v>
      </c>
    </row>
    <row r="102" customFormat="false" ht="15" hidden="false" customHeight="false" outlineLevel="0" collapsed="false">
      <c r="A102" s="6" t="n">
        <v>4409016</v>
      </c>
      <c r="B102" s="6" t="str">
        <f aca="false">IFERROR(INDEX('TRANS'!$A:$A,MATCH($A102,'TRANS'!$B:$B,0)),"")</f>
        <v>808KT-C</v>
      </c>
      <c r="C102" s="6" t="str">
        <f aca="false">IFERROR(INDEX('TRANS'!$C:$C,MATCH($A102,'TRANS'!$B:$B,0)),"")</f>
        <v>808KT-C        טייפ קינזיולוגי</v>
      </c>
      <c r="D102" s="16" t="n">
        <f aca="false">SUMIFS('CEMI Raw'!$C$6:$C$197,'CEMI Raw'!$E$6:$E$197,$A102,'CEMI Raw'!$B$6:$B$197,2025)</f>
        <v>0</v>
      </c>
      <c r="E102" s="17" t="n">
        <f aca="false">SUMIFS('CEMI Raw'!$D$6:$D$197,'CEMI Raw'!$E$6:$E$197,$A102,'CEMI Raw'!$B$6:$B$197,2025)</f>
        <v>0</v>
      </c>
      <c r="F102" s="16" t="n">
        <f aca="false">SUMIFS('CEMI Raw'!$C$6:$C$197,'CEMI Raw'!$E$6:$E$197,$A102,'CEMI Raw'!$B$6:$B$197,2026)</f>
        <v>57</v>
      </c>
      <c r="G102" s="17" t="n">
        <f aca="false">SUMIFS('CEMI Raw'!$D$6:$D$197,'CEMI Raw'!$E$6:$E$197,$A102,'CEMI Raw'!$B$6:$B$197,2026)</f>
        <v>1425</v>
      </c>
      <c r="H102" s="16" t="n">
        <f aca="false">SUMIFS('SALES Raw'!$C$6:$C$435,'SALES Raw'!$E$6:$E$435,$A102,'SALES Raw'!$B$6:$B$435,2025)</f>
        <v>104</v>
      </c>
      <c r="I102" s="17" t="n">
        <f aca="false">SUMIFS('SALES Raw'!$D$6:$D$435,'SALES Raw'!$E$6:$E$435,$A102,'SALES Raw'!$B$6:$B$435,2025)</f>
        <v>2600</v>
      </c>
      <c r="J102" s="16" t="n">
        <f aca="false">SUMIFS('SALES Raw'!$C$6:$C$435,'SALES Raw'!$E$6:$E$435,$A102,'SALES Raw'!$B$6:$B$435,2026)</f>
        <v>41</v>
      </c>
      <c r="K102" s="17" t="n">
        <f aca="false">SUMIFS('SALES Raw'!$D$6:$D$435,'SALES Raw'!$E$6:$E$435,$A102,'SALES Raw'!$B$6:$B$435,2026)</f>
        <v>1025</v>
      </c>
      <c r="L102" s="16" t="n">
        <f aca="false">D102+H102</f>
        <v>104</v>
      </c>
      <c r="M102" s="17" t="n">
        <f aca="false">E102+I102</f>
        <v>2600</v>
      </c>
      <c r="N102" s="16" t="n">
        <f aca="false">F102+J102</f>
        <v>98</v>
      </c>
      <c r="O102" s="17" t="n">
        <f aca="false">G102+K102</f>
        <v>2450</v>
      </c>
    </row>
    <row r="103" customFormat="false" ht="15" hidden="false" customHeight="false" outlineLevel="0" collapsed="false">
      <c r="A103" s="6" t="n">
        <v>4409017</v>
      </c>
      <c r="B103" s="6" t="str">
        <f aca="false">IFERROR(INDEX('TRANS'!$A:$A,MATCH($A103,'TRANS'!$B:$B,0)),"")</f>
        <v>808KT-B</v>
      </c>
      <c r="C103" s="6" t="str">
        <f aca="false">IFERROR(INDEX('TRANS'!$C:$C,MATCH($A103,'TRANS'!$B:$B,0)),"")</f>
        <v>808KT-B        טייפ קינזיולוגי</v>
      </c>
      <c r="D103" s="16" t="n">
        <f aca="false">SUMIFS('CEMI Raw'!$C$6:$C$197,'CEMI Raw'!$E$6:$E$197,$A103,'CEMI Raw'!$B$6:$B$197,2025)</f>
        <v>0</v>
      </c>
      <c r="E103" s="17" t="n">
        <f aca="false">SUMIFS('CEMI Raw'!$D$6:$D$197,'CEMI Raw'!$E$6:$E$197,$A103,'CEMI Raw'!$B$6:$B$197,2025)</f>
        <v>0</v>
      </c>
      <c r="F103" s="16" t="n">
        <f aca="false">SUMIFS('CEMI Raw'!$C$6:$C$197,'CEMI Raw'!$E$6:$E$197,$A103,'CEMI Raw'!$B$6:$B$197,2026)</f>
        <v>60</v>
      </c>
      <c r="G103" s="17" t="n">
        <f aca="false">SUMIFS('CEMI Raw'!$D$6:$D$197,'CEMI Raw'!$E$6:$E$197,$A103,'CEMI Raw'!$B$6:$B$197,2026)</f>
        <v>1500</v>
      </c>
      <c r="H103" s="16" t="n">
        <f aca="false">SUMIFS('SALES Raw'!$C$6:$C$435,'SALES Raw'!$E$6:$E$435,$A103,'SALES Raw'!$B$6:$B$435,2025)</f>
        <v>84</v>
      </c>
      <c r="I103" s="17" t="n">
        <f aca="false">SUMIFS('SALES Raw'!$D$6:$D$435,'SALES Raw'!$E$6:$E$435,$A103,'SALES Raw'!$B$6:$B$435,2025)</f>
        <v>2100</v>
      </c>
      <c r="J103" s="16" t="n">
        <f aca="false">SUMIFS('SALES Raw'!$C$6:$C$435,'SALES Raw'!$E$6:$E$435,$A103,'SALES Raw'!$B$6:$B$435,2026)</f>
        <v>32</v>
      </c>
      <c r="K103" s="17" t="n">
        <f aca="false">SUMIFS('SALES Raw'!$D$6:$D$435,'SALES Raw'!$E$6:$E$435,$A103,'SALES Raw'!$B$6:$B$435,2026)</f>
        <v>800</v>
      </c>
      <c r="L103" s="16" t="n">
        <f aca="false">D103+H103</f>
        <v>84</v>
      </c>
      <c r="M103" s="17" t="n">
        <f aca="false">E103+I103</f>
        <v>2100</v>
      </c>
      <c r="N103" s="16" t="n">
        <f aca="false">F103+J103</f>
        <v>92</v>
      </c>
      <c r="O103" s="17" t="n">
        <f aca="false">G103+K103</f>
        <v>2300</v>
      </c>
    </row>
    <row r="104" customFormat="false" ht="15" hidden="false" customHeight="false" outlineLevel="0" collapsed="false">
      <c r="A104" s="6" t="n">
        <v>4411000</v>
      </c>
      <c r="B104" s="6" t="str">
        <f aca="false">IFERROR(INDEX('TRANS'!$A:$A,MATCH($A104,'TRANS'!$B:$B,0)),"")</f>
        <v>362-L-R</v>
      </c>
      <c r="C104" s="6" t="str">
        <f aca="false">IFERROR(INDEX('TRANS'!$C:$C,MATCH($A104,'TRANS'!$B:$B,0)),"")</f>
        <v>כרית מטטרזלי סיליקון362</v>
      </c>
      <c r="D104" s="16" t="n">
        <f aca="false">SUMIFS('CEMI Raw'!$C$6:$C$197,'CEMI Raw'!$E$6:$E$197,$A104,'CEMI Raw'!$B$6:$B$197,2025)</f>
        <v>0</v>
      </c>
      <c r="E104" s="17" t="n">
        <f aca="false">SUMIFS('CEMI Raw'!$D$6:$D$197,'CEMI Raw'!$E$6:$E$197,$A104,'CEMI Raw'!$B$6:$B$197,2025)</f>
        <v>0</v>
      </c>
      <c r="F104" s="16" t="n">
        <f aca="false">SUMIFS('CEMI Raw'!$C$6:$C$197,'CEMI Raw'!$E$6:$E$197,$A104,'CEMI Raw'!$B$6:$B$197,2026)</f>
        <v>76</v>
      </c>
      <c r="G104" s="17" t="n">
        <f aca="false">SUMIFS('CEMI Raw'!$D$6:$D$197,'CEMI Raw'!$E$6:$E$197,$A104,'CEMI Raw'!$B$6:$B$197,2026)</f>
        <v>1300.7</v>
      </c>
      <c r="H104" s="16" t="n">
        <f aca="false">SUMIFS('SALES Raw'!$C$6:$C$435,'SALES Raw'!$E$6:$E$435,$A104,'SALES Raw'!$B$6:$B$435,2025)</f>
        <v>188</v>
      </c>
      <c r="I104" s="17" t="n">
        <f aca="false">SUMIFS('SALES Raw'!$D$6:$D$435,'SALES Raw'!$E$6:$E$435,$A104,'SALES Raw'!$B$6:$B$435,2025)</f>
        <v>3468.6</v>
      </c>
      <c r="J104" s="16" t="n">
        <f aca="false">SUMIFS('SALES Raw'!$C$6:$C$435,'SALES Raw'!$E$6:$E$435,$A104,'SALES Raw'!$B$6:$B$435,2026)</f>
        <v>41</v>
      </c>
      <c r="K104" s="17" t="n">
        <f aca="false">SUMIFS('SALES Raw'!$D$6:$D$435,'SALES Raw'!$E$6:$E$435,$A104,'SALES Raw'!$B$6:$B$435,2026)</f>
        <v>756.45</v>
      </c>
      <c r="L104" s="16" t="n">
        <f aca="false">D104+H104</f>
        <v>188</v>
      </c>
      <c r="M104" s="17" t="n">
        <f aca="false">E104+I104</f>
        <v>3468.6</v>
      </c>
      <c r="N104" s="16" t="n">
        <f aca="false">F104+J104</f>
        <v>117</v>
      </c>
      <c r="O104" s="17" t="n">
        <f aca="false">G104+K104</f>
        <v>2057.15</v>
      </c>
    </row>
    <row r="105" customFormat="false" ht="15" hidden="false" customHeight="false" outlineLevel="0" collapsed="false">
      <c r="A105" s="6" t="n">
        <v>4411001</v>
      </c>
      <c r="B105" s="6" t="str">
        <f aca="false">IFERROR(INDEX('TRANS'!$A:$A,MATCH($A105,'TRANS'!$B:$B,0)),"")</f>
        <v>3623 0</v>
      </c>
      <c r="C105" s="6" t="str">
        <f aca="false">IFERROR(INDEX('TRANS'!$C:$C,MATCH($A105,'TRANS'!$B:$B,0)),"")</f>
        <v>3623 כרית ליישור אצבע פטיש</v>
      </c>
      <c r="D105" s="16" t="n">
        <f aca="false">SUMIFS('CEMI Raw'!$C$6:$C$197,'CEMI Raw'!$E$6:$E$197,$A105,'CEMI Raw'!$B$6:$B$197,2025)</f>
        <v>0</v>
      </c>
      <c r="E105" s="17" t="n">
        <f aca="false">SUMIFS('CEMI Raw'!$D$6:$D$197,'CEMI Raw'!$E$6:$E$197,$A105,'CEMI Raw'!$B$6:$B$197,2025)</f>
        <v>0</v>
      </c>
      <c r="F105" s="16" t="n">
        <f aca="false">SUMIFS('CEMI Raw'!$C$6:$C$197,'CEMI Raw'!$E$6:$E$197,$A105,'CEMI Raw'!$B$6:$B$197,2026)</f>
        <v>57</v>
      </c>
      <c r="G105" s="17" t="n">
        <f aca="false">SUMIFS('CEMI Raw'!$D$6:$D$197,'CEMI Raw'!$E$6:$E$197,$A105,'CEMI Raw'!$B$6:$B$197,2026)</f>
        <v>1095.6</v>
      </c>
      <c r="H105" s="16" t="n">
        <f aca="false">SUMIFS('SALES Raw'!$C$6:$C$435,'SALES Raw'!$E$6:$E$435,$A105,'SALES Raw'!$B$6:$B$435,2025)</f>
        <v>136</v>
      </c>
      <c r="I105" s="17" t="n">
        <f aca="false">SUMIFS('SALES Raw'!$D$6:$D$435,'SALES Raw'!$E$6:$E$435,$A105,'SALES Raw'!$B$6:$B$435,2025)</f>
        <v>2709.12</v>
      </c>
      <c r="J105" s="16" t="n">
        <f aca="false">SUMIFS('SALES Raw'!$C$6:$C$435,'SALES Raw'!$E$6:$E$435,$A105,'SALES Raw'!$B$6:$B$435,2026)</f>
        <v>61</v>
      </c>
      <c r="K105" s="17" t="n">
        <f aca="false">SUMIFS('SALES Raw'!$D$6:$D$435,'SALES Raw'!$E$6:$E$435,$A105,'SALES Raw'!$B$6:$B$435,2026)</f>
        <v>1215.12</v>
      </c>
      <c r="L105" s="16" t="n">
        <f aca="false">D105+H105</f>
        <v>136</v>
      </c>
      <c r="M105" s="17" t="n">
        <f aca="false">E105+I105</f>
        <v>2709.12</v>
      </c>
      <c r="N105" s="16" t="n">
        <f aca="false">F105+J105</f>
        <v>118</v>
      </c>
      <c r="O105" s="17" t="n">
        <f aca="false">G105+K105</f>
        <v>2310.72</v>
      </c>
    </row>
    <row r="106" customFormat="false" ht="15" hidden="false" customHeight="false" outlineLevel="0" collapsed="false">
      <c r="A106" s="6" t="n">
        <v>4411015</v>
      </c>
      <c r="B106" s="6" t="str">
        <f aca="false">IFERROR(INDEX('TRANS'!$A:$A,MATCH($A106,'TRANS'!$B:$B,0)),"")</f>
        <v>820 0</v>
      </c>
      <c r="C106" s="6" t="str">
        <f aca="false">IFERROR(INDEX('TRANS'!$C:$C,MATCH($A106,'TRANS'!$B:$B,0)),"")</f>
        <v>820 0 כרית חום וקור</v>
      </c>
      <c r="D106" s="16" t="n">
        <f aca="false">SUMIFS('CEMI Raw'!$C$6:$C$197,'CEMI Raw'!$E$6:$E$197,$A106,'CEMI Raw'!$B$6:$B$197,2025)</f>
        <v>0</v>
      </c>
      <c r="E106" s="17" t="n">
        <f aca="false">SUMIFS('CEMI Raw'!$D$6:$D$197,'CEMI Raw'!$E$6:$E$197,$A106,'CEMI Raw'!$B$6:$B$197,2025)</f>
        <v>0</v>
      </c>
      <c r="F106" s="16" t="n">
        <f aca="false">SUMIFS('CEMI Raw'!$C$6:$C$197,'CEMI Raw'!$E$6:$E$197,$A106,'CEMI Raw'!$B$6:$B$197,2026)</f>
        <v>18</v>
      </c>
      <c r="G106" s="17" t="n">
        <f aca="false">SUMIFS('CEMI Raw'!$D$6:$D$197,'CEMI Raw'!$E$6:$E$197,$A106,'CEMI Raw'!$B$6:$B$197,2026)</f>
        <v>583.7</v>
      </c>
      <c r="H106" s="16" t="n">
        <f aca="false">SUMIFS('SALES Raw'!$C$6:$C$435,'SALES Raw'!$E$6:$E$435,$A106,'SALES Raw'!$B$6:$B$435,2025)</f>
        <v>76</v>
      </c>
      <c r="I106" s="17" t="n">
        <f aca="false">SUMIFS('SALES Raw'!$D$6:$D$435,'SALES Raw'!$E$6:$E$435,$A106,'SALES Raw'!$B$6:$B$435,2025)</f>
        <v>2464.68</v>
      </c>
      <c r="J106" s="16" t="n">
        <f aca="false">SUMIFS('SALES Raw'!$C$6:$C$435,'SALES Raw'!$E$6:$E$435,$A106,'SALES Raw'!$B$6:$B$435,2026)</f>
        <v>20</v>
      </c>
      <c r="K106" s="17" t="n">
        <f aca="false">SUMIFS('SALES Raw'!$D$6:$D$435,'SALES Raw'!$E$6:$E$435,$A106,'SALES Raw'!$B$6:$B$435,2026)</f>
        <v>648.6</v>
      </c>
      <c r="L106" s="16" t="n">
        <f aca="false">D106+H106</f>
        <v>76</v>
      </c>
      <c r="M106" s="17" t="n">
        <f aca="false">E106+I106</f>
        <v>2464.68</v>
      </c>
      <c r="N106" s="16" t="n">
        <f aca="false">F106+J106</f>
        <v>38</v>
      </c>
      <c r="O106" s="17" t="n">
        <f aca="false">G106+K106</f>
        <v>1232.3</v>
      </c>
    </row>
    <row r="107" customFormat="false" ht="15" hidden="false" customHeight="false" outlineLevel="0" collapsed="false">
      <c r="A107" s="6" t="n">
        <v>4411016</v>
      </c>
      <c r="B107" s="6" t="str">
        <f aca="false">IFERROR(INDEX('TRANS'!$A:$A,MATCH($A107,'TRANS'!$B:$B,0)),"")</f>
        <v>307 XL</v>
      </c>
      <c r="C107" s="6" t="str">
        <f aca="false">IFERROR(INDEX('TRANS'!$C:$C,MATCH($A107,'TRANS'!$B:$B,0)),"")</f>
        <v>307 XL כרית סיליקון לעקב</v>
      </c>
      <c r="D107" s="16" t="n">
        <f aca="false">SUMIFS('CEMI Raw'!$C$6:$C$197,'CEMI Raw'!$E$6:$E$197,$A107,'CEMI Raw'!$B$6:$B$197,2025)</f>
        <v>0</v>
      </c>
      <c r="E107" s="17" t="n">
        <f aca="false">SUMIFS('CEMI Raw'!$D$6:$D$197,'CEMI Raw'!$E$6:$E$197,$A107,'CEMI Raw'!$B$6:$B$197,2025)</f>
        <v>0</v>
      </c>
      <c r="F107" s="16" t="n">
        <f aca="false">SUMIFS('CEMI Raw'!$C$6:$C$197,'CEMI Raw'!$E$6:$E$197,$A107,'CEMI Raw'!$B$6:$B$197,2026)</f>
        <v>38</v>
      </c>
      <c r="G107" s="17" t="n">
        <f aca="false">SUMIFS('CEMI Raw'!$D$6:$D$197,'CEMI Raw'!$E$6:$E$197,$A107,'CEMI Raw'!$B$6:$B$197,2026)</f>
        <v>2404.3</v>
      </c>
      <c r="H107" s="16" t="n">
        <f aca="false">SUMIFS('SALES Raw'!$C$6:$C$435,'SALES Raw'!$E$6:$E$435,$A107,'SALES Raw'!$B$6:$B$435,2025)</f>
        <v>135</v>
      </c>
      <c r="I107" s="17" t="n">
        <f aca="false">SUMIFS('SALES Raw'!$D$6:$D$435,'SALES Raw'!$E$6:$E$435,$A107,'SALES Raw'!$B$6:$B$435,2025)</f>
        <v>8541.45</v>
      </c>
      <c r="J107" s="16" t="n">
        <f aca="false">SUMIFS('SALES Raw'!$C$6:$C$435,'SALES Raw'!$E$6:$E$435,$A107,'SALES Raw'!$B$6:$B$435,2026)</f>
        <v>32</v>
      </c>
      <c r="K107" s="17" t="n">
        <f aca="false">SUMIFS('SALES Raw'!$D$6:$D$435,'SALES Raw'!$E$6:$E$435,$A107,'SALES Raw'!$B$6:$B$435,2026)</f>
        <v>2144.22</v>
      </c>
      <c r="L107" s="16" t="n">
        <f aca="false">D107+H107</f>
        <v>135</v>
      </c>
      <c r="M107" s="17" t="n">
        <f aca="false">E107+I107</f>
        <v>8541.45</v>
      </c>
      <c r="N107" s="16" t="n">
        <f aca="false">F107+J107</f>
        <v>70</v>
      </c>
      <c r="O107" s="17" t="n">
        <f aca="false">G107+K107</f>
        <v>4548.52</v>
      </c>
    </row>
    <row r="108" customFormat="false" ht="15" hidden="false" customHeight="false" outlineLevel="0" collapsed="false">
      <c r="A108" s="6" t="n">
        <v>4411026</v>
      </c>
      <c r="B108" s="6" t="str">
        <f aca="false">IFERROR(INDEX('TRANS'!$A:$A,MATCH($A108,'TRANS'!$B:$B,0)),"")</f>
        <v>213CTSL L</v>
      </c>
      <c r="C108" s="6" t="str">
        <f aca="false">IFERROR(INDEX('TRANS'!$C:$C,MATCH($A108,'TRANS'!$B:$B,0)),"")</f>
        <v>213CTSL L שמאל CTS כפפות</v>
      </c>
      <c r="D108" s="16" t="n">
        <f aca="false">SUMIFS('CEMI Raw'!$C$6:$C$197,'CEMI Raw'!$E$6:$E$197,$A108,'CEMI Raw'!$B$6:$B$197,2025)</f>
        <v>0</v>
      </c>
      <c r="E108" s="17" t="n">
        <f aca="false">SUMIFS('CEMI Raw'!$D$6:$D$197,'CEMI Raw'!$E$6:$E$197,$A108,'CEMI Raw'!$B$6:$B$197,2025)</f>
        <v>0</v>
      </c>
      <c r="F108" s="16" t="n">
        <f aca="false">SUMIFS('CEMI Raw'!$C$6:$C$197,'CEMI Raw'!$E$6:$E$197,$A108,'CEMI Raw'!$B$6:$B$197,2026)</f>
        <v>6</v>
      </c>
      <c r="G108" s="17" t="n">
        <f aca="false">SUMIFS('CEMI Raw'!$D$6:$D$197,'CEMI Raw'!$E$6:$E$197,$A108,'CEMI Raw'!$B$6:$B$197,2026)</f>
        <v>426</v>
      </c>
      <c r="H108" s="16" t="n">
        <f aca="false">SUMIFS('SALES Raw'!$C$6:$C$435,'SALES Raw'!$E$6:$E$435,$A108,'SALES Raw'!$B$6:$B$435,2025)</f>
        <v>0</v>
      </c>
      <c r="I108" s="17" t="n">
        <f aca="false">SUMIFS('SALES Raw'!$D$6:$D$435,'SALES Raw'!$E$6:$E$435,$A108,'SALES Raw'!$B$6:$B$435,2025)</f>
        <v>0</v>
      </c>
      <c r="J108" s="16" t="n">
        <f aca="false">SUMIFS('SALES Raw'!$C$6:$C$435,'SALES Raw'!$E$6:$E$435,$A108,'SALES Raw'!$B$6:$B$435,2026)</f>
        <v>0</v>
      </c>
      <c r="K108" s="17" t="n">
        <f aca="false">SUMIFS('SALES Raw'!$D$6:$D$435,'SALES Raw'!$E$6:$E$435,$A108,'SALES Raw'!$B$6:$B$435,2026)</f>
        <v>0</v>
      </c>
      <c r="L108" s="16" t="n">
        <f aca="false">D108+H108</f>
        <v>0</v>
      </c>
      <c r="M108" s="17" t="n">
        <f aca="false">E108+I108</f>
        <v>0</v>
      </c>
      <c r="N108" s="16" t="n">
        <f aca="false">F108+J108</f>
        <v>6</v>
      </c>
      <c r="O108" s="17" t="n">
        <f aca="false">G108+K108</f>
        <v>426</v>
      </c>
    </row>
    <row r="109" customFormat="false" ht="15" hidden="false" customHeight="false" outlineLevel="0" collapsed="false">
      <c r="A109" s="6" t="n">
        <v>4411027</v>
      </c>
      <c r="B109" s="6" t="str">
        <f aca="false">IFERROR(INDEX('TRANS'!$A:$A,MATCH($A109,'TRANS'!$B:$B,0)),"")</f>
        <v>213CTSL M</v>
      </c>
      <c r="C109" s="6" t="str">
        <f aca="false">IFERROR(INDEX('TRANS'!$C:$C,MATCH($A109,'TRANS'!$B:$B,0)),"")</f>
        <v>213CTSL M שמאל CTS כפפות</v>
      </c>
      <c r="D109" s="16" t="n">
        <f aca="false">SUMIFS('CEMI Raw'!$C$6:$C$197,'CEMI Raw'!$E$6:$E$197,$A109,'CEMI Raw'!$B$6:$B$197,2025)</f>
        <v>0</v>
      </c>
      <c r="E109" s="17" t="n">
        <f aca="false">SUMIFS('CEMI Raw'!$D$6:$D$197,'CEMI Raw'!$E$6:$E$197,$A109,'CEMI Raw'!$B$6:$B$197,2025)</f>
        <v>0</v>
      </c>
      <c r="F109" s="16" t="n">
        <f aca="false">SUMIFS('CEMI Raw'!$C$6:$C$197,'CEMI Raw'!$E$6:$E$197,$A109,'CEMI Raw'!$B$6:$B$197,2026)</f>
        <v>11</v>
      </c>
      <c r="G109" s="17" t="n">
        <f aca="false">SUMIFS('CEMI Raw'!$D$6:$D$197,'CEMI Raw'!$E$6:$E$197,$A109,'CEMI Raw'!$B$6:$B$197,2026)</f>
        <v>781</v>
      </c>
      <c r="H109" s="16" t="n">
        <f aca="false">SUMIFS('SALES Raw'!$C$6:$C$435,'SALES Raw'!$E$6:$E$435,$A109,'SALES Raw'!$B$6:$B$435,2025)</f>
        <v>0</v>
      </c>
      <c r="I109" s="17" t="n">
        <f aca="false">SUMIFS('SALES Raw'!$D$6:$D$435,'SALES Raw'!$E$6:$E$435,$A109,'SALES Raw'!$B$6:$B$435,2025)</f>
        <v>0</v>
      </c>
      <c r="J109" s="16" t="n">
        <f aca="false">SUMIFS('SALES Raw'!$C$6:$C$435,'SALES Raw'!$E$6:$E$435,$A109,'SALES Raw'!$B$6:$B$435,2026)</f>
        <v>0</v>
      </c>
      <c r="K109" s="17" t="n">
        <f aca="false">SUMIFS('SALES Raw'!$D$6:$D$435,'SALES Raw'!$E$6:$E$435,$A109,'SALES Raw'!$B$6:$B$435,2026)</f>
        <v>0</v>
      </c>
      <c r="L109" s="16" t="n">
        <f aca="false">D109+H109</f>
        <v>0</v>
      </c>
      <c r="M109" s="17" t="n">
        <f aca="false">E109+I109</f>
        <v>0</v>
      </c>
      <c r="N109" s="16" t="n">
        <f aca="false">F109+J109</f>
        <v>11</v>
      </c>
      <c r="O109" s="17" t="n">
        <f aca="false">G109+K109</f>
        <v>781</v>
      </c>
    </row>
    <row r="110" customFormat="false" ht="15" hidden="false" customHeight="false" outlineLevel="0" collapsed="false">
      <c r="A110" s="6" t="n">
        <v>4411028</v>
      </c>
      <c r="B110" s="6" t="str">
        <f aca="false">IFERROR(INDEX('TRANS'!$A:$A,MATCH($A110,'TRANS'!$B:$B,0)),"")</f>
        <v>213CTSL S</v>
      </c>
      <c r="C110" s="6" t="str">
        <f aca="false">IFERROR(INDEX('TRANS'!$C:$C,MATCH($A110,'TRANS'!$B:$B,0)),"")</f>
        <v>213CTSL S שמאל CTS כפפות</v>
      </c>
      <c r="D110" s="16" t="n">
        <f aca="false">SUMIFS('CEMI Raw'!$C$6:$C$197,'CEMI Raw'!$E$6:$E$197,$A110,'CEMI Raw'!$B$6:$B$197,2025)</f>
        <v>0</v>
      </c>
      <c r="E110" s="17" t="n">
        <f aca="false">SUMIFS('CEMI Raw'!$D$6:$D$197,'CEMI Raw'!$E$6:$E$197,$A110,'CEMI Raw'!$B$6:$B$197,2025)</f>
        <v>0</v>
      </c>
      <c r="F110" s="16" t="n">
        <f aca="false">SUMIFS('CEMI Raw'!$C$6:$C$197,'CEMI Raw'!$E$6:$E$197,$A110,'CEMI Raw'!$B$6:$B$197,2026)</f>
        <v>5</v>
      </c>
      <c r="G110" s="17" t="n">
        <f aca="false">SUMIFS('CEMI Raw'!$D$6:$D$197,'CEMI Raw'!$E$6:$E$197,$A110,'CEMI Raw'!$B$6:$B$197,2026)</f>
        <v>355</v>
      </c>
      <c r="H110" s="16" t="n">
        <f aca="false">SUMIFS('SALES Raw'!$C$6:$C$435,'SALES Raw'!$E$6:$E$435,$A110,'SALES Raw'!$B$6:$B$435,2025)</f>
        <v>0</v>
      </c>
      <c r="I110" s="17" t="n">
        <f aca="false">SUMIFS('SALES Raw'!$D$6:$D$435,'SALES Raw'!$E$6:$E$435,$A110,'SALES Raw'!$B$6:$B$435,2025)</f>
        <v>0</v>
      </c>
      <c r="J110" s="16" t="n">
        <f aca="false">SUMIFS('SALES Raw'!$C$6:$C$435,'SALES Raw'!$E$6:$E$435,$A110,'SALES Raw'!$B$6:$B$435,2026)</f>
        <v>0</v>
      </c>
      <c r="K110" s="17" t="n">
        <f aca="false">SUMIFS('SALES Raw'!$D$6:$D$435,'SALES Raw'!$E$6:$E$435,$A110,'SALES Raw'!$B$6:$B$435,2026)</f>
        <v>0</v>
      </c>
      <c r="L110" s="16" t="n">
        <f aca="false">D110+H110</f>
        <v>0</v>
      </c>
      <c r="M110" s="17" t="n">
        <f aca="false">E110+I110</f>
        <v>0</v>
      </c>
      <c r="N110" s="16" t="n">
        <f aca="false">F110+J110</f>
        <v>5</v>
      </c>
      <c r="O110" s="17" t="n">
        <f aca="false">G110+K110</f>
        <v>355</v>
      </c>
    </row>
    <row r="111" customFormat="false" ht="15" hidden="false" customHeight="false" outlineLevel="0" collapsed="false">
      <c r="A111" s="6" t="n">
        <v>4411029</v>
      </c>
      <c r="B111" s="6" t="str">
        <f aca="false">IFERROR(INDEX('TRANS'!$A:$A,MATCH($A111,'TRANS'!$B:$B,0)),"")</f>
        <v>213CTSR L</v>
      </c>
      <c r="C111" s="6" t="str">
        <f aca="false">IFERROR(INDEX('TRANS'!$C:$C,MATCH($A111,'TRANS'!$B:$B,0)),"")</f>
        <v>213CTSR L ימין CTS כפפות</v>
      </c>
      <c r="D111" s="16" t="n">
        <f aca="false">SUMIFS('CEMI Raw'!$C$6:$C$197,'CEMI Raw'!$E$6:$E$197,$A111,'CEMI Raw'!$B$6:$B$197,2025)</f>
        <v>0</v>
      </c>
      <c r="E111" s="17" t="n">
        <f aca="false">SUMIFS('CEMI Raw'!$D$6:$D$197,'CEMI Raw'!$E$6:$E$197,$A111,'CEMI Raw'!$B$6:$B$197,2025)</f>
        <v>0</v>
      </c>
      <c r="F111" s="16" t="n">
        <f aca="false">SUMIFS('CEMI Raw'!$C$6:$C$197,'CEMI Raw'!$E$6:$E$197,$A111,'CEMI Raw'!$B$6:$B$197,2026)</f>
        <v>9</v>
      </c>
      <c r="G111" s="17" t="n">
        <f aca="false">SUMIFS('CEMI Raw'!$D$6:$D$197,'CEMI Raw'!$E$6:$E$197,$A111,'CEMI Raw'!$B$6:$B$197,2026)</f>
        <v>639</v>
      </c>
      <c r="H111" s="16" t="n">
        <f aca="false">SUMIFS('SALES Raw'!$C$6:$C$435,'SALES Raw'!$E$6:$E$435,$A111,'SALES Raw'!$B$6:$B$435,2025)</f>
        <v>0</v>
      </c>
      <c r="I111" s="17" t="n">
        <f aca="false">SUMIFS('SALES Raw'!$D$6:$D$435,'SALES Raw'!$E$6:$E$435,$A111,'SALES Raw'!$B$6:$B$435,2025)</f>
        <v>0</v>
      </c>
      <c r="J111" s="16" t="n">
        <f aca="false">SUMIFS('SALES Raw'!$C$6:$C$435,'SALES Raw'!$E$6:$E$435,$A111,'SALES Raw'!$B$6:$B$435,2026)</f>
        <v>0</v>
      </c>
      <c r="K111" s="17" t="n">
        <f aca="false">SUMIFS('SALES Raw'!$D$6:$D$435,'SALES Raw'!$E$6:$E$435,$A111,'SALES Raw'!$B$6:$B$435,2026)</f>
        <v>0</v>
      </c>
      <c r="L111" s="16" t="n">
        <f aca="false">D111+H111</f>
        <v>0</v>
      </c>
      <c r="M111" s="17" t="n">
        <f aca="false">E111+I111</f>
        <v>0</v>
      </c>
      <c r="N111" s="16" t="n">
        <f aca="false">F111+J111</f>
        <v>9</v>
      </c>
      <c r="O111" s="17" t="n">
        <f aca="false">G111+K111</f>
        <v>639</v>
      </c>
    </row>
    <row r="112" customFormat="false" ht="15" hidden="false" customHeight="false" outlineLevel="0" collapsed="false">
      <c r="A112" s="6" t="n">
        <v>4411030</v>
      </c>
      <c r="B112" s="6" t="str">
        <f aca="false">IFERROR(INDEX('TRANS'!$A:$A,MATCH($A112,'TRANS'!$B:$B,0)),"")</f>
        <v>213CTSR M</v>
      </c>
      <c r="C112" s="6" t="str">
        <f aca="false">IFERROR(INDEX('TRANS'!$C:$C,MATCH($A112,'TRANS'!$B:$B,0)),"")</f>
        <v>213CTSR M ימין CTS כפפות</v>
      </c>
      <c r="D112" s="16" t="n">
        <f aca="false">SUMIFS('CEMI Raw'!$C$6:$C$197,'CEMI Raw'!$E$6:$E$197,$A112,'CEMI Raw'!$B$6:$B$197,2025)</f>
        <v>0</v>
      </c>
      <c r="E112" s="17" t="n">
        <f aca="false">SUMIFS('CEMI Raw'!$D$6:$D$197,'CEMI Raw'!$E$6:$E$197,$A112,'CEMI Raw'!$B$6:$B$197,2025)</f>
        <v>0</v>
      </c>
      <c r="F112" s="16" t="n">
        <f aca="false">SUMIFS('CEMI Raw'!$C$6:$C$197,'CEMI Raw'!$E$6:$E$197,$A112,'CEMI Raw'!$B$6:$B$197,2026)</f>
        <v>14</v>
      </c>
      <c r="G112" s="17" t="n">
        <f aca="false">SUMIFS('CEMI Raw'!$D$6:$D$197,'CEMI Raw'!$E$6:$E$197,$A112,'CEMI Raw'!$B$6:$B$197,2026)</f>
        <v>994</v>
      </c>
      <c r="H112" s="16" t="n">
        <f aca="false">SUMIFS('SALES Raw'!$C$6:$C$435,'SALES Raw'!$E$6:$E$435,$A112,'SALES Raw'!$B$6:$B$435,2025)</f>
        <v>0</v>
      </c>
      <c r="I112" s="17" t="n">
        <f aca="false">SUMIFS('SALES Raw'!$D$6:$D$435,'SALES Raw'!$E$6:$E$435,$A112,'SALES Raw'!$B$6:$B$435,2025)</f>
        <v>0</v>
      </c>
      <c r="J112" s="16" t="n">
        <f aca="false">SUMIFS('SALES Raw'!$C$6:$C$435,'SALES Raw'!$E$6:$E$435,$A112,'SALES Raw'!$B$6:$B$435,2026)</f>
        <v>0</v>
      </c>
      <c r="K112" s="17" t="n">
        <f aca="false">SUMIFS('SALES Raw'!$D$6:$D$435,'SALES Raw'!$E$6:$E$435,$A112,'SALES Raw'!$B$6:$B$435,2026)</f>
        <v>0</v>
      </c>
      <c r="L112" s="16" t="n">
        <f aca="false">D112+H112</f>
        <v>0</v>
      </c>
      <c r="M112" s="17" t="n">
        <f aca="false">E112+I112</f>
        <v>0</v>
      </c>
      <c r="N112" s="16" t="n">
        <f aca="false">F112+J112</f>
        <v>14</v>
      </c>
      <c r="O112" s="17" t="n">
        <f aca="false">G112+K112</f>
        <v>994</v>
      </c>
    </row>
    <row r="113" customFormat="false" ht="15" hidden="false" customHeight="false" outlineLevel="0" collapsed="false">
      <c r="A113" s="6" t="n">
        <v>4411031</v>
      </c>
      <c r="B113" s="6" t="str">
        <f aca="false">IFERROR(INDEX('TRANS'!$A:$A,MATCH($A113,'TRANS'!$B:$B,0)),"")</f>
        <v>213CTSR S</v>
      </c>
      <c r="C113" s="6" t="str">
        <f aca="false">IFERROR(INDEX('TRANS'!$C:$C,MATCH($A113,'TRANS'!$B:$B,0)),"")</f>
        <v>213CTS  S ימין CTS כפפות</v>
      </c>
      <c r="D113" s="16" t="n">
        <f aca="false">SUMIFS('CEMI Raw'!$C$6:$C$197,'CEMI Raw'!$E$6:$E$197,$A113,'CEMI Raw'!$B$6:$B$197,2025)</f>
        <v>0</v>
      </c>
      <c r="E113" s="17" t="n">
        <f aca="false">SUMIFS('CEMI Raw'!$D$6:$D$197,'CEMI Raw'!$E$6:$E$197,$A113,'CEMI Raw'!$B$6:$B$197,2025)</f>
        <v>0</v>
      </c>
      <c r="F113" s="16" t="n">
        <f aca="false">SUMIFS('CEMI Raw'!$C$6:$C$197,'CEMI Raw'!$E$6:$E$197,$A113,'CEMI Raw'!$B$6:$B$197,2026)</f>
        <v>8</v>
      </c>
      <c r="G113" s="17" t="n">
        <f aca="false">SUMIFS('CEMI Raw'!$D$6:$D$197,'CEMI Raw'!$E$6:$E$197,$A113,'CEMI Raw'!$B$6:$B$197,2026)</f>
        <v>568</v>
      </c>
      <c r="H113" s="16" t="n">
        <f aca="false">SUMIFS('SALES Raw'!$C$6:$C$435,'SALES Raw'!$E$6:$E$435,$A113,'SALES Raw'!$B$6:$B$435,2025)</f>
        <v>0</v>
      </c>
      <c r="I113" s="17" t="n">
        <f aca="false">SUMIFS('SALES Raw'!$D$6:$D$435,'SALES Raw'!$E$6:$E$435,$A113,'SALES Raw'!$B$6:$B$435,2025)</f>
        <v>0</v>
      </c>
      <c r="J113" s="16" t="n">
        <f aca="false">SUMIFS('SALES Raw'!$C$6:$C$435,'SALES Raw'!$E$6:$E$435,$A113,'SALES Raw'!$B$6:$B$435,2026)</f>
        <v>0</v>
      </c>
      <c r="K113" s="17" t="n">
        <f aca="false">SUMIFS('SALES Raw'!$D$6:$D$435,'SALES Raw'!$E$6:$E$435,$A113,'SALES Raw'!$B$6:$B$435,2026)</f>
        <v>0</v>
      </c>
      <c r="L113" s="16" t="n">
        <f aca="false">D113+H113</f>
        <v>0</v>
      </c>
      <c r="M113" s="17" t="n">
        <f aca="false">E113+I113</f>
        <v>0</v>
      </c>
      <c r="N113" s="16" t="n">
        <f aca="false">F113+J113</f>
        <v>8</v>
      </c>
      <c r="O113" s="17" t="n">
        <f aca="false">G113+K113</f>
        <v>568</v>
      </c>
    </row>
    <row r="114" customFormat="false" ht="15" hidden="false" customHeight="false" outlineLevel="0" collapsed="false">
      <c r="A114" s="6" t="n">
        <v>4413033</v>
      </c>
      <c r="B114" s="6" t="str">
        <f aca="false">IFERROR(INDEX('TRANS'!$A:$A,MATCH($A114,'TRANS'!$B:$B,0)),"")</f>
        <v>311 0</v>
      </c>
      <c r="C114" s="6" t="str">
        <f aca="false">IFERROR(INDEX('TRANS'!$C:$C,MATCH($A114,'TRANS'!$B:$B,0)),"")</f>
        <v>311'מדב.ג'ל למניעת שפשוף 5 יח</v>
      </c>
      <c r="D114" s="16" t="n">
        <f aca="false">SUMIFS('CEMI Raw'!$C$6:$C$197,'CEMI Raw'!$E$6:$E$197,$A114,'CEMI Raw'!$B$6:$B$197,2025)</f>
        <v>0</v>
      </c>
      <c r="E114" s="17" t="n">
        <f aca="false">SUMIFS('CEMI Raw'!$D$6:$D$197,'CEMI Raw'!$E$6:$E$197,$A114,'CEMI Raw'!$B$6:$B$197,2025)</f>
        <v>0</v>
      </c>
      <c r="F114" s="16" t="n">
        <f aca="false">SUMIFS('CEMI Raw'!$C$6:$C$197,'CEMI Raw'!$E$6:$E$197,$A114,'CEMI Raw'!$B$6:$B$197,2026)</f>
        <v>90</v>
      </c>
      <c r="G114" s="17" t="n">
        <f aca="false">SUMIFS('CEMI Raw'!$D$6:$D$197,'CEMI Raw'!$E$6:$E$197,$A114,'CEMI Raw'!$B$6:$B$197,2026)</f>
        <v>837.1</v>
      </c>
      <c r="H114" s="16" t="n">
        <f aca="false">SUMIFS('SALES Raw'!$C$6:$C$435,'SALES Raw'!$E$6:$E$435,$A114,'SALES Raw'!$B$6:$B$435,2025)</f>
        <v>207</v>
      </c>
      <c r="I114" s="17" t="n">
        <f aca="false">SUMIFS('SALES Raw'!$D$6:$D$435,'SALES Raw'!$E$6:$E$435,$A114,'SALES Raw'!$B$6:$B$435,2025)</f>
        <v>2032.74</v>
      </c>
      <c r="J114" s="16" t="n">
        <f aca="false">SUMIFS('SALES Raw'!$C$6:$C$435,'SALES Raw'!$E$6:$E$435,$A114,'SALES Raw'!$B$6:$B$435,2026)</f>
        <v>61</v>
      </c>
      <c r="K114" s="17" t="n">
        <f aca="false">SUMIFS('SALES Raw'!$D$6:$D$435,'SALES Raw'!$E$6:$E$435,$A114,'SALES Raw'!$B$6:$B$435,2026)</f>
        <v>599.02</v>
      </c>
      <c r="L114" s="16" t="n">
        <f aca="false">D114+H114</f>
        <v>207</v>
      </c>
      <c r="M114" s="17" t="n">
        <f aca="false">E114+I114</f>
        <v>2032.74</v>
      </c>
      <c r="N114" s="16" t="n">
        <f aca="false">F114+J114</f>
        <v>151</v>
      </c>
      <c r="O114" s="17" t="n">
        <f aca="false">G114+K114</f>
        <v>1436.12</v>
      </c>
    </row>
    <row r="115" customFormat="false" ht="15" hidden="false" customHeight="false" outlineLevel="0" collapsed="false">
      <c r="A115" s="6" t="n">
        <v>4413034</v>
      </c>
      <c r="B115" s="6" t="str">
        <f aca="false">IFERROR(INDEX('TRANS'!$A:$A,MATCH($A115,'TRANS'!$B:$B,0)),"")</f>
        <v>312 0</v>
      </c>
      <c r="C115" s="6" t="str">
        <f aca="false">IFERROR(INDEX('TRANS'!$C:$C,MATCH($A115,'TRANS'!$B:$B,0)),"")</f>
        <v>312 9 מ""""ס להתאמהX5 מדבקה גדולה</v>
      </c>
      <c r="D115" s="16" t="n">
        <f aca="false">SUMIFS('CEMI Raw'!$C$6:$C$197,'CEMI Raw'!$E$6:$E$197,$A115,'CEMI Raw'!$B$6:$B$197,2025)</f>
        <v>0</v>
      </c>
      <c r="E115" s="17" t="n">
        <f aca="false">SUMIFS('CEMI Raw'!$D$6:$D$197,'CEMI Raw'!$E$6:$E$197,$A115,'CEMI Raw'!$B$6:$B$197,2025)</f>
        <v>0</v>
      </c>
      <c r="F115" s="16" t="n">
        <f aca="false">SUMIFS('CEMI Raw'!$C$6:$C$197,'CEMI Raw'!$E$6:$E$197,$A115,'CEMI Raw'!$B$6:$B$197,2026)</f>
        <v>0</v>
      </c>
      <c r="G115" s="17" t="n">
        <f aca="false">SUMIFS('CEMI Raw'!$D$6:$D$197,'CEMI Raw'!$E$6:$E$197,$A115,'CEMI Raw'!$B$6:$B$197,2026)</f>
        <v>0</v>
      </c>
      <c r="H115" s="16" t="n">
        <f aca="false">SUMIFS('SALES Raw'!$C$6:$C$435,'SALES Raw'!$E$6:$E$435,$A115,'SALES Raw'!$B$6:$B$435,2025)</f>
        <v>69</v>
      </c>
      <c r="I115" s="17" t="n">
        <f aca="false">SUMIFS('SALES Raw'!$D$6:$D$435,'SALES Raw'!$E$6:$E$435,$A115,'SALES Raw'!$B$6:$B$435,2025)</f>
        <v>985.32</v>
      </c>
      <c r="J115" s="16" t="n">
        <f aca="false">SUMIFS('SALES Raw'!$C$6:$C$435,'SALES Raw'!$E$6:$E$435,$A115,'SALES Raw'!$B$6:$B$435,2026)</f>
        <v>15</v>
      </c>
      <c r="K115" s="17" t="n">
        <f aca="false">SUMIFS('SALES Raw'!$D$6:$D$435,'SALES Raw'!$E$6:$E$435,$A115,'SALES Raw'!$B$6:$B$435,2026)</f>
        <v>214.2</v>
      </c>
      <c r="L115" s="16" t="n">
        <f aca="false">D115+H115</f>
        <v>69</v>
      </c>
      <c r="M115" s="17" t="n">
        <f aca="false">E115+I115</f>
        <v>985.32</v>
      </c>
      <c r="N115" s="16" t="n">
        <f aca="false">F115+J115</f>
        <v>15</v>
      </c>
      <c r="O115" s="17" t="n">
        <f aca="false">G115+K115</f>
        <v>214.2</v>
      </c>
    </row>
    <row r="116" customFormat="false" ht="15" hidden="false" customHeight="false" outlineLevel="0" collapsed="false">
      <c r="A116" s="6" t="n">
        <v>4413041</v>
      </c>
      <c r="B116" s="6" t="str">
        <f aca="false">IFERROR(INDEX('TRANS'!$A:$A,MATCH($A116,'TRANS'!$B:$B,0)),"")</f>
        <v>34 M</v>
      </c>
      <c r="C116" s="6" t="str">
        <f aca="false">IFERROR(INDEX('TRANS'!$C:$C,MATCH($A116,'TRANS'!$B:$B,0)),"")</f>
        <v>34  M מגן קרסול עקב סגור</v>
      </c>
      <c r="D116" s="16" t="n">
        <f aca="false">SUMIFS('CEMI Raw'!$C$6:$C$197,'CEMI Raw'!$E$6:$E$197,$A116,'CEMI Raw'!$B$6:$B$197,2025)</f>
        <v>0</v>
      </c>
      <c r="E116" s="17" t="n">
        <f aca="false">SUMIFS('CEMI Raw'!$D$6:$D$197,'CEMI Raw'!$E$6:$E$197,$A116,'CEMI Raw'!$B$6:$B$197,2025)</f>
        <v>0</v>
      </c>
      <c r="F116" s="16" t="n">
        <f aca="false">SUMIFS('CEMI Raw'!$C$6:$C$197,'CEMI Raw'!$E$6:$E$197,$A116,'CEMI Raw'!$B$6:$B$197,2026)</f>
        <v>124</v>
      </c>
      <c r="G116" s="17" t="n">
        <f aca="false">SUMIFS('CEMI Raw'!$D$6:$D$197,'CEMI Raw'!$E$6:$E$197,$A116,'CEMI Raw'!$B$6:$B$197,2026)</f>
        <v>3457.1</v>
      </c>
      <c r="H116" s="16" t="n">
        <f aca="false">SUMIFS('SALES Raw'!$C$6:$C$435,'SALES Raw'!$E$6:$E$435,$A116,'SALES Raw'!$B$6:$B$435,2025)</f>
        <v>289</v>
      </c>
      <c r="I116" s="17" t="n">
        <f aca="false">SUMIFS('SALES Raw'!$D$6:$D$435,'SALES Raw'!$E$6:$E$435,$A116,'SALES Raw'!$B$6:$B$435,2025)</f>
        <v>8360.77</v>
      </c>
      <c r="J116" s="16" t="n">
        <f aca="false">SUMIFS('SALES Raw'!$C$6:$C$435,'SALES Raw'!$E$6:$E$435,$A116,'SALES Raw'!$B$6:$B$435,2026)</f>
        <v>66</v>
      </c>
      <c r="K116" s="17" t="n">
        <f aca="false">SUMIFS('SALES Raw'!$D$6:$D$435,'SALES Raw'!$E$6:$E$435,$A116,'SALES Raw'!$B$6:$B$435,2026)</f>
        <v>1909.38</v>
      </c>
      <c r="L116" s="16" t="n">
        <f aca="false">D116+H116</f>
        <v>289</v>
      </c>
      <c r="M116" s="17" t="n">
        <f aca="false">E116+I116</f>
        <v>8360.77</v>
      </c>
      <c r="N116" s="16" t="n">
        <f aca="false">F116+J116</f>
        <v>190</v>
      </c>
      <c r="O116" s="17" t="n">
        <f aca="false">G116+K116</f>
        <v>5366.48</v>
      </c>
    </row>
    <row r="117" customFormat="false" ht="15" hidden="false" customHeight="false" outlineLevel="0" collapsed="false">
      <c r="A117" s="6" t="n">
        <v>4413042</v>
      </c>
      <c r="B117" s="6" t="str">
        <f aca="false">IFERROR(INDEX('TRANS'!$A:$A,MATCH($A117,'TRANS'!$B:$B,0)),"")</f>
        <v>34 S</v>
      </c>
      <c r="C117" s="6" t="str">
        <f aca="false">IFERROR(INDEX('TRANS'!$C:$C,MATCH($A117,'TRANS'!$B:$B,0)),"")</f>
        <v>34  S מגן קרסול עקב סגור</v>
      </c>
      <c r="D117" s="16" t="n">
        <f aca="false">SUMIFS('CEMI Raw'!$C$6:$C$197,'CEMI Raw'!$E$6:$E$197,$A117,'CEMI Raw'!$B$6:$B$197,2025)</f>
        <v>0</v>
      </c>
      <c r="E117" s="17" t="n">
        <f aca="false">SUMIFS('CEMI Raw'!$D$6:$D$197,'CEMI Raw'!$E$6:$E$197,$A117,'CEMI Raw'!$B$6:$B$197,2025)</f>
        <v>0</v>
      </c>
      <c r="F117" s="16" t="n">
        <f aca="false">SUMIFS('CEMI Raw'!$C$6:$C$197,'CEMI Raw'!$E$6:$E$197,$A117,'CEMI Raw'!$B$6:$B$197,2026)</f>
        <v>47</v>
      </c>
      <c r="G117" s="17" t="n">
        <f aca="false">SUMIFS('CEMI Raw'!$D$6:$D$197,'CEMI Raw'!$E$6:$E$197,$A117,'CEMI Raw'!$B$6:$B$197,2026)</f>
        <v>1309.1</v>
      </c>
      <c r="H117" s="16" t="n">
        <f aca="false">SUMIFS('SALES Raw'!$C$6:$C$435,'SALES Raw'!$E$6:$E$435,$A117,'SALES Raw'!$B$6:$B$435,2025)</f>
        <v>119</v>
      </c>
      <c r="I117" s="17" t="n">
        <f aca="false">SUMIFS('SALES Raw'!$D$6:$D$435,'SALES Raw'!$E$6:$E$435,$A117,'SALES Raw'!$B$6:$B$435,2025)</f>
        <v>3442.67</v>
      </c>
      <c r="J117" s="16" t="n">
        <f aca="false">SUMIFS('SALES Raw'!$C$6:$C$435,'SALES Raw'!$E$6:$E$435,$A117,'SALES Raw'!$B$6:$B$435,2026)</f>
        <v>28</v>
      </c>
      <c r="K117" s="17" t="n">
        <f aca="false">SUMIFS('SALES Raw'!$D$6:$D$435,'SALES Raw'!$E$6:$E$435,$A117,'SALES Raw'!$B$6:$B$435,2026)</f>
        <v>810.04</v>
      </c>
      <c r="L117" s="16" t="n">
        <f aca="false">D117+H117</f>
        <v>119</v>
      </c>
      <c r="M117" s="17" t="n">
        <f aca="false">E117+I117</f>
        <v>3442.67</v>
      </c>
      <c r="N117" s="16" t="n">
        <f aca="false">F117+J117</f>
        <v>75</v>
      </c>
      <c r="O117" s="17" t="n">
        <f aca="false">G117+K117</f>
        <v>2119.14</v>
      </c>
    </row>
    <row r="118" customFormat="false" ht="15" hidden="false" customHeight="false" outlineLevel="0" collapsed="false">
      <c r="A118" s="6" t="n">
        <v>4413043</v>
      </c>
      <c r="B118" s="6" t="str">
        <f aca="false">IFERROR(INDEX('TRANS'!$A:$A,MATCH($A118,'TRANS'!$B:$B,0)),"")</f>
        <v>34 L</v>
      </c>
      <c r="C118" s="6" t="str">
        <f aca="false">IFERROR(INDEX('TRANS'!$C:$C,MATCH($A118,'TRANS'!$B:$B,0)),"")</f>
        <v>34  L מגן קרסול עקב סגור</v>
      </c>
      <c r="D118" s="16" t="n">
        <f aca="false">SUMIFS('CEMI Raw'!$C$6:$C$197,'CEMI Raw'!$E$6:$E$197,$A118,'CEMI Raw'!$B$6:$B$197,2025)</f>
        <v>0</v>
      </c>
      <c r="E118" s="17" t="n">
        <f aca="false">SUMIFS('CEMI Raw'!$D$6:$D$197,'CEMI Raw'!$E$6:$E$197,$A118,'CEMI Raw'!$B$6:$B$197,2025)</f>
        <v>0</v>
      </c>
      <c r="F118" s="16" t="n">
        <f aca="false">SUMIFS('CEMI Raw'!$C$6:$C$197,'CEMI Raw'!$E$6:$E$197,$A118,'CEMI Raw'!$B$6:$B$197,2026)</f>
        <v>106</v>
      </c>
      <c r="G118" s="17" t="n">
        <f aca="false">SUMIFS('CEMI Raw'!$D$6:$D$197,'CEMI Raw'!$E$6:$E$197,$A118,'CEMI Raw'!$B$6:$B$197,2026)</f>
        <v>2958.1</v>
      </c>
      <c r="H118" s="16" t="n">
        <f aca="false">SUMIFS('SALES Raw'!$C$6:$C$435,'SALES Raw'!$E$6:$E$435,$A118,'SALES Raw'!$B$6:$B$435,2025)</f>
        <v>320</v>
      </c>
      <c r="I118" s="17" t="n">
        <f aca="false">SUMIFS('SALES Raw'!$D$6:$D$435,'SALES Raw'!$E$6:$E$435,$A118,'SALES Raw'!$B$6:$B$435,2025)</f>
        <v>9257.6</v>
      </c>
      <c r="J118" s="16" t="n">
        <f aca="false">SUMIFS('SALES Raw'!$C$6:$C$435,'SALES Raw'!$E$6:$E$435,$A118,'SALES Raw'!$B$6:$B$435,2026)</f>
        <v>102</v>
      </c>
      <c r="K118" s="17" t="n">
        <f aca="false">SUMIFS('SALES Raw'!$D$6:$D$435,'SALES Raw'!$E$6:$E$435,$A118,'SALES Raw'!$B$6:$B$435,2026)</f>
        <v>2950.86</v>
      </c>
      <c r="L118" s="16" t="n">
        <f aca="false">D118+H118</f>
        <v>320</v>
      </c>
      <c r="M118" s="17" t="n">
        <f aca="false">E118+I118</f>
        <v>9257.6</v>
      </c>
      <c r="N118" s="16" t="n">
        <f aca="false">F118+J118</f>
        <v>208</v>
      </c>
      <c r="O118" s="17" t="n">
        <f aca="false">G118+K118</f>
        <v>5908.96</v>
      </c>
    </row>
    <row r="119" customFormat="false" ht="15" hidden="false" customHeight="false" outlineLevel="0" collapsed="false">
      <c r="A119" s="6" t="n">
        <v>4413044</v>
      </c>
      <c r="B119" s="6" t="str">
        <f aca="false">IFERROR(INDEX('TRANS'!$A:$A,MATCH($A119,'TRANS'!$B:$B,0)),"")</f>
        <v>34 XL</v>
      </c>
      <c r="C119" s="6" t="str">
        <f aca="false">IFERROR(INDEX('TRANS'!$C:$C,MATCH($A119,'TRANS'!$B:$B,0)),"")</f>
        <v>34 XL מגן קרסול עקב סגור</v>
      </c>
      <c r="D119" s="16" t="n">
        <f aca="false">SUMIFS('CEMI Raw'!$C$6:$C$197,'CEMI Raw'!$E$6:$E$197,$A119,'CEMI Raw'!$B$6:$B$197,2025)</f>
        <v>0</v>
      </c>
      <c r="E119" s="17" t="n">
        <f aca="false">SUMIFS('CEMI Raw'!$D$6:$D$197,'CEMI Raw'!$E$6:$E$197,$A119,'CEMI Raw'!$B$6:$B$197,2025)</f>
        <v>0</v>
      </c>
      <c r="F119" s="16" t="n">
        <f aca="false">SUMIFS('CEMI Raw'!$C$6:$C$197,'CEMI Raw'!$E$6:$E$197,$A119,'CEMI Raw'!$B$6:$B$197,2026)</f>
        <v>87</v>
      </c>
      <c r="G119" s="17" t="n">
        <f aca="false">SUMIFS('CEMI Raw'!$D$6:$D$197,'CEMI Raw'!$E$6:$E$197,$A119,'CEMI Raw'!$B$6:$B$197,2026)</f>
        <v>2401.1</v>
      </c>
      <c r="H119" s="16" t="n">
        <f aca="false">SUMIFS('SALES Raw'!$C$6:$C$435,'SALES Raw'!$E$6:$E$435,$A119,'SALES Raw'!$B$6:$B$435,2025)</f>
        <v>192</v>
      </c>
      <c r="I119" s="17" t="n">
        <f aca="false">SUMIFS('SALES Raw'!$D$6:$D$435,'SALES Raw'!$E$6:$E$435,$A119,'SALES Raw'!$B$6:$B$435,2025)</f>
        <v>5554.56</v>
      </c>
      <c r="J119" s="16" t="n">
        <f aca="false">SUMIFS('SALES Raw'!$C$6:$C$435,'SALES Raw'!$E$6:$E$435,$A119,'SALES Raw'!$B$6:$B$435,2026)</f>
        <v>56</v>
      </c>
      <c r="K119" s="17" t="n">
        <f aca="false">SUMIFS('SALES Raw'!$D$6:$D$435,'SALES Raw'!$E$6:$E$435,$A119,'SALES Raw'!$B$6:$B$435,2026)</f>
        <v>1620.08</v>
      </c>
      <c r="L119" s="16" t="n">
        <f aca="false">D119+H119</f>
        <v>192</v>
      </c>
      <c r="M119" s="17" t="n">
        <f aca="false">E119+I119</f>
        <v>5554.56</v>
      </c>
      <c r="N119" s="16" t="n">
        <f aca="false">F119+J119</f>
        <v>143</v>
      </c>
      <c r="O119" s="17" t="n">
        <f aca="false">G119+K119</f>
        <v>4021.18</v>
      </c>
    </row>
    <row r="120" customFormat="false" ht="15" hidden="false" customHeight="false" outlineLevel="0" collapsed="false">
      <c r="A120" s="6" t="n">
        <v>4413046</v>
      </c>
      <c r="B120" s="6" t="str">
        <f aca="false">IFERROR(INDEX('TRANS'!$A:$A,MATCH($A120,'TRANS'!$B:$B,0)),"")</f>
        <v>34 XXL</v>
      </c>
      <c r="C120" s="6" t="str">
        <f aca="false">IFERROR(INDEX('TRANS'!$C:$C,MATCH($A120,'TRANS'!$B:$B,0)),"")</f>
        <v>34 XXL מגן קרסול עקב סגור</v>
      </c>
      <c r="D120" s="16" t="n">
        <f aca="false">SUMIFS('CEMI Raw'!$C$6:$C$197,'CEMI Raw'!$E$6:$E$197,$A120,'CEMI Raw'!$B$6:$B$197,2025)</f>
        <v>0</v>
      </c>
      <c r="E120" s="17" t="n">
        <f aca="false">SUMIFS('CEMI Raw'!$D$6:$D$197,'CEMI Raw'!$E$6:$E$197,$A120,'CEMI Raw'!$B$6:$B$197,2025)</f>
        <v>0</v>
      </c>
      <c r="F120" s="16" t="n">
        <f aca="false">SUMIFS('CEMI Raw'!$C$6:$C$197,'CEMI Raw'!$E$6:$E$197,$A120,'CEMI Raw'!$B$6:$B$197,2026)</f>
        <v>27</v>
      </c>
      <c r="G120" s="17" t="n">
        <f aca="false">SUMIFS('CEMI Raw'!$D$6:$D$197,'CEMI Raw'!$E$6:$E$197,$A120,'CEMI Raw'!$B$6:$B$197,2026)</f>
        <v>759.4</v>
      </c>
      <c r="H120" s="16" t="n">
        <f aca="false">SUMIFS('SALES Raw'!$C$6:$C$435,'SALES Raw'!$E$6:$E$435,$A120,'SALES Raw'!$B$6:$B$435,2025)</f>
        <v>64</v>
      </c>
      <c r="I120" s="17" t="n">
        <f aca="false">SUMIFS('SALES Raw'!$D$6:$D$435,'SALES Raw'!$E$6:$E$435,$A120,'SALES Raw'!$B$6:$B$435,2025)</f>
        <v>1851.52</v>
      </c>
      <c r="J120" s="16" t="n">
        <f aca="false">SUMIFS('SALES Raw'!$C$6:$C$435,'SALES Raw'!$E$6:$E$435,$A120,'SALES Raw'!$B$6:$B$435,2026)</f>
        <v>22</v>
      </c>
      <c r="K120" s="17" t="n">
        <f aca="false">SUMIFS('SALES Raw'!$D$6:$D$435,'SALES Raw'!$E$6:$E$435,$A120,'SALES Raw'!$B$6:$B$435,2026)</f>
        <v>636.46</v>
      </c>
      <c r="L120" s="16" t="n">
        <f aca="false">D120+H120</f>
        <v>64</v>
      </c>
      <c r="M120" s="17" t="n">
        <f aca="false">E120+I120</f>
        <v>1851.52</v>
      </c>
      <c r="N120" s="16" t="n">
        <f aca="false">F120+J120</f>
        <v>49</v>
      </c>
      <c r="O120" s="17" t="n">
        <f aca="false">G120+K120</f>
        <v>1395.86</v>
      </c>
    </row>
    <row r="121" customFormat="false" ht="15" hidden="false" customHeight="false" outlineLevel="0" collapsed="false">
      <c r="A121" s="6" t="n">
        <v>4413047</v>
      </c>
      <c r="B121" s="6" t="str">
        <f aca="false">IFERROR(INDEX('TRANS'!$A:$A,MATCH($A121,'TRANS'!$B:$B,0)),"")</f>
        <v>35 S</v>
      </c>
      <c r="C121" s="6" t="str">
        <f aca="false">IFERROR(INDEX('TRANS'!$C:$C,MATCH($A121,'TRANS'!$B:$B,0)),"")</f>
        <v>35 S מגן קרסול לבן</v>
      </c>
      <c r="D121" s="16" t="n">
        <f aca="false">SUMIFS('CEMI Raw'!$C$6:$C$197,'CEMI Raw'!$E$6:$E$197,$A121,'CEMI Raw'!$B$6:$B$197,2025)</f>
        <v>0</v>
      </c>
      <c r="E121" s="17" t="n">
        <f aca="false">SUMIFS('CEMI Raw'!$D$6:$D$197,'CEMI Raw'!$E$6:$E$197,$A121,'CEMI Raw'!$B$6:$B$197,2025)</f>
        <v>0</v>
      </c>
      <c r="F121" s="16" t="n">
        <f aca="false">SUMIFS('CEMI Raw'!$C$6:$C$197,'CEMI Raw'!$E$6:$E$197,$A121,'CEMI Raw'!$B$6:$B$197,2026)</f>
        <v>36</v>
      </c>
      <c r="G121" s="17" t="n">
        <f aca="false">SUMIFS('CEMI Raw'!$D$6:$D$197,'CEMI Raw'!$E$6:$E$197,$A121,'CEMI Raw'!$B$6:$B$197,2026)</f>
        <v>578</v>
      </c>
      <c r="H121" s="16" t="n">
        <f aca="false">SUMIFS('SALES Raw'!$C$6:$C$435,'SALES Raw'!$E$6:$E$435,$A121,'SALES Raw'!$B$6:$B$435,2025)</f>
        <v>95</v>
      </c>
      <c r="I121" s="17" t="n">
        <f aca="false">SUMIFS('SALES Raw'!$D$6:$D$435,'SALES Raw'!$E$6:$E$435,$A121,'SALES Raw'!$B$6:$B$435,2025)</f>
        <v>1615</v>
      </c>
      <c r="J121" s="16" t="n">
        <f aca="false">SUMIFS('SALES Raw'!$C$6:$C$435,'SALES Raw'!$E$6:$E$435,$A121,'SALES Raw'!$B$6:$B$435,2026)</f>
        <v>38</v>
      </c>
      <c r="K121" s="17" t="n">
        <f aca="false">SUMIFS('SALES Raw'!$D$6:$D$435,'SALES Raw'!$E$6:$E$435,$A121,'SALES Raw'!$B$6:$B$435,2026)</f>
        <v>646</v>
      </c>
      <c r="L121" s="16" t="n">
        <f aca="false">D121+H121</f>
        <v>95</v>
      </c>
      <c r="M121" s="17" t="n">
        <f aca="false">E121+I121</f>
        <v>1615</v>
      </c>
      <c r="N121" s="16" t="n">
        <f aca="false">F121+J121</f>
        <v>74</v>
      </c>
      <c r="O121" s="17" t="n">
        <f aca="false">G121+K121</f>
        <v>1224</v>
      </c>
    </row>
    <row r="122" customFormat="false" ht="15" hidden="false" customHeight="false" outlineLevel="0" collapsed="false">
      <c r="A122" s="6" t="n">
        <v>4413048</v>
      </c>
      <c r="B122" s="6" t="str">
        <f aca="false">IFERROR(INDEX('TRANS'!$A:$A,MATCH($A122,'TRANS'!$B:$B,0)),"")</f>
        <v>35 L</v>
      </c>
      <c r="C122" s="6" t="str">
        <f aca="false">IFERROR(INDEX('TRANS'!$C:$C,MATCH($A122,'TRANS'!$B:$B,0)),"")</f>
        <v>35 L מגן קרסול לבן</v>
      </c>
      <c r="D122" s="16" t="n">
        <f aca="false">SUMIFS('CEMI Raw'!$C$6:$C$197,'CEMI Raw'!$E$6:$E$197,$A122,'CEMI Raw'!$B$6:$B$197,2025)</f>
        <v>0</v>
      </c>
      <c r="E122" s="17" t="n">
        <f aca="false">SUMIFS('CEMI Raw'!$D$6:$D$197,'CEMI Raw'!$E$6:$E$197,$A122,'CEMI Raw'!$B$6:$B$197,2025)</f>
        <v>0</v>
      </c>
      <c r="F122" s="16" t="n">
        <f aca="false">SUMIFS('CEMI Raw'!$C$6:$C$197,'CEMI Raw'!$E$6:$E$197,$A122,'CEMI Raw'!$B$6:$B$197,2026)</f>
        <v>89</v>
      </c>
      <c r="G122" s="17" t="n">
        <f aca="false">SUMIFS('CEMI Raw'!$D$6:$D$197,'CEMI Raw'!$E$6:$E$197,$A122,'CEMI Raw'!$B$6:$B$197,2026)</f>
        <v>1445</v>
      </c>
      <c r="H122" s="16" t="n">
        <f aca="false">SUMIFS('SALES Raw'!$C$6:$C$435,'SALES Raw'!$E$6:$E$435,$A122,'SALES Raw'!$B$6:$B$435,2025)</f>
        <v>235</v>
      </c>
      <c r="I122" s="17" t="n">
        <f aca="false">SUMIFS('SALES Raw'!$D$6:$D$435,'SALES Raw'!$E$6:$E$435,$A122,'SALES Raw'!$B$6:$B$435,2025)</f>
        <v>3995</v>
      </c>
      <c r="J122" s="16" t="n">
        <f aca="false">SUMIFS('SALES Raw'!$C$6:$C$435,'SALES Raw'!$E$6:$E$435,$A122,'SALES Raw'!$B$6:$B$435,2026)</f>
        <v>91</v>
      </c>
      <c r="K122" s="17" t="n">
        <f aca="false">SUMIFS('SALES Raw'!$D$6:$D$435,'SALES Raw'!$E$6:$E$435,$A122,'SALES Raw'!$B$6:$B$435,2026)</f>
        <v>1547</v>
      </c>
      <c r="L122" s="16" t="n">
        <f aca="false">D122+H122</f>
        <v>235</v>
      </c>
      <c r="M122" s="17" t="n">
        <f aca="false">E122+I122</f>
        <v>3995</v>
      </c>
      <c r="N122" s="16" t="n">
        <f aca="false">F122+J122</f>
        <v>180</v>
      </c>
      <c r="O122" s="17" t="n">
        <f aca="false">G122+K122</f>
        <v>2992</v>
      </c>
    </row>
    <row r="123" customFormat="false" ht="15" hidden="false" customHeight="false" outlineLevel="0" collapsed="false">
      <c r="A123" s="6" t="n">
        <v>4413049</v>
      </c>
      <c r="B123" s="6" t="str">
        <f aca="false">IFERROR(INDEX('TRANS'!$A:$A,MATCH($A123,'TRANS'!$B:$B,0)),"")</f>
        <v>35 M</v>
      </c>
      <c r="C123" s="6" t="str">
        <f aca="false">IFERROR(INDEX('TRANS'!$C:$C,MATCH($A123,'TRANS'!$B:$B,0)),"")</f>
        <v>35 M מגן קרסול לבן</v>
      </c>
      <c r="D123" s="16" t="n">
        <f aca="false">SUMIFS('CEMI Raw'!$C$6:$C$197,'CEMI Raw'!$E$6:$E$197,$A123,'CEMI Raw'!$B$6:$B$197,2025)</f>
        <v>0</v>
      </c>
      <c r="E123" s="17" t="n">
        <f aca="false">SUMIFS('CEMI Raw'!$D$6:$D$197,'CEMI Raw'!$E$6:$E$197,$A123,'CEMI Raw'!$B$6:$B$197,2025)</f>
        <v>0</v>
      </c>
      <c r="F123" s="16" t="n">
        <f aca="false">SUMIFS('CEMI Raw'!$C$6:$C$197,'CEMI Raw'!$E$6:$E$197,$A123,'CEMI Raw'!$B$6:$B$197,2026)</f>
        <v>92</v>
      </c>
      <c r="G123" s="17" t="n">
        <f aca="false">SUMIFS('CEMI Raw'!$D$6:$D$197,'CEMI Raw'!$E$6:$E$197,$A123,'CEMI Raw'!$B$6:$B$197,2026)</f>
        <v>1500.3</v>
      </c>
      <c r="H123" s="16" t="n">
        <f aca="false">SUMIFS('SALES Raw'!$C$6:$C$435,'SALES Raw'!$E$6:$E$435,$A123,'SALES Raw'!$B$6:$B$435,2025)</f>
        <v>275</v>
      </c>
      <c r="I123" s="17" t="n">
        <f aca="false">SUMIFS('SALES Raw'!$D$6:$D$435,'SALES Raw'!$E$6:$E$435,$A123,'SALES Raw'!$B$6:$B$435,2025)</f>
        <v>4675</v>
      </c>
      <c r="J123" s="16" t="n">
        <f aca="false">SUMIFS('SALES Raw'!$C$6:$C$435,'SALES Raw'!$E$6:$E$435,$A123,'SALES Raw'!$B$6:$B$435,2026)</f>
        <v>79</v>
      </c>
      <c r="K123" s="17" t="n">
        <f aca="false">SUMIFS('SALES Raw'!$D$6:$D$435,'SALES Raw'!$E$6:$E$435,$A123,'SALES Raw'!$B$6:$B$435,2026)</f>
        <v>1343</v>
      </c>
      <c r="L123" s="16" t="n">
        <f aca="false">D123+H123</f>
        <v>275</v>
      </c>
      <c r="M123" s="17" t="n">
        <f aca="false">E123+I123</f>
        <v>4675</v>
      </c>
      <c r="N123" s="16" t="n">
        <f aca="false">F123+J123</f>
        <v>171</v>
      </c>
      <c r="O123" s="17" t="n">
        <f aca="false">G123+K123</f>
        <v>2843.3</v>
      </c>
    </row>
    <row r="124" customFormat="false" ht="15" hidden="false" customHeight="false" outlineLevel="0" collapsed="false">
      <c r="A124" s="6" t="n">
        <v>4413050</v>
      </c>
      <c r="B124" s="6" t="str">
        <f aca="false">IFERROR(INDEX('TRANS'!$A:$A,MATCH($A124,'TRANS'!$B:$B,0)),"")</f>
        <v>35 XL</v>
      </c>
      <c r="C124" s="6" t="str">
        <f aca="false">IFERROR(INDEX('TRANS'!$C:$C,MATCH($A124,'TRANS'!$B:$B,0)),"")</f>
        <v>35 XL מגן קרסול לבן</v>
      </c>
      <c r="D124" s="16" t="n">
        <f aca="false">SUMIFS('CEMI Raw'!$C$6:$C$197,'CEMI Raw'!$E$6:$E$197,$A124,'CEMI Raw'!$B$6:$B$197,2025)</f>
        <v>0</v>
      </c>
      <c r="E124" s="17" t="n">
        <f aca="false">SUMIFS('CEMI Raw'!$D$6:$D$197,'CEMI Raw'!$E$6:$E$197,$A124,'CEMI Raw'!$B$6:$B$197,2025)</f>
        <v>0</v>
      </c>
      <c r="F124" s="16" t="n">
        <f aca="false">SUMIFS('CEMI Raw'!$C$6:$C$197,'CEMI Raw'!$E$6:$E$197,$A124,'CEMI Raw'!$B$6:$B$197,2026)</f>
        <v>93</v>
      </c>
      <c r="G124" s="17" t="n">
        <f aca="false">SUMIFS('CEMI Raw'!$D$6:$D$197,'CEMI Raw'!$E$6:$E$197,$A124,'CEMI Raw'!$B$6:$B$197,2026)</f>
        <v>1500.3</v>
      </c>
      <c r="H124" s="16" t="n">
        <f aca="false">SUMIFS('SALES Raw'!$C$6:$C$435,'SALES Raw'!$E$6:$E$435,$A124,'SALES Raw'!$B$6:$B$435,2025)</f>
        <v>226</v>
      </c>
      <c r="I124" s="17" t="n">
        <f aca="false">SUMIFS('SALES Raw'!$D$6:$D$435,'SALES Raw'!$E$6:$E$435,$A124,'SALES Raw'!$B$6:$B$435,2025)</f>
        <v>3842</v>
      </c>
      <c r="J124" s="16" t="n">
        <f aca="false">SUMIFS('SALES Raw'!$C$6:$C$435,'SALES Raw'!$E$6:$E$435,$A124,'SALES Raw'!$B$6:$B$435,2026)</f>
        <v>36</v>
      </c>
      <c r="K124" s="17" t="n">
        <f aca="false">SUMIFS('SALES Raw'!$D$6:$D$435,'SALES Raw'!$E$6:$E$435,$A124,'SALES Raw'!$B$6:$B$435,2026)</f>
        <v>612</v>
      </c>
      <c r="L124" s="16" t="n">
        <f aca="false">D124+H124</f>
        <v>226</v>
      </c>
      <c r="M124" s="17" t="n">
        <f aca="false">E124+I124</f>
        <v>3842</v>
      </c>
      <c r="N124" s="16" t="n">
        <f aca="false">F124+J124</f>
        <v>129</v>
      </c>
      <c r="O124" s="17" t="n">
        <f aca="false">G124+K124</f>
        <v>2112.3</v>
      </c>
    </row>
    <row r="125" customFormat="false" ht="15" hidden="false" customHeight="false" outlineLevel="0" collapsed="false">
      <c r="A125" s="6" t="n">
        <v>4413051</v>
      </c>
      <c r="B125" s="6" t="str">
        <f aca="false">IFERROR(INDEX('TRANS'!$A:$A,MATCH($A125,'TRANS'!$B:$B,0)),"")</f>
        <v>35 XXL</v>
      </c>
      <c r="C125" s="6" t="str">
        <f aca="false">IFERROR(INDEX('TRANS'!$C:$C,MATCH($A125,'TRANS'!$B:$B,0)),"")</f>
        <v>35 XXL מגן קרסול לבן</v>
      </c>
      <c r="D125" s="16" t="n">
        <f aca="false">SUMIFS('CEMI Raw'!$C$6:$C$197,'CEMI Raw'!$E$6:$E$197,$A125,'CEMI Raw'!$B$6:$B$197,2025)</f>
        <v>0</v>
      </c>
      <c r="E125" s="17" t="n">
        <f aca="false">SUMIFS('CEMI Raw'!$D$6:$D$197,'CEMI Raw'!$E$6:$E$197,$A125,'CEMI Raw'!$B$6:$B$197,2025)</f>
        <v>0</v>
      </c>
      <c r="F125" s="16" t="n">
        <f aca="false">SUMIFS('CEMI Raw'!$C$6:$C$197,'CEMI Raw'!$E$6:$E$197,$A125,'CEMI Raw'!$B$6:$B$197,2026)</f>
        <v>11</v>
      </c>
      <c r="G125" s="17" t="n">
        <f aca="false">SUMIFS('CEMI Raw'!$D$6:$D$197,'CEMI Raw'!$E$6:$E$197,$A125,'CEMI Raw'!$B$6:$B$197,2026)</f>
        <v>178.5</v>
      </c>
      <c r="H125" s="16" t="n">
        <f aca="false">SUMIFS('SALES Raw'!$C$6:$C$435,'SALES Raw'!$E$6:$E$435,$A125,'SALES Raw'!$B$6:$B$435,2025)</f>
        <v>77</v>
      </c>
      <c r="I125" s="17" t="n">
        <f aca="false">SUMIFS('SALES Raw'!$D$6:$D$435,'SALES Raw'!$E$6:$E$435,$A125,'SALES Raw'!$B$6:$B$435,2025)</f>
        <v>1309</v>
      </c>
      <c r="J125" s="16" t="n">
        <f aca="false">SUMIFS('SALES Raw'!$C$6:$C$435,'SALES Raw'!$E$6:$E$435,$A125,'SALES Raw'!$B$6:$B$435,2026)</f>
        <v>13</v>
      </c>
      <c r="K125" s="17" t="n">
        <f aca="false">SUMIFS('SALES Raw'!$D$6:$D$435,'SALES Raw'!$E$6:$E$435,$A125,'SALES Raw'!$B$6:$B$435,2026)</f>
        <v>221</v>
      </c>
      <c r="L125" s="16" t="n">
        <f aca="false">D125+H125</f>
        <v>77</v>
      </c>
      <c r="M125" s="17" t="n">
        <f aca="false">E125+I125</f>
        <v>1309</v>
      </c>
      <c r="N125" s="16" t="n">
        <f aca="false">F125+J125</f>
        <v>24</v>
      </c>
      <c r="O125" s="17" t="n">
        <f aca="false">G125+K125</f>
        <v>399.5</v>
      </c>
    </row>
    <row r="126" customFormat="false" ht="15" hidden="false" customHeight="false" outlineLevel="0" collapsed="false">
      <c r="A126" s="6" t="n">
        <v>4413056</v>
      </c>
      <c r="B126" s="6" t="str">
        <f aca="false">IFERROR(INDEX('TRANS'!$A:$A,MATCH($A126,'TRANS'!$B:$B,0)),"")</f>
        <v>LF360 0</v>
      </c>
      <c r="C126" s="6" t="str">
        <f aca="false">IFERROR(INDEX('TRANS'!$C:$C,MATCH($A126,'TRANS'!$B:$B,0)),"")</f>
        <v>LF360 מדרס מטטרזלי לנעלי עקב</v>
      </c>
      <c r="D126" s="16" t="n">
        <f aca="false">SUMIFS('CEMI Raw'!$C$6:$C$197,'CEMI Raw'!$E$6:$E$197,$A126,'CEMI Raw'!$B$6:$B$197,2025)</f>
        <v>0</v>
      </c>
      <c r="E126" s="17" t="n">
        <f aca="false">SUMIFS('CEMI Raw'!$D$6:$D$197,'CEMI Raw'!$E$6:$E$197,$A126,'CEMI Raw'!$B$6:$B$197,2025)</f>
        <v>0</v>
      </c>
      <c r="F126" s="16" t="n">
        <f aca="false">SUMIFS('CEMI Raw'!$C$6:$C$197,'CEMI Raw'!$E$6:$E$197,$A126,'CEMI Raw'!$B$6:$B$197,2026)</f>
        <v>17</v>
      </c>
      <c r="G126" s="17" t="n">
        <f aca="false">SUMIFS('CEMI Raw'!$D$6:$D$197,'CEMI Raw'!$E$6:$E$197,$A126,'CEMI Raw'!$B$6:$B$197,2026)</f>
        <v>275.4</v>
      </c>
      <c r="H126" s="16" t="n">
        <f aca="false">SUMIFS('SALES Raw'!$C$6:$C$435,'SALES Raw'!$E$6:$E$435,$A126,'SALES Raw'!$B$6:$B$435,2025)</f>
        <v>38</v>
      </c>
      <c r="I126" s="17" t="n">
        <f aca="false">SUMIFS('SALES Raw'!$D$6:$D$435,'SALES Raw'!$E$6:$E$435,$A126,'SALES Raw'!$B$6:$B$435,2025)</f>
        <v>615.6</v>
      </c>
      <c r="J126" s="16" t="n">
        <f aca="false">SUMIFS('SALES Raw'!$C$6:$C$435,'SALES Raw'!$E$6:$E$435,$A126,'SALES Raw'!$B$6:$B$435,2026)</f>
        <v>10</v>
      </c>
      <c r="K126" s="17" t="n">
        <f aca="false">SUMIFS('SALES Raw'!$D$6:$D$435,'SALES Raw'!$E$6:$E$435,$A126,'SALES Raw'!$B$6:$B$435,2026)</f>
        <v>162</v>
      </c>
      <c r="L126" s="16" t="n">
        <f aca="false">D126+H126</f>
        <v>38</v>
      </c>
      <c r="M126" s="17" t="n">
        <f aca="false">E126+I126</f>
        <v>615.6</v>
      </c>
      <c r="N126" s="16" t="n">
        <f aca="false">F126+J126</f>
        <v>27</v>
      </c>
      <c r="O126" s="17" t="n">
        <f aca="false">G126+K126</f>
        <v>437.4</v>
      </c>
    </row>
    <row r="127" customFormat="false" ht="15" hidden="false" customHeight="false" outlineLevel="0" collapsed="false">
      <c r="A127" s="6" t="n">
        <v>4413058</v>
      </c>
      <c r="B127" s="6" t="str">
        <f aca="false">IFERROR(INDEX('TRANS'!$A:$A,MATCH($A127,'TRANS'!$B:$B,0)),"")</f>
        <v>3622S 0</v>
      </c>
      <c r="C127" s="6" t="str">
        <f aca="false">IFERROR(INDEX('TRANS'!$C:$C,MATCH($A127,'TRANS'!$B:$B,0)),"")</f>
        <v>3622S מדבקה לשחרור לחץ 2 יח</v>
      </c>
      <c r="D127" s="16" t="n">
        <f aca="false">SUMIFS('CEMI Raw'!$C$6:$C$197,'CEMI Raw'!$E$6:$E$197,$A127,'CEMI Raw'!$B$6:$B$197,2025)</f>
        <v>0</v>
      </c>
      <c r="E127" s="17" t="n">
        <f aca="false">SUMIFS('CEMI Raw'!$D$6:$D$197,'CEMI Raw'!$E$6:$E$197,$A127,'CEMI Raw'!$B$6:$B$197,2025)</f>
        <v>0</v>
      </c>
      <c r="F127" s="16" t="n">
        <f aca="false">SUMIFS('CEMI Raw'!$C$6:$C$197,'CEMI Raw'!$E$6:$E$197,$A127,'CEMI Raw'!$B$6:$B$197,2026)</f>
        <v>36</v>
      </c>
      <c r="G127" s="17" t="n">
        <f aca="false">SUMIFS('CEMI Raw'!$D$6:$D$197,'CEMI Raw'!$E$6:$E$197,$A127,'CEMI Raw'!$B$6:$B$197,2026)</f>
        <v>795.6</v>
      </c>
      <c r="H127" s="16" t="n">
        <f aca="false">SUMIFS('SALES Raw'!$C$6:$C$435,'SALES Raw'!$E$6:$E$435,$A127,'SALES Raw'!$B$6:$B$435,2025)</f>
        <v>71</v>
      </c>
      <c r="I127" s="17" t="n">
        <f aca="false">SUMIFS('SALES Raw'!$D$6:$D$435,'SALES Raw'!$E$6:$E$435,$A127,'SALES Raw'!$B$6:$B$435,2025)</f>
        <v>1661.4</v>
      </c>
      <c r="J127" s="16" t="n">
        <f aca="false">SUMIFS('SALES Raw'!$C$6:$C$435,'SALES Raw'!$E$6:$E$435,$A127,'SALES Raw'!$B$6:$B$435,2026)</f>
        <v>11</v>
      </c>
      <c r="K127" s="17" t="n">
        <f aca="false">SUMIFS('SALES Raw'!$D$6:$D$435,'SALES Raw'!$E$6:$E$435,$A127,'SALES Raw'!$B$6:$B$435,2026)</f>
        <v>257.4</v>
      </c>
      <c r="L127" s="16" t="n">
        <f aca="false">D127+H127</f>
        <v>71</v>
      </c>
      <c r="M127" s="17" t="n">
        <f aca="false">E127+I127</f>
        <v>1661.4</v>
      </c>
      <c r="N127" s="16" t="n">
        <f aca="false">F127+J127</f>
        <v>47</v>
      </c>
      <c r="O127" s="17" t="n">
        <f aca="false">G127+K127</f>
        <v>1053</v>
      </c>
    </row>
    <row r="128" customFormat="false" ht="15" hidden="false" customHeight="false" outlineLevel="0" collapsed="false">
      <c r="A128" s="6" t="n">
        <v>4413059</v>
      </c>
      <c r="B128" s="6" t="str">
        <f aca="false">IFERROR(INDEX('TRANS'!$A:$A,MATCH($A128,'TRANS'!$B:$B,0)),"")</f>
        <v>364-S-L</v>
      </c>
      <c r="C128" s="6" t="str">
        <f aca="false">IFERROR(INDEX('TRANS'!$C:$C,MATCH($A128,'TRANS'!$B:$B,0)),"")</f>
        <v>364S Lמפר.אצבע סיליק. ליבל.זוג</v>
      </c>
      <c r="D128" s="16" t="n">
        <f aca="false">SUMIFS('CEMI Raw'!$C$6:$C$197,'CEMI Raw'!$E$6:$E$197,$A128,'CEMI Raw'!$B$6:$B$197,2025)</f>
        <v>0</v>
      </c>
      <c r="E128" s="17" t="n">
        <f aca="false">SUMIFS('CEMI Raw'!$D$6:$D$197,'CEMI Raw'!$E$6:$E$197,$A128,'CEMI Raw'!$B$6:$B$197,2025)</f>
        <v>0</v>
      </c>
      <c r="F128" s="16" t="n">
        <f aca="false">SUMIFS('CEMI Raw'!$C$6:$C$197,'CEMI Raw'!$E$6:$E$197,$A128,'CEMI Raw'!$B$6:$B$197,2026)</f>
        <v>183</v>
      </c>
      <c r="G128" s="17" t="n">
        <f aca="false">SUMIFS('CEMI Raw'!$D$6:$D$197,'CEMI Raw'!$E$6:$E$197,$A128,'CEMI Raw'!$B$6:$B$197,2026)</f>
        <v>1582.1</v>
      </c>
      <c r="H128" s="16" t="n">
        <f aca="false">SUMIFS('SALES Raw'!$C$6:$C$435,'SALES Raw'!$E$6:$E$435,$A128,'SALES Raw'!$B$6:$B$435,2025)</f>
        <v>669</v>
      </c>
      <c r="I128" s="17" t="n">
        <f aca="false">SUMIFS('SALES Raw'!$D$6:$D$435,'SALES Raw'!$E$6:$E$435,$A128,'SALES Raw'!$B$6:$B$435,2025)</f>
        <v>6355.5</v>
      </c>
      <c r="J128" s="16" t="n">
        <f aca="false">SUMIFS('SALES Raw'!$C$6:$C$435,'SALES Raw'!$E$6:$E$435,$A128,'SALES Raw'!$B$6:$B$435,2026)</f>
        <v>163</v>
      </c>
      <c r="K128" s="17" t="n">
        <f aca="false">SUMIFS('SALES Raw'!$D$6:$D$435,'SALES Raw'!$E$6:$E$435,$A128,'SALES Raw'!$B$6:$B$435,2026)</f>
        <v>1548.5</v>
      </c>
      <c r="L128" s="16" t="n">
        <f aca="false">D128+H128</f>
        <v>669</v>
      </c>
      <c r="M128" s="17" t="n">
        <f aca="false">E128+I128</f>
        <v>6355.5</v>
      </c>
      <c r="N128" s="16" t="n">
        <f aca="false">F128+J128</f>
        <v>346</v>
      </c>
      <c r="O128" s="17" t="n">
        <f aca="false">G128+K128</f>
        <v>3130.6</v>
      </c>
    </row>
    <row r="129" customFormat="false" ht="15" hidden="false" customHeight="false" outlineLevel="0" collapsed="false">
      <c r="A129" s="6" t="n">
        <v>4413060</v>
      </c>
      <c r="B129" s="6" t="str">
        <f aca="false">IFERROR(INDEX('TRANS'!$A:$A,MATCH($A129,'TRANS'!$B:$B,0)),"")</f>
        <v>364 XL</v>
      </c>
      <c r="C129" s="6" t="str">
        <f aca="false">IFERROR(INDEX('TRANS'!$C:$C,MATCH($A129,'TRANS'!$B:$B,0)),"")</f>
        <v>364 XLמפריד אצבע סיליקון ליבלת</v>
      </c>
      <c r="D129" s="16" t="n">
        <f aca="false">SUMIFS('CEMI Raw'!$C$6:$C$197,'CEMI Raw'!$E$6:$E$197,$A129,'CEMI Raw'!$B$6:$B$197,2025)</f>
        <v>0</v>
      </c>
      <c r="E129" s="17" t="n">
        <f aca="false">SUMIFS('CEMI Raw'!$D$6:$D$197,'CEMI Raw'!$E$6:$E$197,$A129,'CEMI Raw'!$B$6:$B$197,2025)</f>
        <v>0</v>
      </c>
      <c r="F129" s="16" t="n">
        <f aca="false">SUMIFS('CEMI Raw'!$C$6:$C$197,'CEMI Raw'!$E$6:$E$197,$A129,'CEMI Raw'!$B$6:$B$197,2026)</f>
        <v>136</v>
      </c>
      <c r="G129" s="17" t="n">
        <f aca="false">SUMIFS('CEMI Raw'!$D$6:$D$197,'CEMI Raw'!$E$6:$E$197,$A129,'CEMI Raw'!$B$6:$B$197,2026)</f>
        <v>1201.7</v>
      </c>
      <c r="H129" s="16" t="n">
        <f aca="false">SUMIFS('SALES Raw'!$C$6:$C$435,'SALES Raw'!$E$6:$E$435,$A129,'SALES Raw'!$B$6:$B$435,2025)</f>
        <v>327</v>
      </c>
      <c r="I129" s="17" t="n">
        <f aca="false">SUMIFS('SALES Raw'!$D$6:$D$435,'SALES Raw'!$E$6:$E$435,$A129,'SALES Raw'!$B$6:$B$435,2025)</f>
        <v>3106.5</v>
      </c>
      <c r="J129" s="16" t="n">
        <f aca="false">SUMIFS('SALES Raw'!$C$6:$C$435,'SALES Raw'!$E$6:$E$435,$A129,'SALES Raw'!$B$6:$B$435,2026)</f>
        <v>88</v>
      </c>
      <c r="K129" s="17" t="n">
        <f aca="false">SUMIFS('SALES Raw'!$D$6:$D$435,'SALES Raw'!$E$6:$E$435,$A129,'SALES Raw'!$B$6:$B$435,2026)</f>
        <v>836</v>
      </c>
      <c r="L129" s="16" t="n">
        <f aca="false">D129+H129</f>
        <v>327</v>
      </c>
      <c r="M129" s="17" t="n">
        <f aca="false">E129+I129</f>
        <v>3106.5</v>
      </c>
      <c r="N129" s="16" t="n">
        <f aca="false">F129+J129</f>
        <v>224</v>
      </c>
      <c r="O129" s="17" t="n">
        <f aca="false">G129+K129</f>
        <v>2037.7</v>
      </c>
    </row>
    <row r="130" customFormat="false" ht="15" hidden="false" customHeight="false" outlineLevel="0" collapsed="false">
      <c r="A130" s="6" t="n">
        <v>4413061</v>
      </c>
      <c r="B130" s="6" t="str">
        <f aca="false">IFERROR(INDEX('TRANS'!$A:$A,MATCH($A130,'TRANS'!$B:$B,0)),"")</f>
        <v>3641 0</v>
      </c>
      <c r="C130" s="6" t="str">
        <f aca="false">IFERROR(INDEX('TRANS'!$C:$C,MATCH($A130,'TRANS'!$B:$B,0)),"")</f>
        <v>3641-מיישר בוהן סיליקון קשיח</v>
      </c>
      <c r="D130" s="16" t="n">
        <f aca="false">SUMIFS('CEMI Raw'!$C$6:$C$197,'CEMI Raw'!$E$6:$E$197,$A130,'CEMI Raw'!$B$6:$B$197,2025)</f>
        <v>0</v>
      </c>
      <c r="E130" s="17" t="n">
        <f aca="false">SUMIFS('CEMI Raw'!$D$6:$D$197,'CEMI Raw'!$E$6:$E$197,$A130,'CEMI Raw'!$B$6:$B$197,2025)</f>
        <v>0</v>
      </c>
      <c r="F130" s="16" t="n">
        <f aca="false">SUMIFS('CEMI Raw'!$C$6:$C$197,'CEMI Raw'!$E$6:$E$197,$A130,'CEMI Raw'!$B$6:$B$197,2026)</f>
        <v>0</v>
      </c>
      <c r="G130" s="17" t="n">
        <f aca="false">SUMIFS('CEMI Raw'!$D$6:$D$197,'CEMI Raw'!$E$6:$E$197,$A130,'CEMI Raw'!$B$6:$B$197,2026)</f>
        <v>0</v>
      </c>
      <c r="H130" s="16" t="n">
        <f aca="false">SUMIFS('SALES Raw'!$C$6:$C$435,'SALES Raw'!$E$6:$E$435,$A130,'SALES Raw'!$B$6:$B$435,2025)</f>
        <v>199</v>
      </c>
      <c r="I130" s="17" t="n">
        <f aca="false">SUMIFS('SALES Raw'!$D$6:$D$435,'SALES Raw'!$E$6:$E$435,$A130,'SALES Raw'!$B$6:$B$435,2025)</f>
        <v>2577.05</v>
      </c>
      <c r="J130" s="16" t="n">
        <f aca="false">SUMIFS('SALES Raw'!$C$6:$C$435,'SALES Raw'!$E$6:$E$435,$A130,'SALES Raw'!$B$6:$B$435,2026)</f>
        <v>23</v>
      </c>
      <c r="K130" s="17" t="n">
        <f aca="false">SUMIFS('SALES Raw'!$D$6:$D$435,'SALES Raw'!$E$6:$E$435,$A130,'SALES Raw'!$B$6:$B$435,2026)</f>
        <v>297.85</v>
      </c>
      <c r="L130" s="16" t="n">
        <f aca="false">D130+H130</f>
        <v>199</v>
      </c>
      <c r="M130" s="17" t="n">
        <f aca="false">E130+I130</f>
        <v>2577.05</v>
      </c>
      <c r="N130" s="16" t="n">
        <f aca="false">F130+J130</f>
        <v>23</v>
      </c>
      <c r="O130" s="17" t="n">
        <f aca="false">G130+K130</f>
        <v>297.85</v>
      </c>
    </row>
    <row r="131" customFormat="false" ht="15" hidden="false" customHeight="false" outlineLevel="0" collapsed="false">
      <c r="A131" s="6" t="n">
        <v>4413063</v>
      </c>
      <c r="B131" s="6" t="str">
        <f aca="false">IFERROR(INDEX('TRANS'!$A:$A,MATCH($A131,'TRANS'!$B:$B,0)),"")</f>
        <v>366S 0</v>
      </c>
      <c r="C131" s="6" t="str">
        <f aca="false">IFERROR(INDEX('TRANS'!$C:$C,MATCH($A131,'TRANS'!$B:$B,0)),"")</f>
        <v>366S-'מדבק.לשחרור לחץ מיבלת2יח</v>
      </c>
      <c r="D131" s="16" t="n">
        <f aca="false">SUMIFS('CEMI Raw'!$C$6:$C$197,'CEMI Raw'!$E$6:$E$197,$A131,'CEMI Raw'!$B$6:$B$197,2025)</f>
        <v>0</v>
      </c>
      <c r="E131" s="17" t="n">
        <f aca="false">SUMIFS('CEMI Raw'!$D$6:$D$197,'CEMI Raw'!$E$6:$E$197,$A131,'CEMI Raw'!$B$6:$B$197,2025)</f>
        <v>0</v>
      </c>
      <c r="F131" s="16" t="n">
        <f aca="false">SUMIFS('CEMI Raw'!$C$6:$C$197,'CEMI Raw'!$E$6:$E$197,$A131,'CEMI Raw'!$B$6:$B$197,2026)</f>
        <v>75</v>
      </c>
      <c r="G131" s="17" t="n">
        <f aca="false">SUMIFS('CEMI Raw'!$D$6:$D$197,'CEMI Raw'!$E$6:$E$197,$A131,'CEMI Raw'!$B$6:$B$197,2026)</f>
        <v>801.6</v>
      </c>
      <c r="H131" s="16" t="n">
        <f aca="false">SUMIFS('SALES Raw'!$C$6:$C$435,'SALES Raw'!$E$6:$E$435,$A131,'SALES Raw'!$B$6:$B$435,2025)</f>
        <v>151</v>
      </c>
      <c r="I131" s="17" t="n">
        <f aca="false">SUMIFS('SALES Raw'!$D$6:$D$435,'SALES Raw'!$E$6:$E$435,$A131,'SALES Raw'!$B$6:$B$435,2025)</f>
        <v>1710.83</v>
      </c>
      <c r="J131" s="16" t="n">
        <f aca="false">SUMIFS('SALES Raw'!$C$6:$C$435,'SALES Raw'!$E$6:$E$435,$A131,'SALES Raw'!$B$6:$B$435,2026)</f>
        <v>23</v>
      </c>
      <c r="K131" s="17" t="n">
        <f aca="false">SUMIFS('SALES Raw'!$D$6:$D$435,'SALES Raw'!$E$6:$E$435,$A131,'SALES Raw'!$B$6:$B$435,2026)</f>
        <v>260.59</v>
      </c>
      <c r="L131" s="16" t="n">
        <f aca="false">D131+H131</f>
        <v>151</v>
      </c>
      <c r="M131" s="17" t="n">
        <f aca="false">E131+I131</f>
        <v>1710.83</v>
      </c>
      <c r="N131" s="16" t="n">
        <f aca="false">F131+J131</f>
        <v>98</v>
      </c>
      <c r="O131" s="17" t="n">
        <f aca="false">G131+K131</f>
        <v>1062.19</v>
      </c>
    </row>
    <row r="132" customFormat="false" ht="15" hidden="false" customHeight="false" outlineLevel="0" collapsed="false">
      <c r="A132" s="6" t="n">
        <v>4413066</v>
      </c>
      <c r="B132" s="6" t="str">
        <f aca="false">IFERROR(INDEX('TRANS'!$A:$A,MATCH($A132,'TRANS'!$B:$B,0)),"")</f>
        <v>3677S 0</v>
      </c>
      <c r="C132" s="6" t="str">
        <f aca="false">IFERROR(INDEX('TRANS'!$C:$C,MATCH($A132,'TRANS'!$B:$B,0)),"")</f>
        <v>3677S-מד.לשחרור לחץ א.הבוניון</v>
      </c>
      <c r="D132" s="16" t="n">
        <f aca="false">SUMIFS('CEMI Raw'!$C$6:$C$197,'CEMI Raw'!$E$6:$E$197,$A132,'CEMI Raw'!$B$6:$B$197,2025)</f>
        <v>0</v>
      </c>
      <c r="E132" s="17" t="n">
        <f aca="false">SUMIFS('CEMI Raw'!$D$6:$D$197,'CEMI Raw'!$E$6:$E$197,$A132,'CEMI Raw'!$B$6:$B$197,2025)</f>
        <v>0</v>
      </c>
      <c r="F132" s="16" t="n">
        <f aca="false">SUMIFS('CEMI Raw'!$C$6:$C$197,'CEMI Raw'!$E$6:$E$197,$A132,'CEMI Raw'!$B$6:$B$197,2026)</f>
        <v>31</v>
      </c>
      <c r="G132" s="17" t="n">
        <f aca="false">SUMIFS('CEMI Raw'!$D$6:$D$197,'CEMI Raw'!$E$6:$E$197,$A132,'CEMI Raw'!$B$6:$B$197,2026)</f>
        <v>404.8</v>
      </c>
      <c r="H132" s="16" t="n">
        <f aca="false">SUMIFS('SALES Raw'!$C$6:$C$435,'SALES Raw'!$E$6:$E$435,$A132,'SALES Raw'!$B$6:$B$435,2025)</f>
        <v>104</v>
      </c>
      <c r="I132" s="17" t="n">
        <f aca="false">SUMIFS('SALES Raw'!$D$6:$D$435,'SALES Raw'!$E$6:$E$435,$A132,'SALES Raw'!$B$6:$B$435,2025)</f>
        <v>1439.36</v>
      </c>
      <c r="J132" s="16" t="n">
        <f aca="false">SUMIFS('SALES Raw'!$C$6:$C$435,'SALES Raw'!$E$6:$E$435,$A132,'SALES Raw'!$B$6:$B$435,2026)</f>
        <v>19</v>
      </c>
      <c r="K132" s="17" t="n">
        <f aca="false">SUMIFS('SALES Raw'!$D$6:$D$435,'SALES Raw'!$E$6:$E$435,$A132,'SALES Raw'!$B$6:$B$435,2026)</f>
        <v>262.96</v>
      </c>
      <c r="L132" s="16" t="n">
        <f aca="false">D132+H132</f>
        <v>104</v>
      </c>
      <c r="M132" s="17" t="n">
        <f aca="false">E132+I132</f>
        <v>1439.36</v>
      </c>
      <c r="N132" s="16" t="n">
        <f aca="false">F132+J132</f>
        <v>50</v>
      </c>
      <c r="O132" s="17" t="n">
        <f aca="false">G132+K132</f>
        <v>667.76</v>
      </c>
    </row>
    <row r="133" customFormat="false" ht="15" hidden="false" customHeight="false" outlineLevel="0" collapsed="false">
      <c r="A133" s="6" t="n">
        <v>4413071</v>
      </c>
      <c r="B133" s="6" t="str">
        <f aca="false">IFERROR(INDEX('TRANS'!$A:$A,MATCH($A133,'TRANS'!$B:$B,0)),"")</f>
        <v>41 S</v>
      </c>
      <c r="C133" s="6" t="str">
        <f aca="false">IFERROR(INDEX('TRANS'!$C:$C,MATCH($A133,'TRANS'!$B:$B,0)),"")</f>
        <v>41 Sמ.ברך מוצלב+ספירלות בצדדים</v>
      </c>
      <c r="D133" s="16" t="n">
        <f aca="false">SUMIFS('CEMI Raw'!$C$6:$C$197,'CEMI Raw'!$E$6:$E$197,$A133,'CEMI Raw'!$B$6:$B$197,2025)</f>
        <v>0</v>
      </c>
      <c r="E133" s="17" t="n">
        <f aca="false">SUMIFS('CEMI Raw'!$D$6:$D$197,'CEMI Raw'!$E$6:$E$197,$A133,'CEMI Raw'!$B$6:$B$197,2025)</f>
        <v>0</v>
      </c>
      <c r="F133" s="16" t="n">
        <f aca="false">SUMIFS('CEMI Raw'!$C$6:$C$197,'CEMI Raw'!$E$6:$E$197,$A133,'CEMI Raw'!$B$6:$B$197,2026)</f>
        <v>4</v>
      </c>
      <c r="G133" s="17" t="n">
        <f aca="false">SUMIFS('CEMI Raw'!$D$6:$D$197,'CEMI Raw'!$E$6:$E$197,$A133,'CEMI Raw'!$B$6:$B$197,2026)</f>
        <v>309</v>
      </c>
      <c r="H133" s="16" t="n">
        <f aca="false">SUMIFS('SALES Raw'!$C$6:$C$435,'SALES Raw'!$E$6:$E$435,$A133,'SALES Raw'!$B$6:$B$435,2025)</f>
        <v>3</v>
      </c>
      <c r="I133" s="17" t="n">
        <f aca="false">SUMIFS('SALES Raw'!$D$6:$D$435,'SALES Raw'!$E$6:$E$435,$A133,'SALES Raw'!$B$6:$B$435,2025)</f>
        <v>231.72</v>
      </c>
      <c r="J133" s="16" t="n">
        <f aca="false">SUMIFS('SALES Raw'!$C$6:$C$435,'SALES Raw'!$E$6:$E$435,$A133,'SALES Raw'!$B$6:$B$435,2026)</f>
        <v>1</v>
      </c>
      <c r="K133" s="17" t="n">
        <f aca="false">SUMIFS('SALES Raw'!$D$6:$D$435,'SALES Raw'!$E$6:$E$435,$A133,'SALES Raw'!$B$6:$B$435,2026)</f>
        <v>77.24</v>
      </c>
      <c r="L133" s="16" t="n">
        <f aca="false">D133+H133</f>
        <v>3</v>
      </c>
      <c r="M133" s="17" t="n">
        <f aca="false">E133+I133</f>
        <v>231.72</v>
      </c>
      <c r="N133" s="16" t="n">
        <f aca="false">F133+J133</f>
        <v>5</v>
      </c>
      <c r="O133" s="17" t="n">
        <f aca="false">G133+K133</f>
        <v>386.24</v>
      </c>
    </row>
    <row r="134" customFormat="false" ht="15" hidden="false" customHeight="false" outlineLevel="0" collapsed="false">
      <c r="A134" s="6" t="n">
        <v>4413092</v>
      </c>
      <c r="B134" s="6" t="str">
        <f aca="false">IFERROR(INDEX('TRANS'!$A:$A,MATCH($A134,'TRANS'!$B:$B,0)),"")</f>
        <v>45 L</v>
      </c>
      <c r="C134" s="6" t="str">
        <f aca="false">IFERROR(INDEX('TRANS'!$C:$C,MATCH($A134,'TRANS'!$B:$B,0)),"")</f>
        <v>45 L מגן ברך לבן</v>
      </c>
      <c r="D134" s="16" t="n">
        <f aca="false">SUMIFS('CEMI Raw'!$C$6:$C$197,'CEMI Raw'!$E$6:$E$197,$A134,'CEMI Raw'!$B$6:$B$197,2025)</f>
        <v>0</v>
      </c>
      <c r="E134" s="17" t="n">
        <f aca="false">SUMIFS('CEMI Raw'!$D$6:$D$197,'CEMI Raw'!$E$6:$E$197,$A134,'CEMI Raw'!$B$6:$B$197,2025)</f>
        <v>0</v>
      </c>
      <c r="F134" s="16" t="n">
        <f aca="false">SUMIFS('CEMI Raw'!$C$6:$C$197,'CEMI Raw'!$E$6:$E$197,$A134,'CEMI Raw'!$B$6:$B$197,2026)</f>
        <v>212</v>
      </c>
      <c r="G134" s="17" t="n">
        <f aca="false">SUMIFS('CEMI Raw'!$D$6:$D$197,'CEMI Raw'!$E$6:$E$197,$A134,'CEMI Raw'!$B$6:$B$197,2026)</f>
        <v>3498</v>
      </c>
      <c r="H134" s="16" t="n">
        <f aca="false">SUMIFS('SALES Raw'!$C$6:$C$435,'SALES Raw'!$E$6:$E$435,$A134,'SALES Raw'!$B$6:$B$435,2025)</f>
        <v>646</v>
      </c>
      <c r="I134" s="17" t="n">
        <f aca="false">SUMIFS('SALES Raw'!$D$6:$D$435,'SALES Raw'!$E$6:$E$435,$A134,'SALES Raw'!$B$6:$B$435,2025)</f>
        <v>10659</v>
      </c>
      <c r="J134" s="16" t="n">
        <f aca="false">SUMIFS('SALES Raw'!$C$6:$C$435,'SALES Raw'!$E$6:$E$435,$A134,'SALES Raw'!$B$6:$B$435,2026)</f>
        <v>161</v>
      </c>
      <c r="K134" s="17" t="n">
        <f aca="false">SUMIFS('SALES Raw'!$D$6:$D$435,'SALES Raw'!$E$6:$E$435,$A134,'SALES Raw'!$B$6:$B$435,2026)</f>
        <v>2656.5</v>
      </c>
      <c r="L134" s="16" t="n">
        <f aca="false">D134+H134</f>
        <v>646</v>
      </c>
      <c r="M134" s="17" t="n">
        <f aca="false">E134+I134</f>
        <v>10659</v>
      </c>
      <c r="N134" s="16" t="n">
        <f aca="false">F134+J134</f>
        <v>373</v>
      </c>
      <c r="O134" s="17" t="n">
        <f aca="false">G134+K134</f>
        <v>6154.5</v>
      </c>
    </row>
    <row r="135" customFormat="false" ht="15" hidden="false" customHeight="false" outlineLevel="0" collapsed="false">
      <c r="A135" s="6" t="n">
        <v>4413093</v>
      </c>
      <c r="B135" s="6" t="str">
        <f aca="false">IFERROR(INDEX('TRANS'!$A:$A,MATCH($A135,'TRANS'!$B:$B,0)),"")</f>
        <v>45 M</v>
      </c>
      <c r="C135" s="6" t="str">
        <f aca="false">IFERROR(INDEX('TRANS'!$C:$C,MATCH($A135,'TRANS'!$B:$B,0)),"")</f>
        <v>45 M מגן ברך לבן</v>
      </c>
      <c r="D135" s="16" t="n">
        <f aca="false">SUMIFS('CEMI Raw'!$C$6:$C$197,'CEMI Raw'!$E$6:$E$197,$A135,'CEMI Raw'!$B$6:$B$197,2025)</f>
        <v>0</v>
      </c>
      <c r="E135" s="17" t="n">
        <f aca="false">SUMIFS('CEMI Raw'!$D$6:$D$197,'CEMI Raw'!$E$6:$E$197,$A135,'CEMI Raw'!$B$6:$B$197,2025)</f>
        <v>0</v>
      </c>
      <c r="F135" s="16" t="n">
        <f aca="false">SUMIFS('CEMI Raw'!$C$6:$C$197,'CEMI Raw'!$E$6:$E$197,$A135,'CEMI Raw'!$B$6:$B$197,2026)</f>
        <v>180</v>
      </c>
      <c r="G135" s="17" t="n">
        <f aca="false">SUMIFS('CEMI Raw'!$D$6:$D$197,'CEMI Raw'!$E$6:$E$197,$A135,'CEMI Raw'!$B$6:$B$197,2026)</f>
        <v>2970</v>
      </c>
      <c r="H135" s="16" t="n">
        <f aca="false">SUMIFS('SALES Raw'!$C$6:$C$435,'SALES Raw'!$E$6:$E$435,$A135,'SALES Raw'!$B$6:$B$435,2025)</f>
        <v>470</v>
      </c>
      <c r="I135" s="17" t="n">
        <f aca="false">SUMIFS('SALES Raw'!$D$6:$D$435,'SALES Raw'!$E$6:$E$435,$A135,'SALES Raw'!$B$6:$B$435,2025)</f>
        <v>7755</v>
      </c>
      <c r="J135" s="16" t="n">
        <f aca="false">SUMIFS('SALES Raw'!$C$6:$C$435,'SALES Raw'!$E$6:$E$435,$A135,'SALES Raw'!$B$6:$B$435,2026)</f>
        <v>121</v>
      </c>
      <c r="K135" s="17" t="n">
        <f aca="false">SUMIFS('SALES Raw'!$D$6:$D$435,'SALES Raw'!$E$6:$E$435,$A135,'SALES Raw'!$B$6:$B$435,2026)</f>
        <v>1996.5</v>
      </c>
      <c r="L135" s="16" t="n">
        <f aca="false">D135+H135</f>
        <v>470</v>
      </c>
      <c r="M135" s="17" t="n">
        <f aca="false">E135+I135</f>
        <v>7755</v>
      </c>
      <c r="N135" s="16" t="n">
        <f aca="false">F135+J135</f>
        <v>301</v>
      </c>
      <c r="O135" s="17" t="n">
        <f aca="false">G135+K135</f>
        <v>4966.5</v>
      </c>
    </row>
    <row r="136" customFormat="false" ht="15" hidden="false" customHeight="false" outlineLevel="0" collapsed="false">
      <c r="A136" s="6" t="n">
        <v>4413094</v>
      </c>
      <c r="B136" s="6" t="str">
        <f aca="false">IFERROR(INDEX('TRANS'!$A:$A,MATCH($A136,'TRANS'!$B:$B,0)),"")</f>
        <v>45 S</v>
      </c>
      <c r="C136" s="6" t="str">
        <f aca="false">IFERROR(INDEX('TRANS'!$C:$C,MATCH($A136,'TRANS'!$B:$B,0)),"")</f>
        <v>45 S מגן ברך לבן</v>
      </c>
      <c r="D136" s="16" t="n">
        <f aca="false">SUMIFS('CEMI Raw'!$C$6:$C$197,'CEMI Raw'!$E$6:$E$197,$A136,'CEMI Raw'!$B$6:$B$197,2025)</f>
        <v>0</v>
      </c>
      <c r="E136" s="17" t="n">
        <f aca="false">SUMIFS('CEMI Raw'!$D$6:$D$197,'CEMI Raw'!$E$6:$E$197,$A136,'CEMI Raw'!$B$6:$B$197,2025)</f>
        <v>0</v>
      </c>
      <c r="F136" s="16" t="n">
        <f aca="false">SUMIFS('CEMI Raw'!$C$6:$C$197,'CEMI Raw'!$E$6:$E$197,$A136,'CEMI Raw'!$B$6:$B$197,2026)</f>
        <v>47</v>
      </c>
      <c r="G136" s="17" t="n">
        <f aca="false">SUMIFS('CEMI Raw'!$D$6:$D$197,'CEMI Raw'!$E$6:$E$197,$A136,'CEMI Raw'!$B$6:$B$197,2026)</f>
        <v>775.5</v>
      </c>
      <c r="H136" s="16" t="n">
        <f aca="false">SUMIFS('SALES Raw'!$C$6:$C$435,'SALES Raw'!$E$6:$E$435,$A136,'SALES Raw'!$B$6:$B$435,2025)</f>
        <v>142</v>
      </c>
      <c r="I136" s="17" t="n">
        <f aca="false">SUMIFS('SALES Raw'!$D$6:$D$435,'SALES Raw'!$E$6:$E$435,$A136,'SALES Raw'!$B$6:$B$435,2025)</f>
        <v>2343</v>
      </c>
      <c r="J136" s="16" t="n">
        <f aca="false">SUMIFS('SALES Raw'!$C$6:$C$435,'SALES Raw'!$E$6:$E$435,$A136,'SALES Raw'!$B$6:$B$435,2026)</f>
        <v>52</v>
      </c>
      <c r="K136" s="17" t="n">
        <f aca="false">SUMIFS('SALES Raw'!$D$6:$D$435,'SALES Raw'!$E$6:$E$435,$A136,'SALES Raw'!$B$6:$B$435,2026)</f>
        <v>858</v>
      </c>
      <c r="L136" s="16" t="n">
        <f aca="false">D136+H136</f>
        <v>142</v>
      </c>
      <c r="M136" s="17" t="n">
        <f aca="false">E136+I136</f>
        <v>2343</v>
      </c>
      <c r="N136" s="16" t="n">
        <f aca="false">F136+J136</f>
        <v>99</v>
      </c>
      <c r="O136" s="17" t="n">
        <f aca="false">G136+K136</f>
        <v>1633.5</v>
      </c>
    </row>
    <row r="137" customFormat="false" ht="15" hidden="false" customHeight="false" outlineLevel="0" collapsed="false">
      <c r="A137" s="6" t="n">
        <v>4413095</v>
      </c>
      <c r="B137" s="6" t="str">
        <f aca="false">IFERROR(INDEX('TRANS'!$A:$A,MATCH($A137,'TRANS'!$B:$B,0)),"")</f>
        <v>45 XL</v>
      </c>
      <c r="C137" s="6" t="str">
        <f aca="false">IFERROR(INDEX('TRANS'!$C:$C,MATCH($A137,'TRANS'!$B:$B,0)),"")</f>
        <v>45 XL מגן ברך לבן</v>
      </c>
      <c r="D137" s="16" t="n">
        <f aca="false">SUMIFS('CEMI Raw'!$C$6:$C$197,'CEMI Raw'!$E$6:$E$197,$A137,'CEMI Raw'!$B$6:$B$197,2025)</f>
        <v>0</v>
      </c>
      <c r="E137" s="17" t="n">
        <f aca="false">SUMIFS('CEMI Raw'!$D$6:$D$197,'CEMI Raw'!$E$6:$E$197,$A137,'CEMI Raw'!$B$6:$B$197,2025)</f>
        <v>0</v>
      </c>
      <c r="F137" s="16" t="n">
        <f aca="false">SUMIFS('CEMI Raw'!$C$6:$C$197,'CEMI Raw'!$E$6:$E$197,$A137,'CEMI Raw'!$B$6:$B$197,2026)</f>
        <v>131</v>
      </c>
      <c r="G137" s="17" t="n">
        <f aca="false">SUMIFS('CEMI Raw'!$D$6:$D$197,'CEMI Raw'!$E$6:$E$197,$A137,'CEMI Raw'!$B$6:$B$197,2026)</f>
        <v>2033.6</v>
      </c>
      <c r="H137" s="16" t="n">
        <f aca="false">SUMIFS('SALES Raw'!$C$6:$C$435,'SALES Raw'!$E$6:$E$435,$A137,'SALES Raw'!$B$6:$B$435,2025)</f>
        <v>383</v>
      </c>
      <c r="I137" s="17" t="n">
        <f aca="false">SUMIFS('SALES Raw'!$D$6:$D$435,'SALES Raw'!$E$6:$E$435,$A137,'SALES Raw'!$B$6:$B$435,2025)</f>
        <v>6319.5</v>
      </c>
      <c r="J137" s="16" t="n">
        <f aca="false">SUMIFS('SALES Raw'!$C$6:$C$435,'SALES Raw'!$E$6:$E$435,$A137,'SALES Raw'!$B$6:$B$435,2026)</f>
        <v>83</v>
      </c>
      <c r="K137" s="17" t="n">
        <f aca="false">SUMIFS('SALES Raw'!$D$6:$D$435,'SALES Raw'!$E$6:$E$435,$A137,'SALES Raw'!$B$6:$B$435,2026)</f>
        <v>1369.5</v>
      </c>
      <c r="L137" s="16" t="n">
        <f aca="false">D137+H137</f>
        <v>383</v>
      </c>
      <c r="M137" s="17" t="n">
        <f aca="false">E137+I137</f>
        <v>6319.5</v>
      </c>
      <c r="N137" s="16" t="n">
        <f aca="false">F137+J137</f>
        <v>214</v>
      </c>
      <c r="O137" s="17" t="n">
        <f aca="false">G137+K137</f>
        <v>3403.1</v>
      </c>
    </row>
    <row r="138" customFormat="false" ht="15" hidden="false" customHeight="false" outlineLevel="0" collapsed="false">
      <c r="A138" s="6" t="n">
        <v>4413096</v>
      </c>
      <c r="B138" s="6" t="str">
        <f aca="false">IFERROR(INDEX('TRANS'!$A:$A,MATCH($A138,'TRANS'!$B:$B,0)),"")</f>
        <v>45 XXL</v>
      </c>
      <c r="C138" s="6" t="str">
        <f aca="false">IFERROR(INDEX('TRANS'!$C:$C,MATCH($A138,'TRANS'!$B:$B,0)),"")</f>
        <v>45 XXL מגן ברך לבן</v>
      </c>
      <c r="D138" s="16" t="n">
        <f aca="false">SUMIFS('CEMI Raw'!$C$6:$C$197,'CEMI Raw'!$E$6:$E$197,$A138,'CEMI Raw'!$B$6:$B$197,2025)</f>
        <v>0</v>
      </c>
      <c r="E138" s="17" t="n">
        <f aca="false">SUMIFS('CEMI Raw'!$D$6:$D$197,'CEMI Raw'!$E$6:$E$197,$A138,'CEMI Raw'!$B$6:$B$197,2025)</f>
        <v>0</v>
      </c>
      <c r="F138" s="16" t="n">
        <f aca="false">SUMIFS('CEMI Raw'!$C$6:$C$197,'CEMI Raw'!$E$6:$E$197,$A138,'CEMI Raw'!$B$6:$B$197,2026)</f>
        <v>47</v>
      </c>
      <c r="G138" s="17" t="n">
        <f aca="false">SUMIFS('CEMI Raw'!$D$6:$D$197,'CEMI Raw'!$E$6:$E$197,$A138,'CEMI Raw'!$B$6:$B$197,2026)</f>
        <v>730.1</v>
      </c>
      <c r="H138" s="16" t="n">
        <f aca="false">SUMIFS('SALES Raw'!$C$6:$C$435,'SALES Raw'!$E$6:$E$435,$A138,'SALES Raw'!$B$6:$B$435,2025)</f>
        <v>178</v>
      </c>
      <c r="I138" s="17" t="n">
        <f aca="false">SUMIFS('SALES Raw'!$D$6:$D$435,'SALES Raw'!$E$6:$E$435,$A138,'SALES Raw'!$B$6:$B$435,2025)</f>
        <v>2937</v>
      </c>
      <c r="J138" s="16" t="n">
        <f aca="false">SUMIFS('SALES Raw'!$C$6:$C$435,'SALES Raw'!$E$6:$E$435,$A138,'SALES Raw'!$B$6:$B$435,2026)</f>
        <v>46</v>
      </c>
      <c r="K138" s="17" t="n">
        <f aca="false">SUMIFS('SALES Raw'!$D$6:$D$435,'SALES Raw'!$E$6:$E$435,$A138,'SALES Raw'!$B$6:$B$435,2026)</f>
        <v>759</v>
      </c>
      <c r="L138" s="16" t="n">
        <f aca="false">D138+H138</f>
        <v>178</v>
      </c>
      <c r="M138" s="17" t="n">
        <f aca="false">E138+I138</f>
        <v>2937</v>
      </c>
      <c r="N138" s="16" t="n">
        <f aca="false">F138+J138</f>
        <v>93</v>
      </c>
      <c r="O138" s="17" t="n">
        <f aca="false">G138+K138</f>
        <v>1489.1</v>
      </c>
    </row>
    <row r="139" customFormat="false" ht="15" hidden="false" customHeight="false" outlineLevel="0" collapsed="false">
      <c r="A139" s="6" t="n">
        <v>4413101</v>
      </c>
      <c r="B139" s="6" t="str">
        <f aca="false">IFERROR(INDEX('TRANS'!$A:$A,MATCH($A139,'TRANS'!$B:$B,0)),"")</f>
        <v>45E S</v>
      </c>
      <c r="C139" s="6" t="str">
        <f aca="false">IFERROR(INDEX('TRANS'!$C:$C,MATCH($A139,'TRANS'!$B:$B,0)),"")</f>
        <v>45E Sמגן ברך ארוך לבן</v>
      </c>
      <c r="D139" s="16" t="n">
        <f aca="false">SUMIFS('CEMI Raw'!$C$6:$C$197,'CEMI Raw'!$E$6:$E$197,$A139,'CEMI Raw'!$B$6:$B$197,2025)</f>
        <v>0</v>
      </c>
      <c r="E139" s="17" t="n">
        <f aca="false">SUMIFS('CEMI Raw'!$D$6:$D$197,'CEMI Raw'!$E$6:$E$197,$A139,'CEMI Raw'!$B$6:$B$197,2025)</f>
        <v>0</v>
      </c>
      <c r="F139" s="16" t="n">
        <f aca="false">SUMIFS('CEMI Raw'!$C$6:$C$197,'CEMI Raw'!$E$6:$E$197,$A139,'CEMI Raw'!$B$6:$B$197,2026)</f>
        <v>39</v>
      </c>
      <c r="G139" s="17" t="n">
        <f aca="false">SUMIFS('CEMI Raw'!$D$6:$D$197,'CEMI Raw'!$E$6:$E$197,$A139,'CEMI Raw'!$B$6:$B$197,2026)</f>
        <v>768.8</v>
      </c>
      <c r="H139" s="16" t="n">
        <f aca="false">SUMIFS('SALES Raw'!$C$6:$C$435,'SALES Raw'!$E$6:$E$435,$A139,'SALES Raw'!$B$6:$B$435,2025)</f>
        <v>80</v>
      </c>
      <c r="I139" s="17" t="n">
        <f aca="false">SUMIFS('SALES Raw'!$D$6:$D$435,'SALES Raw'!$E$6:$E$435,$A139,'SALES Raw'!$B$6:$B$435,2025)</f>
        <v>1640</v>
      </c>
      <c r="J139" s="16" t="n">
        <f aca="false">SUMIFS('SALES Raw'!$C$6:$C$435,'SALES Raw'!$E$6:$E$435,$A139,'SALES Raw'!$B$6:$B$435,2026)</f>
        <v>39</v>
      </c>
      <c r="K139" s="17" t="n">
        <f aca="false">SUMIFS('SALES Raw'!$D$6:$D$435,'SALES Raw'!$E$6:$E$435,$A139,'SALES Raw'!$B$6:$B$435,2026)</f>
        <v>799.5</v>
      </c>
      <c r="L139" s="16" t="n">
        <f aca="false">D139+H139</f>
        <v>80</v>
      </c>
      <c r="M139" s="17" t="n">
        <f aca="false">E139+I139</f>
        <v>1640</v>
      </c>
      <c r="N139" s="16" t="n">
        <f aca="false">F139+J139</f>
        <v>78</v>
      </c>
      <c r="O139" s="17" t="n">
        <f aca="false">G139+K139</f>
        <v>1568.3</v>
      </c>
    </row>
    <row r="140" customFormat="false" ht="15" hidden="false" customHeight="false" outlineLevel="0" collapsed="false">
      <c r="A140" s="6" t="n">
        <v>4413102</v>
      </c>
      <c r="B140" s="6" t="str">
        <f aca="false">IFERROR(INDEX('TRANS'!$A:$A,MATCH($A140,'TRANS'!$B:$B,0)),"")</f>
        <v>45E L</v>
      </c>
      <c r="C140" s="6" t="str">
        <f aca="false">IFERROR(INDEX('TRANS'!$C:$C,MATCH($A140,'TRANS'!$B:$B,0)),"")</f>
        <v>45E  L        מגן ברך ארוך לבן</v>
      </c>
      <c r="D140" s="16" t="n">
        <f aca="false">SUMIFS('CEMI Raw'!$C$6:$C$197,'CEMI Raw'!$E$6:$E$197,$A140,'CEMI Raw'!$B$6:$B$197,2025)</f>
        <v>0</v>
      </c>
      <c r="E140" s="17" t="n">
        <f aca="false">SUMIFS('CEMI Raw'!$D$6:$D$197,'CEMI Raw'!$E$6:$E$197,$A140,'CEMI Raw'!$B$6:$B$197,2025)</f>
        <v>0</v>
      </c>
      <c r="F140" s="16" t="n">
        <f aca="false">SUMIFS('CEMI Raw'!$C$6:$C$197,'CEMI Raw'!$E$6:$E$197,$A140,'CEMI Raw'!$B$6:$B$197,2026)</f>
        <v>104</v>
      </c>
      <c r="G140" s="17" t="n">
        <f aca="false">SUMIFS('CEMI Raw'!$D$6:$D$197,'CEMI Raw'!$E$6:$E$197,$A140,'CEMI Raw'!$B$6:$B$197,2026)</f>
        <v>2029.5</v>
      </c>
      <c r="H140" s="16" t="n">
        <f aca="false">SUMIFS('SALES Raw'!$C$6:$C$435,'SALES Raw'!$E$6:$E$435,$A140,'SALES Raw'!$B$6:$B$435,2025)</f>
        <v>374</v>
      </c>
      <c r="I140" s="17" t="n">
        <f aca="false">SUMIFS('SALES Raw'!$D$6:$D$435,'SALES Raw'!$E$6:$E$435,$A140,'SALES Raw'!$B$6:$B$435,2025)</f>
        <v>7667</v>
      </c>
      <c r="J140" s="16" t="n">
        <f aca="false">SUMIFS('SALES Raw'!$C$6:$C$435,'SALES Raw'!$E$6:$E$435,$A140,'SALES Raw'!$B$6:$B$435,2026)</f>
        <v>132</v>
      </c>
      <c r="K140" s="17" t="n">
        <f aca="false">SUMIFS('SALES Raw'!$D$6:$D$435,'SALES Raw'!$E$6:$E$435,$A140,'SALES Raw'!$B$6:$B$435,2026)</f>
        <v>2706</v>
      </c>
      <c r="L140" s="16" t="n">
        <f aca="false">D140+H140</f>
        <v>374</v>
      </c>
      <c r="M140" s="17" t="n">
        <f aca="false">E140+I140</f>
        <v>7667</v>
      </c>
      <c r="N140" s="16" t="n">
        <f aca="false">F140+J140</f>
        <v>236</v>
      </c>
      <c r="O140" s="17" t="n">
        <f aca="false">G140+K140</f>
        <v>4735.5</v>
      </c>
    </row>
    <row r="141" customFormat="false" ht="15" hidden="false" customHeight="false" outlineLevel="0" collapsed="false">
      <c r="A141" s="6" t="n">
        <v>4413103</v>
      </c>
      <c r="B141" s="6" t="str">
        <f aca="false">IFERROR(INDEX('TRANS'!$A:$A,MATCH($A141,'TRANS'!$B:$B,0)),"")</f>
        <v>45E M</v>
      </c>
      <c r="C141" s="6" t="str">
        <f aca="false">IFERROR(INDEX('TRANS'!$C:$C,MATCH($A141,'TRANS'!$B:$B,0)),"")</f>
        <v>45E Mמגן ברך ארוך לבן</v>
      </c>
      <c r="D141" s="16" t="n">
        <f aca="false">SUMIFS('CEMI Raw'!$C$6:$C$197,'CEMI Raw'!$E$6:$E$197,$A141,'CEMI Raw'!$B$6:$B$197,2025)</f>
        <v>0</v>
      </c>
      <c r="E141" s="17" t="n">
        <f aca="false">SUMIFS('CEMI Raw'!$D$6:$D$197,'CEMI Raw'!$E$6:$E$197,$A141,'CEMI Raw'!$B$6:$B$197,2025)</f>
        <v>0</v>
      </c>
      <c r="F141" s="16" t="n">
        <f aca="false">SUMIFS('CEMI Raw'!$C$6:$C$197,'CEMI Raw'!$E$6:$E$197,$A141,'CEMI Raw'!$B$6:$B$197,2026)</f>
        <v>140</v>
      </c>
      <c r="G141" s="17" t="n">
        <f aca="false">SUMIFS('CEMI Raw'!$D$6:$D$197,'CEMI Raw'!$E$6:$E$197,$A141,'CEMI Raw'!$B$6:$B$197,2026)</f>
        <v>2777.7</v>
      </c>
      <c r="H141" s="16" t="n">
        <f aca="false">SUMIFS('SALES Raw'!$C$6:$C$435,'SALES Raw'!$E$6:$E$435,$A141,'SALES Raw'!$B$6:$B$435,2025)</f>
        <v>329</v>
      </c>
      <c r="I141" s="17" t="n">
        <f aca="false">SUMIFS('SALES Raw'!$D$6:$D$435,'SALES Raw'!$E$6:$E$435,$A141,'SALES Raw'!$B$6:$B$435,2025)</f>
        <v>6744.5</v>
      </c>
      <c r="J141" s="16" t="n">
        <f aca="false">SUMIFS('SALES Raw'!$C$6:$C$435,'SALES Raw'!$E$6:$E$435,$A141,'SALES Raw'!$B$6:$B$435,2026)</f>
        <v>70</v>
      </c>
      <c r="K141" s="17" t="n">
        <f aca="false">SUMIFS('SALES Raw'!$D$6:$D$435,'SALES Raw'!$E$6:$E$435,$A141,'SALES Raw'!$B$6:$B$435,2026)</f>
        <v>1435</v>
      </c>
      <c r="L141" s="16" t="n">
        <f aca="false">D141+H141</f>
        <v>329</v>
      </c>
      <c r="M141" s="17" t="n">
        <f aca="false">E141+I141</f>
        <v>6744.5</v>
      </c>
      <c r="N141" s="16" t="n">
        <f aca="false">F141+J141</f>
        <v>210</v>
      </c>
      <c r="O141" s="17" t="n">
        <f aca="false">G141+K141</f>
        <v>4212.7</v>
      </c>
    </row>
    <row r="142" customFormat="false" ht="15" hidden="false" customHeight="false" outlineLevel="0" collapsed="false">
      <c r="A142" s="6" t="n">
        <v>4413104</v>
      </c>
      <c r="B142" s="6" t="str">
        <f aca="false">IFERROR(INDEX('TRANS'!$A:$A,MATCH($A142,'TRANS'!$B:$B,0)),"")</f>
        <v>45E XL</v>
      </c>
      <c r="C142" s="6" t="str">
        <f aca="false">IFERROR(INDEX('TRANS'!$C:$C,MATCH($A142,'TRANS'!$B:$B,0)),"")</f>
        <v>45E XLמגן ברך ארוך לבן</v>
      </c>
      <c r="D142" s="16" t="n">
        <f aca="false">SUMIFS('CEMI Raw'!$C$6:$C$197,'CEMI Raw'!$E$6:$E$197,$A142,'CEMI Raw'!$B$6:$B$197,2025)</f>
        <v>0</v>
      </c>
      <c r="E142" s="17" t="n">
        <f aca="false">SUMIFS('CEMI Raw'!$D$6:$D$197,'CEMI Raw'!$E$6:$E$197,$A142,'CEMI Raw'!$B$6:$B$197,2025)</f>
        <v>0</v>
      </c>
      <c r="F142" s="16" t="n">
        <f aca="false">SUMIFS('CEMI Raw'!$C$6:$C$197,'CEMI Raw'!$E$6:$E$197,$A142,'CEMI Raw'!$B$6:$B$197,2026)</f>
        <v>118</v>
      </c>
      <c r="G142" s="17" t="n">
        <f aca="false">SUMIFS('CEMI Raw'!$D$6:$D$197,'CEMI Raw'!$E$6:$E$197,$A142,'CEMI Raw'!$B$6:$B$197,2026)</f>
        <v>2326.7</v>
      </c>
      <c r="H142" s="16" t="n">
        <f aca="false">SUMIFS('SALES Raw'!$C$6:$C$435,'SALES Raw'!$E$6:$E$435,$A142,'SALES Raw'!$B$6:$B$435,2025)</f>
        <v>290</v>
      </c>
      <c r="I142" s="17" t="n">
        <f aca="false">SUMIFS('SALES Raw'!$D$6:$D$435,'SALES Raw'!$E$6:$E$435,$A142,'SALES Raw'!$B$6:$B$435,2025)</f>
        <v>5945</v>
      </c>
      <c r="J142" s="16" t="n">
        <f aca="false">SUMIFS('SALES Raw'!$C$6:$C$435,'SALES Raw'!$E$6:$E$435,$A142,'SALES Raw'!$B$6:$B$435,2026)</f>
        <v>73</v>
      </c>
      <c r="K142" s="17" t="n">
        <f aca="false">SUMIFS('SALES Raw'!$D$6:$D$435,'SALES Raw'!$E$6:$E$435,$A142,'SALES Raw'!$B$6:$B$435,2026)</f>
        <v>1496.5</v>
      </c>
      <c r="L142" s="16" t="n">
        <f aca="false">D142+H142</f>
        <v>290</v>
      </c>
      <c r="M142" s="17" t="n">
        <f aca="false">E142+I142</f>
        <v>5945</v>
      </c>
      <c r="N142" s="16" t="n">
        <f aca="false">F142+J142</f>
        <v>191</v>
      </c>
      <c r="O142" s="17" t="n">
        <f aca="false">G142+K142</f>
        <v>3823.2</v>
      </c>
    </row>
    <row r="143" customFormat="false" ht="15" hidden="false" customHeight="false" outlineLevel="0" collapsed="false">
      <c r="A143" s="6" t="n">
        <v>4413105</v>
      </c>
      <c r="B143" s="6" t="str">
        <f aca="false">IFERROR(INDEX('TRANS'!$A:$A,MATCH($A143,'TRANS'!$B:$B,0)),"")</f>
        <v>45E XXL</v>
      </c>
      <c r="C143" s="6" t="str">
        <f aca="false">IFERROR(INDEX('TRANS'!$C:$C,MATCH($A143,'TRANS'!$B:$B,0)),"")</f>
        <v>45E XXLמגן ברך ארוך לבן</v>
      </c>
      <c r="D143" s="16" t="n">
        <f aca="false">SUMIFS('CEMI Raw'!$C$6:$C$197,'CEMI Raw'!$E$6:$E$197,$A143,'CEMI Raw'!$B$6:$B$197,2025)</f>
        <v>0</v>
      </c>
      <c r="E143" s="17" t="n">
        <f aca="false">SUMIFS('CEMI Raw'!$D$6:$D$197,'CEMI Raw'!$E$6:$E$197,$A143,'CEMI Raw'!$B$6:$B$197,2025)</f>
        <v>0</v>
      </c>
      <c r="F143" s="16" t="n">
        <f aca="false">SUMIFS('CEMI Raw'!$C$6:$C$197,'CEMI Raw'!$E$6:$E$197,$A143,'CEMI Raw'!$B$6:$B$197,2026)</f>
        <v>41</v>
      </c>
      <c r="G143" s="17" t="n">
        <f aca="false">SUMIFS('CEMI Raw'!$D$6:$D$197,'CEMI Raw'!$E$6:$E$197,$A143,'CEMI Raw'!$B$6:$B$197,2026)</f>
        <v>825.1</v>
      </c>
      <c r="H143" s="16" t="n">
        <f aca="false">SUMIFS('SALES Raw'!$C$6:$C$435,'SALES Raw'!$E$6:$E$435,$A143,'SALES Raw'!$B$6:$B$435,2025)</f>
        <v>135</v>
      </c>
      <c r="I143" s="17" t="n">
        <f aca="false">SUMIFS('SALES Raw'!$D$6:$D$435,'SALES Raw'!$E$6:$E$435,$A143,'SALES Raw'!$B$6:$B$435,2025)</f>
        <v>2767.5</v>
      </c>
      <c r="J143" s="16" t="n">
        <f aca="false">SUMIFS('SALES Raw'!$C$6:$C$435,'SALES Raw'!$E$6:$E$435,$A143,'SALES Raw'!$B$6:$B$435,2026)</f>
        <v>41</v>
      </c>
      <c r="K143" s="17" t="n">
        <f aca="false">SUMIFS('SALES Raw'!$D$6:$D$435,'SALES Raw'!$E$6:$E$435,$A143,'SALES Raw'!$B$6:$B$435,2026)</f>
        <v>840.5</v>
      </c>
      <c r="L143" s="16" t="n">
        <f aca="false">D143+H143</f>
        <v>135</v>
      </c>
      <c r="M143" s="17" t="n">
        <f aca="false">E143+I143</f>
        <v>2767.5</v>
      </c>
      <c r="N143" s="16" t="n">
        <f aca="false">F143+J143</f>
        <v>82</v>
      </c>
      <c r="O143" s="17" t="n">
        <f aca="false">G143+K143</f>
        <v>1665.6</v>
      </c>
    </row>
    <row r="144" customFormat="false" ht="15" hidden="false" customHeight="false" outlineLevel="0" collapsed="false">
      <c r="A144" s="6" t="n">
        <v>4413111</v>
      </c>
      <c r="B144" s="6" t="str">
        <f aca="false">IFERROR(INDEX('TRANS'!$A:$A,MATCH($A144,'TRANS'!$B:$B,0)),"")</f>
        <v>49 S</v>
      </c>
      <c r="C144" s="6" t="str">
        <f aca="false">IFERROR(INDEX('TRANS'!$C:$C,MATCH($A144,'TRANS'!$B:$B,0)),"")</f>
        <v>49  S מגן ירך</v>
      </c>
      <c r="D144" s="16" t="n">
        <f aca="false">SUMIFS('CEMI Raw'!$C$6:$C$197,'CEMI Raw'!$E$6:$E$197,$A144,'CEMI Raw'!$B$6:$B$197,2025)</f>
        <v>0</v>
      </c>
      <c r="E144" s="17" t="n">
        <f aca="false">SUMIFS('CEMI Raw'!$D$6:$D$197,'CEMI Raw'!$E$6:$E$197,$A144,'CEMI Raw'!$B$6:$B$197,2025)</f>
        <v>0</v>
      </c>
      <c r="F144" s="16" t="n">
        <f aca="false">SUMIFS('CEMI Raw'!$C$6:$C$197,'CEMI Raw'!$E$6:$E$197,$A144,'CEMI Raw'!$B$6:$B$197,2026)</f>
        <v>1</v>
      </c>
      <c r="G144" s="17" t="n">
        <f aca="false">SUMIFS('CEMI Raw'!$D$6:$D$197,'CEMI Raw'!$E$6:$E$197,$A144,'CEMI Raw'!$B$6:$B$197,2026)</f>
        <v>21</v>
      </c>
      <c r="H144" s="16" t="n">
        <f aca="false">SUMIFS('SALES Raw'!$C$6:$C$435,'SALES Raw'!$E$6:$E$435,$A144,'SALES Raw'!$B$6:$B$435,2025)</f>
        <v>0</v>
      </c>
      <c r="I144" s="17" t="n">
        <f aca="false">SUMIFS('SALES Raw'!$D$6:$D$435,'SALES Raw'!$E$6:$E$435,$A144,'SALES Raw'!$B$6:$B$435,2025)</f>
        <v>0</v>
      </c>
      <c r="J144" s="16" t="n">
        <f aca="false">SUMIFS('SALES Raw'!$C$6:$C$435,'SALES Raw'!$E$6:$E$435,$A144,'SALES Raw'!$B$6:$B$435,2026)</f>
        <v>1</v>
      </c>
      <c r="K144" s="17" t="n">
        <f aca="false">SUMIFS('SALES Raw'!$D$6:$D$435,'SALES Raw'!$E$6:$E$435,$A144,'SALES Raw'!$B$6:$B$435,2026)</f>
        <v>21</v>
      </c>
      <c r="L144" s="16" t="n">
        <f aca="false">D144+H144</f>
        <v>0</v>
      </c>
      <c r="M144" s="17" t="n">
        <f aca="false">E144+I144</f>
        <v>0</v>
      </c>
      <c r="N144" s="16" t="n">
        <f aca="false">F144+J144</f>
        <v>2</v>
      </c>
      <c r="O144" s="17" t="n">
        <f aca="false">G144+K144</f>
        <v>42</v>
      </c>
    </row>
    <row r="145" customFormat="false" ht="15" hidden="false" customHeight="false" outlineLevel="0" collapsed="false">
      <c r="A145" s="6" t="n">
        <v>4413112</v>
      </c>
      <c r="B145" s="6" t="str">
        <f aca="false">IFERROR(INDEX('TRANS'!$A:$A,MATCH($A145,'TRANS'!$B:$B,0)),"")</f>
        <v>49 L</v>
      </c>
      <c r="C145" s="6" t="str">
        <f aca="false">IFERROR(INDEX('TRANS'!$C:$C,MATCH($A145,'TRANS'!$B:$B,0)),"")</f>
        <v>49  L מגן ירך</v>
      </c>
      <c r="D145" s="16" t="n">
        <f aca="false">SUMIFS('CEMI Raw'!$C$6:$C$197,'CEMI Raw'!$E$6:$E$197,$A145,'CEMI Raw'!$B$6:$B$197,2025)</f>
        <v>0</v>
      </c>
      <c r="E145" s="17" t="n">
        <f aca="false">SUMIFS('CEMI Raw'!$D$6:$D$197,'CEMI Raw'!$E$6:$E$197,$A145,'CEMI Raw'!$B$6:$B$197,2025)</f>
        <v>0</v>
      </c>
      <c r="F145" s="16" t="n">
        <f aca="false">SUMIFS('CEMI Raw'!$C$6:$C$197,'CEMI Raw'!$E$6:$E$197,$A145,'CEMI Raw'!$B$6:$B$197,2026)</f>
        <v>9</v>
      </c>
      <c r="G145" s="17" t="n">
        <f aca="false">SUMIFS('CEMI Raw'!$D$6:$D$197,'CEMI Raw'!$E$6:$E$197,$A145,'CEMI Raw'!$B$6:$B$197,2026)</f>
        <v>162.8</v>
      </c>
      <c r="H145" s="16" t="n">
        <f aca="false">SUMIFS('SALES Raw'!$C$6:$C$435,'SALES Raw'!$E$6:$E$435,$A145,'SALES Raw'!$B$6:$B$435,2025)</f>
        <v>11</v>
      </c>
      <c r="I145" s="17" t="n">
        <f aca="false">SUMIFS('SALES Raw'!$D$6:$D$435,'SALES Raw'!$E$6:$E$435,$A145,'SALES Raw'!$B$6:$B$435,2025)</f>
        <v>231</v>
      </c>
      <c r="J145" s="16" t="n">
        <f aca="false">SUMIFS('SALES Raw'!$C$6:$C$435,'SALES Raw'!$E$6:$E$435,$A145,'SALES Raw'!$B$6:$B$435,2026)</f>
        <v>3</v>
      </c>
      <c r="K145" s="17" t="n">
        <f aca="false">SUMIFS('SALES Raw'!$D$6:$D$435,'SALES Raw'!$E$6:$E$435,$A145,'SALES Raw'!$B$6:$B$435,2026)</f>
        <v>63</v>
      </c>
      <c r="L145" s="16" t="n">
        <f aca="false">D145+H145</f>
        <v>11</v>
      </c>
      <c r="M145" s="17" t="n">
        <f aca="false">E145+I145</f>
        <v>231</v>
      </c>
      <c r="N145" s="16" t="n">
        <f aca="false">F145+J145</f>
        <v>12</v>
      </c>
      <c r="O145" s="17" t="n">
        <f aca="false">G145+K145</f>
        <v>225.8</v>
      </c>
    </row>
    <row r="146" customFormat="false" ht="15" hidden="false" customHeight="false" outlineLevel="0" collapsed="false">
      <c r="A146" s="6" t="n">
        <v>4413113</v>
      </c>
      <c r="B146" s="6" t="str">
        <f aca="false">IFERROR(INDEX('TRANS'!$A:$A,MATCH($A146,'TRANS'!$B:$B,0)),"")</f>
        <v>49 M</v>
      </c>
      <c r="C146" s="6" t="str">
        <f aca="false">IFERROR(INDEX('TRANS'!$C:$C,MATCH($A146,'TRANS'!$B:$B,0)),"")</f>
        <v>49  M מגן ירך</v>
      </c>
      <c r="D146" s="16" t="n">
        <f aca="false">SUMIFS('CEMI Raw'!$C$6:$C$197,'CEMI Raw'!$E$6:$E$197,$A146,'CEMI Raw'!$B$6:$B$197,2025)</f>
        <v>0</v>
      </c>
      <c r="E146" s="17" t="n">
        <f aca="false">SUMIFS('CEMI Raw'!$D$6:$D$197,'CEMI Raw'!$E$6:$E$197,$A146,'CEMI Raw'!$B$6:$B$197,2025)</f>
        <v>0</v>
      </c>
      <c r="F146" s="16" t="n">
        <f aca="false">SUMIFS('CEMI Raw'!$C$6:$C$197,'CEMI Raw'!$E$6:$E$197,$A146,'CEMI Raw'!$B$6:$B$197,2026)</f>
        <v>0</v>
      </c>
      <c r="G146" s="17" t="n">
        <f aca="false">SUMIFS('CEMI Raw'!$D$6:$D$197,'CEMI Raw'!$E$6:$E$197,$A146,'CEMI Raw'!$B$6:$B$197,2026)</f>
        <v>0</v>
      </c>
      <c r="H146" s="16" t="n">
        <f aca="false">SUMIFS('SALES Raw'!$C$6:$C$435,'SALES Raw'!$E$6:$E$435,$A146,'SALES Raw'!$B$6:$B$435,2025)</f>
        <v>7</v>
      </c>
      <c r="I146" s="17" t="n">
        <f aca="false">SUMIFS('SALES Raw'!$D$6:$D$435,'SALES Raw'!$E$6:$E$435,$A146,'SALES Raw'!$B$6:$B$435,2025)</f>
        <v>147</v>
      </c>
      <c r="J146" s="16" t="n">
        <f aca="false">SUMIFS('SALES Raw'!$C$6:$C$435,'SALES Raw'!$E$6:$E$435,$A146,'SALES Raw'!$B$6:$B$435,2026)</f>
        <v>7</v>
      </c>
      <c r="K146" s="17" t="n">
        <f aca="false">SUMIFS('SALES Raw'!$D$6:$D$435,'SALES Raw'!$E$6:$E$435,$A146,'SALES Raw'!$B$6:$B$435,2026)</f>
        <v>147</v>
      </c>
      <c r="L146" s="16" t="n">
        <f aca="false">D146+H146</f>
        <v>7</v>
      </c>
      <c r="M146" s="17" t="n">
        <f aca="false">E146+I146</f>
        <v>147</v>
      </c>
      <c r="N146" s="16" t="n">
        <f aca="false">F146+J146</f>
        <v>7</v>
      </c>
      <c r="O146" s="17" t="n">
        <f aca="false">G146+K146</f>
        <v>147</v>
      </c>
    </row>
    <row r="147" customFormat="false" ht="15" hidden="false" customHeight="false" outlineLevel="0" collapsed="false">
      <c r="A147" s="6" t="n">
        <v>4413114</v>
      </c>
      <c r="B147" s="6" t="str">
        <f aca="false">IFERROR(INDEX('TRANS'!$A:$A,MATCH($A147,'TRANS'!$B:$B,0)),"")</f>
        <v>49 XL</v>
      </c>
      <c r="C147" s="6" t="str">
        <f aca="false">IFERROR(INDEX('TRANS'!$C:$C,MATCH($A147,'TRANS'!$B:$B,0)),"")</f>
        <v>49 XL מגן ירך</v>
      </c>
      <c r="D147" s="16" t="n">
        <f aca="false">SUMIFS('CEMI Raw'!$C$6:$C$197,'CEMI Raw'!$E$6:$E$197,$A147,'CEMI Raw'!$B$6:$B$197,2025)</f>
        <v>0</v>
      </c>
      <c r="E147" s="17" t="n">
        <f aca="false">SUMIFS('CEMI Raw'!$D$6:$D$197,'CEMI Raw'!$E$6:$E$197,$A147,'CEMI Raw'!$B$6:$B$197,2025)</f>
        <v>0</v>
      </c>
      <c r="F147" s="16" t="n">
        <f aca="false">SUMIFS('CEMI Raw'!$C$6:$C$197,'CEMI Raw'!$E$6:$E$197,$A147,'CEMI Raw'!$B$6:$B$197,2026)</f>
        <v>11</v>
      </c>
      <c r="G147" s="17" t="n">
        <f aca="false">SUMIFS('CEMI Raw'!$D$6:$D$197,'CEMI Raw'!$E$6:$E$197,$A147,'CEMI Raw'!$B$6:$B$197,2026)</f>
        <v>204.8</v>
      </c>
      <c r="H147" s="16" t="n">
        <f aca="false">SUMIFS('SALES Raw'!$C$6:$C$435,'SALES Raw'!$E$6:$E$435,$A147,'SALES Raw'!$B$6:$B$435,2025)</f>
        <v>10</v>
      </c>
      <c r="I147" s="17" t="n">
        <f aca="false">SUMIFS('SALES Raw'!$D$6:$D$435,'SALES Raw'!$E$6:$E$435,$A147,'SALES Raw'!$B$6:$B$435,2025)</f>
        <v>210</v>
      </c>
      <c r="J147" s="16" t="n">
        <f aca="false">SUMIFS('SALES Raw'!$C$6:$C$435,'SALES Raw'!$E$6:$E$435,$A147,'SALES Raw'!$B$6:$B$435,2026)</f>
        <v>6</v>
      </c>
      <c r="K147" s="17" t="n">
        <f aca="false">SUMIFS('SALES Raw'!$D$6:$D$435,'SALES Raw'!$E$6:$E$435,$A147,'SALES Raw'!$B$6:$B$435,2026)</f>
        <v>126</v>
      </c>
      <c r="L147" s="16" t="n">
        <f aca="false">D147+H147</f>
        <v>10</v>
      </c>
      <c r="M147" s="17" t="n">
        <f aca="false">E147+I147</f>
        <v>210</v>
      </c>
      <c r="N147" s="16" t="n">
        <f aca="false">F147+J147</f>
        <v>17</v>
      </c>
      <c r="O147" s="17" t="n">
        <f aca="false">G147+K147</f>
        <v>330.8</v>
      </c>
    </row>
    <row r="148" customFormat="false" ht="15" hidden="false" customHeight="false" outlineLevel="0" collapsed="false">
      <c r="A148" s="6" t="n">
        <v>4413115</v>
      </c>
      <c r="B148" s="6" t="str">
        <f aca="false">IFERROR(INDEX('TRANS'!$A:$A,MATCH($A148,'TRANS'!$B:$B,0)),"")</f>
        <v>49 XXL</v>
      </c>
      <c r="C148" s="6" t="str">
        <f aca="false">IFERROR(INDEX('TRANS'!$C:$C,MATCH($A148,'TRANS'!$B:$B,0)),"")</f>
        <v>49 XXL מגן ירך</v>
      </c>
      <c r="D148" s="16" t="n">
        <f aca="false">SUMIFS('CEMI Raw'!$C$6:$C$197,'CEMI Raw'!$E$6:$E$197,$A148,'CEMI Raw'!$B$6:$B$197,2025)</f>
        <v>0</v>
      </c>
      <c r="E148" s="17" t="n">
        <f aca="false">SUMIFS('CEMI Raw'!$D$6:$D$197,'CEMI Raw'!$E$6:$E$197,$A148,'CEMI Raw'!$B$6:$B$197,2025)</f>
        <v>0</v>
      </c>
      <c r="F148" s="16" t="n">
        <f aca="false">SUMIFS('CEMI Raw'!$C$6:$C$197,'CEMI Raw'!$E$6:$E$197,$A148,'CEMI Raw'!$B$6:$B$197,2026)</f>
        <v>0</v>
      </c>
      <c r="G148" s="17" t="n">
        <f aca="false">SUMIFS('CEMI Raw'!$D$6:$D$197,'CEMI Raw'!$E$6:$E$197,$A148,'CEMI Raw'!$B$6:$B$197,2026)</f>
        <v>0</v>
      </c>
      <c r="H148" s="16" t="n">
        <f aca="false">SUMIFS('SALES Raw'!$C$6:$C$435,'SALES Raw'!$E$6:$E$435,$A148,'SALES Raw'!$B$6:$B$435,2025)</f>
        <v>1</v>
      </c>
      <c r="I148" s="17" t="n">
        <f aca="false">SUMIFS('SALES Raw'!$D$6:$D$435,'SALES Raw'!$E$6:$E$435,$A148,'SALES Raw'!$B$6:$B$435,2025)</f>
        <v>21</v>
      </c>
      <c r="J148" s="16" t="n">
        <f aca="false">SUMIFS('SALES Raw'!$C$6:$C$435,'SALES Raw'!$E$6:$E$435,$A148,'SALES Raw'!$B$6:$B$435,2026)</f>
        <v>0</v>
      </c>
      <c r="K148" s="17" t="n">
        <f aca="false">SUMIFS('SALES Raw'!$D$6:$D$435,'SALES Raw'!$E$6:$E$435,$A148,'SALES Raw'!$B$6:$B$435,2026)</f>
        <v>0</v>
      </c>
      <c r="L148" s="16" t="n">
        <f aca="false">D148+H148</f>
        <v>1</v>
      </c>
      <c r="M148" s="17" t="n">
        <f aca="false">E148+I148</f>
        <v>21</v>
      </c>
      <c r="N148" s="16" t="n">
        <f aca="false">F148+J148</f>
        <v>0</v>
      </c>
      <c r="O148" s="17" t="n">
        <f aca="false">G148+K148</f>
        <v>0</v>
      </c>
    </row>
    <row r="149" customFormat="false" ht="15" hidden="false" customHeight="false" outlineLevel="0" collapsed="false">
      <c r="A149" s="6" t="n">
        <v>4413131</v>
      </c>
      <c r="B149" s="6" t="str">
        <f aca="false">IFERROR(INDEX('TRANS'!$A:$A,MATCH($A149,'TRANS'!$B:$B,0)),"")</f>
        <v>76 S</v>
      </c>
      <c r="C149" s="6" t="str">
        <f aca="false">IFERROR(INDEX('TRANS'!$C:$C,MATCH($A149,'TRANS'!$B:$B,0)),"")</f>
        <v>76 Sמיישר כתף יציב יישור ג.רחב</v>
      </c>
      <c r="D149" s="16" t="n">
        <f aca="false">SUMIFS('CEMI Raw'!$C$6:$C$197,'CEMI Raw'!$E$6:$E$197,$A149,'CEMI Raw'!$B$6:$B$197,2025)</f>
        <v>0</v>
      </c>
      <c r="E149" s="17" t="n">
        <f aca="false">SUMIFS('CEMI Raw'!$D$6:$D$197,'CEMI Raw'!$E$6:$E$197,$A149,'CEMI Raw'!$B$6:$B$197,2025)</f>
        <v>0</v>
      </c>
      <c r="F149" s="16" t="n">
        <f aca="false">SUMIFS('CEMI Raw'!$C$6:$C$197,'CEMI Raw'!$E$6:$E$197,$A149,'CEMI Raw'!$B$6:$B$197,2026)</f>
        <v>4</v>
      </c>
      <c r="G149" s="17" t="n">
        <f aca="false">SUMIFS('CEMI Raw'!$D$6:$D$197,'CEMI Raw'!$E$6:$E$197,$A149,'CEMI Raw'!$B$6:$B$197,2026)</f>
        <v>545.2</v>
      </c>
      <c r="H149" s="16" t="n">
        <f aca="false">SUMIFS('SALES Raw'!$C$6:$C$435,'SALES Raw'!$E$6:$E$435,$A149,'SALES Raw'!$B$6:$B$435,2025)</f>
        <v>14</v>
      </c>
      <c r="I149" s="17" t="n">
        <f aca="false">SUMIFS('SALES Raw'!$D$6:$D$435,'SALES Raw'!$E$6:$E$435,$A149,'SALES Raw'!$B$6:$B$435,2025)</f>
        <v>1908.2</v>
      </c>
      <c r="J149" s="16" t="n">
        <f aca="false">SUMIFS('SALES Raw'!$C$6:$C$435,'SALES Raw'!$E$6:$E$435,$A149,'SALES Raw'!$B$6:$B$435,2026)</f>
        <v>1</v>
      </c>
      <c r="K149" s="17" t="n">
        <f aca="false">SUMIFS('SALES Raw'!$D$6:$D$435,'SALES Raw'!$E$6:$E$435,$A149,'SALES Raw'!$B$6:$B$435,2026)</f>
        <v>136.3</v>
      </c>
      <c r="L149" s="16" t="n">
        <f aca="false">D149+H149</f>
        <v>14</v>
      </c>
      <c r="M149" s="17" t="n">
        <f aca="false">E149+I149</f>
        <v>1908.2</v>
      </c>
      <c r="N149" s="16" t="n">
        <f aca="false">F149+J149</f>
        <v>5</v>
      </c>
      <c r="O149" s="17" t="n">
        <f aca="false">G149+K149</f>
        <v>681.5</v>
      </c>
    </row>
    <row r="150" customFormat="false" ht="15" hidden="false" customHeight="false" outlineLevel="0" collapsed="false">
      <c r="A150" s="6" t="n">
        <v>4413132</v>
      </c>
      <c r="B150" s="6" t="str">
        <f aca="false">IFERROR(INDEX('TRANS'!$A:$A,MATCH($A150,'TRANS'!$B:$B,0)),"")</f>
        <v>76 L</v>
      </c>
      <c r="C150" s="6" t="str">
        <f aca="false">IFERROR(INDEX('TRANS'!$C:$C,MATCH($A150,'TRANS'!$B:$B,0)),"")</f>
        <v>76 Lמיישר כתף יציב יישור רחב</v>
      </c>
      <c r="D150" s="16" t="n">
        <f aca="false">SUMIFS('CEMI Raw'!$C$6:$C$197,'CEMI Raw'!$E$6:$E$197,$A150,'CEMI Raw'!$B$6:$B$197,2025)</f>
        <v>0</v>
      </c>
      <c r="E150" s="17" t="n">
        <f aca="false">SUMIFS('CEMI Raw'!$D$6:$D$197,'CEMI Raw'!$E$6:$E$197,$A150,'CEMI Raw'!$B$6:$B$197,2025)</f>
        <v>0</v>
      </c>
      <c r="F150" s="16" t="n">
        <f aca="false">SUMIFS('CEMI Raw'!$C$6:$C$197,'CEMI Raw'!$E$6:$E$197,$A150,'CEMI Raw'!$B$6:$B$197,2026)</f>
        <v>2</v>
      </c>
      <c r="G150" s="17" t="n">
        <f aca="false">SUMIFS('CEMI Raw'!$D$6:$D$197,'CEMI Raw'!$E$6:$E$197,$A150,'CEMI Raw'!$B$6:$B$197,2026)</f>
        <v>272.6</v>
      </c>
      <c r="H150" s="16" t="n">
        <f aca="false">SUMIFS('SALES Raw'!$C$6:$C$435,'SALES Raw'!$E$6:$E$435,$A150,'SALES Raw'!$B$6:$B$435,2025)</f>
        <v>19</v>
      </c>
      <c r="I150" s="17" t="n">
        <f aca="false">SUMIFS('SALES Raw'!$D$6:$D$435,'SALES Raw'!$E$6:$E$435,$A150,'SALES Raw'!$B$6:$B$435,2025)</f>
        <v>2589.7</v>
      </c>
      <c r="J150" s="16" t="n">
        <f aca="false">SUMIFS('SALES Raw'!$C$6:$C$435,'SALES Raw'!$E$6:$E$435,$A150,'SALES Raw'!$B$6:$B$435,2026)</f>
        <v>10</v>
      </c>
      <c r="K150" s="17" t="n">
        <f aca="false">SUMIFS('SALES Raw'!$D$6:$D$435,'SALES Raw'!$E$6:$E$435,$A150,'SALES Raw'!$B$6:$B$435,2026)</f>
        <v>1363</v>
      </c>
      <c r="L150" s="16" t="n">
        <f aca="false">D150+H150</f>
        <v>19</v>
      </c>
      <c r="M150" s="17" t="n">
        <f aca="false">E150+I150</f>
        <v>2589.7</v>
      </c>
      <c r="N150" s="16" t="n">
        <f aca="false">F150+J150</f>
        <v>12</v>
      </c>
      <c r="O150" s="17" t="n">
        <f aca="false">G150+K150</f>
        <v>1635.6</v>
      </c>
    </row>
    <row r="151" customFormat="false" ht="15" hidden="false" customHeight="false" outlineLevel="0" collapsed="false">
      <c r="A151" s="6" t="n">
        <v>4413133</v>
      </c>
      <c r="B151" s="6" t="str">
        <f aca="false">IFERROR(INDEX('TRANS'!$A:$A,MATCH($A151,'TRANS'!$B:$B,0)),"")</f>
        <v>76 M</v>
      </c>
      <c r="C151" s="6" t="str">
        <f aca="false">IFERROR(INDEX('TRANS'!$C:$C,MATCH($A151,'TRANS'!$B:$B,0)),"")</f>
        <v>76 Mמיישר כתף יציב,יישור רחב</v>
      </c>
      <c r="D151" s="16" t="n">
        <f aca="false">SUMIFS('CEMI Raw'!$C$6:$C$197,'CEMI Raw'!$E$6:$E$197,$A151,'CEMI Raw'!$B$6:$B$197,2025)</f>
        <v>0</v>
      </c>
      <c r="E151" s="17" t="n">
        <f aca="false">SUMIFS('CEMI Raw'!$D$6:$D$197,'CEMI Raw'!$E$6:$E$197,$A151,'CEMI Raw'!$B$6:$B$197,2025)</f>
        <v>0</v>
      </c>
      <c r="F151" s="16" t="n">
        <f aca="false">SUMIFS('CEMI Raw'!$C$6:$C$197,'CEMI Raw'!$E$6:$E$197,$A151,'CEMI Raw'!$B$6:$B$197,2026)</f>
        <v>6</v>
      </c>
      <c r="G151" s="17" t="n">
        <f aca="false">SUMIFS('CEMI Raw'!$D$6:$D$197,'CEMI Raw'!$E$6:$E$197,$A151,'CEMI Raw'!$B$6:$B$197,2026)</f>
        <v>817.8</v>
      </c>
      <c r="H151" s="16" t="n">
        <f aca="false">SUMIFS('SALES Raw'!$C$6:$C$435,'SALES Raw'!$E$6:$E$435,$A151,'SALES Raw'!$B$6:$B$435,2025)</f>
        <v>24</v>
      </c>
      <c r="I151" s="17" t="n">
        <f aca="false">SUMIFS('SALES Raw'!$D$6:$D$435,'SALES Raw'!$E$6:$E$435,$A151,'SALES Raw'!$B$6:$B$435,2025)</f>
        <v>3271.2</v>
      </c>
      <c r="J151" s="16" t="n">
        <f aca="false">SUMIFS('SALES Raw'!$C$6:$C$435,'SALES Raw'!$E$6:$E$435,$A151,'SALES Raw'!$B$6:$B$435,2026)</f>
        <v>8</v>
      </c>
      <c r="K151" s="17" t="n">
        <f aca="false">SUMIFS('SALES Raw'!$D$6:$D$435,'SALES Raw'!$E$6:$E$435,$A151,'SALES Raw'!$B$6:$B$435,2026)</f>
        <v>1090.4</v>
      </c>
      <c r="L151" s="16" t="n">
        <f aca="false">D151+H151</f>
        <v>24</v>
      </c>
      <c r="M151" s="17" t="n">
        <f aca="false">E151+I151</f>
        <v>3271.2</v>
      </c>
      <c r="N151" s="16" t="n">
        <f aca="false">F151+J151</f>
        <v>14</v>
      </c>
      <c r="O151" s="17" t="n">
        <f aca="false">G151+K151</f>
        <v>1908.2</v>
      </c>
    </row>
    <row r="152" customFormat="false" ht="15" hidden="false" customHeight="false" outlineLevel="0" collapsed="false">
      <c r="A152" s="6" t="n">
        <v>4413134</v>
      </c>
      <c r="B152" s="6" t="str">
        <f aca="false">IFERROR(INDEX('TRANS'!$A:$A,MATCH($A152,'TRANS'!$B:$B,0)),"")</f>
        <v>76 XL</v>
      </c>
      <c r="C152" s="6" t="str">
        <f aca="false">IFERROR(INDEX('TRANS'!$C:$C,MATCH($A152,'TRANS'!$B:$B,0)),"")</f>
        <v>76 XLמיישר כתף יציב יישור רחב</v>
      </c>
      <c r="D152" s="16" t="n">
        <f aca="false">SUMIFS('CEMI Raw'!$C$6:$C$197,'CEMI Raw'!$E$6:$E$197,$A152,'CEMI Raw'!$B$6:$B$197,2025)</f>
        <v>0</v>
      </c>
      <c r="E152" s="17" t="n">
        <f aca="false">SUMIFS('CEMI Raw'!$D$6:$D$197,'CEMI Raw'!$E$6:$E$197,$A152,'CEMI Raw'!$B$6:$B$197,2025)</f>
        <v>0</v>
      </c>
      <c r="F152" s="16" t="n">
        <f aca="false">SUMIFS('CEMI Raw'!$C$6:$C$197,'CEMI Raw'!$E$6:$E$197,$A152,'CEMI Raw'!$B$6:$B$197,2026)</f>
        <v>7</v>
      </c>
      <c r="G152" s="17" t="n">
        <f aca="false">SUMIFS('CEMI Raw'!$D$6:$D$197,'CEMI Raw'!$E$6:$E$197,$A152,'CEMI Raw'!$B$6:$B$197,2026)</f>
        <v>954.1</v>
      </c>
      <c r="H152" s="16" t="n">
        <f aca="false">SUMIFS('SALES Raw'!$C$6:$C$435,'SALES Raw'!$E$6:$E$435,$A152,'SALES Raw'!$B$6:$B$435,2025)</f>
        <v>7</v>
      </c>
      <c r="I152" s="17" t="n">
        <f aca="false">SUMIFS('SALES Raw'!$D$6:$D$435,'SALES Raw'!$E$6:$E$435,$A152,'SALES Raw'!$B$6:$B$435,2025)</f>
        <v>954.1</v>
      </c>
      <c r="J152" s="16" t="n">
        <f aca="false">SUMIFS('SALES Raw'!$C$6:$C$435,'SALES Raw'!$E$6:$E$435,$A152,'SALES Raw'!$B$6:$B$435,2026)</f>
        <v>8</v>
      </c>
      <c r="K152" s="17" t="n">
        <f aca="false">SUMIFS('SALES Raw'!$D$6:$D$435,'SALES Raw'!$E$6:$E$435,$A152,'SALES Raw'!$B$6:$B$435,2026)</f>
        <v>1090.4</v>
      </c>
      <c r="L152" s="16" t="n">
        <f aca="false">D152+H152</f>
        <v>7</v>
      </c>
      <c r="M152" s="17" t="n">
        <f aca="false">E152+I152</f>
        <v>954.1</v>
      </c>
      <c r="N152" s="16" t="n">
        <f aca="false">F152+J152</f>
        <v>15</v>
      </c>
      <c r="O152" s="17" t="n">
        <f aca="false">G152+K152</f>
        <v>2044.5</v>
      </c>
    </row>
    <row r="153" customFormat="false" ht="15" hidden="false" customHeight="false" outlineLevel="0" collapsed="false">
      <c r="A153" s="6" t="n">
        <v>4413135</v>
      </c>
      <c r="B153" s="6" t="str">
        <f aca="false">IFERROR(INDEX('TRANS'!$A:$A,MATCH($A153,'TRANS'!$B:$B,0)),"")</f>
        <v>85 L</v>
      </c>
      <c r="C153" s="6" t="str">
        <f aca="false">IFERROR(INDEX('TRANS'!$C:$C,MATCH($A153,'TRANS'!$B:$B,0)),"")</f>
        <v>85 L (מתלה ליד )כיס</v>
      </c>
      <c r="D153" s="16" t="n">
        <f aca="false">SUMIFS('CEMI Raw'!$C$6:$C$197,'CEMI Raw'!$E$6:$E$197,$A153,'CEMI Raw'!$B$6:$B$197,2025)</f>
        <v>0</v>
      </c>
      <c r="E153" s="17" t="n">
        <f aca="false">SUMIFS('CEMI Raw'!$D$6:$D$197,'CEMI Raw'!$E$6:$E$197,$A153,'CEMI Raw'!$B$6:$B$197,2025)</f>
        <v>0</v>
      </c>
      <c r="F153" s="16" t="n">
        <f aca="false">SUMIFS('CEMI Raw'!$C$6:$C$197,'CEMI Raw'!$E$6:$E$197,$A153,'CEMI Raw'!$B$6:$B$197,2026)</f>
        <v>126</v>
      </c>
      <c r="G153" s="17" t="n">
        <f aca="false">SUMIFS('CEMI Raw'!$D$6:$D$197,'CEMI Raw'!$E$6:$E$197,$A153,'CEMI Raw'!$B$6:$B$197,2026)</f>
        <v>4208.8</v>
      </c>
      <c r="H153" s="16" t="n">
        <f aca="false">SUMIFS('SALES Raw'!$C$6:$C$435,'SALES Raw'!$E$6:$E$435,$A153,'SALES Raw'!$B$6:$B$435,2025)</f>
        <v>345</v>
      </c>
      <c r="I153" s="17" t="n">
        <f aca="false">SUMIFS('SALES Raw'!$D$6:$D$435,'SALES Raw'!$E$6:$E$435,$A153,'SALES Raw'!$B$6:$B$435,2025)</f>
        <v>12075</v>
      </c>
      <c r="J153" s="16" t="n">
        <f aca="false">SUMIFS('SALES Raw'!$C$6:$C$435,'SALES Raw'!$E$6:$E$435,$A153,'SALES Raw'!$B$6:$B$435,2026)</f>
        <v>106</v>
      </c>
      <c r="K153" s="17" t="n">
        <f aca="false">SUMIFS('SALES Raw'!$D$6:$D$435,'SALES Raw'!$E$6:$E$435,$A153,'SALES Raw'!$B$6:$B$435,2026)</f>
        <v>3710</v>
      </c>
      <c r="L153" s="16" t="n">
        <f aca="false">D153+H153</f>
        <v>345</v>
      </c>
      <c r="M153" s="17" t="n">
        <f aca="false">E153+I153</f>
        <v>12075</v>
      </c>
      <c r="N153" s="16" t="n">
        <f aca="false">F153+J153</f>
        <v>232</v>
      </c>
      <c r="O153" s="17" t="n">
        <f aca="false">G153+K153</f>
        <v>7918.8</v>
      </c>
    </row>
    <row r="154" customFormat="false" ht="15" hidden="false" customHeight="false" outlineLevel="0" collapsed="false">
      <c r="A154" s="6" t="n">
        <v>4413136</v>
      </c>
      <c r="B154" s="6" t="str">
        <f aca="false">IFERROR(INDEX('TRANS'!$A:$A,MATCH($A154,'TRANS'!$B:$B,0)),"")</f>
        <v>85 M</v>
      </c>
      <c r="C154" s="6" t="str">
        <f aca="false">IFERROR(INDEX('TRANS'!$C:$C,MATCH($A154,'TRANS'!$B:$B,0)),"")</f>
        <v>85 M (מתלה ליד )כיס</v>
      </c>
      <c r="D154" s="16" t="n">
        <f aca="false">SUMIFS('CEMI Raw'!$C$6:$C$197,'CEMI Raw'!$E$6:$E$197,$A154,'CEMI Raw'!$B$6:$B$197,2025)</f>
        <v>0</v>
      </c>
      <c r="E154" s="17" t="n">
        <f aca="false">SUMIFS('CEMI Raw'!$D$6:$D$197,'CEMI Raw'!$E$6:$E$197,$A154,'CEMI Raw'!$B$6:$B$197,2025)</f>
        <v>0</v>
      </c>
      <c r="F154" s="16" t="n">
        <f aca="false">SUMIFS('CEMI Raw'!$C$6:$C$197,'CEMI Raw'!$E$6:$E$197,$A154,'CEMI Raw'!$B$6:$B$197,2026)</f>
        <v>88</v>
      </c>
      <c r="G154" s="17" t="n">
        <f aca="false">SUMIFS('CEMI Raw'!$D$6:$D$197,'CEMI Raw'!$E$6:$E$197,$A154,'CEMI Raw'!$B$6:$B$197,2026)</f>
        <v>2983.8</v>
      </c>
      <c r="H154" s="16" t="n">
        <f aca="false">SUMIFS('SALES Raw'!$C$6:$C$435,'SALES Raw'!$E$6:$E$435,$A154,'SALES Raw'!$B$6:$B$435,2025)</f>
        <v>309</v>
      </c>
      <c r="I154" s="17" t="n">
        <f aca="false">SUMIFS('SALES Raw'!$D$6:$D$435,'SALES Raw'!$E$6:$E$435,$A154,'SALES Raw'!$B$6:$B$435,2025)</f>
        <v>10815</v>
      </c>
      <c r="J154" s="16" t="n">
        <f aca="false">SUMIFS('SALES Raw'!$C$6:$C$435,'SALES Raw'!$E$6:$E$435,$A154,'SALES Raw'!$B$6:$B$435,2026)</f>
        <v>65</v>
      </c>
      <c r="K154" s="17" t="n">
        <f aca="false">SUMIFS('SALES Raw'!$D$6:$D$435,'SALES Raw'!$E$6:$E$435,$A154,'SALES Raw'!$B$6:$B$435,2026)</f>
        <v>2275</v>
      </c>
      <c r="L154" s="16" t="n">
        <f aca="false">D154+H154</f>
        <v>309</v>
      </c>
      <c r="M154" s="17" t="n">
        <f aca="false">E154+I154</f>
        <v>10815</v>
      </c>
      <c r="N154" s="16" t="n">
        <f aca="false">F154+J154</f>
        <v>153</v>
      </c>
      <c r="O154" s="17" t="n">
        <f aca="false">G154+K154</f>
        <v>5258.8</v>
      </c>
    </row>
    <row r="155" customFormat="false" ht="15" hidden="false" customHeight="false" outlineLevel="0" collapsed="false">
      <c r="A155" s="6" t="n">
        <v>4413137</v>
      </c>
      <c r="B155" s="6" t="str">
        <f aca="false">IFERROR(INDEX('TRANS'!$A:$A,MATCH($A155,'TRANS'!$B:$B,0)),"")</f>
        <v>85 S</v>
      </c>
      <c r="C155" s="6" t="str">
        <f aca="false">IFERROR(INDEX('TRANS'!$C:$C,MATCH($A155,'TRANS'!$B:$B,0)),"")</f>
        <v>85 S (מתלה ליד )כיס</v>
      </c>
      <c r="D155" s="16" t="n">
        <f aca="false">SUMIFS('CEMI Raw'!$C$6:$C$197,'CEMI Raw'!$E$6:$E$197,$A155,'CEMI Raw'!$B$6:$B$197,2025)</f>
        <v>0</v>
      </c>
      <c r="E155" s="17" t="n">
        <f aca="false">SUMIFS('CEMI Raw'!$D$6:$D$197,'CEMI Raw'!$E$6:$E$197,$A155,'CEMI Raw'!$B$6:$B$197,2025)</f>
        <v>0</v>
      </c>
      <c r="F155" s="16" t="n">
        <f aca="false">SUMIFS('CEMI Raw'!$C$6:$C$197,'CEMI Raw'!$E$6:$E$197,$A155,'CEMI Raw'!$B$6:$B$197,2026)</f>
        <v>55</v>
      </c>
      <c r="G155" s="17" t="n">
        <f aca="false">SUMIFS('CEMI Raw'!$D$6:$D$197,'CEMI Raw'!$E$6:$E$197,$A155,'CEMI Raw'!$B$6:$B$197,2026)</f>
        <v>1872.5</v>
      </c>
      <c r="H155" s="16" t="n">
        <f aca="false">SUMIFS('SALES Raw'!$C$6:$C$435,'SALES Raw'!$E$6:$E$435,$A155,'SALES Raw'!$B$6:$B$435,2025)</f>
        <v>127</v>
      </c>
      <c r="I155" s="17" t="n">
        <f aca="false">SUMIFS('SALES Raw'!$D$6:$D$435,'SALES Raw'!$E$6:$E$435,$A155,'SALES Raw'!$B$6:$B$435,2025)</f>
        <v>4445</v>
      </c>
      <c r="J155" s="16" t="n">
        <f aca="false">SUMIFS('SALES Raw'!$C$6:$C$435,'SALES Raw'!$E$6:$E$435,$A155,'SALES Raw'!$B$6:$B$435,2026)</f>
        <v>44</v>
      </c>
      <c r="K155" s="17" t="n">
        <f aca="false">SUMIFS('SALES Raw'!$D$6:$D$435,'SALES Raw'!$E$6:$E$435,$A155,'SALES Raw'!$B$6:$B$435,2026)</f>
        <v>1540</v>
      </c>
      <c r="L155" s="16" t="n">
        <f aca="false">D155+H155</f>
        <v>127</v>
      </c>
      <c r="M155" s="17" t="n">
        <f aca="false">E155+I155</f>
        <v>4445</v>
      </c>
      <c r="N155" s="16" t="n">
        <f aca="false">F155+J155</f>
        <v>99</v>
      </c>
      <c r="O155" s="17" t="n">
        <f aca="false">G155+K155</f>
        <v>3412.5</v>
      </c>
    </row>
    <row r="156" customFormat="false" ht="15" hidden="false" customHeight="false" outlineLevel="0" collapsed="false">
      <c r="A156" s="6" t="n">
        <v>4413138</v>
      </c>
      <c r="B156" s="6" t="str">
        <f aca="false">IFERROR(INDEX('TRANS'!$A:$A,MATCH($A156,'TRANS'!$B:$B,0)),"")</f>
        <v>85 XL</v>
      </c>
      <c r="C156" s="6" t="str">
        <f aca="false">IFERROR(INDEX('TRANS'!$C:$C,MATCH($A156,'TRANS'!$B:$B,0)),"")</f>
        <v>85 XL (מתלה ליד )כיס</v>
      </c>
      <c r="D156" s="16" t="n">
        <f aca="false">SUMIFS('CEMI Raw'!$C$6:$C$197,'CEMI Raw'!$E$6:$E$197,$A156,'CEMI Raw'!$B$6:$B$197,2025)</f>
        <v>0</v>
      </c>
      <c r="E156" s="17" t="n">
        <f aca="false">SUMIFS('CEMI Raw'!$D$6:$D$197,'CEMI Raw'!$E$6:$E$197,$A156,'CEMI Raw'!$B$6:$B$197,2025)</f>
        <v>0</v>
      </c>
      <c r="F156" s="16" t="n">
        <f aca="false">SUMIFS('CEMI Raw'!$C$6:$C$197,'CEMI Raw'!$E$6:$E$197,$A156,'CEMI Raw'!$B$6:$B$197,2026)</f>
        <v>54</v>
      </c>
      <c r="G156" s="17" t="n">
        <f aca="false">SUMIFS('CEMI Raw'!$D$6:$D$197,'CEMI Raw'!$E$6:$E$197,$A156,'CEMI Raw'!$B$6:$B$197,2026)</f>
        <v>1741.3</v>
      </c>
      <c r="H156" s="16" t="n">
        <f aca="false">SUMIFS('SALES Raw'!$C$6:$C$435,'SALES Raw'!$E$6:$E$435,$A156,'SALES Raw'!$B$6:$B$435,2025)</f>
        <v>133</v>
      </c>
      <c r="I156" s="17" t="n">
        <f aca="false">SUMIFS('SALES Raw'!$D$6:$D$435,'SALES Raw'!$E$6:$E$435,$A156,'SALES Raw'!$B$6:$B$435,2025)</f>
        <v>4655</v>
      </c>
      <c r="J156" s="16" t="n">
        <f aca="false">SUMIFS('SALES Raw'!$C$6:$C$435,'SALES Raw'!$E$6:$E$435,$A156,'SALES Raw'!$B$6:$B$435,2026)</f>
        <v>43</v>
      </c>
      <c r="K156" s="17" t="n">
        <f aca="false">SUMIFS('SALES Raw'!$D$6:$D$435,'SALES Raw'!$E$6:$E$435,$A156,'SALES Raw'!$B$6:$B$435,2026)</f>
        <v>1505</v>
      </c>
      <c r="L156" s="16" t="n">
        <f aca="false">D156+H156</f>
        <v>133</v>
      </c>
      <c r="M156" s="17" t="n">
        <f aca="false">E156+I156</f>
        <v>4655</v>
      </c>
      <c r="N156" s="16" t="n">
        <f aca="false">F156+J156</f>
        <v>97</v>
      </c>
      <c r="O156" s="17" t="n">
        <f aca="false">G156+K156</f>
        <v>3246.3</v>
      </c>
    </row>
    <row r="157" customFormat="false" ht="15" hidden="false" customHeight="false" outlineLevel="0" collapsed="false">
      <c r="A157" s="6" t="n">
        <v>4413139</v>
      </c>
      <c r="B157" s="6" t="str">
        <f aca="false">IFERROR(INDEX('TRANS'!$A:$A,MATCH($A157,'TRANS'!$B:$B,0)),"")</f>
        <v>95 L</v>
      </c>
      <c r="C157" s="6" t="str">
        <f aca="false">IFERROR(INDEX('TRANS'!$C:$C,MATCH($A157,'TRANS'!$B:$B,0)),"")</f>
        <v>95 L מגן מרפק רגיל לבן</v>
      </c>
      <c r="D157" s="16" t="n">
        <f aca="false">SUMIFS('CEMI Raw'!$C$6:$C$197,'CEMI Raw'!$E$6:$E$197,$A157,'CEMI Raw'!$B$6:$B$197,2025)</f>
        <v>0</v>
      </c>
      <c r="E157" s="17" t="n">
        <f aca="false">SUMIFS('CEMI Raw'!$D$6:$D$197,'CEMI Raw'!$E$6:$E$197,$A157,'CEMI Raw'!$B$6:$B$197,2025)</f>
        <v>0</v>
      </c>
      <c r="F157" s="16" t="n">
        <f aca="false">SUMIFS('CEMI Raw'!$C$6:$C$197,'CEMI Raw'!$E$6:$E$197,$A157,'CEMI Raw'!$B$6:$B$197,2026)</f>
        <v>58</v>
      </c>
      <c r="G157" s="17" t="n">
        <f aca="false">SUMIFS('CEMI Raw'!$D$6:$D$197,'CEMI Raw'!$E$6:$E$197,$A157,'CEMI Raw'!$B$6:$B$197,2026)</f>
        <v>956.3</v>
      </c>
      <c r="H157" s="16" t="n">
        <f aca="false">SUMIFS('SALES Raw'!$C$6:$C$435,'SALES Raw'!$E$6:$E$435,$A157,'SALES Raw'!$B$6:$B$435,2025)</f>
        <v>217</v>
      </c>
      <c r="I157" s="17" t="n">
        <f aca="false">SUMIFS('SALES Raw'!$D$6:$D$435,'SALES Raw'!$E$6:$E$435,$A157,'SALES Raw'!$B$6:$B$435,2025)</f>
        <v>3689</v>
      </c>
      <c r="J157" s="16" t="n">
        <f aca="false">SUMIFS('SALES Raw'!$C$6:$C$435,'SALES Raw'!$E$6:$E$435,$A157,'SALES Raw'!$B$6:$B$435,2026)</f>
        <v>68</v>
      </c>
      <c r="K157" s="17" t="n">
        <f aca="false">SUMIFS('SALES Raw'!$D$6:$D$435,'SALES Raw'!$E$6:$E$435,$A157,'SALES Raw'!$B$6:$B$435,2026)</f>
        <v>1156</v>
      </c>
      <c r="L157" s="16" t="n">
        <f aca="false">D157+H157</f>
        <v>217</v>
      </c>
      <c r="M157" s="17" t="n">
        <f aca="false">E157+I157</f>
        <v>3689</v>
      </c>
      <c r="N157" s="16" t="n">
        <f aca="false">F157+J157</f>
        <v>126</v>
      </c>
      <c r="O157" s="17" t="n">
        <f aca="false">G157+K157</f>
        <v>2112.3</v>
      </c>
    </row>
    <row r="158" customFormat="false" ht="15" hidden="false" customHeight="false" outlineLevel="0" collapsed="false">
      <c r="A158" s="6" t="n">
        <v>4413140</v>
      </c>
      <c r="B158" s="6" t="str">
        <f aca="false">IFERROR(INDEX('TRANS'!$A:$A,MATCH($A158,'TRANS'!$B:$B,0)),"")</f>
        <v>95 M</v>
      </c>
      <c r="C158" s="6" t="str">
        <f aca="false">IFERROR(INDEX('TRANS'!$C:$C,MATCH($A158,'TRANS'!$B:$B,0)),"")</f>
        <v>95 M מגן מרפק רגיל לבן</v>
      </c>
      <c r="D158" s="16" t="n">
        <f aca="false">SUMIFS('CEMI Raw'!$C$6:$C$197,'CEMI Raw'!$E$6:$E$197,$A158,'CEMI Raw'!$B$6:$B$197,2025)</f>
        <v>0</v>
      </c>
      <c r="E158" s="17" t="n">
        <f aca="false">SUMIFS('CEMI Raw'!$D$6:$D$197,'CEMI Raw'!$E$6:$E$197,$A158,'CEMI Raw'!$B$6:$B$197,2025)</f>
        <v>0</v>
      </c>
      <c r="F158" s="16" t="n">
        <f aca="false">SUMIFS('CEMI Raw'!$C$6:$C$197,'CEMI Raw'!$E$6:$E$197,$A158,'CEMI Raw'!$B$6:$B$197,2026)</f>
        <v>82</v>
      </c>
      <c r="G158" s="17" t="n">
        <f aca="false">SUMIFS('CEMI Raw'!$D$6:$D$197,'CEMI Raw'!$E$6:$E$197,$A158,'CEMI Raw'!$B$6:$B$197,2026)</f>
        <v>1330.3</v>
      </c>
      <c r="H158" s="16" t="n">
        <f aca="false">SUMIFS('SALES Raw'!$C$6:$C$435,'SALES Raw'!$E$6:$E$435,$A158,'SALES Raw'!$B$6:$B$435,2025)</f>
        <v>244</v>
      </c>
      <c r="I158" s="17" t="n">
        <f aca="false">SUMIFS('SALES Raw'!$D$6:$D$435,'SALES Raw'!$E$6:$E$435,$A158,'SALES Raw'!$B$6:$B$435,2025)</f>
        <v>4148</v>
      </c>
      <c r="J158" s="16" t="n">
        <f aca="false">SUMIFS('SALES Raw'!$C$6:$C$435,'SALES Raw'!$E$6:$E$435,$A158,'SALES Raw'!$B$6:$B$435,2026)</f>
        <v>73</v>
      </c>
      <c r="K158" s="17" t="n">
        <f aca="false">SUMIFS('SALES Raw'!$D$6:$D$435,'SALES Raw'!$E$6:$E$435,$A158,'SALES Raw'!$B$6:$B$435,2026)</f>
        <v>1241</v>
      </c>
      <c r="L158" s="16" t="n">
        <f aca="false">D158+H158</f>
        <v>244</v>
      </c>
      <c r="M158" s="17" t="n">
        <f aca="false">E158+I158</f>
        <v>4148</v>
      </c>
      <c r="N158" s="16" t="n">
        <f aca="false">F158+J158</f>
        <v>155</v>
      </c>
      <c r="O158" s="17" t="n">
        <f aca="false">G158+K158</f>
        <v>2571.3</v>
      </c>
    </row>
    <row r="159" customFormat="false" ht="15" hidden="false" customHeight="false" outlineLevel="0" collapsed="false">
      <c r="A159" s="6" t="n">
        <v>4413141</v>
      </c>
      <c r="B159" s="6" t="str">
        <f aca="false">IFERROR(INDEX('TRANS'!$A:$A,MATCH($A159,'TRANS'!$B:$B,0)),"")</f>
        <v>95 S</v>
      </c>
      <c r="C159" s="6" t="str">
        <f aca="false">IFERROR(INDEX('TRANS'!$C:$C,MATCH($A159,'TRANS'!$B:$B,0)),"")</f>
        <v>95 S מגן מרפק רגיל לבן</v>
      </c>
      <c r="D159" s="16" t="n">
        <f aca="false">SUMIFS('CEMI Raw'!$C$6:$C$197,'CEMI Raw'!$E$6:$E$197,$A159,'CEMI Raw'!$B$6:$B$197,2025)</f>
        <v>0</v>
      </c>
      <c r="E159" s="17" t="n">
        <f aca="false">SUMIFS('CEMI Raw'!$D$6:$D$197,'CEMI Raw'!$E$6:$E$197,$A159,'CEMI Raw'!$B$6:$B$197,2025)</f>
        <v>0</v>
      </c>
      <c r="F159" s="16" t="n">
        <f aca="false">SUMIFS('CEMI Raw'!$C$6:$C$197,'CEMI Raw'!$E$6:$E$197,$A159,'CEMI Raw'!$B$6:$B$197,2026)</f>
        <v>98</v>
      </c>
      <c r="G159" s="17" t="n">
        <f aca="false">SUMIFS('CEMI Raw'!$D$6:$D$197,'CEMI Raw'!$E$6:$E$197,$A159,'CEMI Raw'!$B$6:$B$197,2026)</f>
        <v>1593.8</v>
      </c>
      <c r="H159" s="16" t="n">
        <f aca="false">SUMIFS('SALES Raw'!$C$6:$C$435,'SALES Raw'!$E$6:$E$435,$A159,'SALES Raw'!$B$6:$B$435,2025)</f>
        <v>186</v>
      </c>
      <c r="I159" s="17" t="n">
        <f aca="false">SUMIFS('SALES Raw'!$D$6:$D$435,'SALES Raw'!$E$6:$E$435,$A159,'SALES Raw'!$B$6:$B$435,2025)</f>
        <v>3162</v>
      </c>
      <c r="J159" s="16" t="n">
        <f aca="false">SUMIFS('SALES Raw'!$C$6:$C$435,'SALES Raw'!$E$6:$E$435,$A159,'SALES Raw'!$B$6:$B$435,2026)</f>
        <v>57</v>
      </c>
      <c r="K159" s="17" t="n">
        <f aca="false">SUMIFS('SALES Raw'!$D$6:$D$435,'SALES Raw'!$E$6:$E$435,$A159,'SALES Raw'!$B$6:$B$435,2026)</f>
        <v>969</v>
      </c>
      <c r="L159" s="16" t="n">
        <f aca="false">D159+H159</f>
        <v>186</v>
      </c>
      <c r="M159" s="17" t="n">
        <f aca="false">E159+I159</f>
        <v>3162</v>
      </c>
      <c r="N159" s="16" t="n">
        <f aca="false">F159+J159</f>
        <v>155</v>
      </c>
      <c r="O159" s="17" t="n">
        <f aca="false">G159+K159</f>
        <v>2562.8</v>
      </c>
    </row>
    <row r="160" customFormat="false" ht="15" hidden="false" customHeight="false" outlineLevel="0" collapsed="false">
      <c r="A160" s="6" t="n">
        <v>4413142</v>
      </c>
      <c r="B160" s="6" t="str">
        <f aca="false">IFERROR(INDEX('TRANS'!$A:$A,MATCH($A160,'TRANS'!$B:$B,0)),"")</f>
        <v>95 XL</v>
      </c>
      <c r="C160" s="6" t="str">
        <f aca="false">IFERROR(INDEX('TRANS'!$C:$C,MATCH($A160,'TRANS'!$B:$B,0)),"")</f>
        <v>95 XL מגן מרפק רגיל לבן</v>
      </c>
      <c r="D160" s="16" t="n">
        <f aca="false">SUMIFS('CEMI Raw'!$C$6:$C$197,'CEMI Raw'!$E$6:$E$197,$A160,'CEMI Raw'!$B$6:$B$197,2025)</f>
        <v>0</v>
      </c>
      <c r="E160" s="17" t="n">
        <f aca="false">SUMIFS('CEMI Raw'!$D$6:$D$197,'CEMI Raw'!$E$6:$E$197,$A160,'CEMI Raw'!$B$6:$B$197,2025)</f>
        <v>0</v>
      </c>
      <c r="F160" s="16" t="n">
        <f aca="false">SUMIFS('CEMI Raw'!$C$6:$C$197,'CEMI Raw'!$E$6:$E$197,$A160,'CEMI Raw'!$B$6:$B$197,2026)</f>
        <v>30</v>
      </c>
      <c r="G160" s="17" t="n">
        <f aca="false">SUMIFS('CEMI Raw'!$D$6:$D$197,'CEMI Raw'!$E$6:$E$197,$A160,'CEMI Raw'!$B$6:$B$197,2026)</f>
        <v>497.3</v>
      </c>
      <c r="H160" s="16" t="n">
        <f aca="false">SUMIFS('SALES Raw'!$C$6:$C$435,'SALES Raw'!$E$6:$E$435,$A160,'SALES Raw'!$B$6:$B$435,2025)</f>
        <v>85</v>
      </c>
      <c r="I160" s="17" t="n">
        <f aca="false">SUMIFS('SALES Raw'!$D$6:$D$435,'SALES Raw'!$E$6:$E$435,$A160,'SALES Raw'!$B$6:$B$435,2025)</f>
        <v>1445</v>
      </c>
      <c r="J160" s="16" t="n">
        <f aca="false">SUMIFS('SALES Raw'!$C$6:$C$435,'SALES Raw'!$E$6:$E$435,$A160,'SALES Raw'!$B$6:$B$435,2026)</f>
        <v>35</v>
      </c>
      <c r="K160" s="17" t="n">
        <f aca="false">SUMIFS('SALES Raw'!$D$6:$D$435,'SALES Raw'!$E$6:$E$435,$A160,'SALES Raw'!$B$6:$B$435,2026)</f>
        <v>595</v>
      </c>
      <c r="L160" s="16" t="n">
        <f aca="false">D160+H160</f>
        <v>85</v>
      </c>
      <c r="M160" s="17" t="n">
        <f aca="false">E160+I160</f>
        <v>1445</v>
      </c>
      <c r="N160" s="16" t="n">
        <f aca="false">F160+J160</f>
        <v>65</v>
      </c>
      <c r="O160" s="17" t="n">
        <f aca="false">G160+K160</f>
        <v>1092.3</v>
      </c>
    </row>
    <row r="161" customFormat="false" ht="15" hidden="false" customHeight="false" outlineLevel="0" collapsed="false">
      <c r="A161" s="6" t="n">
        <v>4413143</v>
      </c>
      <c r="B161" s="6" t="str">
        <f aca="false">IFERROR(INDEX('TRANS'!$A:$A,MATCH($A161,'TRANS'!$B:$B,0)),"")</f>
        <v>95 XS</v>
      </c>
      <c r="C161" s="6" t="str">
        <f aca="false">IFERROR(INDEX('TRANS'!$C:$C,MATCH($A161,'TRANS'!$B:$B,0)),"")</f>
        <v>95 XS מגן מרפק רגיל לבן</v>
      </c>
      <c r="D161" s="16" t="n">
        <f aca="false">SUMIFS('CEMI Raw'!$C$6:$C$197,'CEMI Raw'!$E$6:$E$197,$A161,'CEMI Raw'!$B$6:$B$197,2025)</f>
        <v>0</v>
      </c>
      <c r="E161" s="17" t="n">
        <f aca="false">SUMIFS('CEMI Raw'!$D$6:$D$197,'CEMI Raw'!$E$6:$E$197,$A161,'CEMI Raw'!$B$6:$B$197,2025)</f>
        <v>0</v>
      </c>
      <c r="F161" s="16" t="n">
        <f aca="false">SUMIFS('CEMI Raw'!$C$6:$C$197,'CEMI Raw'!$E$6:$E$197,$A161,'CEMI Raw'!$B$6:$B$197,2026)</f>
        <v>4</v>
      </c>
      <c r="G161" s="17" t="n">
        <f aca="false">SUMIFS('CEMI Raw'!$D$6:$D$197,'CEMI Raw'!$E$6:$E$197,$A161,'CEMI Raw'!$B$6:$B$197,2026)</f>
        <v>68</v>
      </c>
      <c r="H161" s="16" t="n">
        <f aca="false">SUMIFS('SALES Raw'!$C$6:$C$435,'SALES Raw'!$E$6:$E$435,$A161,'SALES Raw'!$B$6:$B$435,2025)</f>
        <v>40</v>
      </c>
      <c r="I161" s="17" t="n">
        <f aca="false">SUMIFS('SALES Raw'!$D$6:$D$435,'SALES Raw'!$E$6:$E$435,$A161,'SALES Raw'!$B$6:$B$435,2025)</f>
        <v>680</v>
      </c>
      <c r="J161" s="16" t="n">
        <f aca="false">SUMIFS('SALES Raw'!$C$6:$C$435,'SALES Raw'!$E$6:$E$435,$A161,'SALES Raw'!$B$6:$B$435,2026)</f>
        <v>9</v>
      </c>
      <c r="K161" s="17" t="n">
        <f aca="false">SUMIFS('SALES Raw'!$D$6:$D$435,'SALES Raw'!$E$6:$E$435,$A161,'SALES Raw'!$B$6:$B$435,2026)</f>
        <v>153</v>
      </c>
      <c r="L161" s="16" t="n">
        <f aca="false">D161+H161</f>
        <v>40</v>
      </c>
      <c r="M161" s="17" t="n">
        <f aca="false">E161+I161</f>
        <v>680</v>
      </c>
      <c r="N161" s="16" t="n">
        <f aca="false">F161+J161</f>
        <v>13</v>
      </c>
      <c r="O161" s="17" t="n">
        <f aca="false">G161+K161</f>
        <v>221</v>
      </c>
    </row>
    <row r="162" customFormat="false" ht="15" hidden="false" customHeight="false" outlineLevel="0" collapsed="false">
      <c r="A162" s="6" t="n">
        <v>4413144</v>
      </c>
      <c r="B162" s="6" t="str">
        <f aca="false">IFERROR(INDEX('TRANS'!$A:$A,MATCH($A162,'TRANS'!$B:$B,0)),"")</f>
        <v>95 XXL</v>
      </c>
      <c r="C162" s="6" t="str">
        <f aca="false">IFERROR(INDEX('TRANS'!$C:$C,MATCH($A162,'TRANS'!$B:$B,0)),"")</f>
        <v>95 XXL מגן מרפק רגיל לבן</v>
      </c>
      <c r="D162" s="16" t="n">
        <f aca="false">SUMIFS('CEMI Raw'!$C$6:$C$197,'CEMI Raw'!$E$6:$E$197,$A162,'CEMI Raw'!$B$6:$B$197,2025)</f>
        <v>0</v>
      </c>
      <c r="E162" s="17" t="n">
        <f aca="false">SUMIFS('CEMI Raw'!$D$6:$D$197,'CEMI Raw'!$E$6:$E$197,$A162,'CEMI Raw'!$B$6:$B$197,2025)</f>
        <v>0</v>
      </c>
      <c r="F162" s="16" t="n">
        <f aca="false">SUMIFS('CEMI Raw'!$C$6:$C$197,'CEMI Raw'!$E$6:$E$197,$A162,'CEMI Raw'!$B$6:$B$197,2026)</f>
        <v>1</v>
      </c>
      <c r="G162" s="17" t="n">
        <f aca="false">SUMIFS('CEMI Raw'!$D$6:$D$197,'CEMI Raw'!$E$6:$E$197,$A162,'CEMI Raw'!$B$6:$B$197,2026)</f>
        <v>17</v>
      </c>
      <c r="H162" s="16" t="n">
        <f aca="false">SUMIFS('SALES Raw'!$C$6:$C$435,'SALES Raw'!$E$6:$E$435,$A162,'SALES Raw'!$B$6:$B$435,2025)</f>
        <v>13</v>
      </c>
      <c r="I162" s="17" t="n">
        <f aca="false">SUMIFS('SALES Raw'!$D$6:$D$435,'SALES Raw'!$E$6:$E$435,$A162,'SALES Raw'!$B$6:$B$435,2025)</f>
        <v>221</v>
      </c>
      <c r="J162" s="16" t="n">
        <f aca="false">SUMIFS('SALES Raw'!$C$6:$C$435,'SALES Raw'!$E$6:$E$435,$A162,'SALES Raw'!$B$6:$B$435,2026)</f>
        <v>8</v>
      </c>
      <c r="K162" s="17" t="n">
        <f aca="false">SUMIFS('SALES Raw'!$D$6:$D$435,'SALES Raw'!$E$6:$E$435,$A162,'SALES Raw'!$B$6:$B$435,2026)</f>
        <v>136</v>
      </c>
      <c r="L162" s="16" t="n">
        <f aca="false">D162+H162</f>
        <v>13</v>
      </c>
      <c r="M162" s="17" t="n">
        <f aca="false">E162+I162</f>
        <v>221</v>
      </c>
      <c r="N162" s="16" t="n">
        <f aca="false">F162+J162</f>
        <v>9</v>
      </c>
      <c r="O162" s="17" t="n">
        <f aca="false">G162+K162</f>
        <v>153</v>
      </c>
    </row>
    <row r="163" customFormat="false" ht="15" hidden="false" customHeight="false" outlineLevel="0" collapsed="false">
      <c r="A163" s="6" t="n">
        <v>4413149</v>
      </c>
      <c r="B163" s="6" t="str">
        <f aca="false">IFERROR(INDEX('TRANS'!$A:$A,MATCH($A163,'TRANS'!$B:$B,0)),"")</f>
        <v>FC321 0</v>
      </c>
      <c r="C163" s="6" t="str">
        <f aca="false">IFERROR(INDEX('TRANS'!$C:$C,MATCH($A163,'TRANS'!$B:$B,0)),"")</f>
        <v>FC321-מלח אמבט לכף הרגל</v>
      </c>
      <c r="D163" s="16" t="n">
        <f aca="false">SUMIFS('CEMI Raw'!$C$6:$C$197,'CEMI Raw'!$E$6:$E$197,$A163,'CEMI Raw'!$B$6:$B$197,2025)</f>
        <v>0</v>
      </c>
      <c r="E163" s="17" t="n">
        <f aca="false">SUMIFS('CEMI Raw'!$D$6:$D$197,'CEMI Raw'!$E$6:$E$197,$A163,'CEMI Raw'!$B$6:$B$197,2025)</f>
        <v>0</v>
      </c>
      <c r="F163" s="16" t="n">
        <f aca="false">SUMIFS('CEMI Raw'!$C$6:$C$197,'CEMI Raw'!$E$6:$E$197,$A163,'CEMI Raw'!$B$6:$B$197,2026)</f>
        <v>33</v>
      </c>
      <c r="G163" s="17" t="n">
        <f aca="false">SUMIFS('CEMI Raw'!$D$6:$D$197,'CEMI Raw'!$E$6:$E$197,$A163,'CEMI Raw'!$B$6:$B$197,2026)</f>
        <v>270.6</v>
      </c>
      <c r="H163" s="16" t="n">
        <f aca="false">SUMIFS('SALES Raw'!$C$6:$C$435,'SALES Raw'!$E$6:$E$435,$A163,'SALES Raw'!$B$6:$B$435,2025)</f>
        <v>225</v>
      </c>
      <c r="I163" s="17" t="n">
        <f aca="false">SUMIFS('SALES Raw'!$D$6:$D$435,'SALES Raw'!$E$6:$E$435,$A163,'SALES Raw'!$B$6:$B$435,2025)</f>
        <v>1964.25</v>
      </c>
      <c r="J163" s="16" t="n">
        <f aca="false">SUMIFS('SALES Raw'!$C$6:$C$435,'SALES Raw'!$E$6:$E$435,$A163,'SALES Raw'!$B$6:$B$435,2026)</f>
        <v>67</v>
      </c>
      <c r="K163" s="17" t="n">
        <f aca="false">SUMIFS('SALES Raw'!$D$6:$D$435,'SALES Raw'!$E$6:$E$435,$A163,'SALES Raw'!$B$6:$B$435,2026)</f>
        <v>584.91</v>
      </c>
      <c r="L163" s="16" t="n">
        <f aca="false">D163+H163</f>
        <v>225</v>
      </c>
      <c r="M163" s="17" t="n">
        <f aca="false">E163+I163</f>
        <v>1964.25</v>
      </c>
      <c r="N163" s="16" t="n">
        <f aca="false">F163+J163</f>
        <v>100</v>
      </c>
      <c r="O163" s="17" t="n">
        <f aca="false">G163+K163</f>
        <v>855.51</v>
      </c>
    </row>
    <row r="164" customFormat="false" ht="15" hidden="false" customHeight="false" outlineLevel="0" collapsed="false">
      <c r="A164" s="6" t="n">
        <v>4413150</v>
      </c>
      <c r="B164" s="6" t="str">
        <f aca="false">IFERROR(INDEX('TRANS'!$A:$A,MATCH($A164,'TRANS'!$B:$B,0)),"")</f>
        <v>PD341 0</v>
      </c>
      <c r="C164" s="6" t="str">
        <f aca="false">IFERROR(INDEX('TRANS'!$C:$C,MATCH($A164,'TRANS'!$B:$B,0)),"")</f>
        <v>PD341-מקצוע להסרת עור קשה</v>
      </c>
      <c r="D164" s="16" t="n">
        <f aca="false">SUMIFS('CEMI Raw'!$C$6:$C$197,'CEMI Raw'!$E$6:$E$197,$A164,'CEMI Raw'!$B$6:$B$197,2025)</f>
        <v>0</v>
      </c>
      <c r="E164" s="17" t="n">
        <f aca="false">SUMIFS('CEMI Raw'!$D$6:$D$197,'CEMI Raw'!$E$6:$E$197,$A164,'CEMI Raw'!$B$6:$B$197,2025)</f>
        <v>0</v>
      </c>
      <c r="F164" s="16" t="n">
        <f aca="false">SUMIFS('CEMI Raw'!$C$6:$C$197,'CEMI Raw'!$E$6:$E$197,$A164,'CEMI Raw'!$B$6:$B$197,2026)</f>
        <v>48</v>
      </c>
      <c r="G164" s="17" t="n">
        <f aca="false">SUMIFS('CEMI Raw'!$D$6:$D$197,'CEMI Raw'!$E$6:$E$197,$A164,'CEMI Raw'!$B$6:$B$197,2026)</f>
        <v>1004.4</v>
      </c>
      <c r="H164" s="16" t="n">
        <f aca="false">SUMIFS('SALES Raw'!$C$6:$C$435,'SALES Raw'!$E$6:$E$435,$A164,'SALES Raw'!$B$6:$B$435,2025)</f>
        <v>101</v>
      </c>
      <c r="I164" s="17" t="n">
        <f aca="false">SUMIFS('SALES Raw'!$D$6:$D$435,'SALES Raw'!$E$6:$E$435,$A164,'SALES Raw'!$B$6:$B$435,2025)</f>
        <v>2181.6</v>
      </c>
      <c r="J164" s="16" t="n">
        <f aca="false">SUMIFS('SALES Raw'!$C$6:$C$435,'SALES Raw'!$E$6:$E$435,$A164,'SALES Raw'!$B$6:$B$435,2026)</f>
        <v>42</v>
      </c>
      <c r="K164" s="17" t="n">
        <f aca="false">SUMIFS('SALES Raw'!$D$6:$D$435,'SALES Raw'!$E$6:$E$435,$A164,'SALES Raw'!$B$6:$B$435,2026)</f>
        <v>907.2</v>
      </c>
      <c r="L164" s="16" t="n">
        <f aca="false">D164+H164</f>
        <v>101</v>
      </c>
      <c r="M164" s="17" t="n">
        <f aca="false">E164+I164</f>
        <v>2181.6</v>
      </c>
      <c r="N164" s="16" t="n">
        <f aca="false">F164+J164</f>
        <v>90</v>
      </c>
      <c r="O164" s="17" t="n">
        <f aca="false">G164+K164</f>
        <v>1911.6</v>
      </c>
    </row>
    <row r="165" customFormat="false" ht="15" hidden="false" customHeight="false" outlineLevel="0" collapsed="false">
      <c r="A165" s="6" t="n">
        <v>4413158</v>
      </c>
      <c r="B165" s="6" t="str">
        <f aca="false">IFERROR(INDEX('TRANS'!$A:$A,MATCH($A165,'TRANS'!$B:$B,0)),"")</f>
        <v>305GA-45-46</v>
      </c>
      <c r="C165" s="6" t="str">
        <f aca="false">IFERROR(INDEX('TRANS'!$C:$C,MATCH($A165,'TRANS'!$B:$B,0)),"")</f>
        <v>305GA מדרס אורטופ.מתכוון45-46</v>
      </c>
      <c r="D165" s="16" t="n">
        <f aca="false">SUMIFS('CEMI Raw'!$C$6:$C$197,'CEMI Raw'!$E$6:$E$197,$A165,'CEMI Raw'!$B$6:$B$197,2025)</f>
        <v>0</v>
      </c>
      <c r="E165" s="17" t="n">
        <f aca="false">SUMIFS('CEMI Raw'!$D$6:$D$197,'CEMI Raw'!$E$6:$E$197,$A165,'CEMI Raw'!$B$6:$B$197,2025)</f>
        <v>0</v>
      </c>
      <c r="F165" s="16" t="n">
        <f aca="false">SUMIFS('CEMI Raw'!$C$6:$C$197,'CEMI Raw'!$E$6:$E$197,$A165,'CEMI Raw'!$B$6:$B$197,2026)</f>
        <v>0</v>
      </c>
      <c r="G165" s="17" t="n">
        <f aca="false">SUMIFS('CEMI Raw'!$D$6:$D$197,'CEMI Raw'!$E$6:$E$197,$A165,'CEMI Raw'!$B$6:$B$197,2026)</f>
        <v>0</v>
      </c>
      <c r="H165" s="16" t="n">
        <f aca="false">SUMIFS('SALES Raw'!$C$6:$C$435,'SALES Raw'!$E$6:$E$435,$A165,'SALES Raw'!$B$6:$B$435,2025)</f>
        <v>-1</v>
      </c>
      <c r="I165" s="17" t="n">
        <f aca="false">SUMIFS('SALES Raw'!$D$6:$D$435,'SALES Raw'!$E$6:$E$435,$A165,'SALES Raw'!$B$6:$B$435,2025)</f>
        <v>0</v>
      </c>
      <c r="J165" s="16" t="n">
        <f aca="false">SUMIFS('SALES Raw'!$C$6:$C$435,'SALES Raw'!$E$6:$E$435,$A165,'SALES Raw'!$B$6:$B$435,2026)</f>
        <v>0</v>
      </c>
      <c r="K165" s="17" t="n">
        <f aca="false">SUMIFS('SALES Raw'!$D$6:$D$435,'SALES Raw'!$E$6:$E$435,$A165,'SALES Raw'!$B$6:$B$435,2026)</f>
        <v>0</v>
      </c>
      <c r="L165" s="16" t="n">
        <f aca="false">D165+H165</f>
        <v>-1</v>
      </c>
      <c r="M165" s="17" t="n">
        <f aca="false">E165+I165</f>
        <v>0</v>
      </c>
      <c r="N165" s="16" t="n">
        <f aca="false">F165+J165</f>
        <v>0</v>
      </c>
      <c r="O165" s="17" t="n">
        <f aca="false">G165+K165</f>
        <v>0</v>
      </c>
    </row>
    <row r="166" customFormat="false" ht="15" hidden="false" customHeight="false" outlineLevel="0" collapsed="false">
      <c r="A166" s="6" t="n">
        <v>4413159</v>
      </c>
      <c r="B166" s="6" t="str">
        <f aca="false">IFERROR(INDEX('TRANS'!$A:$A,MATCH($A166,'TRANS'!$B:$B,0)),"")</f>
        <v>34+ S</v>
      </c>
      <c r="C166" s="6" t="str">
        <f aca="false">IFERROR(INDEX('TRANS'!$C:$C,MATCH($A166,'TRANS'!$B:$B,0)),"")</f>
        <v>34+ S מגן קרסול עקב סגור+רצוע</v>
      </c>
      <c r="D166" s="16" t="n">
        <f aca="false">SUMIFS('CEMI Raw'!$C$6:$C$197,'CEMI Raw'!$E$6:$E$197,$A166,'CEMI Raw'!$B$6:$B$197,2025)</f>
        <v>0</v>
      </c>
      <c r="E166" s="17" t="n">
        <f aca="false">SUMIFS('CEMI Raw'!$D$6:$D$197,'CEMI Raw'!$E$6:$E$197,$A166,'CEMI Raw'!$B$6:$B$197,2025)</f>
        <v>0</v>
      </c>
      <c r="F166" s="16" t="n">
        <f aca="false">SUMIFS('CEMI Raw'!$C$6:$C$197,'CEMI Raw'!$E$6:$E$197,$A166,'CEMI Raw'!$B$6:$B$197,2026)</f>
        <v>23</v>
      </c>
      <c r="G166" s="17" t="n">
        <f aca="false">SUMIFS('CEMI Raw'!$D$6:$D$197,'CEMI Raw'!$E$6:$E$197,$A166,'CEMI Raw'!$B$6:$B$197,2026)</f>
        <v>875</v>
      </c>
      <c r="H166" s="16" t="n">
        <f aca="false">SUMIFS('SALES Raw'!$C$6:$C$435,'SALES Raw'!$E$6:$E$435,$A166,'SALES Raw'!$B$6:$B$435,2025)</f>
        <v>31</v>
      </c>
      <c r="I166" s="17" t="n">
        <f aca="false">SUMIFS('SALES Raw'!$D$6:$D$435,'SALES Raw'!$E$6:$E$435,$A166,'SALES Raw'!$B$6:$B$435,2025)</f>
        <v>1307.27</v>
      </c>
      <c r="J166" s="16" t="n">
        <f aca="false">SUMIFS('SALES Raw'!$C$6:$C$435,'SALES Raw'!$E$6:$E$435,$A166,'SALES Raw'!$B$6:$B$435,2026)</f>
        <v>14</v>
      </c>
      <c r="K166" s="17" t="n">
        <f aca="false">SUMIFS('SALES Raw'!$D$6:$D$435,'SALES Raw'!$E$6:$E$435,$A166,'SALES Raw'!$B$6:$B$435,2026)</f>
        <v>590.38</v>
      </c>
      <c r="L166" s="16" t="n">
        <f aca="false">D166+H166</f>
        <v>31</v>
      </c>
      <c r="M166" s="17" t="n">
        <f aca="false">E166+I166</f>
        <v>1307.27</v>
      </c>
      <c r="N166" s="16" t="n">
        <f aca="false">F166+J166</f>
        <v>37</v>
      </c>
      <c r="O166" s="17" t="n">
        <f aca="false">G166+K166</f>
        <v>1465.38</v>
      </c>
    </row>
    <row r="167" customFormat="false" ht="15" hidden="false" customHeight="false" outlineLevel="0" collapsed="false">
      <c r="A167" s="6" t="n">
        <v>4413160</v>
      </c>
      <c r="B167" s="6" t="str">
        <f aca="false">IFERROR(INDEX('TRANS'!$A:$A,MATCH($A167,'TRANS'!$B:$B,0)),"")</f>
        <v>34+ M</v>
      </c>
      <c r="C167" s="6" t="str">
        <f aca="false">IFERROR(INDEX('TRANS'!$C:$C,MATCH($A167,'TRANS'!$B:$B,0)),"")</f>
        <v>34+ M מגן קרסול עקב סגור+רצוע</v>
      </c>
      <c r="D167" s="16" t="n">
        <f aca="false">SUMIFS('CEMI Raw'!$C$6:$C$197,'CEMI Raw'!$E$6:$E$197,$A167,'CEMI Raw'!$B$6:$B$197,2025)</f>
        <v>0</v>
      </c>
      <c r="E167" s="17" t="n">
        <f aca="false">SUMIFS('CEMI Raw'!$D$6:$D$197,'CEMI Raw'!$E$6:$E$197,$A167,'CEMI Raw'!$B$6:$B$197,2025)</f>
        <v>0</v>
      </c>
      <c r="F167" s="16" t="n">
        <f aca="false">SUMIFS('CEMI Raw'!$C$6:$C$197,'CEMI Raw'!$E$6:$E$197,$A167,'CEMI Raw'!$B$6:$B$197,2026)</f>
        <v>43</v>
      </c>
      <c r="G167" s="17" t="n">
        <f aca="false">SUMIFS('CEMI Raw'!$D$6:$D$197,'CEMI Raw'!$E$6:$E$197,$A167,'CEMI Raw'!$B$6:$B$197,2026)</f>
        <v>1686.8</v>
      </c>
      <c r="H167" s="16" t="n">
        <f aca="false">SUMIFS('SALES Raw'!$C$6:$C$435,'SALES Raw'!$E$6:$E$435,$A167,'SALES Raw'!$B$6:$B$435,2025)</f>
        <v>132</v>
      </c>
      <c r="I167" s="17" t="n">
        <f aca="false">SUMIFS('SALES Raw'!$D$6:$D$435,'SALES Raw'!$E$6:$E$435,$A167,'SALES Raw'!$B$6:$B$435,2025)</f>
        <v>5566.44</v>
      </c>
      <c r="J167" s="16" t="n">
        <f aca="false">SUMIFS('SALES Raw'!$C$6:$C$435,'SALES Raw'!$E$6:$E$435,$A167,'SALES Raw'!$B$6:$B$435,2026)</f>
        <v>18</v>
      </c>
      <c r="K167" s="17" t="n">
        <f aca="false">SUMIFS('SALES Raw'!$D$6:$D$435,'SALES Raw'!$E$6:$E$435,$A167,'SALES Raw'!$B$6:$B$435,2026)</f>
        <v>759.06</v>
      </c>
      <c r="L167" s="16" t="n">
        <f aca="false">D167+H167</f>
        <v>132</v>
      </c>
      <c r="M167" s="17" t="n">
        <f aca="false">E167+I167</f>
        <v>5566.44</v>
      </c>
      <c r="N167" s="16" t="n">
        <f aca="false">F167+J167</f>
        <v>61</v>
      </c>
      <c r="O167" s="17" t="n">
        <f aca="false">G167+K167</f>
        <v>2445.86</v>
      </c>
    </row>
    <row r="168" customFormat="false" ht="15" hidden="false" customHeight="false" outlineLevel="0" collapsed="false">
      <c r="A168" s="6" t="n">
        <v>4413161</v>
      </c>
      <c r="B168" s="6" t="str">
        <f aca="false">IFERROR(INDEX('TRANS'!$A:$A,MATCH($A168,'TRANS'!$B:$B,0)),"")</f>
        <v>34+ L</v>
      </c>
      <c r="C168" s="6" t="str">
        <f aca="false">IFERROR(INDEX('TRANS'!$C:$C,MATCH($A168,'TRANS'!$B:$B,0)),"")</f>
        <v>34+ L מגן קרסול עקב סגור+רצוע</v>
      </c>
      <c r="D168" s="16" t="n">
        <f aca="false">SUMIFS('CEMI Raw'!$C$6:$C$197,'CEMI Raw'!$E$6:$E$197,$A168,'CEMI Raw'!$B$6:$B$197,2025)</f>
        <v>0</v>
      </c>
      <c r="E168" s="17" t="n">
        <f aca="false">SUMIFS('CEMI Raw'!$D$6:$D$197,'CEMI Raw'!$E$6:$E$197,$A168,'CEMI Raw'!$B$6:$B$197,2025)</f>
        <v>0</v>
      </c>
      <c r="F168" s="16" t="n">
        <f aca="false">SUMIFS('CEMI Raw'!$C$6:$C$197,'CEMI Raw'!$E$6:$E$197,$A168,'CEMI Raw'!$B$6:$B$197,2026)</f>
        <v>53</v>
      </c>
      <c r="G168" s="17" t="n">
        <f aca="false">SUMIFS('CEMI Raw'!$D$6:$D$197,'CEMI Raw'!$E$6:$E$197,$A168,'CEMI Raw'!$B$6:$B$197,2026)</f>
        <v>2161.2</v>
      </c>
      <c r="H168" s="16" t="n">
        <f aca="false">SUMIFS('SALES Raw'!$C$6:$C$435,'SALES Raw'!$E$6:$E$435,$A168,'SALES Raw'!$B$6:$B$435,2025)</f>
        <v>105</v>
      </c>
      <c r="I168" s="17" t="n">
        <f aca="false">SUMIFS('SALES Raw'!$D$6:$D$435,'SALES Raw'!$E$6:$E$435,$A168,'SALES Raw'!$B$6:$B$435,2025)</f>
        <v>4427.85</v>
      </c>
      <c r="J168" s="16" t="n">
        <f aca="false">SUMIFS('SALES Raw'!$C$6:$C$435,'SALES Raw'!$E$6:$E$435,$A168,'SALES Raw'!$B$6:$B$435,2026)</f>
        <v>42</v>
      </c>
      <c r="K168" s="17" t="n">
        <f aca="false">SUMIFS('SALES Raw'!$D$6:$D$435,'SALES Raw'!$E$6:$E$435,$A168,'SALES Raw'!$B$6:$B$435,2026)</f>
        <v>1771.14</v>
      </c>
      <c r="L168" s="16" t="n">
        <f aca="false">D168+H168</f>
        <v>105</v>
      </c>
      <c r="M168" s="17" t="n">
        <f aca="false">E168+I168</f>
        <v>4427.85</v>
      </c>
      <c r="N168" s="16" t="n">
        <f aca="false">F168+J168</f>
        <v>95</v>
      </c>
      <c r="O168" s="17" t="n">
        <f aca="false">G168+K168</f>
        <v>3932.34</v>
      </c>
    </row>
    <row r="169" customFormat="false" ht="15" hidden="false" customHeight="false" outlineLevel="0" collapsed="false">
      <c r="A169" s="6" t="n">
        <v>4413162</v>
      </c>
      <c r="B169" s="6" t="str">
        <f aca="false">IFERROR(INDEX('TRANS'!$A:$A,MATCH($A169,'TRANS'!$B:$B,0)),"")</f>
        <v>34+ XL</v>
      </c>
      <c r="C169" s="6" t="str">
        <f aca="false">IFERROR(INDEX('TRANS'!$C:$C,MATCH($A169,'TRANS'!$B:$B,0)),"")</f>
        <v>34+XL מגן קרסול עקב סגור+רצוע</v>
      </c>
      <c r="D169" s="16" t="n">
        <f aca="false">SUMIFS('CEMI Raw'!$C$6:$C$197,'CEMI Raw'!$E$6:$E$197,$A169,'CEMI Raw'!$B$6:$B$197,2025)</f>
        <v>0</v>
      </c>
      <c r="E169" s="17" t="n">
        <f aca="false">SUMIFS('CEMI Raw'!$D$6:$D$197,'CEMI Raw'!$E$6:$E$197,$A169,'CEMI Raw'!$B$6:$B$197,2025)</f>
        <v>0</v>
      </c>
      <c r="F169" s="16" t="n">
        <f aca="false">SUMIFS('CEMI Raw'!$C$6:$C$197,'CEMI Raw'!$E$6:$E$197,$A169,'CEMI Raw'!$B$6:$B$197,2026)</f>
        <v>23</v>
      </c>
      <c r="G169" s="17" t="n">
        <f aca="false">SUMIFS('CEMI Raw'!$D$6:$D$197,'CEMI Raw'!$E$6:$E$197,$A169,'CEMI Raw'!$B$6:$B$197,2026)</f>
        <v>906.6</v>
      </c>
      <c r="H169" s="16" t="n">
        <f aca="false">SUMIFS('SALES Raw'!$C$6:$C$435,'SALES Raw'!$E$6:$E$435,$A169,'SALES Raw'!$B$6:$B$435,2025)</f>
        <v>100</v>
      </c>
      <c r="I169" s="17" t="n">
        <f aca="false">SUMIFS('SALES Raw'!$D$6:$D$435,'SALES Raw'!$E$6:$E$435,$A169,'SALES Raw'!$B$6:$B$435,2025)</f>
        <v>4217</v>
      </c>
      <c r="J169" s="16" t="n">
        <f aca="false">SUMIFS('SALES Raw'!$C$6:$C$435,'SALES Raw'!$E$6:$E$435,$A169,'SALES Raw'!$B$6:$B$435,2026)</f>
        <v>17</v>
      </c>
      <c r="K169" s="17" t="n">
        <f aca="false">SUMIFS('SALES Raw'!$D$6:$D$435,'SALES Raw'!$E$6:$E$435,$A169,'SALES Raw'!$B$6:$B$435,2026)</f>
        <v>716.89</v>
      </c>
      <c r="L169" s="16" t="n">
        <f aca="false">D169+H169</f>
        <v>100</v>
      </c>
      <c r="M169" s="17" t="n">
        <f aca="false">E169+I169</f>
        <v>4217</v>
      </c>
      <c r="N169" s="16" t="n">
        <f aca="false">F169+J169</f>
        <v>40</v>
      </c>
      <c r="O169" s="17" t="n">
        <f aca="false">G169+K169</f>
        <v>1623.49</v>
      </c>
    </row>
    <row r="170" customFormat="false" ht="15" hidden="false" customHeight="false" outlineLevel="0" collapsed="false">
      <c r="A170" s="6" t="n">
        <v>4413165</v>
      </c>
      <c r="B170" s="6" t="str">
        <f aca="false">IFERROR(INDEX('TRANS'!$A:$A,MATCH($A170,'TRANS'!$B:$B,0)),"")</f>
        <v>74-L-XL</v>
      </c>
      <c r="C170" s="6" t="str">
        <f aca="false">IFERROR(INDEX('TRANS'!$C:$C,MATCH($A170,'TRANS'!$B:$B,0)),"")</f>
        <v>74 L-XL מיצב כתפיים</v>
      </c>
      <c r="D170" s="16" t="n">
        <f aca="false">SUMIFS('CEMI Raw'!$C$6:$C$197,'CEMI Raw'!$E$6:$E$197,$A170,'CEMI Raw'!$B$6:$B$197,2025)</f>
        <v>0</v>
      </c>
      <c r="E170" s="17" t="n">
        <f aca="false">SUMIFS('CEMI Raw'!$D$6:$D$197,'CEMI Raw'!$E$6:$E$197,$A170,'CEMI Raw'!$B$6:$B$197,2025)</f>
        <v>0</v>
      </c>
      <c r="F170" s="16" t="n">
        <f aca="false">SUMIFS('CEMI Raw'!$C$6:$C$197,'CEMI Raw'!$E$6:$E$197,$A170,'CEMI Raw'!$B$6:$B$197,2026)</f>
        <v>0</v>
      </c>
      <c r="G170" s="17" t="n">
        <f aca="false">SUMIFS('CEMI Raw'!$D$6:$D$197,'CEMI Raw'!$E$6:$E$197,$A170,'CEMI Raw'!$B$6:$B$197,2026)</f>
        <v>0</v>
      </c>
      <c r="H170" s="16" t="n">
        <f aca="false">SUMIFS('SALES Raw'!$C$6:$C$435,'SALES Raw'!$E$6:$E$435,$A170,'SALES Raw'!$B$6:$B$435,2025)</f>
        <v>4</v>
      </c>
      <c r="I170" s="17" t="n">
        <f aca="false">SUMIFS('SALES Raw'!$D$6:$D$435,'SALES Raw'!$E$6:$E$435,$A170,'SALES Raw'!$B$6:$B$435,2025)</f>
        <v>519.24</v>
      </c>
      <c r="J170" s="16" t="n">
        <f aca="false">SUMIFS('SALES Raw'!$C$6:$C$435,'SALES Raw'!$E$6:$E$435,$A170,'SALES Raw'!$B$6:$B$435,2026)</f>
        <v>0</v>
      </c>
      <c r="K170" s="17" t="n">
        <f aca="false">SUMIFS('SALES Raw'!$D$6:$D$435,'SALES Raw'!$E$6:$E$435,$A170,'SALES Raw'!$B$6:$B$435,2026)</f>
        <v>0</v>
      </c>
      <c r="L170" s="16" t="n">
        <f aca="false">D170+H170</f>
        <v>4</v>
      </c>
      <c r="M170" s="17" t="n">
        <f aca="false">E170+I170</f>
        <v>519.24</v>
      </c>
      <c r="N170" s="16" t="n">
        <f aca="false">F170+J170</f>
        <v>0</v>
      </c>
      <c r="O170" s="17" t="n">
        <f aca="false">G170+K170</f>
        <v>0</v>
      </c>
    </row>
    <row r="171" customFormat="false" ht="15" hidden="false" customHeight="false" outlineLevel="0" collapsed="false">
      <c r="A171" s="6" t="n">
        <v>4413195</v>
      </c>
      <c r="B171" s="6" t="str">
        <f aca="false">IFERROR(INDEX('TRANS'!$A:$A,MATCH($A171,'TRANS'!$B:$B,0)),"")</f>
        <v>87 S</v>
      </c>
      <c r="C171" s="6" t="str">
        <f aca="false">IFERROR(INDEX('TRANS'!$C:$C,MATCH($A171,'TRANS'!$B:$B,0)),"")</f>
        <v>87 S מקבע כתף ויד</v>
      </c>
      <c r="D171" s="16" t="n">
        <f aca="false">SUMIFS('CEMI Raw'!$C$6:$C$197,'CEMI Raw'!$E$6:$E$197,$A171,'CEMI Raw'!$B$6:$B$197,2025)</f>
        <v>0</v>
      </c>
      <c r="E171" s="17" t="n">
        <f aca="false">SUMIFS('CEMI Raw'!$D$6:$D$197,'CEMI Raw'!$E$6:$E$197,$A171,'CEMI Raw'!$B$6:$B$197,2025)</f>
        <v>0</v>
      </c>
      <c r="F171" s="16" t="n">
        <f aca="false">SUMIFS('CEMI Raw'!$C$6:$C$197,'CEMI Raw'!$E$6:$E$197,$A171,'CEMI Raw'!$B$6:$B$197,2026)</f>
        <v>4</v>
      </c>
      <c r="G171" s="17" t="n">
        <f aca="false">SUMIFS('CEMI Raw'!$D$6:$D$197,'CEMI Raw'!$E$6:$E$197,$A171,'CEMI Raw'!$B$6:$B$197,2026)</f>
        <v>506</v>
      </c>
      <c r="H171" s="16" t="n">
        <f aca="false">SUMIFS('SALES Raw'!$C$6:$C$435,'SALES Raw'!$E$6:$E$435,$A171,'SALES Raw'!$B$6:$B$435,2025)</f>
        <v>2</v>
      </c>
      <c r="I171" s="17" t="n">
        <f aca="false">SUMIFS('SALES Raw'!$D$6:$D$435,'SALES Raw'!$E$6:$E$435,$A171,'SALES Raw'!$B$6:$B$435,2025)</f>
        <v>253</v>
      </c>
      <c r="J171" s="16" t="n">
        <f aca="false">SUMIFS('SALES Raw'!$C$6:$C$435,'SALES Raw'!$E$6:$E$435,$A171,'SALES Raw'!$B$6:$B$435,2026)</f>
        <v>1</v>
      </c>
      <c r="K171" s="17" t="n">
        <f aca="false">SUMIFS('SALES Raw'!$D$6:$D$435,'SALES Raw'!$E$6:$E$435,$A171,'SALES Raw'!$B$6:$B$435,2026)</f>
        <v>126.5</v>
      </c>
      <c r="L171" s="16" t="n">
        <f aca="false">D171+H171</f>
        <v>2</v>
      </c>
      <c r="M171" s="17" t="n">
        <f aca="false">E171+I171</f>
        <v>253</v>
      </c>
      <c r="N171" s="16" t="n">
        <f aca="false">F171+J171</f>
        <v>5</v>
      </c>
      <c r="O171" s="17" t="n">
        <f aca="false">G171+K171</f>
        <v>632.5</v>
      </c>
    </row>
    <row r="172" customFormat="false" ht="15" hidden="false" customHeight="false" outlineLevel="0" collapsed="false">
      <c r="A172" s="6" t="n">
        <v>4413196</v>
      </c>
      <c r="B172" s="6" t="str">
        <f aca="false">IFERROR(INDEX('TRANS'!$A:$A,MATCH($A172,'TRANS'!$B:$B,0)),"")</f>
        <v>87 M</v>
      </c>
      <c r="C172" s="6" t="str">
        <f aca="false">IFERROR(INDEX('TRANS'!$C:$C,MATCH($A172,'TRANS'!$B:$B,0)),"")</f>
        <v>87 M מקבע כתף ויד</v>
      </c>
      <c r="D172" s="16" t="n">
        <f aca="false">SUMIFS('CEMI Raw'!$C$6:$C$197,'CEMI Raw'!$E$6:$E$197,$A172,'CEMI Raw'!$B$6:$B$197,2025)</f>
        <v>0</v>
      </c>
      <c r="E172" s="17" t="n">
        <f aca="false">SUMIFS('CEMI Raw'!$D$6:$D$197,'CEMI Raw'!$E$6:$E$197,$A172,'CEMI Raw'!$B$6:$B$197,2025)</f>
        <v>0</v>
      </c>
      <c r="F172" s="16" t="n">
        <f aca="false">SUMIFS('CEMI Raw'!$C$6:$C$197,'CEMI Raw'!$E$6:$E$197,$A172,'CEMI Raw'!$B$6:$B$197,2026)</f>
        <v>21</v>
      </c>
      <c r="G172" s="17" t="n">
        <f aca="false">SUMIFS('CEMI Raw'!$D$6:$D$197,'CEMI Raw'!$E$6:$E$197,$A172,'CEMI Raw'!$B$6:$B$197,2026)</f>
        <v>2498.4</v>
      </c>
      <c r="H172" s="16" t="n">
        <f aca="false">SUMIFS('SALES Raw'!$C$6:$C$435,'SALES Raw'!$E$6:$E$435,$A172,'SALES Raw'!$B$6:$B$435,2025)</f>
        <v>61</v>
      </c>
      <c r="I172" s="17" t="n">
        <f aca="false">SUMIFS('SALES Raw'!$D$6:$D$435,'SALES Raw'!$E$6:$E$435,$A172,'SALES Raw'!$B$6:$B$435,2025)</f>
        <v>7716.5</v>
      </c>
      <c r="J172" s="16" t="n">
        <f aca="false">SUMIFS('SALES Raw'!$C$6:$C$435,'SALES Raw'!$E$6:$E$435,$A172,'SALES Raw'!$B$6:$B$435,2026)</f>
        <v>9</v>
      </c>
      <c r="K172" s="17" t="n">
        <f aca="false">SUMIFS('SALES Raw'!$D$6:$D$435,'SALES Raw'!$E$6:$E$435,$A172,'SALES Raw'!$B$6:$B$435,2026)</f>
        <v>1138.5</v>
      </c>
      <c r="L172" s="16" t="n">
        <f aca="false">D172+H172</f>
        <v>61</v>
      </c>
      <c r="M172" s="17" t="n">
        <f aca="false">E172+I172</f>
        <v>7716.5</v>
      </c>
      <c r="N172" s="16" t="n">
        <f aca="false">F172+J172</f>
        <v>30</v>
      </c>
      <c r="O172" s="17" t="n">
        <f aca="false">G172+K172</f>
        <v>3636.9</v>
      </c>
    </row>
    <row r="173" customFormat="false" ht="15" hidden="false" customHeight="false" outlineLevel="0" collapsed="false">
      <c r="A173" s="6" t="n">
        <v>4413197</v>
      </c>
      <c r="B173" s="6" t="str">
        <f aca="false">IFERROR(INDEX('TRANS'!$A:$A,MATCH($A173,'TRANS'!$B:$B,0)),"")</f>
        <v>87 L</v>
      </c>
      <c r="C173" s="6" t="str">
        <f aca="false">IFERROR(INDEX('TRANS'!$C:$C,MATCH($A173,'TRANS'!$B:$B,0)),"")</f>
        <v>87 L מקבע כתף ויד</v>
      </c>
      <c r="D173" s="16" t="n">
        <f aca="false">SUMIFS('CEMI Raw'!$C$6:$C$197,'CEMI Raw'!$E$6:$E$197,$A173,'CEMI Raw'!$B$6:$B$197,2025)</f>
        <v>0</v>
      </c>
      <c r="E173" s="17" t="n">
        <f aca="false">SUMIFS('CEMI Raw'!$D$6:$D$197,'CEMI Raw'!$E$6:$E$197,$A173,'CEMI Raw'!$B$6:$B$197,2025)</f>
        <v>0</v>
      </c>
      <c r="F173" s="16" t="n">
        <f aca="false">SUMIFS('CEMI Raw'!$C$6:$C$197,'CEMI Raw'!$E$6:$E$197,$A173,'CEMI Raw'!$B$6:$B$197,2026)</f>
        <v>19</v>
      </c>
      <c r="G173" s="17" t="n">
        <f aca="false">SUMIFS('CEMI Raw'!$D$6:$D$197,'CEMI Raw'!$E$6:$E$197,$A173,'CEMI Raw'!$B$6:$B$197,2026)</f>
        <v>2340.3</v>
      </c>
      <c r="H173" s="16" t="n">
        <f aca="false">SUMIFS('SALES Raw'!$C$6:$C$435,'SALES Raw'!$E$6:$E$435,$A173,'SALES Raw'!$B$6:$B$435,2025)</f>
        <v>83</v>
      </c>
      <c r="I173" s="17" t="n">
        <f aca="false">SUMIFS('SALES Raw'!$D$6:$D$435,'SALES Raw'!$E$6:$E$435,$A173,'SALES Raw'!$B$6:$B$435,2025)</f>
        <v>10499.5</v>
      </c>
      <c r="J173" s="16" t="n">
        <f aca="false">SUMIFS('SALES Raw'!$C$6:$C$435,'SALES Raw'!$E$6:$E$435,$A173,'SALES Raw'!$B$6:$B$435,2026)</f>
        <v>18</v>
      </c>
      <c r="K173" s="17" t="n">
        <f aca="false">SUMIFS('SALES Raw'!$D$6:$D$435,'SALES Raw'!$E$6:$E$435,$A173,'SALES Raw'!$B$6:$B$435,2026)</f>
        <v>2277</v>
      </c>
      <c r="L173" s="16" t="n">
        <f aca="false">D173+H173</f>
        <v>83</v>
      </c>
      <c r="M173" s="17" t="n">
        <f aca="false">E173+I173</f>
        <v>10499.5</v>
      </c>
      <c r="N173" s="16" t="n">
        <f aca="false">F173+J173</f>
        <v>37</v>
      </c>
      <c r="O173" s="17" t="n">
        <f aca="false">G173+K173</f>
        <v>4617.3</v>
      </c>
    </row>
    <row r="174" customFormat="false" ht="15" hidden="false" customHeight="false" outlineLevel="0" collapsed="false">
      <c r="A174" s="6" t="n">
        <v>4413198</v>
      </c>
      <c r="B174" s="6" t="str">
        <f aca="false">IFERROR(INDEX('TRANS'!$A:$A,MATCH($A174,'TRANS'!$B:$B,0)),"")</f>
        <v>87 XL</v>
      </c>
      <c r="C174" s="6" t="str">
        <f aca="false">IFERROR(INDEX('TRANS'!$C:$C,MATCH($A174,'TRANS'!$B:$B,0)),"")</f>
        <v>87 XL מקבע כתף ויד</v>
      </c>
      <c r="D174" s="16" t="n">
        <f aca="false">SUMIFS('CEMI Raw'!$C$6:$C$197,'CEMI Raw'!$E$6:$E$197,$A174,'CEMI Raw'!$B$6:$B$197,2025)</f>
        <v>0</v>
      </c>
      <c r="E174" s="17" t="n">
        <f aca="false">SUMIFS('CEMI Raw'!$D$6:$D$197,'CEMI Raw'!$E$6:$E$197,$A174,'CEMI Raw'!$B$6:$B$197,2025)</f>
        <v>0</v>
      </c>
      <c r="F174" s="16" t="n">
        <f aca="false">SUMIFS('CEMI Raw'!$C$6:$C$197,'CEMI Raw'!$E$6:$E$197,$A174,'CEMI Raw'!$B$6:$B$197,2026)</f>
        <v>14</v>
      </c>
      <c r="G174" s="17" t="n">
        <f aca="false">SUMIFS('CEMI Raw'!$D$6:$D$197,'CEMI Raw'!$E$6:$E$197,$A174,'CEMI Raw'!$B$6:$B$197,2026)</f>
        <v>1771</v>
      </c>
      <c r="H174" s="16" t="n">
        <f aca="false">SUMIFS('SALES Raw'!$C$6:$C$435,'SALES Raw'!$E$6:$E$435,$A174,'SALES Raw'!$B$6:$B$435,2025)</f>
        <v>55</v>
      </c>
      <c r="I174" s="17" t="n">
        <f aca="false">SUMIFS('SALES Raw'!$D$6:$D$435,'SALES Raw'!$E$6:$E$435,$A174,'SALES Raw'!$B$6:$B$435,2025)</f>
        <v>6957.5</v>
      </c>
      <c r="J174" s="16" t="n">
        <f aca="false">SUMIFS('SALES Raw'!$C$6:$C$435,'SALES Raw'!$E$6:$E$435,$A174,'SALES Raw'!$B$6:$B$435,2026)</f>
        <v>14</v>
      </c>
      <c r="K174" s="17" t="n">
        <f aca="false">SUMIFS('SALES Raw'!$D$6:$D$435,'SALES Raw'!$E$6:$E$435,$A174,'SALES Raw'!$B$6:$B$435,2026)</f>
        <v>1771</v>
      </c>
      <c r="L174" s="16" t="n">
        <f aca="false">D174+H174</f>
        <v>55</v>
      </c>
      <c r="M174" s="17" t="n">
        <f aca="false">E174+I174</f>
        <v>6957.5</v>
      </c>
      <c r="N174" s="16" t="n">
        <f aca="false">F174+J174</f>
        <v>28</v>
      </c>
      <c r="O174" s="17" t="n">
        <f aca="false">G174+K174</f>
        <v>3542</v>
      </c>
    </row>
    <row r="175" customFormat="false" ht="15" hidden="false" customHeight="false" outlineLevel="0" collapsed="false">
      <c r="A175" s="6" t="n">
        <v>4413204</v>
      </c>
      <c r="B175" s="6" t="str">
        <f aca="false">IFERROR(INDEX('TRANS'!$A:$A,MATCH($A175,'TRANS'!$B:$B,0)),"")</f>
        <v>87 XXL</v>
      </c>
      <c r="C175" s="6" t="str">
        <f aca="false">IFERROR(INDEX('TRANS'!$C:$C,MATCH($A175,'TRANS'!$B:$B,0)),"")</f>
        <v>87 XXL מקבע כתף ויד</v>
      </c>
      <c r="D175" s="16" t="n">
        <f aca="false">SUMIFS('CEMI Raw'!$C$6:$C$197,'CEMI Raw'!$E$6:$E$197,$A175,'CEMI Raw'!$B$6:$B$197,2025)</f>
        <v>0</v>
      </c>
      <c r="E175" s="17" t="n">
        <f aca="false">SUMIFS('CEMI Raw'!$D$6:$D$197,'CEMI Raw'!$E$6:$E$197,$A175,'CEMI Raw'!$B$6:$B$197,2025)</f>
        <v>0</v>
      </c>
      <c r="F175" s="16" t="n">
        <f aca="false">SUMIFS('CEMI Raw'!$C$6:$C$197,'CEMI Raw'!$E$6:$E$197,$A175,'CEMI Raw'!$B$6:$B$197,2026)</f>
        <v>7</v>
      </c>
      <c r="G175" s="17" t="n">
        <f aca="false">SUMIFS('CEMI Raw'!$D$6:$D$197,'CEMI Raw'!$E$6:$E$197,$A175,'CEMI Raw'!$B$6:$B$197,2026)</f>
        <v>885.5</v>
      </c>
      <c r="H175" s="16" t="n">
        <f aca="false">SUMIFS('SALES Raw'!$C$6:$C$435,'SALES Raw'!$E$6:$E$435,$A175,'SALES Raw'!$B$6:$B$435,2025)</f>
        <v>18</v>
      </c>
      <c r="I175" s="17" t="n">
        <f aca="false">SUMIFS('SALES Raw'!$D$6:$D$435,'SALES Raw'!$E$6:$E$435,$A175,'SALES Raw'!$B$6:$B$435,2025)</f>
        <v>2277</v>
      </c>
      <c r="J175" s="16" t="n">
        <f aca="false">SUMIFS('SALES Raw'!$C$6:$C$435,'SALES Raw'!$E$6:$E$435,$A175,'SALES Raw'!$B$6:$B$435,2026)</f>
        <v>7</v>
      </c>
      <c r="K175" s="17" t="n">
        <f aca="false">SUMIFS('SALES Raw'!$D$6:$D$435,'SALES Raw'!$E$6:$E$435,$A175,'SALES Raw'!$B$6:$B$435,2026)</f>
        <v>885.5</v>
      </c>
      <c r="L175" s="16" t="n">
        <f aca="false">D175+H175</f>
        <v>18</v>
      </c>
      <c r="M175" s="17" t="n">
        <f aca="false">E175+I175</f>
        <v>2277</v>
      </c>
      <c r="N175" s="16" t="n">
        <f aca="false">F175+J175</f>
        <v>14</v>
      </c>
      <c r="O175" s="17" t="n">
        <f aca="false">G175+K175</f>
        <v>1771</v>
      </c>
    </row>
    <row r="176" customFormat="false" ht="15" hidden="false" customHeight="false" outlineLevel="0" collapsed="false">
      <c r="A176" s="6" t="n">
        <v>4413276</v>
      </c>
      <c r="B176" s="6" t="str">
        <f aca="false">IFERROR(INDEX('TRANS'!$A:$A,MATCH($A176,'TRANS'!$B:$B,0)),"")</f>
        <v>LF377 L</v>
      </c>
      <c r="C176" s="6" t="str">
        <f aca="false">IFERROR(INDEX('TRANS'!$C:$C,MATCH($A176,'TRANS'!$B:$B,0)),"")</f>
        <v>LF377 L-מדרס סיליקון לנעלי עקב</v>
      </c>
      <c r="D176" s="16" t="n">
        <f aca="false">SUMIFS('CEMI Raw'!$C$6:$C$197,'CEMI Raw'!$E$6:$E$197,$A176,'CEMI Raw'!$B$6:$B$197,2025)</f>
        <v>0</v>
      </c>
      <c r="E176" s="17" t="n">
        <f aca="false">SUMIFS('CEMI Raw'!$D$6:$D$197,'CEMI Raw'!$E$6:$E$197,$A176,'CEMI Raw'!$B$6:$B$197,2025)</f>
        <v>0</v>
      </c>
      <c r="F176" s="16" t="n">
        <f aca="false">SUMIFS('CEMI Raw'!$C$6:$C$197,'CEMI Raw'!$E$6:$E$197,$A176,'CEMI Raw'!$B$6:$B$197,2026)</f>
        <v>0</v>
      </c>
      <c r="G176" s="17" t="n">
        <f aca="false">SUMIFS('CEMI Raw'!$D$6:$D$197,'CEMI Raw'!$E$6:$E$197,$A176,'CEMI Raw'!$B$6:$B$197,2026)</f>
        <v>0</v>
      </c>
      <c r="H176" s="16" t="n">
        <f aca="false">SUMIFS('SALES Raw'!$C$6:$C$435,'SALES Raw'!$E$6:$E$435,$A176,'SALES Raw'!$B$6:$B$435,2025)</f>
        <v>2</v>
      </c>
      <c r="I176" s="17" t="n">
        <f aca="false">SUMIFS('SALES Raw'!$D$6:$D$435,'SALES Raw'!$E$6:$E$435,$A176,'SALES Raw'!$B$6:$B$435,2025)</f>
        <v>64.28</v>
      </c>
      <c r="J176" s="16" t="n">
        <f aca="false">SUMIFS('SALES Raw'!$C$6:$C$435,'SALES Raw'!$E$6:$E$435,$A176,'SALES Raw'!$B$6:$B$435,2026)</f>
        <v>0</v>
      </c>
      <c r="K176" s="17" t="n">
        <f aca="false">SUMIFS('SALES Raw'!$D$6:$D$435,'SALES Raw'!$E$6:$E$435,$A176,'SALES Raw'!$B$6:$B$435,2026)</f>
        <v>0</v>
      </c>
      <c r="L176" s="16" t="n">
        <f aca="false">D176+H176</f>
        <v>2</v>
      </c>
      <c r="M176" s="17" t="n">
        <f aca="false">E176+I176</f>
        <v>64.28</v>
      </c>
      <c r="N176" s="16" t="n">
        <f aca="false">F176+J176</f>
        <v>0</v>
      </c>
      <c r="O176" s="17" t="n">
        <f aca="false">G176+K176</f>
        <v>0</v>
      </c>
    </row>
    <row r="177" customFormat="false" ht="15" hidden="false" customHeight="false" outlineLevel="0" collapsed="false">
      <c r="A177" s="6" t="n">
        <v>4413277</v>
      </c>
      <c r="B177" s="6" t="str">
        <f aca="false">IFERROR(INDEX('TRANS'!$A:$A,MATCH($A177,'TRANS'!$B:$B,0)),"")</f>
        <v>LF377 M</v>
      </c>
      <c r="C177" s="6" t="str">
        <f aca="false">IFERROR(INDEX('TRANS'!$C:$C,MATCH($A177,'TRANS'!$B:$B,0)),"")</f>
        <v>LF377 M-מדרס סיליקון לנעלי עקב</v>
      </c>
      <c r="D177" s="16" t="n">
        <f aca="false">SUMIFS('CEMI Raw'!$C$6:$C$197,'CEMI Raw'!$E$6:$E$197,$A177,'CEMI Raw'!$B$6:$B$197,2025)</f>
        <v>0</v>
      </c>
      <c r="E177" s="17" t="n">
        <f aca="false">SUMIFS('CEMI Raw'!$D$6:$D$197,'CEMI Raw'!$E$6:$E$197,$A177,'CEMI Raw'!$B$6:$B$197,2025)</f>
        <v>0</v>
      </c>
      <c r="F177" s="16" t="n">
        <f aca="false">SUMIFS('CEMI Raw'!$C$6:$C$197,'CEMI Raw'!$E$6:$E$197,$A177,'CEMI Raw'!$B$6:$B$197,2026)</f>
        <v>1</v>
      </c>
      <c r="G177" s="17" t="n">
        <f aca="false">SUMIFS('CEMI Raw'!$D$6:$D$197,'CEMI Raw'!$E$6:$E$197,$A177,'CEMI Raw'!$B$6:$B$197,2026)</f>
        <v>32.1</v>
      </c>
      <c r="H177" s="16" t="n">
        <f aca="false">SUMIFS('SALES Raw'!$C$6:$C$435,'SALES Raw'!$E$6:$E$435,$A177,'SALES Raw'!$B$6:$B$435,2025)</f>
        <v>0</v>
      </c>
      <c r="I177" s="17" t="n">
        <f aca="false">SUMIFS('SALES Raw'!$D$6:$D$435,'SALES Raw'!$E$6:$E$435,$A177,'SALES Raw'!$B$6:$B$435,2025)</f>
        <v>0</v>
      </c>
      <c r="J177" s="16" t="n">
        <f aca="false">SUMIFS('SALES Raw'!$C$6:$C$435,'SALES Raw'!$E$6:$E$435,$A177,'SALES Raw'!$B$6:$B$435,2026)</f>
        <v>0</v>
      </c>
      <c r="K177" s="17" t="n">
        <f aca="false">SUMIFS('SALES Raw'!$D$6:$D$435,'SALES Raw'!$E$6:$E$435,$A177,'SALES Raw'!$B$6:$B$435,2026)</f>
        <v>0</v>
      </c>
      <c r="L177" s="16" t="n">
        <f aca="false">D177+H177</f>
        <v>0</v>
      </c>
      <c r="M177" s="17" t="n">
        <f aca="false">E177+I177</f>
        <v>0</v>
      </c>
      <c r="N177" s="16" t="n">
        <f aca="false">F177+J177</f>
        <v>1</v>
      </c>
      <c r="O177" s="17" t="n">
        <f aca="false">G177+K177</f>
        <v>32.1</v>
      </c>
    </row>
    <row r="178" customFormat="false" ht="15" hidden="false" customHeight="false" outlineLevel="0" collapsed="false">
      <c r="A178" s="6" t="n">
        <v>4413278</v>
      </c>
      <c r="B178" s="6" t="str">
        <f aca="false">IFERROR(INDEX('TRANS'!$A:$A,MATCH($A178,'TRANS'!$B:$B,0)),"")</f>
        <v>LF377 S</v>
      </c>
      <c r="C178" s="6" t="str">
        <f aca="false">IFERROR(INDEX('TRANS'!$C:$C,MATCH($A178,'TRANS'!$B:$B,0)),"")</f>
        <v>LF377 S-מדרס סיליקון לנעלי עקב</v>
      </c>
      <c r="D178" s="16" t="n">
        <f aca="false">SUMIFS('CEMI Raw'!$C$6:$C$197,'CEMI Raw'!$E$6:$E$197,$A178,'CEMI Raw'!$B$6:$B$197,2025)</f>
        <v>0</v>
      </c>
      <c r="E178" s="17" t="n">
        <f aca="false">SUMIFS('CEMI Raw'!$D$6:$D$197,'CEMI Raw'!$E$6:$E$197,$A178,'CEMI Raw'!$B$6:$B$197,2025)</f>
        <v>0</v>
      </c>
      <c r="F178" s="16" t="n">
        <f aca="false">SUMIFS('CEMI Raw'!$C$6:$C$197,'CEMI Raw'!$E$6:$E$197,$A178,'CEMI Raw'!$B$6:$B$197,2026)</f>
        <v>0</v>
      </c>
      <c r="G178" s="17" t="n">
        <f aca="false">SUMIFS('CEMI Raw'!$D$6:$D$197,'CEMI Raw'!$E$6:$E$197,$A178,'CEMI Raw'!$B$6:$B$197,2026)</f>
        <v>0</v>
      </c>
      <c r="H178" s="16" t="n">
        <f aca="false">SUMIFS('SALES Raw'!$C$6:$C$435,'SALES Raw'!$E$6:$E$435,$A178,'SALES Raw'!$B$6:$B$435,2025)</f>
        <v>4</v>
      </c>
      <c r="I178" s="17" t="n">
        <f aca="false">SUMIFS('SALES Raw'!$D$6:$D$435,'SALES Raw'!$E$6:$E$435,$A178,'SALES Raw'!$B$6:$B$435,2025)</f>
        <v>128.56</v>
      </c>
      <c r="J178" s="16" t="n">
        <f aca="false">SUMIFS('SALES Raw'!$C$6:$C$435,'SALES Raw'!$E$6:$E$435,$A178,'SALES Raw'!$B$6:$B$435,2026)</f>
        <v>0</v>
      </c>
      <c r="K178" s="17" t="n">
        <f aca="false">SUMIFS('SALES Raw'!$D$6:$D$435,'SALES Raw'!$E$6:$E$435,$A178,'SALES Raw'!$B$6:$B$435,2026)</f>
        <v>0</v>
      </c>
      <c r="L178" s="16" t="n">
        <f aca="false">D178+H178</f>
        <v>4</v>
      </c>
      <c r="M178" s="17" t="n">
        <f aca="false">E178+I178</f>
        <v>128.56</v>
      </c>
      <c r="N178" s="16" t="n">
        <f aca="false">F178+J178</f>
        <v>0</v>
      </c>
      <c r="O178" s="17" t="n">
        <f aca="false">G178+K178</f>
        <v>0</v>
      </c>
    </row>
    <row r="179" customFormat="false" ht="15" hidden="false" customHeight="false" outlineLevel="0" collapsed="false">
      <c r="A179" s="6" t="n">
        <v>4413303</v>
      </c>
      <c r="B179" s="6" t="str">
        <f aca="false">IFERROR(INDEX('TRANS'!$A:$A,MATCH($A179,'TRANS'!$B:$B,0)),"")</f>
        <v>34+ XXL</v>
      </c>
      <c r="C179" s="6" t="str">
        <f aca="false">IFERROR(INDEX('TRANS'!$C:$C,MATCH($A179,'TRANS'!$B:$B,0)),"")</f>
        <v>34+XXL מ.קרסול+עכב סגור+רצועות</v>
      </c>
      <c r="D179" s="16" t="n">
        <f aca="false">SUMIFS('CEMI Raw'!$C$6:$C$197,'CEMI Raw'!$E$6:$E$197,$A179,'CEMI Raw'!$B$6:$B$197,2025)</f>
        <v>0</v>
      </c>
      <c r="E179" s="17" t="n">
        <f aca="false">SUMIFS('CEMI Raw'!$D$6:$D$197,'CEMI Raw'!$E$6:$E$197,$A179,'CEMI Raw'!$B$6:$B$197,2025)</f>
        <v>0</v>
      </c>
      <c r="F179" s="16" t="n">
        <f aca="false">SUMIFS('CEMI Raw'!$C$6:$C$197,'CEMI Raw'!$E$6:$E$197,$A179,'CEMI Raw'!$B$6:$B$197,2026)</f>
        <v>4</v>
      </c>
      <c r="G179" s="17" t="n">
        <f aca="false">SUMIFS('CEMI Raw'!$D$6:$D$197,'CEMI Raw'!$E$6:$E$197,$A179,'CEMI Raw'!$B$6:$B$197,2026)</f>
        <v>158.1</v>
      </c>
      <c r="H179" s="16" t="n">
        <f aca="false">SUMIFS('SALES Raw'!$C$6:$C$435,'SALES Raw'!$E$6:$E$435,$A179,'SALES Raw'!$B$6:$B$435,2025)</f>
        <v>22</v>
      </c>
      <c r="I179" s="17" t="n">
        <f aca="false">SUMIFS('SALES Raw'!$D$6:$D$435,'SALES Raw'!$E$6:$E$435,$A179,'SALES Raw'!$B$6:$B$435,2025)</f>
        <v>927.74</v>
      </c>
      <c r="J179" s="16" t="n">
        <f aca="false">SUMIFS('SALES Raw'!$C$6:$C$435,'SALES Raw'!$E$6:$E$435,$A179,'SALES Raw'!$B$6:$B$435,2026)</f>
        <v>4</v>
      </c>
      <c r="K179" s="17" t="n">
        <f aca="false">SUMIFS('SALES Raw'!$D$6:$D$435,'SALES Raw'!$E$6:$E$435,$A179,'SALES Raw'!$B$6:$B$435,2026)</f>
        <v>168.68</v>
      </c>
      <c r="L179" s="16" t="n">
        <f aca="false">D179+H179</f>
        <v>22</v>
      </c>
      <c r="M179" s="17" t="n">
        <f aca="false">E179+I179</f>
        <v>927.74</v>
      </c>
      <c r="N179" s="16" t="n">
        <f aca="false">F179+J179</f>
        <v>8</v>
      </c>
      <c r="O179" s="17" t="n">
        <f aca="false">G179+K179</f>
        <v>326.78</v>
      </c>
    </row>
    <row r="180" customFormat="false" ht="15" hidden="false" customHeight="false" outlineLevel="0" collapsed="false">
      <c r="A180" s="6" t="n">
        <v>4413307</v>
      </c>
      <c r="B180" s="6" t="str">
        <f aca="false">IFERROR(INDEX('TRANS'!$A:$A,MATCH($A180,'TRANS'!$B:$B,0)),"")</f>
        <v>3667 0</v>
      </c>
      <c r="C180" s="6" t="str">
        <f aca="false">IFERROR(INDEX('TRANS'!$C:$C,MATCH($A180,'TRANS'!$B:$B,0)),"")</f>
        <v>URI 3667 מגן בוניון</v>
      </c>
      <c r="D180" s="16" t="n">
        <f aca="false">SUMIFS('CEMI Raw'!$C$6:$C$197,'CEMI Raw'!$E$6:$E$197,$A180,'CEMI Raw'!$B$6:$B$197,2025)</f>
        <v>0</v>
      </c>
      <c r="E180" s="17" t="n">
        <f aca="false">SUMIFS('CEMI Raw'!$D$6:$D$197,'CEMI Raw'!$E$6:$E$197,$A180,'CEMI Raw'!$B$6:$B$197,2025)</f>
        <v>0</v>
      </c>
      <c r="F180" s="16" t="n">
        <f aca="false">SUMIFS('CEMI Raw'!$C$6:$C$197,'CEMI Raw'!$E$6:$E$197,$A180,'CEMI Raw'!$B$6:$B$197,2026)</f>
        <v>62</v>
      </c>
      <c r="G180" s="17" t="n">
        <f aca="false">SUMIFS('CEMI Raw'!$D$6:$D$197,'CEMI Raw'!$E$6:$E$197,$A180,'CEMI Raw'!$B$6:$B$197,2026)</f>
        <v>1262</v>
      </c>
      <c r="H180" s="16" t="n">
        <f aca="false">SUMIFS('SALES Raw'!$C$6:$C$435,'SALES Raw'!$E$6:$E$435,$A180,'SALES Raw'!$B$6:$B$435,2025)</f>
        <v>127</v>
      </c>
      <c r="I180" s="17" t="n">
        <f aca="false">SUMIFS('SALES Raw'!$D$6:$D$435,'SALES Raw'!$E$6:$E$435,$A180,'SALES Raw'!$B$6:$B$435,2025)</f>
        <v>2693.67</v>
      </c>
      <c r="J180" s="16" t="n">
        <f aca="false">SUMIFS('SALES Raw'!$C$6:$C$435,'SALES Raw'!$E$6:$E$435,$A180,'SALES Raw'!$B$6:$B$435,2026)</f>
        <v>44</v>
      </c>
      <c r="K180" s="17" t="n">
        <f aca="false">SUMIFS('SALES Raw'!$D$6:$D$435,'SALES Raw'!$E$6:$E$435,$A180,'SALES Raw'!$B$6:$B$435,2026)</f>
        <v>933.24</v>
      </c>
      <c r="L180" s="16" t="n">
        <f aca="false">D180+H180</f>
        <v>127</v>
      </c>
      <c r="M180" s="17" t="n">
        <f aca="false">E180+I180</f>
        <v>2693.67</v>
      </c>
      <c r="N180" s="16" t="n">
        <f aca="false">F180+J180</f>
        <v>106</v>
      </c>
      <c r="O180" s="17" t="n">
        <f aca="false">G180+K180</f>
        <v>2195.24</v>
      </c>
    </row>
    <row r="181" customFormat="false" ht="15" hidden="false" customHeight="false" outlineLevel="0" collapsed="false">
      <c r="A181" s="6" t="n">
        <v>4413340</v>
      </c>
      <c r="B181" s="6" t="str">
        <f aca="false">IFERROR(INDEX('TRANS'!$A:$A,MATCH($A181,'TRANS'!$B:$B,0)),"")</f>
        <v>3666 0</v>
      </c>
      <c r="C181" s="6" t="str">
        <f aca="false">IFERROR(INDEX('TRANS'!$C:$C,MATCH($A181,'TRANS'!$B:$B,0)),"")</f>
        <v>3666 מפריד הלוקס</v>
      </c>
      <c r="D181" s="16" t="n">
        <f aca="false">SUMIFS('CEMI Raw'!$C$6:$C$197,'CEMI Raw'!$E$6:$E$197,$A181,'CEMI Raw'!$B$6:$B$197,2025)</f>
        <v>0</v>
      </c>
      <c r="E181" s="17" t="n">
        <f aca="false">SUMIFS('CEMI Raw'!$D$6:$D$197,'CEMI Raw'!$E$6:$E$197,$A181,'CEMI Raw'!$B$6:$B$197,2025)</f>
        <v>0</v>
      </c>
      <c r="F181" s="16" t="n">
        <f aca="false">SUMIFS('CEMI Raw'!$C$6:$C$197,'CEMI Raw'!$E$6:$E$197,$A181,'CEMI Raw'!$B$6:$B$197,2026)</f>
        <v>16</v>
      </c>
      <c r="G181" s="17" t="n">
        <f aca="false">SUMIFS('CEMI Raw'!$D$6:$D$197,'CEMI Raw'!$E$6:$E$197,$A181,'CEMI Raw'!$B$6:$B$197,2026)</f>
        <v>619.2</v>
      </c>
      <c r="H181" s="16" t="n">
        <f aca="false">SUMIFS('SALES Raw'!$C$6:$C$435,'SALES Raw'!$E$6:$E$435,$A181,'SALES Raw'!$B$6:$B$435,2025)</f>
        <v>76</v>
      </c>
      <c r="I181" s="17" t="n">
        <f aca="false">SUMIFS('SALES Raw'!$D$6:$D$435,'SALES Raw'!$E$6:$E$435,$A181,'SALES Raw'!$B$6:$B$435,2025)</f>
        <v>2941.2</v>
      </c>
      <c r="J181" s="16" t="n">
        <f aca="false">SUMIFS('SALES Raw'!$C$6:$C$435,'SALES Raw'!$E$6:$E$435,$A181,'SALES Raw'!$B$6:$B$435,2026)</f>
        <v>17</v>
      </c>
      <c r="K181" s="17" t="n">
        <f aca="false">SUMIFS('SALES Raw'!$D$6:$D$435,'SALES Raw'!$E$6:$E$435,$A181,'SALES Raw'!$B$6:$B$435,2026)</f>
        <v>657.9</v>
      </c>
      <c r="L181" s="16" t="n">
        <f aca="false">D181+H181</f>
        <v>76</v>
      </c>
      <c r="M181" s="17" t="n">
        <f aca="false">E181+I181</f>
        <v>2941.2</v>
      </c>
      <c r="N181" s="16" t="n">
        <f aca="false">F181+J181</f>
        <v>33</v>
      </c>
      <c r="O181" s="17" t="n">
        <f aca="false">G181+K181</f>
        <v>1277.1</v>
      </c>
    </row>
    <row r="182" customFormat="false" ht="15" hidden="false" customHeight="false" outlineLevel="0" collapsed="false">
      <c r="A182" s="6" t="n">
        <v>4413348</v>
      </c>
      <c r="B182" s="6" t="str">
        <f aca="false">IFERROR(INDEX('TRANS'!$A:$A,MATCH($A182,'TRANS'!$B:$B,0)),"")</f>
        <v>302M 0</v>
      </c>
      <c r="C182" s="6" t="str">
        <f aca="false">IFERROR(INDEX('TRANS'!$C:$C,MATCH($A182,'TRANS'!$B:$B,0)),"")</f>
        <v>302 מדרס ג'ל לגבר</v>
      </c>
      <c r="D182" s="16" t="n">
        <f aca="false">SUMIFS('CEMI Raw'!$C$6:$C$197,'CEMI Raw'!$E$6:$E$197,$A182,'CEMI Raw'!$B$6:$B$197,2025)</f>
        <v>0</v>
      </c>
      <c r="E182" s="17" t="n">
        <f aca="false">SUMIFS('CEMI Raw'!$D$6:$D$197,'CEMI Raw'!$E$6:$E$197,$A182,'CEMI Raw'!$B$6:$B$197,2025)</f>
        <v>0</v>
      </c>
      <c r="F182" s="16" t="n">
        <f aca="false">SUMIFS('CEMI Raw'!$C$6:$C$197,'CEMI Raw'!$E$6:$E$197,$A182,'CEMI Raw'!$B$6:$B$197,2026)</f>
        <v>77</v>
      </c>
      <c r="G182" s="17" t="n">
        <f aca="false">SUMIFS('CEMI Raw'!$D$6:$D$197,'CEMI Raw'!$E$6:$E$197,$A182,'CEMI Raw'!$B$6:$B$197,2026)</f>
        <v>3636.7</v>
      </c>
      <c r="H182" s="16" t="n">
        <f aca="false">SUMIFS('SALES Raw'!$C$6:$C$435,'SALES Raw'!$E$6:$E$435,$A182,'SALES Raw'!$B$6:$B$435,2025)</f>
        <v>306</v>
      </c>
      <c r="I182" s="17" t="n">
        <f aca="false">SUMIFS('SALES Raw'!$D$6:$D$435,'SALES Raw'!$E$6:$E$435,$A182,'SALES Raw'!$B$6:$B$435,2025)</f>
        <v>14452.38</v>
      </c>
      <c r="J182" s="16" t="n">
        <f aca="false">SUMIFS('SALES Raw'!$C$6:$C$435,'SALES Raw'!$E$6:$E$435,$A182,'SALES Raw'!$B$6:$B$435,2026)</f>
        <v>76</v>
      </c>
      <c r="K182" s="17" t="n">
        <f aca="false">SUMIFS('SALES Raw'!$D$6:$D$435,'SALES Raw'!$E$6:$E$435,$A182,'SALES Raw'!$B$6:$B$435,2026)</f>
        <v>3589.48</v>
      </c>
      <c r="L182" s="16" t="n">
        <f aca="false">D182+H182</f>
        <v>306</v>
      </c>
      <c r="M182" s="17" t="n">
        <f aca="false">E182+I182</f>
        <v>14452.38</v>
      </c>
      <c r="N182" s="16" t="n">
        <f aca="false">F182+J182</f>
        <v>153</v>
      </c>
      <c r="O182" s="17" t="n">
        <f aca="false">G182+K182</f>
        <v>7226.18</v>
      </c>
    </row>
    <row r="183" customFormat="false" ht="15" hidden="false" customHeight="false" outlineLevel="0" collapsed="false">
      <c r="A183" s="6" t="n">
        <v>4413370</v>
      </c>
      <c r="B183" s="6" t="str">
        <f aca="false">IFERROR(INDEX('TRANS'!$A:$A,MATCH($A183,'TRANS'!$B:$B,0)),"")</f>
        <v>3674 0</v>
      </c>
      <c r="C183" s="6" t="str">
        <f aca="false">IFERROR(INDEX('TRANS'!$C:$C,MATCH($A183,'TRANS'!$B:$B,0)),"")</f>
        <v>3674 0 מ.בוניון+מפריד אצבע</v>
      </c>
      <c r="D183" s="16" t="n">
        <f aca="false">SUMIFS('CEMI Raw'!$C$6:$C$197,'CEMI Raw'!$E$6:$E$197,$A183,'CEMI Raw'!$B$6:$B$197,2025)</f>
        <v>0</v>
      </c>
      <c r="E183" s="17" t="n">
        <f aca="false">SUMIFS('CEMI Raw'!$D$6:$D$197,'CEMI Raw'!$E$6:$E$197,$A183,'CEMI Raw'!$B$6:$B$197,2025)</f>
        <v>0</v>
      </c>
      <c r="F183" s="16" t="n">
        <f aca="false">SUMIFS('CEMI Raw'!$C$6:$C$197,'CEMI Raw'!$E$6:$E$197,$A183,'CEMI Raw'!$B$6:$B$197,2026)</f>
        <v>81</v>
      </c>
      <c r="G183" s="17" t="n">
        <f aca="false">SUMIFS('CEMI Raw'!$D$6:$D$197,'CEMI Raw'!$E$6:$E$197,$A183,'CEMI Raw'!$B$6:$B$197,2026)</f>
        <v>2231.6</v>
      </c>
      <c r="H183" s="16" t="n">
        <f aca="false">SUMIFS('SALES Raw'!$C$6:$C$435,'SALES Raw'!$E$6:$E$435,$A183,'SALES Raw'!$B$6:$B$435,2025)</f>
        <v>168</v>
      </c>
      <c r="I183" s="17" t="n">
        <f aca="false">SUMIFS('SALES Raw'!$D$6:$D$435,'SALES Raw'!$E$6:$E$435,$A183,'SALES Raw'!$B$6:$B$435,2025)</f>
        <v>4628.4</v>
      </c>
      <c r="J183" s="16" t="n">
        <f aca="false">SUMIFS('SALES Raw'!$C$6:$C$435,'SALES Raw'!$E$6:$E$435,$A183,'SALES Raw'!$B$6:$B$435,2026)</f>
        <v>35</v>
      </c>
      <c r="K183" s="17" t="n">
        <f aca="false">SUMIFS('SALES Raw'!$D$6:$D$435,'SALES Raw'!$E$6:$E$435,$A183,'SALES Raw'!$B$6:$B$435,2026)</f>
        <v>964.25</v>
      </c>
      <c r="L183" s="16" t="n">
        <f aca="false">D183+H183</f>
        <v>168</v>
      </c>
      <c r="M183" s="17" t="n">
        <f aca="false">E183+I183</f>
        <v>4628.4</v>
      </c>
      <c r="N183" s="16" t="n">
        <f aca="false">F183+J183</f>
        <v>116</v>
      </c>
      <c r="O183" s="17" t="n">
        <f aca="false">G183+K183</f>
        <v>3195.85</v>
      </c>
    </row>
    <row r="184" customFormat="false" ht="15" hidden="false" customHeight="false" outlineLevel="0" collapsed="false">
      <c r="A184" s="6" t="n">
        <v>4413371</v>
      </c>
      <c r="B184" s="6" t="str">
        <f aca="false">IFERROR(INDEX('TRANS'!$A:$A,MATCH($A184,'TRANS'!$B:$B,0)),"")</f>
        <v>3675 0</v>
      </c>
      <c r="C184" s="6" t="str">
        <f aca="false">IFERROR(INDEX('TRANS'!$C:$C,MATCH($A184,'TRANS'!$B:$B,0)),"")</f>
        <v>3675    מגן זרת מסיליקון</v>
      </c>
      <c r="D184" s="16" t="n">
        <f aca="false">SUMIFS('CEMI Raw'!$C$6:$C$197,'CEMI Raw'!$E$6:$E$197,$A184,'CEMI Raw'!$B$6:$B$197,2025)</f>
        <v>0</v>
      </c>
      <c r="E184" s="17" t="n">
        <f aca="false">SUMIFS('CEMI Raw'!$D$6:$D$197,'CEMI Raw'!$E$6:$E$197,$A184,'CEMI Raw'!$B$6:$B$197,2025)</f>
        <v>0</v>
      </c>
      <c r="F184" s="16" t="n">
        <f aca="false">SUMIFS('CEMI Raw'!$C$6:$C$197,'CEMI Raw'!$E$6:$E$197,$A184,'CEMI Raw'!$B$6:$B$197,2026)</f>
        <v>41</v>
      </c>
      <c r="G184" s="17" t="n">
        <f aca="false">SUMIFS('CEMI Raw'!$D$6:$D$197,'CEMI Raw'!$E$6:$E$197,$A184,'CEMI Raw'!$B$6:$B$197,2026)</f>
        <v>829.8</v>
      </c>
      <c r="H184" s="16" t="n">
        <f aca="false">SUMIFS('SALES Raw'!$C$6:$C$435,'SALES Raw'!$E$6:$E$435,$A184,'SALES Raw'!$B$6:$B$435,2025)</f>
        <v>75</v>
      </c>
      <c r="I184" s="17" t="n">
        <f aca="false">SUMIFS('SALES Raw'!$D$6:$D$435,'SALES Raw'!$E$6:$E$435,$A184,'SALES Raw'!$B$6:$B$435,2025)</f>
        <v>1518</v>
      </c>
      <c r="J184" s="16" t="n">
        <f aca="false">SUMIFS('SALES Raw'!$C$6:$C$435,'SALES Raw'!$E$6:$E$435,$A184,'SALES Raw'!$B$6:$B$435,2026)</f>
        <v>23</v>
      </c>
      <c r="K184" s="17" t="n">
        <f aca="false">SUMIFS('SALES Raw'!$D$6:$D$435,'SALES Raw'!$E$6:$E$435,$A184,'SALES Raw'!$B$6:$B$435,2026)</f>
        <v>465.52</v>
      </c>
      <c r="L184" s="16" t="n">
        <f aca="false">D184+H184</f>
        <v>75</v>
      </c>
      <c r="M184" s="17" t="n">
        <f aca="false">E184+I184</f>
        <v>1518</v>
      </c>
      <c r="N184" s="16" t="n">
        <f aca="false">F184+J184</f>
        <v>64</v>
      </c>
      <c r="O184" s="17" t="n">
        <f aca="false">G184+K184</f>
        <v>1295.32</v>
      </c>
    </row>
    <row r="185" customFormat="false" ht="15" hidden="false" customHeight="false" outlineLevel="0" collapsed="false">
      <c r="A185" s="6" t="n">
        <v>4413372</v>
      </c>
      <c r="B185" s="6" t="str">
        <f aca="false">IFERROR(INDEX('TRANS'!$A:$A,MATCH($A185,'TRANS'!$B:$B,0)),"")</f>
        <v>302W 0</v>
      </c>
      <c r="C185" s="6" t="str">
        <f aca="false">IFERROR(INDEX('TRANS'!$C:$C,MATCH($A185,'TRANS'!$B:$B,0)),"")</f>
        <v>302 W מדרס לאישה</v>
      </c>
      <c r="D185" s="16" t="n">
        <f aca="false">SUMIFS('CEMI Raw'!$C$6:$C$197,'CEMI Raw'!$E$6:$E$197,$A185,'CEMI Raw'!$B$6:$B$197,2025)</f>
        <v>0</v>
      </c>
      <c r="E185" s="17" t="n">
        <f aca="false">SUMIFS('CEMI Raw'!$D$6:$D$197,'CEMI Raw'!$E$6:$E$197,$A185,'CEMI Raw'!$B$6:$B$197,2025)</f>
        <v>0</v>
      </c>
      <c r="F185" s="16" t="n">
        <f aca="false">SUMIFS('CEMI Raw'!$C$6:$C$197,'CEMI Raw'!$E$6:$E$197,$A185,'CEMI Raw'!$B$6:$B$197,2026)</f>
        <v>65</v>
      </c>
      <c r="G185" s="17" t="n">
        <f aca="false">SUMIFS('CEMI Raw'!$D$6:$D$197,'CEMI Raw'!$E$6:$E$197,$A185,'CEMI Raw'!$B$6:$B$197,2026)</f>
        <v>3070</v>
      </c>
      <c r="H185" s="16" t="n">
        <f aca="false">SUMIFS('SALES Raw'!$C$6:$C$435,'SALES Raw'!$E$6:$E$435,$A185,'SALES Raw'!$B$6:$B$435,2025)</f>
        <v>229</v>
      </c>
      <c r="I185" s="17" t="n">
        <f aca="false">SUMIFS('SALES Raw'!$D$6:$D$435,'SALES Raw'!$E$6:$E$435,$A185,'SALES Raw'!$B$6:$B$435,2025)</f>
        <v>10815.67</v>
      </c>
      <c r="J185" s="16" t="n">
        <f aca="false">SUMIFS('SALES Raw'!$C$6:$C$435,'SALES Raw'!$E$6:$E$435,$A185,'SALES Raw'!$B$6:$B$435,2026)</f>
        <v>33</v>
      </c>
      <c r="K185" s="17" t="n">
        <f aca="false">SUMIFS('SALES Raw'!$D$6:$D$435,'SALES Raw'!$E$6:$E$435,$A185,'SALES Raw'!$B$6:$B$435,2026)</f>
        <v>1558.59</v>
      </c>
      <c r="L185" s="16" t="n">
        <f aca="false">D185+H185</f>
        <v>229</v>
      </c>
      <c r="M185" s="17" t="n">
        <f aca="false">E185+I185</f>
        <v>10815.67</v>
      </c>
      <c r="N185" s="16" t="n">
        <f aca="false">F185+J185</f>
        <v>98</v>
      </c>
      <c r="O185" s="17" t="n">
        <f aca="false">G185+K185</f>
        <v>4628.59</v>
      </c>
    </row>
    <row r="186" customFormat="false" ht="15" hidden="false" customHeight="false" outlineLevel="0" collapsed="false">
      <c r="A186" s="6" t="n">
        <v>4413531</v>
      </c>
      <c r="B186" s="6" t="str">
        <f aca="false">IFERROR(INDEX('TRANS'!$A:$A,MATCH($A186,'TRANS'!$B:$B,0)),"")</f>
        <v>ST91 0</v>
      </c>
      <c r="C186" s="6" t="str">
        <f aca="false">IFERROR(INDEX('TRANS'!$C:$C,MATCH($A186,'TRANS'!$B:$B,0)),"")</f>
        <v>ST91 מגן מרפק לטניס</v>
      </c>
      <c r="D186" s="16" t="n">
        <f aca="false">SUMIFS('CEMI Raw'!$C$6:$C$197,'CEMI Raw'!$E$6:$E$197,$A186,'CEMI Raw'!$B$6:$B$197,2025)</f>
        <v>0</v>
      </c>
      <c r="E186" s="17" t="n">
        <f aca="false">SUMIFS('CEMI Raw'!$D$6:$D$197,'CEMI Raw'!$E$6:$E$197,$A186,'CEMI Raw'!$B$6:$B$197,2025)</f>
        <v>0</v>
      </c>
      <c r="F186" s="16" t="n">
        <f aca="false">SUMIFS('CEMI Raw'!$C$6:$C$197,'CEMI Raw'!$E$6:$E$197,$A186,'CEMI Raw'!$B$6:$B$197,2026)</f>
        <v>131</v>
      </c>
      <c r="G186" s="17" t="n">
        <f aca="false">SUMIFS('CEMI Raw'!$D$6:$D$197,'CEMI Raw'!$E$6:$E$197,$A186,'CEMI Raw'!$B$6:$B$197,2026)</f>
        <v>2563.6</v>
      </c>
      <c r="H186" s="16" t="n">
        <f aca="false">SUMIFS('SALES Raw'!$C$6:$C$435,'SALES Raw'!$E$6:$E$435,$A186,'SALES Raw'!$B$6:$B$435,2025)</f>
        <v>210</v>
      </c>
      <c r="I186" s="17" t="n">
        <f aca="false">SUMIFS('SALES Raw'!$D$6:$D$435,'SALES Raw'!$E$6:$E$435,$A186,'SALES Raw'!$B$6:$B$435,2025)</f>
        <v>4368</v>
      </c>
      <c r="J186" s="16" t="n">
        <f aca="false">SUMIFS('SALES Raw'!$C$6:$C$435,'SALES Raw'!$E$6:$E$435,$A186,'SALES Raw'!$B$6:$B$435,2026)</f>
        <v>60</v>
      </c>
      <c r="K186" s="17" t="n">
        <f aca="false">SUMIFS('SALES Raw'!$D$6:$D$435,'SALES Raw'!$E$6:$E$435,$A186,'SALES Raw'!$B$6:$B$435,2026)</f>
        <v>1248</v>
      </c>
      <c r="L186" s="16" t="n">
        <f aca="false">D186+H186</f>
        <v>210</v>
      </c>
      <c r="M186" s="17" t="n">
        <f aca="false">E186+I186</f>
        <v>4368</v>
      </c>
      <c r="N186" s="16" t="n">
        <f aca="false">F186+J186</f>
        <v>191</v>
      </c>
      <c r="O186" s="17" t="n">
        <f aca="false">G186+K186</f>
        <v>3811.6</v>
      </c>
    </row>
    <row r="187" customFormat="false" ht="15" hidden="false" customHeight="false" outlineLevel="0" collapsed="false">
      <c r="A187" s="6" t="n">
        <v>4413532</v>
      </c>
      <c r="B187" s="6" t="str">
        <f aca="false">IFERROR(INDEX('TRANS'!$A:$A,MATCH($A187,'TRANS'!$B:$B,0)),"")</f>
        <v>ST433 0</v>
      </c>
      <c r="C187" s="6" t="str">
        <f aca="false">IFERROR(INDEX('TRANS'!$C:$C,MATCH($A187,'TRANS'!$B:$B,0)),"")</f>
        <v>ST433 H מגן ברך עם ציר</v>
      </c>
      <c r="D187" s="16" t="n">
        <f aca="false">SUMIFS('CEMI Raw'!$C$6:$C$197,'CEMI Raw'!$E$6:$E$197,$A187,'CEMI Raw'!$B$6:$B$197,2025)</f>
        <v>0</v>
      </c>
      <c r="E187" s="17" t="n">
        <f aca="false">SUMIFS('CEMI Raw'!$D$6:$D$197,'CEMI Raw'!$E$6:$E$197,$A187,'CEMI Raw'!$B$6:$B$197,2025)</f>
        <v>0</v>
      </c>
      <c r="F187" s="16" t="n">
        <f aca="false">SUMIFS('CEMI Raw'!$C$6:$C$197,'CEMI Raw'!$E$6:$E$197,$A187,'CEMI Raw'!$B$6:$B$197,2026)</f>
        <v>16</v>
      </c>
      <c r="G187" s="17" t="n">
        <f aca="false">SUMIFS('CEMI Raw'!$D$6:$D$197,'CEMI Raw'!$E$6:$E$197,$A187,'CEMI Raw'!$B$6:$B$197,2026)</f>
        <v>1496</v>
      </c>
      <c r="H187" s="16" t="n">
        <f aca="false">SUMIFS('SALES Raw'!$C$6:$C$435,'SALES Raw'!$E$6:$E$435,$A187,'SALES Raw'!$B$6:$B$435,2025)</f>
        <v>48</v>
      </c>
      <c r="I187" s="17" t="n">
        <f aca="false">SUMIFS('SALES Raw'!$D$6:$D$435,'SALES Raw'!$E$6:$E$435,$A187,'SALES Raw'!$B$6:$B$435,2025)</f>
        <v>4488</v>
      </c>
      <c r="J187" s="16" t="n">
        <f aca="false">SUMIFS('SALES Raw'!$C$6:$C$435,'SALES Raw'!$E$6:$E$435,$A187,'SALES Raw'!$B$6:$B$435,2026)</f>
        <v>8</v>
      </c>
      <c r="K187" s="17" t="n">
        <f aca="false">SUMIFS('SALES Raw'!$D$6:$D$435,'SALES Raw'!$E$6:$E$435,$A187,'SALES Raw'!$B$6:$B$435,2026)</f>
        <v>748</v>
      </c>
      <c r="L187" s="16" t="n">
        <f aca="false">D187+H187</f>
        <v>48</v>
      </c>
      <c r="M187" s="17" t="n">
        <f aca="false">E187+I187</f>
        <v>4488</v>
      </c>
      <c r="N187" s="16" t="n">
        <f aca="false">F187+J187</f>
        <v>24</v>
      </c>
      <c r="O187" s="17" t="n">
        <f aca="false">G187+K187</f>
        <v>2244</v>
      </c>
    </row>
    <row r="188" customFormat="false" ht="15" hidden="false" customHeight="false" outlineLevel="0" collapsed="false">
      <c r="A188" s="6" t="n">
        <v>4413533</v>
      </c>
      <c r="B188" s="6" t="str">
        <f aca="false">IFERROR(INDEX('TRANS'!$A:$A,MATCH($A188,'TRANS'!$B:$B,0)),"")</f>
        <v>ST49 0</v>
      </c>
      <c r="C188" s="6" t="str">
        <f aca="false">IFERROR(INDEX('TRANS'!$C:$C,MATCH($A188,'TRANS'!$B:$B,0)),"")</f>
        <v>ST49 מגן ירך</v>
      </c>
      <c r="D188" s="16" t="n">
        <f aca="false">SUMIFS('CEMI Raw'!$C$6:$C$197,'CEMI Raw'!$E$6:$E$197,$A188,'CEMI Raw'!$B$6:$B$197,2025)</f>
        <v>0</v>
      </c>
      <c r="E188" s="17" t="n">
        <f aca="false">SUMIFS('CEMI Raw'!$D$6:$D$197,'CEMI Raw'!$E$6:$E$197,$A188,'CEMI Raw'!$B$6:$B$197,2025)</f>
        <v>0</v>
      </c>
      <c r="F188" s="16" t="n">
        <f aca="false">SUMIFS('CEMI Raw'!$C$6:$C$197,'CEMI Raw'!$E$6:$E$197,$A188,'CEMI Raw'!$B$6:$B$197,2026)</f>
        <v>3</v>
      </c>
      <c r="G188" s="17" t="n">
        <f aca="false">SUMIFS('CEMI Raw'!$D$6:$D$197,'CEMI Raw'!$E$6:$E$197,$A188,'CEMI Raw'!$B$6:$B$197,2026)</f>
        <v>61.5</v>
      </c>
      <c r="H188" s="16" t="n">
        <f aca="false">SUMIFS('SALES Raw'!$C$6:$C$435,'SALES Raw'!$E$6:$E$435,$A188,'SALES Raw'!$B$6:$B$435,2025)</f>
        <v>36</v>
      </c>
      <c r="I188" s="17" t="n">
        <f aca="false">SUMIFS('SALES Raw'!$D$6:$D$435,'SALES Raw'!$E$6:$E$435,$A188,'SALES Raw'!$B$6:$B$435,2025)</f>
        <v>738</v>
      </c>
      <c r="J188" s="16" t="n">
        <f aca="false">SUMIFS('SALES Raw'!$C$6:$C$435,'SALES Raw'!$E$6:$E$435,$A188,'SALES Raw'!$B$6:$B$435,2026)</f>
        <v>0</v>
      </c>
      <c r="K188" s="17" t="n">
        <f aca="false">SUMIFS('SALES Raw'!$D$6:$D$435,'SALES Raw'!$E$6:$E$435,$A188,'SALES Raw'!$B$6:$B$435,2026)</f>
        <v>0</v>
      </c>
      <c r="L188" s="16" t="n">
        <f aca="false">D188+H188</f>
        <v>36</v>
      </c>
      <c r="M188" s="17" t="n">
        <f aca="false">E188+I188</f>
        <v>738</v>
      </c>
      <c r="N188" s="16" t="n">
        <f aca="false">F188+J188</f>
        <v>3</v>
      </c>
      <c r="O188" s="17" t="n">
        <f aca="false">G188+K188</f>
        <v>61.5</v>
      </c>
    </row>
    <row r="189" customFormat="false" ht="15" hidden="false" customHeight="false" outlineLevel="0" collapsed="false">
      <c r="A189" s="6" t="n">
        <v>4413534</v>
      </c>
      <c r="B189" s="6" t="str">
        <f aca="false">IFERROR(INDEX('TRANS'!$A:$A,MATCH($A189,'TRANS'!$B:$B,0)),"")</f>
        <v>SH333 0</v>
      </c>
      <c r="C189" s="6" t="str">
        <f aca="false">IFERROR(INDEX('TRANS'!$C:$C,MATCH($A189,'TRANS'!$B:$B,0)),"")</f>
        <v>SH333 מקבע קרסול</v>
      </c>
      <c r="D189" s="16" t="n">
        <f aca="false">SUMIFS('CEMI Raw'!$C$6:$C$197,'CEMI Raw'!$E$6:$E$197,$A189,'CEMI Raw'!$B$6:$B$197,2025)</f>
        <v>0</v>
      </c>
      <c r="E189" s="17" t="n">
        <f aca="false">SUMIFS('CEMI Raw'!$D$6:$D$197,'CEMI Raw'!$E$6:$E$197,$A189,'CEMI Raw'!$B$6:$B$197,2025)</f>
        <v>0</v>
      </c>
      <c r="F189" s="16" t="n">
        <f aca="false">SUMIFS('CEMI Raw'!$C$6:$C$197,'CEMI Raw'!$E$6:$E$197,$A189,'CEMI Raw'!$B$6:$B$197,2026)</f>
        <v>21</v>
      </c>
      <c r="G189" s="17" t="n">
        <f aca="false">SUMIFS('CEMI Raw'!$D$6:$D$197,'CEMI Raw'!$E$6:$E$197,$A189,'CEMI Raw'!$B$6:$B$197,2026)</f>
        <v>1932</v>
      </c>
      <c r="H189" s="16" t="n">
        <f aca="false">SUMIFS('SALES Raw'!$C$6:$C$435,'SALES Raw'!$E$6:$E$435,$A189,'SALES Raw'!$B$6:$B$435,2025)</f>
        <v>0</v>
      </c>
      <c r="I189" s="17" t="n">
        <f aca="false">SUMIFS('SALES Raw'!$D$6:$D$435,'SALES Raw'!$E$6:$E$435,$A189,'SALES Raw'!$B$6:$B$435,2025)</f>
        <v>0</v>
      </c>
      <c r="J189" s="16" t="n">
        <f aca="false">SUMIFS('SALES Raw'!$C$6:$C$435,'SALES Raw'!$E$6:$E$435,$A189,'SALES Raw'!$B$6:$B$435,2026)</f>
        <v>0</v>
      </c>
      <c r="K189" s="17" t="n">
        <f aca="false">SUMIFS('SALES Raw'!$D$6:$D$435,'SALES Raw'!$E$6:$E$435,$A189,'SALES Raw'!$B$6:$B$435,2026)</f>
        <v>0</v>
      </c>
      <c r="L189" s="16" t="n">
        <f aca="false">D189+H189</f>
        <v>0</v>
      </c>
      <c r="M189" s="17" t="n">
        <f aca="false">E189+I189</f>
        <v>0</v>
      </c>
      <c r="N189" s="16" t="n">
        <f aca="false">F189+J189</f>
        <v>21</v>
      </c>
      <c r="O189" s="17" t="n">
        <f aca="false">G189+K189</f>
        <v>1932</v>
      </c>
    </row>
    <row r="190" customFormat="false" ht="15" hidden="false" customHeight="false" outlineLevel="0" collapsed="false">
      <c r="A190" s="6" t="n">
        <v>4415019</v>
      </c>
      <c r="B190" s="6" t="str">
        <f aca="false">IFERROR(INDEX('TRANS'!$A:$A,MATCH($A190,'TRANS'!$B:$B,0)),"")</f>
        <v>333 0</v>
      </c>
      <c r="C190" s="6" t="str">
        <f aca="false">IFERROR(INDEX('TRANS'!$C:$C,MATCH($A190,'TRANS'!$B:$B,0)),"")</f>
        <v>333 סד לקרסול עם כריות אויר</v>
      </c>
      <c r="D190" s="16" t="n">
        <f aca="false">SUMIFS('CEMI Raw'!$C$6:$C$197,'CEMI Raw'!$E$6:$E$197,$A190,'CEMI Raw'!$B$6:$B$197,2025)</f>
        <v>0</v>
      </c>
      <c r="E190" s="17" t="n">
        <f aca="false">SUMIFS('CEMI Raw'!$D$6:$D$197,'CEMI Raw'!$E$6:$E$197,$A190,'CEMI Raw'!$B$6:$B$197,2025)</f>
        <v>0</v>
      </c>
      <c r="F190" s="16" t="n">
        <f aca="false">SUMIFS('CEMI Raw'!$C$6:$C$197,'CEMI Raw'!$E$6:$E$197,$A190,'CEMI Raw'!$B$6:$B$197,2026)</f>
        <v>7</v>
      </c>
      <c r="G190" s="17" t="n">
        <f aca="false">SUMIFS('CEMI Raw'!$D$6:$D$197,'CEMI Raw'!$E$6:$E$197,$A190,'CEMI Raw'!$B$6:$B$197,2026)</f>
        <v>632.8</v>
      </c>
      <c r="H190" s="16" t="n">
        <f aca="false">SUMIFS('SALES Raw'!$C$6:$C$435,'SALES Raw'!$E$6:$E$435,$A190,'SALES Raw'!$B$6:$B$435,2025)</f>
        <v>44</v>
      </c>
      <c r="I190" s="17" t="n">
        <f aca="false">SUMIFS('SALES Raw'!$D$6:$D$435,'SALES Raw'!$E$6:$E$435,$A190,'SALES Raw'!$B$6:$B$435,2025)</f>
        <v>4283.4</v>
      </c>
      <c r="J190" s="16" t="n">
        <f aca="false">SUMIFS('SALES Raw'!$C$6:$C$435,'SALES Raw'!$E$6:$E$435,$A190,'SALES Raw'!$B$6:$B$435,2026)</f>
        <v>-1</v>
      </c>
      <c r="K190" s="17" t="n">
        <f aca="false">SUMIFS('SALES Raw'!$D$6:$D$435,'SALES Raw'!$E$6:$E$435,$A190,'SALES Raw'!$B$6:$B$435,2026)</f>
        <v>-97.35</v>
      </c>
      <c r="L190" s="16" t="n">
        <f aca="false">D190+H190</f>
        <v>44</v>
      </c>
      <c r="M190" s="17" t="n">
        <f aca="false">E190+I190</f>
        <v>4283.4</v>
      </c>
      <c r="N190" s="16" t="n">
        <f aca="false">F190+J190</f>
        <v>6</v>
      </c>
      <c r="O190" s="17" t="n">
        <f aca="false">G190+K190</f>
        <v>535.45</v>
      </c>
    </row>
    <row r="191" customFormat="false" ht="15" hidden="false" customHeight="false" outlineLevel="0" collapsed="false">
      <c r="A191" s="6" t="n">
        <v>4415028</v>
      </c>
      <c r="B191" s="6" t="str">
        <f aca="false">IFERROR(INDEX('TRANS'!$A:$A,MATCH($A191,'TRANS'!$B:$B,0)),"")</f>
        <v>AC28 0</v>
      </c>
      <c r="C191" s="6" t="str">
        <f aca="false">IFERROR(INDEX('TRANS'!$C:$C,MATCH($A191,'TRANS'!$B:$B,0)),"")</f>
        <v>AC-28 סד לאגודל</v>
      </c>
      <c r="D191" s="16" t="n">
        <f aca="false">SUMIFS('CEMI Raw'!$C$6:$C$197,'CEMI Raw'!$E$6:$E$197,$A191,'CEMI Raw'!$B$6:$B$197,2025)</f>
        <v>0</v>
      </c>
      <c r="E191" s="17" t="n">
        <f aca="false">SUMIFS('CEMI Raw'!$D$6:$D$197,'CEMI Raw'!$E$6:$E$197,$A191,'CEMI Raw'!$B$6:$B$197,2025)</f>
        <v>0</v>
      </c>
      <c r="F191" s="16" t="n">
        <f aca="false">SUMIFS('CEMI Raw'!$C$6:$C$197,'CEMI Raw'!$E$6:$E$197,$A191,'CEMI Raw'!$B$6:$B$197,2026)</f>
        <v>167</v>
      </c>
      <c r="G191" s="17" t="n">
        <f aca="false">SUMIFS('CEMI Raw'!$D$6:$D$197,'CEMI Raw'!$E$6:$E$197,$A191,'CEMI Raw'!$B$6:$B$197,2026)</f>
        <v>3340</v>
      </c>
      <c r="H191" s="16" t="n">
        <f aca="false">SUMIFS('SALES Raw'!$C$6:$C$435,'SALES Raw'!$E$6:$E$435,$A191,'SALES Raw'!$B$6:$B$435,2025)</f>
        <v>527</v>
      </c>
      <c r="I191" s="17" t="n">
        <f aca="false">SUMIFS('SALES Raw'!$D$6:$D$435,'SALES Raw'!$E$6:$E$435,$A191,'SALES Raw'!$B$6:$B$435,2025)</f>
        <v>10540</v>
      </c>
      <c r="J191" s="16" t="n">
        <f aca="false">SUMIFS('SALES Raw'!$C$6:$C$435,'SALES Raw'!$E$6:$E$435,$A191,'SALES Raw'!$B$6:$B$435,2026)</f>
        <v>128</v>
      </c>
      <c r="K191" s="17" t="n">
        <f aca="false">SUMIFS('SALES Raw'!$D$6:$D$435,'SALES Raw'!$E$6:$E$435,$A191,'SALES Raw'!$B$6:$B$435,2026)</f>
        <v>2668.54</v>
      </c>
      <c r="L191" s="16" t="n">
        <f aca="false">D191+H191</f>
        <v>527</v>
      </c>
      <c r="M191" s="17" t="n">
        <f aca="false">E191+I191</f>
        <v>10540</v>
      </c>
      <c r="N191" s="16" t="n">
        <f aca="false">F191+J191</f>
        <v>295</v>
      </c>
      <c r="O191" s="17" t="n">
        <f aca="false">G191+K191</f>
        <v>6008.54</v>
      </c>
    </row>
    <row r="192" customFormat="false" ht="15" hidden="false" customHeight="false" outlineLevel="0" collapsed="false">
      <c r="A192" s="6" t="n">
        <v>4415080</v>
      </c>
      <c r="B192" s="6" t="str">
        <f aca="false">IFERROR(INDEX('TRANS'!$A:$A,MATCH($A192,'TRANS'!$B:$B,0)),"")</f>
        <v>PD346 0</v>
      </c>
      <c r="C192" s="6" t="str">
        <f aca="false">IFERROR(INDEX('TRANS'!$C:$C,MATCH($A192,'TRANS'!$B:$B,0)),"")</f>
        <v>PD346-10 סכינים למקצוע</v>
      </c>
      <c r="D192" s="16" t="n">
        <f aca="false">SUMIFS('CEMI Raw'!$C$6:$C$197,'CEMI Raw'!$E$6:$E$197,$A192,'CEMI Raw'!$B$6:$B$197,2025)</f>
        <v>0</v>
      </c>
      <c r="E192" s="17" t="n">
        <f aca="false">SUMIFS('CEMI Raw'!$D$6:$D$197,'CEMI Raw'!$E$6:$E$197,$A192,'CEMI Raw'!$B$6:$B$197,2025)</f>
        <v>0</v>
      </c>
      <c r="F192" s="16" t="n">
        <f aca="false">SUMIFS('CEMI Raw'!$C$6:$C$197,'CEMI Raw'!$E$6:$E$197,$A192,'CEMI Raw'!$B$6:$B$197,2026)</f>
        <v>17</v>
      </c>
      <c r="G192" s="17" t="n">
        <f aca="false">SUMIFS('CEMI Raw'!$D$6:$D$197,'CEMI Raw'!$E$6:$E$197,$A192,'CEMI Raw'!$B$6:$B$197,2026)</f>
        <v>115.6</v>
      </c>
      <c r="H192" s="16" t="n">
        <f aca="false">SUMIFS('SALES Raw'!$C$6:$C$435,'SALES Raw'!$E$6:$E$435,$A192,'SALES Raw'!$B$6:$B$435,2025)</f>
        <v>58</v>
      </c>
      <c r="I192" s="17" t="n">
        <f aca="false">SUMIFS('SALES Raw'!$D$6:$D$435,'SALES Raw'!$E$6:$E$435,$A192,'SALES Raw'!$B$6:$B$435,2025)</f>
        <v>394.4</v>
      </c>
      <c r="J192" s="16" t="n">
        <f aca="false">SUMIFS('SALES Raw'!$C$6:$C$435,'SALES Raw'!$E$6:$E$435,$A192,'SALES Raw'!$B$6:$B$435,2026)</f>
        <v>19</v>
      </c>
      <c r="K192" s="17" t="n">
        <f aca="false">SUMIFS('SALES Raw'!$D$6:$D$435,'SALES Raw'!$E$6:$E$435,$A192,'SALES Raw'!$B$6:$B$435,2026)</f>
        <v>129.2</v>
      </c>
      <c r="L192" s="16" t="n">
        <f aca="false">D192+H192</f>
        <v>58</v>
      </c>
      <c r="M192" s="17" t="n">
        <f aca="false">E192+I192</f>
        <v>394.4</v>
      </c>
      <c r="N192" s="16" t="n">
        <f aca="false">F192+J192</f>
        <v>36</v>
      </c>
      <c r="O192" s="17" t="n">
        <f aca="false">G192+K192</f>
        <v>244.8</v>
      </c>
    </row>
    <row r="193" customFormat="false" ht="15" hidden="false" customHeight="false" outlineLevel="0" collapsed="false">
      <c r="A193" s="6" t="n">
        <v>4415158</v>
      </c>
      <c r="B193" s="6" t="str">
        <f aca="false">IFERROR(INDEX('TRANS'!$A:$A,MATCH($A193,'TRANS'!$B:$B,0)),"")</f>
        <v>266 0</v>
      </c>
      <c r="C193" s="6" t="str">
        <f aca="false">IFERROR(INDEX('TRANS'!$C:$C,MATCH($A193,'TRANS'!$B:$B,0)),"")</f>
        <v>266 סד ליד דו צדדי</v>
      </c>
      <c r="D193" s="16" t="n">
        <f aca="false">SUMIFS('CEMI Raw'!$C$6:$C$197,'CEMI Raw'!$E$6:$E$197,$A193,'CEMI Raw'!$B$6:$B$197,2025)</f>
        <v>0</v>
      </c>
      <c r="E193" s="17" t="n">
        <f aca="false">SUMIFS('CEMI Raw'!$D$6:$D$197,'CEMI Raw'!$E$6:$E$197,$A193,'CEMI Raw'!$B$6:$B$197,2025)</f>
        <v>0</v>
      </c>
      <c r="F193" s="16" t="n">
        <f aca="false">SUMIFS('CEMI Raw'!$C$6:$C$197,'CEMI Raw'!$E$6:$E$197,$A193,'CEMI Raw'!$B$6:$B$197,2026)</f>
        <v>648</v>
      </c>
      <c r="G193" s="17" t="n">
        <f aca="false">SUMIFS('CEMI Raw'!$D$6:$D$197,'CEMI Raw'!$E$6:$E$197,$A193,'CEMI Raw'!$B$6:$B$197,2026)</f>
        <v>29484</v>
      </c>
      <c r="H193" s="16" t="n">
        <f aca="false">SUMIFS('SALES Raw'!$C$6:$C$435,'SALES Raw'!$E$6:$E$435,$A193,'SALES Raw'!$B$6:$B$435,2025)</f>
        <v>1741</v>
      </c>
      <c r="I193" s="17" t="n">
        <f aca="false">SUMIFS('SALES Raw'!$D$6:$D$435,'SALES Raw'!$E$6:$E$435,$A193,'SALES Raw'!$B$6:$B$435,2025)</f>
        <v>79215.5</v>
      </c>
      <c r="J193" s="16" t="n">
        <f aca="false">SUMIFS('SALES Raw'!$C$6:$C$435,'SALES Raw'!$E$6:$E$435,$A193,'SALES Raw'!$B$6:$B$435,2026)</f>
        <v>471</v>
      </c>
      <c r="K193" s="17" t="n">
        <f aca="false">SUMIFS('SALES Raw'!$D$6:$D$435,'SALES Raw'!$E$6:$E$435,$A193,'SALES Raw'!$B$6:$B$435,2026)</f>
        <v>21430.5</v>
      </c>
      <c r="L193" s="16" t="n">
        <f aca="false">D193+H193</f>
        <v>1741</v>
      </c>
      <c r="M193" s="17" t="n">
        <f aca="false">E193+I193</f>
        <v>79215.5</v>
      </c>
      <c r="N193" s="16" t="n">
        <f aca="false">F193+J193</f>
        <v>1119</v>
      </c>
      <c r="O193" s="17" t="n">
        <f aca="false">G193+K193</f>
        <v>50914.5</v>
      </c>
    </row>
    <row r="194" customFormat="false" ht="15" hidden="false" customHeight="false" outlineLevel="0" collapsed="false">
      <c r="A194" s="6" t="n">
        <v>4415159</v>
      </c>
      <c r="B194" s="6" t="str">
        <f aca="false">IFERROR(INDEX('TRANS'!$A:$A,MATCH($A194,'TRANS'!$B:$B,0)),"")</f>
        <v>268 0</v>
      </c>
      <c r="C194" s="6" t="str">
        <f aca="false">IFERROR(INDEX('TRANS'!$C:$C,MATCH($A194,'TRANS'!$B:$B,0)),"")</f>
        <v>268 סד לאגודל</v>
      </c>
      <c r="D194" s="16" t="n">
        <f aca="false">SUMIFS('CEMI Raw'!$C$6:$C$197,'CEMI Raw'!$E$6:$E$197,$A194,'CEMI Raw'!$B$6:$B$197,2025)</f>
        <v>0</v>
      </c>
      <c r="E194" s="17" t="n">
        <f aca="false">SUMIFS('CEMI Raw'!$D$6:$D$197,'CEMI Raw'!$E$6:$E$197,$A194,'CEMI Raw'!$B$6:$B$197,2025)</f>
        <v>0</v>
      </c>
      <c r="F194" s="16" t="n">
        <f aca="false">SUMIFS('CEMI Raw'!$C$6:$C$197,'CEMI Raw'!$E$6:$E$197,$A194,'CEMI Raw'!$B$6:$B$197,2026)</f>
        <v>274</v>
      </c>
      <c r="G194" s="17" t="n">
        <f aca="false">SUMIFS('CEMI Raw'!$D$6:$D$197,'CEMI Raw'!$E$6:$E$197,$A194,'CEMI Raw'!$B$6:$B$197,2026)</f>
        <v>21317.2</v>
      </c>
      <c r="H194" s="16" t="n">
        <f aca="false">SUMIFS('SALES Raw'!$C$6:$C$435,'SALES Raw'!$E$6:$E$435,$A194,'SALES Raw'!$B$6:$B$435,2025)</f>
        <v>671</v>
      </c>
      <c r="I194" s="17" t="n">
        <f aca="false">SUMIFS('SALES Raw'!$D$6:$D$435,'SALES Raw'!$E$6:$E$435,$A194,'SALES Raw'!$B$6:$B$435,2025)</f>
        <v>52203.8</v>
      </c>
      <c r="J194" s="16" t="n">
        <f aca="false">SUMIFS('SALES Raw'!$C$6:$C$435,'SALES Raw'!$E$6:$E$435,$A194,'SALES Raw'!$B$6:$B$435,2026)</f>
        <v>218</v>
      </c>
      <c r="K194" s="17" t="n">
        <f aca="false">SUMIFS('SALES Raw'!$D$6:$D$435,'SALES Raw'!$E$6:$E$435,$A194,'SALES Raw'!$B$6:$B$435,2026)</f>
        <v>16960.4</v>
      </c>
      <c r="L194" s="16" t="n">
        <f aca="false">D194+H194</f>
        <v>671</v>
      </c>
      <c r="M194" s="17" t="n">
        <f aca="false">E194+I194</f>
        <v>52203.8</v>
      </c>
      <c r="N194" s="16" t="n">
        <f aca="false">F194+J194</f>
        <v>492</v>
      </c>
      <c r="O194" s="17" t="n">
        <f aca="false">G194+K194</f>
        <v>38277.6</v>
      </c>
    </row>
    <row r="195" customFormat="false" ht="15" hidden="false" customHeight="false" outlineLevel="0" collapsed="false">
      <c r="A195" s="6" t="n">
        <v>4415177</v>
      </c>
      <c r="B195" s="6" t="str">
        <f aca="false">IFERROR(INDEX('TRANS'!$A:$A,MATCH($A195,'TRANS'!$B:$B,0)),"")</f>
        <v>ST28 0</v>
      </c>
      <c r="C195" s="6" t="str">
        <f aca="false">IFERROR(INDEX('TRANS'!$C:$C,MATCH($A195,'TRANS'!$B:$B,0)),"")</f>
        <v>ST28 סד אגודלי עם מוט תמיכה</v>
      </c>
      <c r="D195" s="16" t="n">
        <f aca="false">SUMIFS('CEMI Raw'!$C$6:$C$197,'CEMI Raw'!$E$6:$E$197,$A195,'CEMI Raw'!$B$6:$B$197,2025)</f>
        <v>0</v>
      </c>
      <c r="E195" s="17" t="n">
        <f aca="false">SUMIFS('CEMI Raw'!$D$6:$D$197,'CEMI Raw'!$E$6:$E$197,$A195,'CEMI Raw'!$B$6:$B$197,2025)</f>
        <v>0</v>
      </c>
      <c r="F195" s="16" t="n">
        <f aca="false">SUMIFS('CEMI Raw'!$C$6:$C$197,'CEMI Raw'!$E$6:$E$197,$A195,'CEMI Raw'!$B$6:$B$197,2026)</f>
        <v>32</v>
      </c>
      <c r="G195" s="17" t="n">
        <f aca="false">SUMIFS('CEMI Raw'!$D$6:$D$197,'CEMI Raw'!$E$6:$E$197,$A195,'CEMI Raw'!$B$6:$B$197,2026)</f>
        <v>800</v>
      </c>
      <c r="H195" s="16" t="n">
        <f aca="false">SUMIFS('SALES Raw'!$C$6:$C$435,'SALES Raw'!$E$6:$E$435,$A195,'SALES Raw'!$B$6:$B$435,2025)</f>
        <v>223</v>
      </c>
      <c r="I195" s="17" t="n">
        <f aca="false">SUMIFS('SALES Raw'!$D$6:$D$435,'SALES Raw'!$E$6:$E$435,$A195,'SALES Raw'!$B$6:$B$435,2025)</f>
        <v>5575</v>
      </c>
      <c r="J195" s="16" t="n">
        <f aca="false">SUMIFS('SALES Raw'!$C$6:$C$435,'SALES Raw'!$E$6:$E$435,$A195,'SALES Raw'!$B$6:$B$435,2026)</f>
        <v>70</v>
      </c>
      <c r="K195" s="17" t="n">
        <f aca="false">SUMIFS('SALES Raw'!$D$6:$D$435,'SALES Raw'!$E$6:$E$435,$A195,'SALES Raw'!$B$6:$B$435,2026)</f>
        <v>1750</v>
      </c>
      <c r="L195" s="16" t="n">
        <f aca="false">D195+H195</f>
        <v>223</v>
      </c>
      <c r="M195" s="17" t="n">
        <f aca="false">E195+I195</f>
        <v>5575</v>
      </c>
      <c r="N195" s="16" t="n">
        <f aca="false">F195+J195</f>
        <v>102</v>
      </c>
      <c r="O195" s="17" t="n">
        <f aca="false">G195+K195</f>
        <v>2550</v>
      </c>
    </row>
    <row r="196" customFormat="false" ht="15" hidden="false" customHeight="false" outlineLevel="0" collapsed="false">
      <c r="A196" s="6" t="n">
        <v>4415298</v>
      </c>
      <c r="B196" s="6" t="str">
        <f aca="false">IFERROR(INDEX('TRANS'!$A:$A,MATCH($A196,'TRANS'!$B:$B,0)),"")</f>
        <v>388BL 0</v>
      </c>
      <c r="C196" s="6" t="str">
        <f aca="false">IFERROR(INDEX('TRANS'!$C:$C,MATCH($A196,'TRANS'!$B:$B,0)),"")</f>
        <v>388B L סד לילה שחור לבוהן שמאל</v>
      </c>
      <c r="D196" s="16" t="n">
        <f aca="false">SUMIFS('CEMI Raw'!$C$6:$C$197,'CEMI Raw'!$E$6:$E$197,$A196,'CEMI Raw'!$B$6:$B$197,2025)</f>
        <v>0</v>
      </c>
      <c r="E196" s="17" t="n">
        <f aca="false">SUMIFS('CEMI Raw'!$D$6:$D$197,'CEMI Raw'!$E$6:$E$197,$A196,'CEMI Raw'!$B$6:$B$197,2025)</f>
        <v>0</v>
      </c>
      <c r="F196" s="16" t="n">
        <f aca="false">SUMIFS('CEMI Raw'!$C$6:$C$197,'CEMI Raw'!$E$6:$E$197,$A196,'CEMI Raw'!$B$6:$B$197,2026)</f>
        <v>16</v>
      </c>
      <c r="G196" s="17" t="n">
        <f aca="false">SUMIFS('CEMI Raw'!$D$6:$D$197,'CEMI Raw'!$E$6:$E$197,$A196,'CEMI Raw'!$B$6:$B$197,2026)</f>
        <v>672</v>
      </c>
      <c r="H196" s="16" t="n">
        <f aca="false">SUMIFS('SALES Raw'!$C$6:$C$435,'SALES Raw'!$E$6:$E$435,$A196,'SALES Raw'!$B$6:$B$435,2025)</f>
        <v>43</v>
      </c>
      <c r="I196" s="17" t="n">
        <f aca="false">SUMIFS('SALES Raw'!$D$6:$D$435,'SALES Raw'!$E$6:$E$435,$A196,'SALES Raw'!$B$6:$B$435,2025)</f>
        <v>1806</v>
      </c>
      <c r="J196" s="16" t="n">
        <f aca="false">SUMIFS('SALES Raw'!$C$6:$C$435,'SALES Raw'!$E$6:$E$435,$A196,'SALES Raw'!$B$6:$B$435,2026)</f>
        <v>7</v>
      </c>
      <c r="K196" s="17" t="n">
        <f aca="false">SUMIFS('SALES Raw'!$D$6:$D$435,'SALES Raw'!$E$6:$E$435,$A196,'SALES Raw'!$B$6:$B$435,2026)</f>
        <v>294</v>
      </c>
      <c r="L196" s="16" t="n">
        <f aca="false">D196+H196</f>
        <v>43</v>
      </c>
      <c r="M196" s="17" t="n">
        <f aca="false">E196+I196</f>
        <v>1806</v>
      </c>
      <c r="N196" s="16" t="n">
        <f aca="false">F196+J196</f>
        <v>23</v>
      </c>
      <c r="O196" s="17" t="n">
        <f aca="false">G196+K196</f>
        <v>966</v>
      </c>
    </row>
    <row r="197" customFormat="false" ht="15" hidden="false" customHeight="false" outlineLevel="0" collapsed="false">
      <c r="A197" s="6" t="n">
        <v>4415299</v>
      </c>
      <c r="B197" s="6" t="str">
        <f aca="false">IFERROR(INDEX('TRANS'!$A:$A,MATCH($A197,'TRANS'!$B:$B,0)),"")</f>
        <v>388BR 0</v>
      </c>
      <c r="C197" s="6" t="str">
        <f aca="false">IFERROR(INDEX('TRANS'!$C:$C,MATCH($A197,'TRANS'!$B:$B,0)),"")</f>
        <v>388B L סד לילה שחור לבוהן ימין</v>
      </c>
      <c r="D197" s="16" t="n">
        <f aca="false">SUMIFS('CEMI Raw'!$C$6:$C$197,'CEMI Raw'!$E$6:$E$197,$A197,'CEMI Raw'!$B$6:$B$197,2025)</f>
        <v>0</v>
      </c>
      <c r="E197" s="17" t="n">
        <f aca="false">SUMIFS('CEMI Raw'!$D$6:$D$197,'CEMI Raw'!$E$6:$E$197,$A197,'CEMI Raw'!$B$6:$B$197,2025)</f>
        <v>0</v>
      </c>
      <c r="F197" s="16" t="n">
        <f aca="false">SUMIFS('CEMI Raw'!$C$6:$C$197,'CEMI Raw'!$E$6:$E$197,$A197,'CEMI Raw'!$B$6:$B$197,2026)</f>
        <v>27</v>
      </c>
      <c r="G197" s="17" t="n">
        <f aca="false">SUMIFS('CEMI Raw'!$D$6:$D$197,'CEMI Raw'!$E$6:$E$197,$A197,'CEMI Raw'!$B$6:$B$197,2026)</f>
        <v>1134</v>
      </c>
      <c r="H197" s="16" t="n">
        <f aca="false">SUMIFS('SALES Raw'!$C$6:$C$435,'SALES Raw'!$E$6:$E$435,$A197,'SALES Raw'!$B$6:$B$435,2025)</f>
        <v>38</v>
      </c>
      <c r="I197" s="17" t="n">
        <f aca="false">SUMIFS('SALES Raw'!$D$6:$D$435,'SALES Raw'!$E$6:$E$435,$A197,'SALES Raw'!$B$6:$B$435,2025)</f>
        <v>1596</v>
      </c>
      <c r="J197" s="16" t="n">
        <f aca="false">SUMIFS('SALES Raw'!$C$6:$C$435,'SALES Raw'!$E$6:$E$435,$A197,'SALES Raw'!$B$6:$B$435,2026)</f>
        <v>8</v>
      </c>
      <c r="K197" s="17" t="n">
        <f aca="false">SUMIFS('SALES Raw'!$D$6:$D$435,'SALES Raw'!$E$6:$E$435,$A197,'SALES Raw'!$B$6:$B$435,2026)</f>
        <v>336</v>
      </c>
      <c r="L197" s="16" t="n">
        <f aca="false">D197+H197</f>
        <v>38</v>
      </c>
      <c r="M197" s="17" t="n">
        <f aca="false">E197+I197</f>
        <v>1596</v>
      </c>
      <c r="N197" s="16" t="n">
        <f aca="false">F197+J197</f>
        <v>35</v>
      </c>
      <c r="O197" s="17" t="n">
        <f aca="false">G197+K197</f>
        <v>1470</v>
      </c>
    </row>
    <row r="198" customFormat="false" ht="15" hidden="false" customHeight="false" outlineLevel="0" collapsed="false">
      <c r="A198" s="6" t="n">
        <v>4416000</v>
      </c>
      <c r="B198" s="6" t="str">
        <f aca="false">IFERROR(INDEX('TRANS'!$A:$A,MATCH($A198,'TRANS'!$B:$B,0)),"")</f>
        <v>307 L</v>
      </c>
      <c r="C198" s="6" t="str">
        <f aca="false">IFERROR(INDEX('TRANS'!$C:$C,MATCH($A198,'TRANS'!$B:$B,0)),"")</f>
        <v>307 L עקבים לדורבן-זוג כריות</v>
      </c>
      <c r="D198" s="16" t="n">
        <f aca="false">SUMIFS('CEMI Raw'!$C$6:$C$197,'CEMI Raw'!$E$6:$E$197,$A198,'CEMI Raw'!$B$6:$B$197,2025)</f>
        <v>0</v>
      </c>
      <c r="E198" s="17" t="n">
        <f aca="false">SUMIFS('CEMI Raw'!$D$6:$D$197,'CEMI Raw'!$E$6:$E$197,$A198,'CEMI Raw'!$B$6:$B$197,2025)</f>
        <v>0</v>
      </c>
      <c r="F198" s="16" t="n">
        <f aca="false">SUMIFS('CEMI Raw'!$C$6:$C$197,'CEMI Raw'!$E$6:$E$197,$A198,'CEMI Raw'!$B$6:$B$197,2026)</f>
        <v>85</v>
      </c>
      <c r="G198" s="17" t="n">
        <f aca="false">SUMIFS('CEMI Raw'!$D$6:$D$197,'CEMI Raw'!$E$6:$E$197,$A198,'CEMI Raw'!$B$6:$B$197,2026)</f>
        <v>5251.4</v>
      </c>
      <c r="H198" s="16" t="n">
        <f aca="false">SUMIFS('SALES Raw'!$C$6:$C$435,'SALES Raw'!$E$6:$E$435,$A198,'SALES Raw'!$B$6:$B$435,2025)</f>
        <v>294</v>
      </c>
      <c r="I198" s="17" t="n">
        <f aca="false">SUMIFS('SALES Raw'!$D$6:$D$435,'SALES Raw'!$E$6:$E$435,$A198,'SALES Raw'!$B$6:$B$435,2025)</f>
        <v>18601.38</v>
      </c>
      <c r="J198" s="16" t="n">
        <f aca="false">SUMIFS('SALES Raw'!$C$6:$C$435,'SALES Raw'!$E$6:$E$435,$A198,'SALES Raw'!$B$6:$B$435,2026)</f>
        <v>68</v>
      </c>
      <c r="K198" s="17" t="n">
        <f aca="false">SUMIFS('SALES Raw'!$D$6:$D$435,'SALES Raw'!$E$6:$E$435,$A198,'SALES Raw'!$B$6:$B$435,2026)</f>
        <v>4421.94</v>
      </c>
      <c r="L198" s="16" t="n">
        <f aca="false">D198+H198</f>
        <v>294</v>
      </c>
      <c r="M198" s="17" t="n">
        <f aca="false">E198+I198</f>
        <v>18601.38</v>
      </c>
      <c r="N198" s="16" t="n">
        <f aca="false">F198+J198</f>
        <v>153</v>
      </c>
      <c r="O198" s="17" t="n">
        <f aca="false">G198+K198</f>
        <v>9673.34</v>
      </c>
    </row>
    <row r="199" customFormat="false" ht="15" hidden="false" customHeight="false" outlineLevel="0" collapsed="false">
      <c r="A199" s="6" t="n">
        <v>4416001</v>
      </c>
      <c r="B199" s="6" t="str">
        <f aca="false">IFERROR(INDEX('TRANS'!$A:$A,MATCH($A199,'TRANS'!$B:$B,0)),"")</f>
        <v>307 M</v>
      </c>
      <c r="C199" s="6" t="str">
        <f aca="false">IFERROR(INDEX('TRANS'!$C:$C,MATCH($A199,'TRANS'!$B:$B,0)),"")</f>
        <v>307 M עקבים לדורבן-זוג כריות</v>
      </c>
      <c r="D199" s="16" t="n">
        <f aca="false">SUMIFS('CEMI Raw'!$C$6:$C$197,'CEMI Raw'!$E$6:$E$197,$A199,'CEMI Raw'!$B$6:$B$197,2025)</f>
        <v>0</v>
      </c>
      <c r="E199" s="17" t="n">
        <f aca="false">SUMIFS('CEMI Raw'!$D$6:$D$197,'CEMI Raw'!$E$6:$E$197,$A199,'CEMI Raw'!$B$6:$B$197,2025)</f>
        <v>0</v>
      </c>
      <c r="F199" s="16" t="n">
        <f aca="false">SUMIFS('CEMI Raw'!$C$6:$C$197,'CEMI Raw'!$E$6:$E$197,$A199,'CEMI Raw'!$B$6:$B$197,2026)</f>
        <v>87</v>
      </c>
      <c r="G199" s="17" t="n">
        <f aca="false">SUMIFS('CEMI Raw'!$D$6:$D$197,'CEMI Raw'!$E$6:$E$197,$A199,'CEMI Raw'!$B$6:$B$197,2026)</f>
        <v>5393.8</v>
      </c>
      <c r="H199" s="16" t="n">
        <f aca="false">SUMIFS('SALES Raw'!$C$6:$C$435,'SALES Raw'!$E$6:$E$435,$A199,'SALES Raw'!$B$6:$B$435,2025)</f>
        <v>293</v>
      </c>
      <c r="I199" s="17" t="n">
        <f aca="false">SUMIFS('SALES Raw'!$D$6:$D$435,'SALES Raw'!$E$6:$E$435,$A199,'SALES Raw'!$B$6:$B$435,2025)</f>
        <v>18538.11</v>
      </c>
      <c r="J199" s="16" t="n">
        <f aca="false">SUMIFS('SALES Raw'!$C$6:$C$435,'SALES Raw'!$E$6:$E$435,$A199,'SALES Raw'!$B$6:$B$435,2026)</f>
        <v>62</v>
      </c>
      <c r="K199" s="17" t="n">
        <f aca="false">SUMIFS('SALES Raw'!$D$6:$D$435,'SALES Raw'!$E$6:$E$435,$A199,'SALES Raw'!$B$6:$B$435,2026)</f>
        <v>4042.32</v>
      </c>
      <c r="L199" s="16" t="n">
        <f aca="false">D199+H199</f>
        <v>293</v>
      </c>
      <c r="M199" s="17" t="n">
        <f aca="false">E199+I199</f>
        <v>18538.11</v>
      </c>
      <c r="N199" s="16" t="n">
        <f aca="false">F199+J199</f>
        <v>149</v>
      </c>
      <c r="O199" s="17" t="n">
        <f aca="false">G199+K199</f>
        <v>9436.12</v>
      </c>
    </row>
    <row r="200" customFormat="false" ht="15" hidden="false" customHeight="false" outlineLevel="0" collapsed="false">
      <c r="A200" s="6" t="n">
        <v>4416002</v>
      </c>
      <c r="B200" s="6" t="str">
        <f aca="false">IFERROR(INDEX('TRANS'!$A:$A,MATCH($A200,'TRANS'!$B:$B,0)),"")</f>
        <v>307 S</v>
      </c>
      <c r="C200" s="6" t="str">
        <f aca="false">IFERROR(INDEX('TRANS'!$C:$C,MATCH($A200,'TRANS'!$B:$B,0)),"")</f>
        <v>307 S עקבים לדורבן-זוג כריות</v>
      </c>
      <c r="D200" s="16" t="n">
        <f aca="false">SUMIFS('CEMI Raw'!$C$6:$C$197,'CEMI Raw'!$E$6:$E$197,$A200,'CEMI Raw'!$B$6:$B$197,2025)</f>
        <v>0</v>
      </c>
      <c r="E200" s="17" t="n">
        <f aca="false">SUMIFS('CEMI Raw'!$D$6:$D$197,'CEMI Raw'!$E$6:$E$197,$A200,'CEMI Raw'!$B$6:$B$197,2025)</f>
        <v>0</v>
      </c>
      <c r="F200" s="16" t="n">
        <f aca="false">SUMIFS('CEMI Raw'!$C$6:$C$197,'CEMI Raw'!$E$6:$E$197,$A200,'CEMI Raw'!$B$6:$B$197,2026)</f>
        <v>23</v>
      </c>
      <c r="G200" s="17" t="n">
        <f aca="false">SUMIFS('CEMI Raw'!$D$6:$D$197,'CEMI Raw'!$E$6:$E$197,$A200,'CEMI Raw'!$B$6:$B$197,2026)</f>
        <v>1455.2</v>
      </c>
      <c r="H200" s="16" t="n">
        <f aca="false">SUMIFS('SALES Raw'!$C$6:$C$435,'SALES Raw'!$E$6:$E$435,$A200,'SALES Raw'!$B$6:$B$435,2025)</f>
        <v>65</v>
      </c>
      <c r="I200" s="17" t="n">
        <f aca="false">SUMIFS('SALES Raw'!$D$6:$D$435,'SALES Raw'!$E$6:$E$435,$A200,'SALES Raw'!$B$6:$B$435,2025)</f>
        <v>4112.55</v>
      </c>
      <c r="J200" s="16" t="n">
        <f aca="false">SUMIFS('SALES Raw'!$C$6:$C$435,'SALES Raw'!$E$6:$E$435,$A200,'SALES Raw'!$B$6:$B$435,2026)</f>
        <v>12</v>
      </c>
      <c r="K200" s="17" t="n">
        <f aca="false">SUMIFS('SALES Raw'!$D$6:$D$435,'SALES Raw'!$E$6:$E$435,$A200,'SALES Raw'!$B$6:$B$435,2026)</f>
        <v>878.82</v>
      </c>
      <c r="L200" s="16" t="n">
        <f aca="false">D200+H200</f>
        <v>65</v>
      </c>
      <c r="M200" s="17" t="n">
        <f aca="false">E200+I200</f>
        <v>4112.55</v>
      </c>
      <c r="N200" s="16" t="n">
        <f aca="false">F200+J200</f>
        <v>35</v>
      </c>
      <c r="O200" s="17" t="n">
        <f aca="false">G200+K200</f>
        <v>2334.02</v>
      </c>
    </row>
    <row r="201" customFormat="false" ht="15" hidden="false" customHeight="false" outlineLevel="0" collapsed="false">
      <c r="A201" s="6" t="n">
        <v>4417000</v>
      </c>
      <c r="B201" s="6" t="str">
        <f aca="false">IFERROR(INDEX('TRANS'!$A:$A,MATCH($A201,'TRANS'!$B:$B,0)),"")</f>
        <v>PD342 0</v>
      </c>
      <c r="C201" s="6" t="str">
        <f aca="false">IFERROR(INDEX('TRANS'!$C:$C,MATCH($A201,'TRANS'!$B:$B,0)),"")</f>
        <v>PD342-פומפיה להסרת עור קשה</v>
      </c>
      <c r="D201" s="16" t="n">
        <f aca="false">SUMIFS('CEMI Raw'!$C$6:$C$197,'CEMI Raw'!$E$6:$E$197,$A201,'CEMI Raw'!$B$6:$B$197,2025)</f>
        <v>0</v>
      </c>
      <c r="E201" s="17" t="n">
        <f aca="false">SUMIFS('CEMI Raw'!$D$6:$D$197,'CEMI Raw'!$E$6:$E$197,$A201,'CEMI Raw'!$B$6:$B$197,2025)</f>
        <v>0</v>
      </c>
      <c r="F201" s="16" t="n">
        <f aca="false">SUMIFS('CEMI Raw'!$C$6:$C$197,'CEMI Raw'!$E$6:$E$197,$A201,'CEMI Raw'!$B$6:$B$197,2026)</f>
        <v>46</v>
      </c>
      <c r="G201" s="17" t="n">
        <f aca="false">SUMIFS('CEMI Raw'!$D$6:$D$197,'CEMI Raw'!$E$6:$E$197,$A201,'CEMI Raw'!$B$6:$B$197,2026)</f>
        <v>821.2</v>
      </c>
      <c r="H201" s="16" t="n">
        <f aca="false">SUMIFS('SALES Raw'!$C$6:$C$435,'SALES Raw'!$E$6:$E$435,$A201,'SALES Raw'!$B$6:$B$435,2025)</f>
        <v>205</v>
      </c>
      <c r="I201" s="17" t="n">
        <f aca="false">SUMIFS('SALES Raw'!$D$6:$D$435,'SALES Raw'!$E$6:$E$435,$A201,'SALES Raw'!$B$6:$B$435,2025)</f>
        <v>3679.75</v>
      </c>
      <c r="J201" s="16" t="n">
        <f aca="false">SUMIFS('SALES Raw'!$C$6:$C$435,'SALES Raw'!$E$6:$E$435,$A201,'SALES Raw'!$B$6:$B$435,2026)</f>
        <v>42</v>
      </c>
      <c r="K201" s="17" t="n">
        <f aca="false">SUMIFS('SALES Raw'!$D$6:$D$435,'SALES Raw'!$E$6:$E$435,$A201,'SALES Raw'!$B$6:$B$435,2026)</f>
        <v>753.9</v>
      </c>
      <c r="L201" s="16" t="n">
        <f aca="false">D201+H201</f>
        <v>205</v>
      </c>
      <c r="M201" s="17" t="n">
        <f aca="false">E201+I201</f>
        <v>3679.75</v>
      </c>
      <c r="N201" s="16" t="n">
        <f aca="false">F201+J201</f>
        <v>88</v>
      </c>
      <c r="O201" s="17" t="n">
        <f aca="false">G201+K201</f>
        <v>1575.1</v>
      </c>
    </row>
    <row r="202" customFormat="false" ht="15" hidden="false" customHeight="false" outlineLevel="0" collapsed="false">
      <c r="A202" s="6" t="n">
        <v>4419006</v>
      </c>
      <c r="B202" s="6" t="str">
        <f aca="false">IFERROR(INDEX('TRANS'!$A:$A,MATCH($A202,'TRANS'!$B:$B,0)),"")</f>
        <v>PD340 0</v>
      </c>
      <c r="C202" s="6" t="str">
        <f aca="false">IFERROR(INDEX('TRANS'!$C:$C,MATCH($A202,'TRANS'!$B:$B,0)),"")</f>
        <v>PD340-קוצץ ציפורניים</v>
      </c>
      <c r="D202" s="16" t="n">
        <f aca="false">SUMIFS('CEMI Raw'!$C$6:$C$197,'CEMI Raw'!$E$6:$E$197,$A202,'CEMI Raw'!$B$6:$B$197,2025)</f>
        <v>0</v>
      </c>
      <c r="E202" s="17" t="n">
        <f aca="false">SUMIFS('CEMI Raw'!$D$6:$D$197,'CEMI Raw'!$E$6:$E$197,$A202,'CEMI Raw'!$B$6:$B$197,2025)</f>
        <v>0</v>
      </c>
      <c r="F202" s="16" t="n">
        <f aca="false">SUMIFS('CEMI Raw'!$C$6:$C$197,'CEMI Raw'!$E$6:$E$197,$A202,'CEMI Raw'!$B$6:$B$197,2026)</f>
        <v>290</v>
      </c>
      <c r="G202" s="17" t="n">
        <f aca="false">SUMIFS('CEMI Raw'!$D$6:$D$197,'CEMI Raw'!$E$6:$E$197,$A202,'CEMI Raw'!$B$6:$B$197,2026)</f>
        <v>2925</v>
      </c>
      <c r="H202" s="16" t="n">
        <f aca="false">SUMIFS('SALES Raw'!$C$6:$C$435,'SALES Raw'!$E$6:$E$435,$A202,'SALES Raw'!$B$6:$B$435,2025)</f>
        <v>442</v>
      </c>
      <c r="I202" s="17" t="n">
        <f aca="false">SUMIFS('SALES Raw'!$D$6:$D$435,'SALES Raw'!$E$6:$E$435,$A202,'SALES Raw'!$B$6:$B$435,2025)</f>
        <v>4596.8</v>
      </c>
      <c r="J202" s="16" t="n">
        <f aca="false">SUMIFS('SALES Raw'!$C$6:$C$435,'SALES Raw'!$E$6:$E$435,$A202,'SALES Raw'!$B$6:$B$435,2026)</f>
        <v>123</v>
      </c>
      <c r="K202" s="17" t="n">
        <f aca="false">SUMIFS('SALES Raw'!$D$6:$D$435,'SALES Raw'!$E$6:$E$435,$A202,'SALES Raw'!$B$6:$B$435,2026)</f>
        <v>1279.2</v>
      </c>
      <c r="L202" s="16" t="n">
        <f aca="false">D202+H202</f>
        <v>442</v>
      </c>
      <c r="M202" s="17" t="n">
        <f aca="false">E202+I202</f>
        <v>4596.8</v>
      </c>
      <c r="N202" s="16" t="n">
        <f aca="false">F202+J202</f>
        <v>413</v>
      </c>
      <c r="O202" s="17" t="n">
        <f aca="false">G202+K202</f>
        <v>4204.2</v>
      </c>
    </row>
    <row r="203" customFormat="false" ht="15" hidden="false" customHeight="false" outlineLevel="0" collapsed="false">
      <c r="A203" s="6" t="n">
        <v>4419011</v>
      </c>
      <c r="B203" s="6" t="str">
        <f aca="false">IFERROR(INDEX('TRANS'!$A:$A,MATCH($A203,'TRANS'!$B:$B,0)),"")</f>
        <v>239B-S-M</v>
      </c>
      <c r="C203" s="6" t="str">
        <f aca="false">IFERROR(INDEX('TRANS'!$C:$C,MATCH($A203,'TRANS'!$B:$B,0)),"")</f>
        <v>239B S-M STRAP4U</v>
      </c>
      <c r="D203" s="16" t="n">
        <f aca="false">SUMIFS('CEMI Raw'!$C$6:$C$197,'CEMI Raw'!$E$6:$E$197,$A203,'CEMI Raw'!$B$6:$B$197,2025)</f>
        <v>0</v>
      </c>
      <c r="E203" s="17" t="n">
        <f aca="false">SUMIFS('CEMI Raw'!$D$6:$D$197,'CEMI Raw'!$E$6:$E$197,$A203,'CEMI Raw'!$B$6:$B$197,2025)</f>
        <v>0</v>
      </c>
      <c r="F203" s="16" t="n">
        <f aca="false">SUMIFS('CEMI Raw'!$C$6:$C$197,'CEMI Raw'!$E$6:$E$197,$A203,'CEMI Raw'!$B$6:$B$197,2026)</f>
        <v>0</v>
      </c>
      <c r="G203" s="17" t="n">
        <f aca="false">SUMIFS('CEMI Raw'!$D$6:$D$197,'CEMI Raw'!$E$6:$E$197,$A203,'CEMI Raw'!$B$6:$B$197,2026)</f>
        <v>0</v>
      </c>
      <c r="H203" s="16" t="n">
        <f aca="false">SUMIFS('SALES Raw'!$C$6:$C$435,'SALES Raw'!$E$6:$E$435,$A203,'SALES Raw'!$B$6:$B$435,2025)</f>
        <v>90</v>
      </c>
      <c r="I203" s="17" t="n">
        <f aca="false">SUMIFS('SALES Raw'!$D$6:$D$435,'SALES Raw'!$E$6:$E$435,$A203,'SALES Raw'!$B$6:$B$435,2025)</f>
        <v>990</v>
      </c>
      <c r="J203" s="16" t="n">
        <f aca="false">SUMIFS('SALES Raw'!$C$6:$C$435,'SALES Raw'!$E$6:$E$435,$A203,'SALES Raw'!$B$6:$B$435,2026)</f>
        <v>0</v>
      </c>
      <c r="K203" s="17" t="n">
        <f aca="false">SUMIFS('SALES Raw'!$D$6:$D$435,'SALES Raw'!$E$6:$E$435,$A203,'SALES Raw'!$B$6:$B$435,2026)</f>
        <v>0</v>
      </c>
      <c r="L203" s="16" t="n">
        <f aca="false">D203+H203</f>
        <v>90</v>
      </c>
      <c r="M203" s="17" t="n">
        <f aca="false">E203+I203</f>
        <v>990</v>
      </c>
      <c r="N203" s="16" t="n">
        <f aca="false">F203+J203</f>
        <v>0</v>
      </c>
      <c r="O203" s="17" t="n">
        <f aca="false">G203+K203</f>
        <v>0</v>
      </c>
    </row>
    <row r="204" customFormat="false" ht="15" hidden="false" customHeight="false" outlineLevel="0" collapsed="false">
      <c r="A204" s="6" t="n">
        <v>4419013</v>
      </c>
      <c r="B204" s="6" t="str">
        <f aca="false">IFERROR(INDEX('TRANS'!$A:$A,MATCH($A204,'TRANS'!$B:$B,0)),"")</f>
        <v>239B-L-XL</v>
      </c>
      <c r="C204" s="6" t="str">
        <f aca="false">IFERROR(INDEX('TRANS'!$C:$C,MATCH($A204,'TRANS'!$B:$B,0)),"")</f>
        <v>239B L-XL STRAP4U</v>
      </c>
      <c r="D204" s="16" t="n">
        <f aca="false">SUMIFS('CEMI Raw'!$C$6:$C$197,'CEMI Raw'!$E$6:$E$197,$A204,'CEMI Raw'!$B$6:$B$197,2025)</f>
        <v>0</v>
      </c>
      <c r="E204" s="17" t="n">
        <f aca="false">SUMIFS('CEMI Raw'!$D$6:$D$197,'CEMI Raw'!$E$6:$E$197,$A204,'CEMI Raw'!$B$6:$B$197,2025)</f>
        <v>0</v>
      </c>
      <c r="F204" s="16" t="n">
        <f aca="false">SUMIFS('CEMI Raw'!$C$6:$C$197,'CEMI Raw'!$E$6:$E$197,$A204,'CEMI Raw'!$B$6:$B$197,2026)</f>
        <v>0</v>
      </c>
      <c r="G204" s="17" t="n">
        <f aca="false">SUMIFS('CEMI Raw'!$D$6:$D$197,'CEMI Raw'!$E$6:$E$197,$A204,'CEMI Raw'!$B$6:$B$197,2026)</f>
        <v>0</v>
      </c>
      <c r="H204" s="16" t="n">
        <f aca="false">SUMIFS('SALES Raw'!$C$6:$C$435,'SALES Raw'!$E$6:$E$435,$A204,'SALES Raw'!$B$6:$B$435,2025)</f>
        <v>96</v>
      </c>
      <c r="I204" s="17" t="n">
        <f aca="false">SUMIFS('SALES Raw'!$D$6:$D$435,'SALES Raw'!$E$6:$E$435,$A204,'SALES Raw'!$B$6:$B$435,2025)</f>
        <v>1056</v>
      </c>
      <c r="J204" s="16" t="n">
        <f aca="false">SUMIFS('SALES Raw'!$C$6:$C$435,'SALES Raw'!$E$6:$E$435,$A204,'SALES Raw'!$B$6:$B$435,2026)</f>
        <v>-3</v>
      </c>
      <c r="K204" s="17" t="n">
        <f aca="false">SUMIFS('SALES Raw'!$D$6:$D$435,'SALES Raw'!$E$6:$E$435,$A204,'SALES Raw'!$B$6:$B$435,2026)</f>
        <v>-33</v>
      </c>
      <c r="L204" s="16" t="n">
        <f aca="false">D204+H204</f>
        <v>96</v>
      </c>
      <c r="M204" s="17" t="n">
        <f aca="false">E204+I204</f>
        <v>1056</v>
      </c>
      <c r="N204" s="16" t="n">
        <f aca="false">F204+J204</f>
        <v>-3</v>
      </c>
      <c r="O204" s="17" t="n">
        <f aca="false">G204+K204</f>
        <v>-33</v>
      </c>
    </row>
    <row r="205" customFormat="false" ht="15" hidden="false" customHeight="false" outlineLevel="0" collapsed="false">
      <c r="A205" s="6" t="n">
        <v>4419014</v>
      </c>
      <c r="B205" s="6" t="str">
        <f aca="false">IFERROR(INDEX('TRANS'!$A:$A,MATCH($A205,'TRANS'!$B:$B,0)),"")</f>
        <v>239TR-L-XL</v>
      </c>
      <c r="C205" s="6" t="str">
        <f aca="false">IFERROR(INDEX('TRANS'!$C:$C,MATCH($A205,'TRANS'!$B:$B,0)),"")</f>
        <v>239TR L-XL STRAP4U</v>
      </c>
      <c r="D205" s="16" t="n">
        <f aca="false">SUMIFS('CEMI Raw'!$C$6:$C$197,'CEMI Raw'!$E$6:$E$197,$A205,'CEMI Raw'!$B$6:$B$197,2025)</f>
        <v>0</v>
      </c>
      <c r="E205" s="17" t="n">
        <f aca="false">SUMIFS('CEMI Raw'!$D$6:$D$197,'CEMI Raw'!$E$6:$E$197,$A205,'CEMI Raw'!$B$6:$B$197,2025)</f>
        <v>0</v>
      </c>
      <c r="F205" s="16" t="n">
        <f aca="false">SUMIFS('CEMI Raw'!$C$6:$C$197,'CEMI Raw'!$E$6:$E$197,$A205,'CEMI Raw'!$B$6:$B$197,2026)</f>
        <v>6</v>
      </c>
      <c r="G205" s="17" t="n">
        <f aca="false">SUMIFS('CEMI Raw'!$D$6:$D$197,'CEMI Raw'!$E$6:$E$197,$A205,'CEMI Raw'!$B$6:$B$197,2026)</f>
        <v>66</v>
      </c>
      <c r="H205" s="16" t="n">
        <f aca="false">SUMIFS('SALES Raw'!$C$6:$C$435,'SALES Raw'!$E$6:$E$435,$A205,'SALES Raw'!$B$6:$B$435,2025)</f>
        <v>36</v>
      </c>
      <c r="I205" s="17" t="n">
        <f aca="false">SUMIFS('SALES Raw'!$D$6:$D$435,'SALES Raw'!$E$6:$E$435,$A205,'SALES Raw'!$B$6:$B$435,2025)</f>
        <v>396</v>
      </c>
      <c r="J205" s="16" t="n">
        <f aca="false">SUMIFS('SALES Raw'!$C$6:$C$435,'SALES Raw'!$E$6:$E$435,$A205,'SALES Raw'!$B$6:$B$435,2026)</f>
        <v>-3</v>
      </c>
      <c r="K205" s="17" t="n">
        <f aca="false">SUMIFS('SALES Raw'!$D$6:$D$435,'SALES Raw'!$E$6:$E$435,$A205,'SALES Raw'!$B$6:$B$435,2026)</f>
        <v>-33</v>
      </c>
      <c r="L205" s="16" t="n">
        <f aca="false">D205+H205</f>
        <v>36</v>
      </c>
      <c r="M205" s="17" t="n">
        <f aca="false">E205+I205</f>
        <v>396</v>
      </c>
      <c r="N205" s="16" t="n">
        <f aca="false">F205+J205</f>
        <v>3</v>
      </c>
      <c r="O205" s="17" t="n">
        <f aca="false">G205+K205</f>
        <v>33</v>
      </c>
    </row>
    <row r="206" customFormat="false" ht="15" hidden="false" customHeight="false" outlineLevel="0" collapsed="false">
      <c r="A206" s="6" t="n">
        <v>4420000</v>
      </c>
      <c r="B206" s="6" t="str">
        <f aca="false">IFERROR(INDEX('TRANS'!$A:$A,MATCH($A206,'TRANS'!$B:$B,0)),"")</f>
        <v>370 0</v>
      </c>
      <c r="C206" s="6" t="str">
        <f aca="false">IFERROR(INDEX('TRANS'!$C:$C,MATCH($A206,'TRANS'!$B:$B,0)),"")</f>
        <v>370  רפידת נוחות-זוג</v>
      </c>
      <c r="D206" s="16" t="n">
        <f aca="false">SUMIFS('CEMI Raw'!$C$6:$C$197,'CEMI Raw'!$E$6:$E$197,$A206,'CEMI Raw'!$B$6:$B$197,2025)</f>
        <v>0</v>
      </c>
      <c r="E206" s="17" t="n">
        <f aca="false">SUMIFS('CEMI Raw'!$D$6:$D$197,'CEMI Raw'!$E$6:$E$197,$A206,'CEMI Raw'!$B$6:$B$197,2025)</f>
        <v>0</v>
      </c>
      <c r="F206" s="16" t="n">
        <f aca="false">SUMIFS('CEMI Raw'!$C$6:$C$197,'CEMI Raw'!$E$6:$E$197,$A206,'CEMI Raw'!$B$6:$B$197,2026)</f>
        <v>100</v>
      </c>
      <c r="G206" s="17" t="n">
        <f aca="false">SUMIFS('CEMI Raw'!$D$6:$D$197,'CEMI Raw'!$E$6:$E$197,$A206,'CEMI Raw'!$B$6:$B$197,2026)</f>
        <v>752.4</v>
      </c>
      <c r="H206" s="16" t="n">
        <f aca="false">SUMIFS('SALES Raw'!$C$6:$C$435,'SALES Raw'!$E$6:$E$435,$A206,'SALES Raw'!$B$6:$B$435,2025)</f>
        <v>359</v>
      </c>
      <c r="I206" s="17" t="n">
        <f aca="false">SUMIFS('SALES Raw'!$D$6:$D$435,'SALES Raw'!$E$6:$E$435,$A206,'SALES Raw'!$B$6:$B$435,2025)</f>
        <v>2943.8</v>
      </c>
      <c r="J206" s="16" t="n">
        <f aca="false">SUMIFS('SALES Raw'!$C$6:$C$435,'SALES Raw'!$E$6:$E$435,$A206,'SALES Raw'!$B$6:$B$435,2026)</f>
        <v>119</v>
      </c>
      <c r="K206" s="17" t="n">
        <f aca="false">SUMIFS('SALES Raw'!$D$6:$D$435,'SALES Raw'!$E$6:$E$435,$A206,'SALES Raw'!$B$6:$B$435,2026)</f>
        <v>975.8</v>
      </c>
      <c r="L206" s="16" t="n">
        <f aca="false">D206+H206</f>
        <v>359</v>
      </c>
      <c r="M206" s="17" t="n">
        <f aca="false">E206+I206</f>
        <v>2943.8</v>
      </c>
      <c r="N206" s="16" t="n">
        <f aca="false">F206+J206</f>
        <v>219</v>
      </c>
      <c r="O206" s="17" t="n">
        <f aca="false">G206+K206</f>
        <v>1728.2</v>
      </c>
    </row>
    <row r="207" customFormat="false" ht="15" hidden="false" customHeight="false" outlineLevel="0" collapsed="false">
      <c r="A207" s="6" t="n">
        <v>4420002</v>
      </c>
      <c r="B207" s="6" t="str">
        <f aca="false">IFERROR(INDEX('TRANS'!$A:$A,MATCH($A207,'TRANS'!$B:$B,0)),"")</f>
        <v>372 0</v>
      </c>
      <c r="C207" s="6" t="str">
        <f aca="false">IFERROR(INDEX('TRANS'!$C:$C,MATCH($A207,'TRANS'!$B:$B,0)),"")</f>
        <v>372 רפידת אנטי ריח -זוג</v>
      </c>
      <c r="D207" s="16" t="n">
        <f aca="false">SUMIFS('CEMI Raw'!$C$6:$C$197,'CEMI Raw'!$E$6:$E$197,$A207,'CEMI Raw'!$B$6:$B$197,2025)</f>
        <v>0</v>
      </c>
      <c r="E207" s="17" t="n">
        <f aca="false">SUMIFS('CEMI Raw'!$D$6:$D$197,'CEMI Raw'!$E$6:$E$197,$A207,'CEMI Raw'!$B$6:$B$197,2025)</f>
        <v>0</v>
      </c>
      <c r="F207" s="16" t="n">
        <f aca="false">SUMIFS('CEMI Raw'!$C$6:$C$197,'CEMI Raw'!$E$6:$E$197,$A207,'CEMI Raw'!$B$6:$B$197,2026)</f>
        <v>188</v>
      </c>
      <c r="G207" s="17" t="n">
        <f aca="false">SUMIFS('CEMI Raw'!$D$6:$D$197,'CEMI Raw'!$E$6:$E$197,$A207,'CEMI Raw'!$B$6:$B$197,2026)</f>
        <v>1755.3</v>
      </c>
      <c r="H207" s="16" t="n">
        <f aca="false">SUMIFS('SALES Raw'!$C$6:$C$435,'SALES Raw'!$E$6:$E$435,$A207,'SALES Raw'!$B$6:$B$435,2025)</f>
        <v>646</v>
      </c>
      <c r="I207" s="17" t="n">
        <f aca="false">SUMIFS('SALES Raw'!$D$6:$D$435,'SALES Raw'!$E$6:$E$435,$A207,'SALES Raw'!$B$6:$B$435,2025)</f>
        <v>6343.72</v>
      </c>
      <c r="J207" s="16" t="n">
        <f aca="false">SUMIFS('SALES Raw'!$C$6:$C$435,'SALES Raw'!$E$6:$E$435,$A207,'SALES Raw'!$B$6:$B$435,2026)</f>
        <v>110</v>
      </c>
      <c r="K207" s="17" t="n">
        <f aca="false">SUMIFS('SALES Raw'!$D$6:$D$435,'SALES Raw'!$E$6:$E$435,$A207,'SALES Raw'!$B$6:$B$435,2026)</f>
        <v>1080.2</v>
      </c>
      <c r="L207" s="16" t="n">
        <f aca="false">D207+H207</f>
        <v>646</v>
      </c>
      <c r="M207" s="17" t="n">
        <f aca="false">E207+I207</f>
        <v>6343.72</v>
      </c>
      <c r="N207" s="16" t="n">
        <f aca="false">F207+J207</f>
        <v>298</v>
      </c>
      <c r="O207" s="17" t="n">
        <f aca="false">G207+K207</f>
        <v>2835.5</v>
      </c>
    </row>
    <row r="208" customFormat="false" ht="15" hidden="false" customHeight="false" outlineLevel="0" collapsed="false">
      <c r="A208" s="6" t="n">
        <v>4420003</v>
      </c>
      <c r="B208" s="6" t="str">
        <f aca="false">IFERROR(INDEX('TRANS'!$A:$A,MATCH($A208,'TRANS'!$B:$B,0)),"")</f>
        <v>374 0</v>
      </c>
      <c r="C208" s="6" t="str">
        <f aca="false">IFERROR(INDEX('TRANS'!$C:$C,MATCH($A208,'TRANS'!$B:$B,0)),"")</f>
        <v>374 רפידת בולמת זעזועים -זוג</v>
      </c>
      <c r="D208" s="16" t="n">
        <f aca="false">SUMIFS('CEMI Raw'!$C$6:$C$197,'CEMI Raw'!$E$6:$E$197,$A208,'CEMI Raw'!$B$6:$B$197,2025)</f>
        <v>0</v>
      </c>
      <c r="E208" s="17" t="n">
        <f aca="false">SUMIFS('CEMI Raw'!$D$6:$D$197,'CEMI Raw'!$E$6:$E$197,$A208,'CEMI Raw'!$B$6:$B$197,2025)</f>
        <v>0</v>
      </c>
      <c r="F208" s="16" t="n">
        <f aca="false">SUMIFS('CEMI Raw'!$C$6:$C$197,'CEMI Raw'!$E$6:$E$197,$A208,'CEMI Raw'!$B$6:$B$197,2026)</f>
        <v>44</v>
      </c>
      <c r="G208" s="17" t="n">
        <f aca="false">SUMIFS('CEMI Raw'!$D$6:$D$197,'CEMI Raw'!$E$6:$E$197,$A208,'CEMI Raw'!$B$6:$B$197,2026)</f>
        <v>400.2</v>
      </c>
      <c r="H208" s="16" t="n">
        <f aca="false">SUMIFS('SALES Raw'!$C$6:$C$435,'SALES Raw'!$E$6:$E$435,$A208,'SALES Raw'!$B$6:$B$435,2025)</f>
        <v>170</v>
      </c>
      <c r="I208" s="17" t="n">
        <f aca="false">SUMIFS('SALES Raw'!$D$6:$D$435,'SALES Raw'!$E$6:$E$435,$A208,'SALES Raw'!$B$6:$B$435,2025)</f>
        <v>1669.4</v>
      </c>
      <c r="J208" s="16" t="n">
        <f aca="false">SUMIFS('SALES Raw'!$C$6:$C$435,'SALES Raw'!$E$6:$E$435,$A208,'SALES Raw'!$B$6:$B$435,2026)</f>
        <v>48</v>
      </c>
      <c r="K208" s="17" t="n">
        <f aca="false">SUMIFS('SALES Raw'!$D$6:$D$435,'SALES Raw'!$E$6:$E$435,$A208,'SALES Raw'!$B$6:$B$435,2026)</f>
        <v>471.36</v>
      </c>
      <c r="L208" s="16" t="n">
        <f aca="false">D208+H208</f>
        <v>170</v>
      </c>
      <c r="M208" s="17" t="n">
        <f aca="false">E208+I208</f>
        <v>1669.4</v>
      </c>
      <c r="N208" s="16" t="n">
        <f aca="false">F208+J208</f>
        <v>92</v>
      </c>
      <c r="O208" s="17" t="n">
        <f aca="false">G208+K208</f>
        <v>871.56</v>
      </c>
    </row>
    <row r="209" customFormat="false" ht="15" hidden="false" customHeight="false" outlineLevel="0" collapsed="false">
      <c r="A209" s="6" t="n">
        <v>4420016</v>
      </c>
      <c r="B209" s="6" t="str">
        <f aca="false">IFERROR(INDEX('TRANS'!$A:$A,MATCH($A209,'TRANS'!$B:$B,0)),"")</f>
        <v>40 0</v>
      </c>
      <c r="C209" s="6" t="str">
        <f aca="false">IFERROR(INDEX('TRANS'!$C:$C,MATCH($A209,'TRANS'!$B:$B,0)),"")</f>
        <v>40-רצועת פיקה לברך</v>
      </c>
      <c r="D209" s="16" t="n">
        <f aca="false">SUMIFS('CEMI Raw'!$C$6:$C$197,'CEMI Raw'!$E$6:$E$197,$A209,'CEMI Raw'!$B$6:$B$197,2025)</f>
        <v>0</v>
      </c>
      <c r="E209" s="17" t="n">
        <f aca="false">SUMIFS('CEMI Raw'!$D$6:$D$197,'CEMI Raw'!$E$6:$E$197,$A209,'CEMI Raw'!$B$6:$B$197,2025)</f>
        <v>0</v>
      </c>
      <c r="F209" s="16" t="n">
        <f aca="false">SUMIFS('CEMI Raw'!$C$6:$C$197,'CEMI Raw'!$E$6:$E$197,$A209,'CEMI Raw'!$B$6:$B$197,2026)</f>
        <v>21</v>
      </c>
      <c r="G209" s="17" t="n">
        <f aca="false">SUMIFS('CEMI Raw'!$D$6:$D$197,'CEMI Raw'!$E$6:$E$197,$A209,'CEMI Raw'!$B$6:$B$197,2026)</f>
        <v>749.1</v>
      </c>
      <c r="H209" s="16" t="n">
        <f aca="false">SUMIFS('SALES Raw'!$C$6:$C$435,'SALES Raw'!$E$6:$E$435,$A209,'SALES Raw'!$B$6:$B$435,2025)</f>
        <v>52</v>
      </c>
      <c r="I209" s="17" t="n">
        <f aca="false">SUMIFS('SALES Raw'!$D$6:$D$435,'SALES Raw'!$E$6:$E$435,$A209,'SALES Raw'!$B$6:$B$435,2025)</f>
        <v>1854.84</v>
      </c>
      <c r="J209" s="16" t="n">
        <f aca="false">SUMIFS('SALES Raw'!$C$6:$C$435,'SALES Raw'!$E$6:$E$435,$A209,'SALES Raw'!$B$6:$B$435,2026)</f>
        <v>11</v>
      </c>
      <c r="K209" s="17" t="n">
        <f aca="false">SUMIFS('SALES Raw'!$D$6:$D$435,'SALES Raw'!$E$6:$E$435,$A209,'SALES Raw'!$B$6:$B$435,2026)</f>
        <v>392.37</v>
      </c>
      <c r="L209" s="16" t="n">
        <f aca="false">D209+H209</f>
        <v>52</v>
      </c>
      <c r="M209" s="17" t="n">
        <f aca="false">E209+I209</f>
        <v>1854.84</v>
      </c>
      <c r="N209" s="16" t="n">
        <f aca="false">F209+J209</f>
        <v>32</v>
      </c>
      <c r="O209" s="17" t="n">
        <f aca="false">G209+K209</f>
        <v>1141.47</v>
      </c>
    </row>
    <row r="210" customFormat="false" ht="15" hidden="false" customHeight="false" outlineLevel="0" collapsed="false">
      <c r="A210" s="6" t="n">
        <v>4420017</v>
      </c>
      <c r="B210" s="6" t="str">
        <f aca="false">IFERROR(INDEX('TRANS'!$A:$A,MATCH($A210,'TRANS'!$B:$B,0)),"")</f>
        <v>4022 0</v>
      </c>
      <c r="C210" s="6" t="str">
        <f aca="false">IFERROR(INDEX('TRANS'!$C:$C,MATCH($A210,'TRANS'!$B:$B,0)),"")</f>
        <v>4022 רצועת """"פיקה""""+כרית</v>
      </c>
      <c r="D210" s="16" t="n">
        <f aca="false">SUMIFS('CEMI Raw'!$C$6:$C$197,'CEMI Raw'!$E$6:$E$197,$A210,'CEMI Raw'!$B$6:$B$197,2025)</f>
        <v>0</v>
      </c>
      <c r="E210" s="17" t="n">
        <f aca="false">SUMIFS('CEMI Raw'!$D$6:$D$197,'CEMI Raw'!$E$6:$E$197,$A210,'CEMI Raw'!$B$6:$B$197,2025)</f>
        <v>0</v>
      </c>
      <c r="F210" s="16" t="n">
        <f aca="false">SUMIFS('CEMI Raw'!$C$6:$C$197,'CEMI Raw'!$E$6:$E$197,$A210,'CEMI Raw'!$B$6:$B$197,2026)</f>
        <v>0</v>
      </c>
      <c r="G210" s="17" t="n">
        <f aca="false">SUMIFS('CEMI Raw'!$D$6:$D$197,'CEMI Raw'!$E$6:$E$197,$A210,'CEMI Raw'!$B$6:$B$197,2026)</f>
        <v>0</v>
      </c>
      <c r="H210" s="16" t="n">
        <f aca="false">SUMIFS('SALES Raw'!$C$6:$C$435,'SALES Raw'!$E$6:$E$435,$A210,'SALES Raw'!$B$6:$B$435,2025)</f>
        <v>76</v>
      </c>
      <c r="I210" s="17" t="n">
        <f aca="false">SUMIFS('SALES Raw'!$D$6:$D$435,'SALES Raw'!$E$6:$E$435,$A210,'SALES Raw'!$B$6:$B$435,2025)</f>
        <v>4931.64</v>
      </c>
      <c r="J210" s="16" t="n">
        <f aca="false">SUMIFS('SALES Raw'!$C$6:$C$435,'SALES Raw'!$E$6:$E$435,$A210,'SALES Raw'!$B$6:$B$435,2026)</f>
        <v>14</v>
      </c>
      <c r="K210" s="17" t="n">
        <f aca="false">SUMIFS('SALES Raw'!$D$6:$D$435,'SALES Raw'!$E$6:$E$435,$A210,'SALES Raw'!$B$6:$B$435,2026)</f>
        <v>908.46</v>
      </c>
      <c r="L210" s="16" t="n">
        <f aca="false">D210+H210</f>
        <v>76</v>
      </c>
      <c r="M210" s="17" t="n">
        <f aca="false">E210+I210</f>
        <v>4931.64</v>
      </c>
      <c r="N210" s="16" t="n">
        <f aca="false">F210+J210</f>
        <v>14</v>
      </c>
      <c r="O210" s="17" t="n">
        <f aca="false">G210+K210</f>
        <v>908.46</v>
      </c>
    </row>
    <row r="211" customFormat="false" ht="15" hidden="false" customHeight="false" outlineLevel="0" collapsed="false">
      <c r="A211" s="6" t="n">
        <v>4420018</v>
      </c>
      <c r="B211" s="6" t="str">
        <f aca="false">IFERROR(INDEX('TRANS'!$A:$A,MATCH($A211,'TRANS'!$B:$B,0)),"")</f>
        <v>(missing in TRANS source - cell was blank/error)</v>
      </c>
      <c r="C211" s="6" t="str">
        <f aca="false">IFERROR(INDEX('TRANS'!$C:$C,MATCH($A211,'TRANS'!$B:$B,0)),"")</f>
        <v>T90 רצועת טניס אלבו עם פלסטיק</v>
      </c>
      <c r="D211" s="16" t="n">
        <f aca="false">SUMIFS('CEMI Raw'!$C$6:$C$197,'CEMI Raw'!$E$6:$E$197,$A211,'CEMI Raw'!$B$6:$B$197,2025)</f>
        <v>0</v>
      </c>
      <c r="E211" s="17" t="n">
        <f aca="false">SUMIFS('CEMI Raw'!$D$6:$D$197,'CEMI Raw'!$E$6:$E$197,$A211,'CEMI Raw'!$B$6:$B$197,2025)</f>
        <v>0</v>
      </c>
      <c r="F211" s="16" t="n">
        <f aca="false">SUMIFS('CEMI Raw'!$C$6:$C$197,'CEMI Raw'!$E$6:$E$197,$A211,'CEMI Raw'!$B$6:$B$197,2026)</f>
        <v>2</v>
      </c>
      <c r="G211" s="17" t="n">
        <f aca="false">SUMIFS('CEMI Raw'!$D$6:$D$197,'CEMI Raw'!$E$6:$E$197,$A211,'CEMI Raw'!$B$6:$B$197,2026)</f>
        <v>115.9</v>
      </c>
      <c r="H211" s="16" t="n">
        <f aca="false">SUMIFS('SALES Raw'!$C$6:$C$435,'SALES Raw'!$E$6:$E$435,$A211,'SALES Raw'!$B$6:$B$435,2025)</f>
        <v>63</v>
      </c>
      <c r="I211" s="17" t="n">
        <f aca="false">SUMIFS('SALES Raw'!$D$6:$D$435,'SALES Raw'!$E$6:$E$435,$A211,'SALES Raw'!$B$6:$B$435,2025)</f>
        <v>4866.12</v>
      </c>
      <c r="J211" s="16" t="n">
        <f aca="false">SUMIFS('SALES Raw'!$C$6:$C$435,'SALES Raw'!$E$6:$E$435,$A211,'SALES Raw'!$B$6:$B$435,2026)</f>
        <v>0</v>
      </c>
      <c r="K211" s="17" t="n">
        <f aca="false">SUMIFS('SALES Raw'!$D$6:$D$435,'SALES Raw'!$E$6:$E$435,$A211,'SALES Raw'!$B$6:$B$435,2026)</f>
        <v>0</v>
      </c>
      <c r="L211" s="16" t="n">
        <f aca="false">D211+H211</f>
        <v>63</v>
      </c>
      <c r="M211" s="17" t="n">
        <f aca="false">E211+I211</f>
        <v>4866.12</v>
      </c>
      <c r="N211" s="16" t="n">
        <f aca="false">F211+J211</f>
        <v>2</v>
      </c>
      <c r="O211" s="17" t="n">
        <f aca="false">G211+K211</f>
        <v>115.9</v>
      </c>
    </row>
    <row r="212" customFormat="false" ht="15" hidden="false" customHeight="false" outlineLevel="0" collapsed="false">
      <c r="A212" s="6" t="n">
        <v>4420022</v>
      </c>
      <c r="B212" s="6" t="str">
        <f aca="false">IFERROR(INDEX('TRANS'!$A:$A,MATCH($A212,'TRANS'!$B:$B,0)),"")</f>
        <v>LF370 0</v>
      </c>
      <c r="C212" s="6" t="str">
        <f aca="false">IFERROR(INDEX('TRANS'!$C:$C,MATCH($A212,'TRANS'!$B:$B,0)),"")</f>
        <v>LF370 ריפוד סיליקון לעקב אחורי</v>
      </c>
      <c r="D212" s="16" t="n">
        <f aca="false">SUMIFS('CEMI Raw'!$C$6:$C$197,'CEMI Raw'!$E$6:$E$197,$A212,'CEMI Raw'!$B$6:$B$197,2025)</f>
        <v>0</v>
      </c>
      <c r="E212" s="17" t="n">
        <f aca="false">SUMIFS('CEMI Raw'!$D$6:$D$197,'CEMI Raw'!$E$6:$E$197,$A212,'CEMI Raw'!$B$6:$B$197,2025)</f>
        <v>0</v>
      </c>
      <c r="F212" s="16" t="n">
        <f aca="false">SUMIFS('CEMI Raw'!$C$6:$C$197,'CEMI Raw'!$E$6:$E$197,$A212,'CEMI Raw'!$B$6:$B$197,2026)</f>
        <v>9</v>
      </c>
      <c r="G212" s="17" t="n">
        <f aca="false">SUMIFS('CEMI Raw'!$D$6:$D$197,'CEMI Raw'!$E$6:$E$197,$A212,'CEMI Raw'!$B$6:$B$197,2026)</f>
        <v>135.2</v>
      </c>
      <c r="H212" s="16" t="n">
        <f aca="false">SUMIFS('SALES Raw'!$C$6:$C$435,'SALES Raw'!$E$6:$E$435,$A212,'SALES Raw'!$B$6:$B$435,2025)</f>
        <v>59</v>
      </c>
      <c r="I212" s="17" t="n">
        <f aca="false">SUMIFS('SALES Raw'!$D$6:$D$435,'SALES Raw'!$E$6:$E$435,$A212,'SALES Raw'!$B$6:$B$435,2025)</f>
        <v>938.69</v>
      </c>
      <c r="J212" s="16" t="n">
        <f aca="false">SUMIFS('SALES Raw'!$C$6:$C$435,'SALES Raw'!$E$6:$E$435,$A212,'SALES Raw'!$B$6:$B$435,2026)</f>
        <v>19</v>
      </c>
      <c r="K212" s="17" t="n">
        <f aca="false">SUMIFS('SALES Raw'!$D$6:$D$435,'SALES Raw'!$E$6:$E$435,$A212,'SALES Raw'!$B$6:$B$435,2026)</f>
        <v>302.29</v>
      </c>
      <c r="L212" s="16" t="n">
        <f aca="false">D212+H212</f>
        <v>59</v>
      </c>
      <c r="M212" s="17" t="n">
        <f aca="false">E212+I212</f>
        <v>938.69</v>
      </c>
      <c r="N212" s="16" t="n">
        <f aca="false">F212+J212</f>
        <v>28</v>
      </c>
      <c r="O212" s="17" t="n">
        <f aca="false">G212+K212</f>
        <v>437.49</v>
      </c>
    </row>
    <row r="213" customFormat="false" ht="15" hidden="false" customHeight="false" outlineLevel="0" collapsed="false">
      <c r="A213" s="6" t="n">
        <v>4420023</v>
      </c>
      <c r="B213" s="6" t="str">
        <f aca="false">IFERROR(INDEX('TRANS'!$A:$A,MATCH($A213,'TRANS'!$B:$B,0)),"")</f>
        <v>LF371 0</v>
      </c>
      <c r="C213" s="6" t="str">
        <f aca="false">IFERROR(INDEX('TRANS'!$C:$C,MATCH($A213,'TRANS'!$B:$B,0)),"")</f>
        <v>LF371 ריפוד סיליקון לנעלי אצבע</v>
      </c>
      <c r="D213" s="16" t="n">
        <f aca="false">SUMIFS('CEMI Raw'!$C$6:$C$197,'CEMI Raw'!$E$6:$E$197,$A213,'CEMI Raw'!$B$6:$B$197,2025)</f>
        <v>0</v>
      </c>
      <c r="E213" s="17" t="n">
        <f aca="false">SUMIFS('CEMI Raw'!$D$6:$D$197,'CEMI Raw'!$E$6:$E$197,$A213,'CEMI Raw'!$B$6:$B$197,2025)</f>
        <v>0</v>
      </c>
      <c r="F213" s="16" t="n">
        <f aca="false">SUMIFS('CEMI Raw'!$C$6:$C$197,'CEMI Raw'!$E$6:$E$197,$A213,'CEMI Raw'!$B$6:$B$197,2026)</f>
        <v>0</v>
      </c>
      <c r="G213" s="17" t="n">
        <f aca="false">SUMIFS('CEMI Raw'!$D$6:$D$197,'CEMI Raw'!$E$6:$E$197,$A213,'CEMI Raw'!$B$6:$B$197,2026)</f>
        <v>0</v>
      </c>
      <c r="H213" s="16" t="n">
        <f aca="false">SUMIFS('SALES Raw'!$C$6:$C$435,'SALES Raw'!$E$6:$E$435,$A213,'SALES Raw'!$B$6:$B$435,2025)</f>
        <v>2</v>
      </c>
      <c r="I213" s="17" t="n">
        <f aca="false">SUMIFS('SALES Raw'!$D$6:$D$435,'SALES Raw'!$E$6:$E$435,$A213,'SALES Raw'!$B$6:$B$435,2025)</f>
        <v>31.82</v>
      </c>
      <c r="J213" s="16" t="n">
        <f aca="false">SUMIFS('SALES Raw'!$C$6:$C$435,'SALES Raw'!$E$6:$E$435,$A213,'SALES Raw'!$B$6:$B$435,2026)</f>
        <v>1</v>
      </c>
      <c r="K213" s="17" t="n">
        <f aca="false">SUMIFS('SALES Raw'!$D$6:$D$435,'SALES Raw'!$E$6:$E$435,$A213,'SALES Raw'!$B$6:$B$435,2026)</f>
        <v>15.91</v>
      </c>
      <c r="L213" s="16" t="n">
        <f aca="false">D213+H213</f>
        <v>2</v>
      </c>
      <c r="M213" s="17" t="n">
        <f aca="false">E213+I213</f>
        <v>31.82</v>
      </c>
      <c r="N213" s="16" t="n">
        <f aca="false">F213+J213</f>
        <v>1</v>
      </c>
      <c r="O213" s="17" t="n">
        <f aca="false">G213+K213</f>
        <v>15.91</v>
      </c>
    </row>
    <row r="214" customFormat="false" ht="15" hidden="false" customHeight="false" outlineLevel="0" collapsed="false">
      <c r="A214" s="6" t="n">
        <v>4420024</v>
      </c>
      <c r="B214" s="6" t="str">
        <f aca="false">IFERROR(INDEX('TRANS'!$A:$A,MATCH($A214,'TRANS'!$B:$B,0)),"")</f>
        <v>LF373 0</v>
      </c>
      <c r="C214" s="6" t="str">
        <f aca="false">IFERROR(INDEX('TRANS'!$C:$C,MATCH($A214,'TRANS'!$B:$B,0)),"")</f>
        <v>LFריפוד סיליק.לכרית כף הרגל373</v>
      </c>
      <c r="D214" s="16" t="n">
        <f aca="false">SUMIFS('CEMI Raw'!$C$6:$C$197,'CEMI Raw'!$E$6:$E$197,$A214,'CEMI Raw'!$B$6:$B$197,2025)</f>
        <v>0</v>
      </c>
      <c r="E214" s="17" t="n">
        <f aca="false">SUMIFS('CEMI Raw'!$D$6:$D$197,'CEMI Raw'!$E$6:$E$197,$A214,'CEMI Raw'!$B$6:$B$197,2025)</f>
        <v>0</v>
      </c>
      <c r="F214" s="16" t="n">
        <f aca="false">SUMIFS('CEMI Raw'!$C$6:$C$197,'CEMI Raw'!$E$6:$E$197,$A214,'CEMI Raw'!$B$6:$B$197,2026)</f>
        <v>15</v>
      </c>
      <c r="G214" s="17" t="n">
        <f aca="false">SUMIFS('CEMI Raw'!$D$6:$D$197,'CEMI Raw'!$E$6:$E$197,$A214,'CEMI Raw'!$B$6:$B$197,2026)</f>
        <v>205.9</v>
      </c>
      <c r="H214" s="16" t="n">
        <f aca="false">SUMIFS('SALES Raw'!$C$6:$C$435,'SALES Raw'!$E$6:$E$435,$A214,'SALES Raw'!$B$6:$B$435,2025)</f>
        <v>69</v>
      </c>
      <c r="I214" s="17" t="n">
        <f aca="false">SUMIFS('SALES Raw'!$D$6:$D$435,'SALES Raw'!$E$6:$E$435,$A214,'SALES Raw'!$B$6:$B$435,2025)</f>
        <v>997.05</v>
      </c>
      <c r="J214" s="16" t="n">
        <f aca="false">SUMIFS('SALES Raw'!$C$6:$C$435,'SALES Raw'!$E$6:$E$435,$A214,'SALES Raw'!$B$6:$B$435,2026)</f>
        <v>3</v>
      </c>
      <c r="K214" s="17" t="n">
        <f aca="false">SUMIFS('SALES Raw'!$D$6:$D$435,'SALES Raw'!$E$6:$E$435,$A214,'SALES Raw'!$B$6:$B$435,2026)</f>
        <v>43.35</v>
      </c>
      <c r="L214" s="16" t="n">
        <f aca="false">D214+H214</f>
        <v>69</v>
      </c>
      <c r="M214" s="17" t="n">
        <f aca="false">E214+I214</f>
        <v>997.05</v>
      </c>
      <c r="N214" s="16" t="n">
        <f aca="false">F214+J214</f>
        <v>18</v>
      </c>
      <c r="O214" s="17" t="n">
        <f aca="false">G214+K214</f>
        <v>249.25</v>
      </c>
    </row>
    <row r="215" customFormat="false" ht="15" hidden="false" customHeight="false" outlineLevel="0" collapsed="false">
      <c r="A215" s="6" t="n">
        <v>4420025</v>
      </c>
      <c r="B215" s="6" t="str">
        <f aca="false">IFERROR(INDEX('TRANS'!$A:$A,MATCH($A215,'TRANS'!$B:$B,0)),"")</f>
        <v>LF374 0</v>
      </c>
      <c r="C215" s="6" t="str">
        <f aca="false">IFERROR(INDEX('TRANS'!$C:$C,MATCH($A215,'TRANS'!$B:$B,0)),"")</f>
        <v>LF374 ריפוד סיליק.לעקב תחתון</v>
      </c>
      <c r="D215" s="16" t="n">
        <f aca="false">SUMIFS('CEMI Raw'!$C$6:$C$197,'CEMI Raw'!$E$6:$E$197,$A215,'CEMI Raw'!$B$6:$B$197,2025)</f>
        <v>0</v>
      </c>
      <c r="E215" s="17" t="n">
        <f aca="false">SUMIFS('CEMI Raw'!$D$6:$D$197,'CEMI Raw'!$E$6:$E$197,$A215,'CEMI Raw'!$B$6:$B$197,2025)</f>
        <v>0</v>
      </c>
      <c r="F215" s="16" t="n">
        <f aca="false">SUMIFS('CEMI Raw'!$C$6:$C$197,'CEMI Raw'!$E$6:$E$197,$A215,'CEMI Raw'!$B$6:$B$197,2026)</f>
        <v>11</v>
      </c>
      <c r="G215" s="17" t="n">
        <f aca="false">SUMIFS('CEMI Raw'!$D$6:$D$197,'CEMI Raw'!$E$6:$E$197,$A215,'CEMI Raw'!$B$6:$B$197,2026)</f>
        <v>171</v>
      </c>
      <c r="H215" s="16" t="n">
        <f aca="false">SUMIFS('SALES Raw'!$C$6:$C$435,'SALES Raw'!$E$6:$E$435,$A215,'SALES Raw'!$B$6:$B$435,2025)</f>
        <v>55</v>
      </c>
      <c r="I215" s="17" t="n">
        <f aca="false">SUMIFS('SALES Raw'!$D$6:$D$435,'SALES Raw'!$E$6:$E$435,$A215,'SALES Raw'!$B$6:$B$435,2025)</f>
        <v>875.05</v>
      </c>
      <c r="J215" s="16" t="n">
        <f aca="false">SUMIFS('SALES Raw'!$C$6:$C$435,'SALES Raw'!$E$6:$E$435,$A215,'SALES Raw'!$B$6:$B$435,2026)</f>
        <v>11</v>
      </c>
      <c r="K215" s="17" t="n">
        <f aca="false">SUMIFS('SALES Raw'!$D$6:$D$435,'SALES Raw'!$E$6:$E$435,$A215,'SALES Raw'!$B$6:$B$435,2026)</f>
        <v>175.01</v>
      </c>
      <c r="L215" s="16" t="n">
        <f aca="false">D215+H215</f>
        <v>55</v>
      </c>
      <c r="M215" s="17" t="n">
        <f aca="false">E215+I215</f>
        <v>875.05</v>
      </c>
      <c r="N215" s="16" t="n">
        <f aca="false">F215+J215</f>
        <v>22</v>
      </c>
      <c r="O215" s="17" t="n">
        <f aca="false">G215+K215</f>
        <v>346.01</v>
      </c>
    </row>
    <row r="216" customFormat="false" ht="15" hidden="false" customHeight="false" outlineLevel="0" collapsed="false">
      <c r="A216" s="6" t="n">
        <v>4421000</v>
      </c>
      <c r="B216" s="6" t="str">
        <f aca="false">IFERROR(INDEX('TRANS'!$A:$A,MATCH($A216,'TRANS'!$B:$B,0)),"")</f>
        <v>3655 0</v>
      </c>
      <c r="C216" s="6" t="str">
        <f aca="false">IFERROR(INDEX('TRANS'!$C:$C,MATCH($A216,'TRANS'!$B:$B,0)),"")</f>
        <v>3655 שרוול מסיליקון לאצבע</v>
      </c>
      <c r="D216" s="16" t="n">
        <f aca="false">SUMIFS('CEMI Raw'!$C$6:$C$197,'CEMI Raw'!$E$6:$E$197,$A216,'CEMI Raw'!$B$6:$B$197,2025)</f>
        <v>0</v>
      </c>
      <c r="E216" s="17" t="n">
        <f aca="false">SUMIFS('CEMI Raw'!$D$6:$D$197,'CEMI Raw'!$E$6:$E$197,$A216,'CEMI Raw'!$B$6:$B$197,2025)</f>
        <v>0</v>
      </c>
      <c r="F216" s="16" t="n">
        <f aca="false">SUMIFS('CEMI Raw'!$C$6:$C$197,'CEMI Raw'!$E$6:$E$197,$A216,'CEMI Raw'!$B$6:$B$197,2026)</f>
        <v>298</v>
      </c>
      <c r="G216" s="17" t="n">
        <f aca="false">SUMIFS('CEMI Raw'!$D$6:$D$197,'CEMI Raw'!$E$6:$E$197,$A216,'CEMI Raw'!$B$6:$B$197,2026)</f>
        <v>3483.4</v>
      </c>
      <c r="H216" s="16" t="n">
        <f aca="false">SUMIFS('SALES Raw'!$C$6:$C$435,'SALES Raw'!$E$6:$E$435,$A216,'SALES Raw'!$B$6:$B$435,2025)</f>
        <v>1110</v>
      </c>
      <c r="I216" s="17" t="n">
        <f aca="false">SUMIFS('SALES Raw'!$D$6:$D$435,'SALES Raw'!$E$6:$E$435,$A216,'SALES Raw'!$B$6:$B$435,2025)</f>
        <v>13519.8</v>
      </c>
      <c r="J216" s="16" t="n">
        <f aca="false">SUMIFS('SALES Raw'!$C$6:$C$435,'SALES Raw'!$E$6:$E$435,$A216,'SALES Raw'!$B$6:$B$435,2026)</f>
        <v>257</v>
      </c>
      <c r="K216" s="17" t="n">
        <f aca="false">SUMIFS('SALES Raw'!$D$6:$D$435,'SALES Raw'!$E$6:$E$435,$A216,'SALES Raw'!$B$6:$B$435,2026)</f>
        <v>3168.54</v>
      </c>
      <c r="L216" s="16" t="n">
        <f aca="false">D216+H216</f>
        <v>1110</v>
      </c>
      <c r="M216" s="17" t="n">
        <f aca="false">E216+I216</f>
        <v>13519.8</v>
      </c>
      <c r="N216" s="16" t="n">
        <f aca="false">F216+J216</f>
        <v>555</v>
      </c>
      <c r="O216" s="17" t="n">
        <f aca="false">G216+K216</f>
        <v>6651.94</v>
      </c>
    </row>
    <row r="217" customFormat="false" ht="15" hidden="false" customHeight="false" outlineLevel="0" collapsed="false">
      <c r="A217" s="6" t="n">
        <v>4421001</v>
      </c>
      <c r="B217" s="6" t="str">
        <f aca="false">IFERROR(INDEX('TRANS'!$A:$A,MATCH($A217,'TRANS'!$B:$B,0)),"")</f>
        <v>3611 0</v>
      </c>
      <c r="C217" s="6" t="str">
        <f aca="false">IFERROR(INDEX('TRANS'!$C:$C,MATCH($A217,'TRANS'!$B:$B,0)),"")</f>
        <v>3611 שרוול מטטרזלי מסיליקון</v>
      </c>
      <c r="D217" s="16" t="n">
        <f aca="false">SUMIFS('CEMI Raw'!$C$6:$C$197,'CEMI Raw'!$E$6:$E$197,$A217,'CEMI Raw'!$B$6:$B$197,2025)</f>
        <v>0</v>
      </c>
      <c r="E217" s="17" t="n">
        <f aca="false">SUMIFS('CEMI Raw'!$D$6:$D$197,'CEMI Raw'!$E$6:$E$197,$A217,'CEMI Raw'!$B$6:$B$197,2025)</f>
        <v>0</v>
      </c>
      <c r="F217" s="16" t="n">
        <f aca="false">SUMIFS('CEMI Raw'!$C$6:$C$197,'CEMI Raw'!$E$6:$E$197,$A217,'CEMI Raw'!$B$6:$B$197,2026)</f>
        <v>47</v>
      </c>
      <c r="G217" s="17" t="n">
        <f aca="false">SUMIFS('CEMI Raw'!$D$6:$D$197,'CEMI Raw'!$E$6:$E$197,$A217,'CEMI Raw'!$B$6:$B$197,2026)</f>
        <v>1823.1</v>
      </c>
      <c r="H217" s="16" t="n">
        <f aca="false">SUMIFS('SALES Raw'!$C$6:$C$435,'SALES Raw'!$E$6:$E$435,$A217,'SALES Raw'!$B$6:$B$435,2025)</f>
        <v>109</v>
      </c>
      <c r="I217" s="17" t="n">
        <f aca="false">SUMIFS('SALES Raw'!$D$6:$D$435,'SALES Raw'!$E$6:$E$435,$A217,'SALES Raw'!$B$6:$B$435,2025)</f>
        <v>4490.8</v>
      </c>
      <c r="J217" s="16" t="n">
        <f aca="false">SUMIFS('SALES Raw'!$C$6:$C$435,'SALES Raw'!$E$6:$E$435,$A217,'SALES Raw'!$B$6:$B$435,2026)</f>
        <v>35</v>
      </c>
      <c r="K217" s="17" t="n">
        <f aca="false">SUMIFS('SALES Raw'!$D$6:$D$435,'SALES Raw'!$E$6:$E$435,$A217,'SALES Raw'!$B$6:$B$435,2026)</f>
        <v>1442</v>
      </c>
      <c r="L217" s="16" t="n">
        <f aca="false">D217+H217</f>
        <v>109</v>
      </c>
      <c r="M217" s="17" t="n">
        <f aca="false">E217+I217</f>
        <v>4490.8</v>
      </c>
      <c r="N217" s="16" t="n">
        <f aca="false">F217+J217</f>
        <v>82</v>
      </c>
      <c r="O217" s="17" t="n">
        <f aca="false">G217+K217</f>
        <v>3265.1</v>
      </c>
    </row>
    <row r="218" customFormat="false" ht="15" hidden="false" customHeight="false" outlineLevel="0" collapsed="false">
      <c r="A218" s="6" t="n">
        <v>4422000</v>
      </c>
      <c r="B218" s="6" t="str">
        <f aca="false">IFERROR(INDEX('TRANS'!$A:$A,MATCH($A218,'TRANS'!$B:$B,0)),"")</f>
        <v>801 0</v>
      </c>
      <c r="C218" s="6" t="str">
        <f aca="false">IFERROR(INDEX('TRANS'!$C:$C,MATCH($A218,'TRANS'!$B:$B,0)),"")</f>
        <v>801  תחבושת אלסטית מקררת</v>
      </c>
      <c r="D218" s="16" t="n">
        <f aca="false">SUMIFS('CEMI Raw'!$C$6:$C$197,'CEMI Raw'!$E$6:$E$197,$A218,'CEMI Raw'!$B$6:$B$197,2025)</f>
        <v>0</v>
      </c>
      <c r="E218" s="17" t="n">
        <f aca="false">SUMIFS('CEMI Raw'!$D$6:$D$197,'CEMI Raw'!$E$6:$E$197,$A218,'CEMI Raw'!$B$6:$B$197,2025)</f>
        <v>0</v>
      </c>
      <c r="F218" s="16" t="n">
        <f aca="false">SUMIFS('CEMI Raw'!$C$6:$C$197,'CEMI Raw'!$E$6:$E$197,$A218,'CEMI Raw'!$B$6:$B$197,2026)</f>
        <v>65</v>
      </c>
      <c r="G218" s="17" t="n">
        <f aca="false">SUMIFS('CEMI Raw'!$D$6:$D$197,'CEMI Raw'!$E$6:$E$197,$A218,'CEMI Raw'!$B$6:$B$197,2026)</f>
        <v>879.9</v>
      </c>
      <c r="H218" s="16" t="n">
        <f aca="false">SUMIFS('SALES Raw'!$C$6:$C$435,'SALES Raw'!$E$6:$E$435,$A218,'SALES Raw'!$B$6:$B$435,2025)</f>
        <v>237</v>
      </c>
      <c r="I218" s="17" t="n">
        <f aca="false">SUMIFS('SALES Raw'!$D$6:$D$435,'SALES Raw'!$E$6:$E$435,$A218,'SALES Raw'!$B$6:$B$435,2025)</f>
        <v>3377.25</v>
      </c>
      <c r="J218" s="16" t="n">
        <f aca="false">SUMIFS('SALES Raw'!$C$6:$C$435,'SALES Raw'!$E$6:$E$435,$A218,'SALES Raw'!$B$6:$B$435,2026)</f>
        <v>23</v>
      </c>
      <c r="K218" s="17" t="n">
        <f aca="false">SUMIFS('SALES Raw'!$D$6:$D$435,'SALES Raw'!$E$6:$E$435,$A218,'SALES Raw'!$B$6:$B$435,2026)</f>
        <v>327.75</v>
      </c>
      <c r="L218" s="16" t="n">
        <f aca="false">D218+H218</f>
        <v>237</v>
      </c>
      <c r="M218" s="17" t="n">
        <f aca="false">E218+I218</f>
        <v>3377.25</v>
      </c>
      <c r="N218" s="16" t="n">
        <f aca="false">F218+J218</f>
        <v>88</v>
      </c>
      <c r="O218" s="17" t="n">
        <f aca="false">G218+K218</f>
        <v>1207.65</v>
      </c>
    </row>
    <row r="219" customFormat="false" ht="15" hidden="false" customHeight="false" outlineLevel="0" collapsed="false">
      <c r="A219" s="6" t="n">
        <v>4422004</v>
      </c>
      <c r="B219" s="6" t="str">
        <f aca="false">IFERROR(INDEX('TRANS'!$A:$A,MATCH($A219,'TRANS'!$B:$B,0)),"")</f>
        <v>T78 S</v>
      </c>
      <c r="C219" s="6" t="str">
        <f aca="false">IFERROR(INDEX('TRANS'!$C:$C,MATCH($A219,'TRANS'!$B:$B,0)),"")</f>
        <v>T78 S תומך זרוע וכתף</v>
      </c>
      <c r="D219" s="16" t="n">
        <f aca="false">SUMIFS('CEMI Raw'!$C$6:$C$197,'CEMI Raw'!$E$6:$E$197,$A219,'CEMI Raw'!$B$6:$B$197,2025)</f>
        <v>0</v>
      </c>
      <c r="E219" s="17" t="n">
        <f aca="false">SUMIFS('CEMI Raw'!$D$6:$D$197,'CEMI Raw'!$E$6:$E$197,$A219,'CEMI Raw'!$B$6:$B$197,2025)</f>
        <v>0</v>
      </c>
      <c r="F219" s="16" t="n">
        <f aca="false">SUMIFS('CEMI Raw'!$C$6:$C$197,'CEMI Raw'!$E$6:$E$197,$A219,'CEMI Raw'!$B$6:$B$197,2026)</f>
        <v>0</v>
      </c>
      <c r="G219" s="17" t="n">
        <f aca="false">SUMIFS('CEMI Raw'!$D$6:$D$197,'CEMI Raw'!$E$6:$E$197,$A219,'CEMI Raw'!$B$6:$B$197,2026)</f>
        <v>0</v>
      </c>
      <c r="H219" s="16" t="n">
        <f aca="false">SUMIFS('SALES Raw'!$C$6:$C$435,'SALES Raw'!$E$6:$E$435,$A219,'SALES Raw'!$B$6:$B$435,2025)</f>
        <v>2</v>
      </c>
      <c r="I219" s="17" t="n">
        <f aca="false">SUMIFS('SALES Raw'!$D$6:$D$435,'SALES Raw'!$E$6:$E$435,$A219,'SALES Raw'!$B$6:$B$435,2025)</f>
        <v>257.42</v>
      </c>
      <c r="J219" s="16" t="n">
        <f aca="false">SUMIFS('SALES Raw'!$C$6:$C$435,'SALES Raw'!$E$6:$E$435,$A219,'SALES Raw'!$B$6:$B$435,2026)</f>
        <v>2</v>
      </c>
      <c r="K219" s="17" t="n">
        <f aca="false">SUMIFS('SALES Raw'!$D$6:$D$435,'SALES Raw'!$E$6:$E$435,$A219,'SALES Raw'!$B$6:$B$435,2026)</f>
        <v>257.42</v>
      </c>
      <c r="L219" s="16" t="n">
        <f aca="false">D219+H219</f>
        <v>2</v>
      </c>
      <c r="M219" s="17" t="n">
        <f aca="false">E219+I219</f>
        <v>257.42</v>
      </c>
      <c r="N219" s="16" t="n">
        <f aca="false">F219+J219</f>
        <v>2</v>
      </c>
      <c r="O219" s="17" t="n">
        <f aca="false">G219+K219</f>
        <v>257.42</v>
      </c>
    </row>
    <row r="220" customFormat="false" ht="15" hidden="false" customHeight="false" outlineLevel="0" collapsed="false">
      <c r="A220" s="6" t="n">
        <v>4422005</v>
      </c>
      <c r="B220" s="6" t="str">
        <f aca="false">IFERROR(INDEX('TRANS'!$A:$A,MATCH($A220,'TRANS'!$B:$B,0)),"")</f>
        <v>T78 M</v>
      </c>
      <c r="C220" s="6" t="str">
        <f aca="false">IFERROR(INDEX('TRANS'!$C:$C,MATCH($A220,'TRANS'!$B:$B,0)),"")</f>
        <v>T78 M תומך זרוע וכתף</v>
      </c>
      <c r="D220" s="16" t="n">
        <f aca="false">SUMIFS('CEMI Raw'!$C$6:$C$197,'CEMI Raw'!$E$6:$E$197,$A220,'CEMI Raw'!$B$6:$B$197,2025)</f>
        <v>0</v>
      </c>
      <c r="E220" s="17" t="n">
        <f aca="false">SUMIFS('CEMI Raw'!$D$6:$D$197,'CEMI Raw'!$E$6:$E$197,$A220,'CEMI Raw'!$B$6:$B$197,2025)</f>
        <v>0</v>
      </c>
      <c r="F220" s="16" t="n">
        <f aca="false">SUMIFS('CEMI Raw'!$C$6:$C$197,'CEMI Raw'!$E$6:$E$197,$A220,'CEMI Raw'!$B$6:$B$197,2026)</f>
        <v>6</v>
      </c>
      <c r="G220" s="17" t="n">
        <f aca="false">SUMIFS('CEMI Raw'!$D$6:$D$197,'CEMI Raw'!$E$6:$E$197,$A220,'CEMI Raw'!$B$6:$B$197,2026)</f>
        <v>740.1</v>
      </c>
      <c r="H220" s="16" t="n">
        <f aca="false">SUMIFS('SALES Raw'!$C$6:$C$435,'SALES Raw'!$E$6:$E$435,$A220,'SALES Raw'!$B$6:$B$435,2025)</f>
        <v>16</v>
      </c>
      <c r="I220" s="17" t="n">
        <f aca="false">SUMIFS('SALES Raw'!$D$6:$D$435,'SALES Raw'!$E$6:$E$435,$A220,'SALES Raw'!$B$6:$B$435,2025)</f>
        <v>2059.36</v>
      </c>
      <c r="J220" s="16" t="n">
        <f aca="false">SUMIFS('SALES Raw'!$C$6:$C$435,'SALES Raw'!$E$6:$E$435,$A220,'SALES Raw'!$B$6:$B$435,2026)</f>
        <v>3</v>
      </c>
      <c r="K220" s="17" t="n">
        <f aca="false">SUMIFS('SALES Raw'!$D$6:$D$435,'SALES Raw'!$E$6:$E$435,$A220,'SALES Raw'!$B$6:$B$435,2026)</f>
        <v>386.13</v>
      </c>
      <c r="L220" s="16" t="n">
        <f aca="false">D220+H220</f>
        <v>16</v>
      </c>
      <c r="M220" s="17" t="n">
        <f aca="false">E220+I220</f>
        <v>2059.36</v>
      </c>
      <c r="N220" s="16" t="n">
        <f aca="false">F220+J220</f>
        <v>9</v>
      </c>
      <c r="O220" s="17" t="n">
        <f aca="false">G220+K220</f>
        <v>1126.23</v>
      </c>
    </row>
    <row r="221" customFormat="false" ht="15" hidden="false" customHeight="false" outlineLevel="0" collapsed="false">
      <c r="A221" s="6" t="n">
        <v>4422006</v>
      </c>
      <c r="B221" s="6" t="str">
        <f aca="false">IFERROR(INDEX('TRANS'!$A:$A,MATCH($A221,'TRANS'!$B:$B,0)),"")</f>
        <v>T78 L</v>
      </c>
      <c r="C221" s="6" t="str">
        <f aca="false">IFERROR(INDEX('TRANS'!$C:$C,MATCH($A221,'TRANS'!$B:$B,0)),"")</f>
        <v>T78 L תומך זרוע וכתף</v>
      </c>
      <c r="D221" s="16" t="n">
        <f aca="false">SUMIFS('CEMI Raw'!$C$6:$C$197,'CEMI Raw'!$E$6:$E$197,$A221,'CEMI Raw'!$B$6:$B$197,2025)</f>
        <v>0</v>
      </c>
      <c r="E221" s="17" t="n">
        <f aca="false">SUMIFS('CEMI Raw'!$D$6:$D$197,'CEMI Raw'!$E$6:$E$197,$A221,'CEMI Raw'!$B$6:$B$197,2025)</f>
        <v>0</v>
      </c>
      <c r="F221" s="16" t="n">
        <f aca="false">SUMIFS('CEMI Raw'!$C$6:$C$197,'CEMI Raw'!$E$6:$E$197,$A221,'CEMI Raw'!$B$6:$B$197,2026)</f>
        <v>8</v>
      </c>
      <c r="G221" s="17" t="n">
        <f aca="false">SUMIFS('CEMI Raw'!$D$6:$D$197,'CEMI Raw'!$E$6:$E$197,$A221,'CEMI Raw'!$B$6:$B$197,2026)</f>
        <v>1029.7</v>
      </c>
      <c r="H221" s="16" t="n">
        <f aca="false">SUMIFS('SALES Raw'!$C$6:$C$435,'SALES Raw'!$E$6:$E$435,$A221,'SALES Raw'!$B$6:$B$435,2025)</f>
        <v>9</v>
      </c>
      <c r="I221" s="17" t="n">
        <f aca="false">SUMIFS('SALES Raw'!$D$6:$D$435,'SALES Raw'!$E$6:$E$435,$A221,'SALES Raw'!$B$6:$B$435,2025)</f>
        <v>1158.39</v>
      </c>
      <c r="J221" s="16" t="n">
        <f aca="false">SUMIFS('SALES Raw'!$C$6:$C$435,'SALES Raw'!$E$6:$E$435,$A221,'SALES Raw'!$B$6:$B$435,2026)</f>
        <v>6</v>
      </c>
      <c r="K221" s="17" t="n">
        <f aca="false">SUMIFS('SALES Raw'!$D$6:$D$435,'SALES Raw'!$E$6:$E$435,$A221,'SALES Raw'!$B$6:$B$435,2026)</f>
        <v>772.26</v>
      </c>
      <c r="L221" s="16" t="n">
        <f aca="false">D221+H221</f>
        <v>9</v>
      </c>
      <c r="M221" s="17" t="n">
        <f aca="false">E221+I221</f>
        <v>1158.39</v>
      </c>
      <c r="N221" s="16" t="n">
        <f aca="false">F221+J221</f>
        <v>14</v>
      </c>
      <c r="O221" s="17" t="n">
        <f aca="false">G221+K221</f>
        <v>1801.96</v>
      </c>
    </row>
    <row r="222" customFormat="false" ht="15" hidden="false" customHeight="false" outlineLevel="0" collapsed="false">
      <c r="A222" s="6" t="n">
        <v>4422007</v>
      </c>
      <c r="B222" s="6" t="str">
        <f aca="false">IFERROR(INDEX('TRANS'!$A:$A,MATCH($A222,'TRANS'!$B:$B,0)),"")</f>
        <v>T78 XL</v>
      </c>
      <c r="C222" s="6" t="str">
        <f aca="false">IFERROR(INDEX('TRANS'!$C:$C,MATCH($A222,'TRANS'!$B:$B,0)),"")</f>
        <v>T78 XLתומך זרוע וכתף</v>
      </c>
      <c r="D222" s="16" t="n">
        <f aca="false">SUMIFS('CEMI Raw'!$C$6:$C$197,'CEMI Raw'!$E$6:$E$197,$A222,'CEMI Raw'!$B$6:$B$197,2025)</f>
        <v>0</v>
      </c>
      <c r="E222" s="17" t="n">
        <f aca="false">SUMIFS('CEMI Raw'!$D$6:$D$197,'CEMI Raw'!$E$6:$E$197,$A222,'CEMI Raw'!$B$6:$B$197,2025)</f>
        <v>0</v>
      </c>
      <c r="F222" s="16" t="n">
        <f aca="false">SUMIFS('CEMI Raw'!$C$6:$C$197,'CEMI Raw'!$E$6:$E$197,$A222,'CEMI Raw'!$B$6:$B$197,2026)</f>
        <v>2</v>
      </c>
      <c r="G222" s="17" t="n">
        <f aca="false">SUMIFS('CEMI Raw'!$D$6:$D$197,'CEMI Raw'!$E$6:$E$197,$A222,'CEMI Raw'!$B$6:$B$197,2026)</f>
        <v>257.4</v>
      </c>
      <c r="H222" s="16" t="n">
        <f aca="false">SUMIFS('SALES Raw'!$C$6:$C$435,'SALES Raw'!$E$6:$E$435,$A222,'SALES Raw'!$B$6:$B$435,2025)</f>
        <v>10</v>
      </c>
      <c r="I222" s="17" t="n">
        <f aca="false">SUMIFS('SALES Raw'!$D$6:$D$435,'SALES Raw'!$E$6:$E$435,$A222,'SALES Raw'!$B$6:$B$435,2025)</f>
        <v>1287.1</v>
      </c>
      <c r="J222" s="16" t="n">
        <f aca="false">SUMIFS('SALES Raw'!$C$6:$C$435,'SALES Raw'!$E$6:$E$435,$A222,'SALES Raw'!$B$6:$B$435,2026)</f>
        <v>1</v>
      </c>
      <c r="K222" s="17" t="n">
        <f aca="false">SUMIFS('SALES Raw'!$D$6:$D$435,'SALES Raw'!$E$6:$E$435,$A222,'SALES Raw'!$B$6:$B$435,2026)</f>
        <v>128.71</v>
      </c>
      <c r="L222" s="16" t="n">
        <f aca="false">D222+H222</f>
        <v>10</v>
      </c>
      <c r="M222" s="17" t="n">
        <f aca="false">E222+I222</f>
        <v>1287.1</v>
      </c>
      <c r="N222" s="16" t="n">
        <f aca="false">F222+J222</f>
        <v>3</v>
      </c>
      <c r="O222" s="17" t="n">
        <f aca="false">G222+K222</f>
        <v>386.11</v>
      </c>
    </row>
    <row r="223" customFormat="false" ht="15" hidden="false" customHeight="false" outlineLevel="0" collapsed="false">
      <c r="A223" s="6" t="n">
        <v>4422009</v>
      </c>
      <c r="B223" s="6" t="str">
        <f aca="false">IFERROR(INDEX('TRANS'!$A:$A,MATCH($A223,'TRANS'!$B:$B,0)),"")</f>
        <v>T78 XXL</v>
      </c>
      <c r="C223" s="6" t="str">
        <f aca="false">IFERROR(INDEX('TRANS'!$C:$C,MATCH($A223,'TRANS'!$B:$B,0)),"")</f>
        <v>T78 XXL תומך זרוע וכתף</v>
      </c>
      <c r="D223" s="16" t="n">
        <f aca="false">SUMIFS('CEMI Raw'!$C$6:$C$197,'CEMI Raw'!$E$6:$E$197,$A223,'CEMI Raw'!$B$6:$B$197,2025)</f>
        <v>0</v>
      </c>
      <c r="E223" s="17" t="n">
        <f aca="false">SUMIFS('CEMI Raw'!$D$6:$D$197,'CEMI Raw'!$E$6:$E$197,$A223,'CEMI Raw'!$B$6:$B$197,2025)</f>
        <v>0</v>
      </c>
      <c r="F223" s="16" t="n">
        <f aca="false">SUMIFS('CEMI Raw'!$C$6:$C$197,'CEMI Raw'!$E$6:$E$197,$A223,'CEMI Raw'!$B$6:$B$197,2026)</f>
        <v>0</v>
      </c>
      <c r="G223" s="17" t="n">
        <f aca="false">SUMIFS('CEMI Raw'!$D$6:$D$197,'CEMI Raw'!$E$6:$E$197,$A223,'CEMI Raw'!$B$6:$B$197,2026)</f>
        <v>0</v>
      </c>
      <c r="H223" s="16" t="n">
        <f aca="false">SUMIFS('SALES Raw'!$C$6:$C$435,'SALES Raw'!$E$6:$E$435,$A223,'SALES Raw'!$B$6:$B$435,2025)</f>
        <v>1</v>
      </c>
      <c r="I223" s="17" t="n">
        <f aca="false">SUMIFS('SALES Raw'!$D$6:$D$435,'SALES Raw'!$E$6:$E$435,$A223,'SALES Raw'!$B$6:$B$435,2025)</f>
        <v>128.71</v>
      </c>
      <c r="J223" s="16" t="n">
        <f aca="false">SUMIFS('SALES Raw'!$C$6:$C$435,'SALES Raw'!$E$6:$E$435,$A223,'SALES Raw'!$B$6:$B$435,2026)</f>
        <v>3</v>
      </c>
      <c r="K223" s="17" t="n">
        <f aca="false">SUMIFS('SALES Raw'!$D$6:$D$435,'SALES Raw'!$E$6:$E$435,$A223,'SALES Raw'!$B$6:$B$435,2026)</f>
        <v>386.13</v>
      </c>
      <c r="L223" s="16" t="n">
        <f aca="false">D223+H223</f>
        <v>1</v>
      </c>
      <c r="M223" s="17" t="n">
        <f aca="false">E223+I223</f>
        <v>128.71</v>
      </c>
      <c r="N223" s="16" t="n">
        <f aca="false">F223+J223</f>
        <v>3</v>
      </c>
      <c r="O223" s="17" t="n">
        <f aca="false">G223+K223</f>
        <v>386.13</v>
      </c>
    </row>
    <row r="224" customFormat="false" ht="15" hidden="false" customHeight="false" outlineLevel="0" collapsed="false">
      <c r="A224" s="6" t="n">
        <v>4422035</v>
      </c>
      <c r="B224" s="6" t="str">
        <f aca="false">IFERROR(INDEX('TRANS'!$A:$A,MATCH($A224,'TRANS'!$B:$B,0)),"")</f>
        <v>FC333 0</v>
      </c>
      <c r="C224" s="6" t="str">
        <f aca="false">IFERROR(INDEX('TRANS'!$C:$C,MATCH($A224,'TRANS'!$B:$B,0)),"")</f>
        <v>FCתרסיס דאודורנט אנטיבק.נעל333</v>
      </c>
      <c r="D224" s="16" t="n">
        <f aca="false">SUMIFS('CEMI Raw'!$C$6:$C$197,'CEMI Raw'!$E$6:$E$197,$A224,'CEMI Raw'!$B$6:$B$197,2025)</f>
        <v>0</v>
      </c>
      <c r="E224" s="17" t="n">
        <f aca="false">SUMIFS('CEMI Raw'!$D$6:$D$197,'CEMI Raw'!$E$6:$E$197,$A224,'CEMI Raw'!$B$6:$B$197,2025)</f>
        <v>0</v>
      </c>
      <c r="F224" s="16" t="n">
        <f aca="false">SUMIFS('CEMI Raw'!$C$6:$C$197,'CEMI Raw'!$E$6:$E$197,$A224,'CEMI Raw'!$B$6:$B$197,2026)</f>
        <v>156</v>
      </c>
      <c r="G224" s="17" t="n">
        <f aca="false">SUMIFS('CEMI Raw'!$D$6:$D$197,'CEMI Raw'!$E$6:$E$197,$A224,'CEMI Raw'!$B$6:$B$197,2026)</f>
        <v>2308.8</v>
      </c>
      <c r="H224" s="16" t="n">
        <f aca="false">SUMIFS('SALES Raw'!$C$6:$C$435,'SALES Raw'!$E$6:$E$435,$A224,'SALES Raw'!$B$6:$B$435,2025)</f>
        <v>978</v>
      </c>
      <c r="I224" s="17" t="n">
        <f aca="false">SUMIFS('SALES Raw'!$D$6:$D$435,'SALES Raw'!$E$6:$E$435,$A224,'SALES Raw'!$B$6:$B$435,2025)</f>
        <v>14474.4</v>
      </c>
      <c r="J224" s="16" t="n">
        <f aca="false">SUMIFS('SALES Raw'!$C$6:$C$435,'SALES Raw'!$E$6:$E$435,$A224,'SALES Raw'!$B$6:$B$435,2026)</f>
        <v>168</v>
      </c>
      <c r="K224" s="17" t="n">
        <f aca="false">SUMIFS('SALES Raw'!$D$6:$D$435,'SALES Raw'!$E$6:$E$435,$A224,'SALES Raw'!$B$6:$B$435,2026)</f>
        <v>2569.74</v>
      </c>
      <c r="L224" s="16" t="n">
        <f aca="false">D224+H224</f>
        <v>978</v>
      </c>
      <c r="M224" s="17" t="n">
        <f aca="false">E224+I224</f>
        <v>14474.4</v>
      </c>
      <c r="N224" s="16" t="n">
        <f aca="false">F224+J224</f>
        <v>324</v>
      </c>
      <c r="O224" s="17" t="n">
        <f aca="false">G224+K224</f>
        <v>4878.54</v>
      </c>
    </row>
    <row r="225" customFormat="false" ht="15" hidden="false" customHeight="false" outlineLevel="0" collapsed="false">
      <c r="A225" s="6" t="n">
        <v>4422036</v>
      </c>
      <c r="B225" s="6" t="str">
        <f aca="false">IFERROR(INDEX('TRANS'!$A:$A,MATCH($A225,'TRANS'!$B:$B,0)),"")</f>
        <v>FC334 0</v>
      </c>
      <c r="C225" s="6" t="str">
        <f aca="false">IFERROR(INDEX('TRANS'!$C:$C,MATCH($A225,'TRANS'!$B:$B,0)),"")</f>
        <v>FC334  תרסיס דאודורנט לכף הרגל</v>
      </c>
      <c r="D225" s="16" t="n">
        <f aca="false">SUMIFS('CEMI Raw'!$C$6:$C$197,'CEMI Raw'!$E$6:$E$197,$A225,'CEMI Raw'!$B$6:$B$197,2025)</f>
        <v>0</v>
      </c>
      <c r="E225" s="17" t="n">
        <f aca="false">SUMIFS('CEMI Raw'!$D$6:$D$197,'CEMI Raw'!$E$6:$E$197,$A225,'CEMI Raw'!$B$6:$B$197,2025)</f>
        <v>0</v>
      </c>
      <c r="F225" s="16" t="n">
        <f aca="false">SUMIFS('CEMI Raw'!$C$6:$C$197,'CEMI Raw'!$E$6:$E$197,$A225,'CEMI Raw'!$B$6:$B$197,2026)</f>
        <v>29</v>
      </c>
      <c r="G225" s="17" t="n">
        <f aca="false">SUMIFS('CEMI Raw'!$D$6:$D$197,'CEMI Raw'!$E$6:$E$197,$A225,'CEMI Raw'!$B$6:$B$197,2026)</f>
        <v>429.2</v>
      </c>
      <c r="H225" s="16" t="n">
        <f aca="false">SUMIFS('SALES Raw'!$C$6:$C$435,'SALES Raw'!$E$6:$E$435,$A225,'SALES Raw'!$B$6:$B$435,2025)</f>
        <v>0</v>
      </c>
      <c r="I225" s="17" t="n">
        <f aca="false">SUMIFS('SALES Raw'!$D$6:$D$435,'SALES Raw'!$E$6:$E$435,$A225,'SALES Raw'!$B$6:$B$435,2025)</f>
        <v>0</v>
      </c>
      <c r="J225" s="16" t="n">
        <f aca="false">SUMIFS('SALES Raw'!$C$6:$C$435,'SALES Raw'!$E$6:$E$435,$A225,'SALES Raw'!$B$6:$B$435,2026)</f>
        <v>0</v>
      </c>
      <c r="K225" s="17" t="n">
        <f aca="false">SUMIFS('SALES Raw'!$D$6:$D$435,'SALES Raw'!$E$6:$E$435,$A225,'SALES Raw'!$B$6:$B$435,2026)</f>
        <v>0</v>
      </c>
      <c r="L225" s="16" t="n">
        <f aca="false">D225+H225</f>
        <v>0</v>
      </c>
      <c r="M225" s="17" t="n">
        <f aca="false">E225+I225</f>
        <v>0</v>
      </c>
      <c r="N225" s="16" t="n">
        <f aca="false">F225+J225</f>
        <v>29</v>
      </c>
      <c r="O225" s="17" t="n">
        <f aca="false">G225+K225</f>
        <v>429.2</v>
      </c>
    </row>
    <row r="226" customFormat="false" ht="15" hidden="false" customHeight="false" outlineLevel="0" collapsed="false">
      <c r="A226" s="6" t="n">
        <v>4422037</v>
      </c>
      <c r="B226" s="6" t="str">
        <f aca="false">IFERROR(INDEX('TRANS'!$A:$A,MATCH($A226,'TRANS'!$B:$B,0)),"")</f>
        <v>SH422 1</v>
      </c>
      <c r="C226" s="6" t="str">
        <f aca="false">IFERROR(INDEX('TRANS'!$C:$C,MATCH($A226,'TRANS'!$B:$B,0)),"")</f>
        <v>SH422 1 תומך ברך גנושילד</v>
      </c>
      <c r="D226" s="16" t="n">
        <f aca="false">SUMIFS('CEMI Raw'!$C$6:$C$197,'CEMI Raw'!$E$6:$E$197,$A226,'CEMI Raw'!$B$6:$B$197,2025)</f>
        <v>0</v>
      </c>
      <c r="E226" s="17" t="n">
        <f aca="false">SUMIFS('CEMI Raw'!$D$6:$D$197,'CEMI Raw'!$E$6:$E$197,$A226,'CEMI Raw'!$B$6:$B$197,2025)</f>
        <v>0</v>
      </c>
      <c r="F226" s="16" t="n">
        <f aca="false">SUMIFS('CEMI Raw'!$C$6:$C$197,'CEMI Raw'!$E$6:$E$197,$A226,'CEMI Raw'!$B$6:$B$197,2026)</f>
        <v>12</v>
      </c>
      <c r="G226" s="17" t="n">
        <f aca="false">SUMIFS('CEMI Raw'!$D$6:$D$197,'CEMI Raw'!$E$6:$E$197,$A226,'CEMI Raw'!$B$6:$B$197,2026)</f>
        <v>1500</v>
      </c>
      <c r="H226" s="16" t="n">
        <f aca="false">SUMIFS('SALES Raw'!$C$6:$C$435,'SALES Raw'!$E$6:$E$435,$A226,'SALES Raw'!$B$6:$B$435,2025)</f>
        <v>0</v>
      </c>
      <c r="I226" s="17" t="n">
        <f aca="false">SUMIFS('SALES Raw'!$D$6:$D$435,'SALES Raw'!$E$6:$E$435,$A226,'SALES Raw'!$B$6:$B$435,2025)</f>
        <v>0</v>
      </c>
      <c r="J226" s="16" t="n">
        <f aca="false">SUMIFS('SALES Raw'!$C$6:$C$435,'SALES Raw'!$E$6:$E$435,$A226,'SALES Raw'!$B$6:$B$435,2026)</f>
        <v>0</v>
      </c>
      <c r="K226" s="17" t="n">
        <f aca="false">SUMIFS('SALES Raw'!$D$6:$D$435,'SALES Raw'!$E$6:$E$435,$A226,'SALES Raw'!$B$6:$B$435,2026)</f>
        <v>0</v>
      </c>
      <c r="L226" s="16" t="n">
        <f aca="false">D226+H226</f>
        <v>0</v>
      </c>
      <c r="M226" s="17" t="n">
        <f aca="false">E226+I226</f>
        <v>0</v>
      </c>
      <c r="N226" s="16" t="n">
        <f aca="false">F226+J226</f>
        <v>12</v>
      </c>
      <c r="O226" s="17" t="n">
        <f aca="false">G226+K226</f>
        <v>1500</v>
      </c>
    </row>
    <row r="227" customFormat="false" ht="15" hidden="false" customHeight="false" outlineLevel="0" collapsed="false">
      <c r="A227" s="6" t="n">
        <v>4422039</v>
      </c>
      <c r="B227" s="6" t="str">
        <f aca="false">IFERROR(INDEX('TRANS'!$A:$A,MATCH($A227,'TRANS'!$B:$B,0)),"")</f>
        <v>SH422 3</v>
      </c>
      <c r="C227" s="6" t="str">
        <f aca="false">IFERROR(INDEX('TRANS'!$C:$C,MATCH($A227,'TRANS'!$B:$B,0)),"")</f>
        <v>SH422 3 תומך ברך גנושילד</v>
      </c>
      <c r="D227" s="16" t="n">
        <f aca="false">SUMIFS('CEMI Raw'!$C$6:$C$197,'CEMI Raw'!$E$6:$E$197,$A227,'CEMI Raw'!$B$6:$B$197,2025)</f>
        <v>0</v>
      </c>
      <c r="E227" s="17" t="n">
        <f aca="false">SUMIFS('CEMI Raw'!$D$6:$D$197,'CEMI Raw'!$E$6:$E$197,$A227,'CEMI Raw'!$B$6:$B$197,2025)</f>
        <v>0</v>
      </c>
      <c r="F227" s="16" t="n">
        <f aca="false">SUMIFS('CEMI Raw'!$C$6:$C$197,'CEMI Raw'!$E$6:$E$197,$A227,'CEMI Raw'!$B$6:$B$197,2026)</f>
        <v>17</v>
      </c>
      <c r="G227" s="17" t="n">
        <f aca="false">SUMIFS('CEMI Raw'!$D$6:$D$197,'CEMI Raw'!$E$6:$E$197,$A227,'CEMI Raw'!$B$6:$B$197,2026)</f>
        <v>2125</v>
      </c>
      <c r="H227" s="16" t="n">
        <f aca="false">SUMIFS('SALES Raw'!$C$6:$C$435,'SALES Raw'!$E$6:$E$435,$A227,'SALES Raw'!$B$6:$B$435,2025)</f>
        <v>0</v>
      </c>
      <c r="I227" s="17" t="n">
        <f aca="false">SUMIFS('SALES Raw'!$D$6:$D$435,'SALES Raw'!$E$6:$E$435,$A227,'SALES Raw'!$B$6:$B$435,2025)</f>
        <v>0</v>
      </c>
      <c r="J227" s="16" t="n">
        <f aca="false">SUMIFS('SALES Raw'!$C$6:$C$435,'SALES Raw'!$E$6:$E$435,$A227,'SALES Raw'!$B$6:$B$435,2026)</f>
        <v>0</v>
      </c>
      <c r="K227" s="17" t="n">
        <f aca="false">SUMIFS('SALES Raw'!$D$6:$D$435,'SALES Raw'!$E$6:$E$435,$A227,'SALES Raw'!$B$6:$B$435,2026)</f>
        <v>0</v>
      </c>
      <c r="L227" s="16" t="n">
        <f aca="false">D227+H227</f>
        <v>0</v>
      </c>
      <c r="M227" s="17" t="n">
        <f aca="false">E227+I227</f>
        <v>0</v>
      </c>
      <c r="N227" s="16" t="n">
        <f aca="false">F227+J227</f>
        <v>17</v>
      </c>
      <c r="O227" s="17" t="n">
        <f aca="false">G227+K227</f>
        <v>2125</v>
      </c>
    </row>
    <row r="228" customFormat="false" ht="15" hidden="false" customHeight="false" outlineLevel="0" collapsed="false">
      <c r="A228" s="6" t="n">
        <v>4422040</v>
      </c>
      <c r="B228" s="6" t="str">
        <f aca="false">IFERROR(INDEX('TRANS'!$A:$A,MATCH($A228,'TRANS'!$B:$B,0)),"")</f>
        <v>SH422 4</v>
      </c>
      <c r="C228" s="6" t="str">
        <f aca="false">IFERROR(INDEX('TRANS'!$C:$C,MATCH($A228,'TRANS'!$B:$B,0)),"")</f>
        <v>SH422 4 תומך ברך גנושילד</v>
      </c>
      <c r="D228" s="16" t="n">
        <f aca="false">SUMIFS('CEMI Raw'!$C$6:$C$197,'CEMI Raw'!$E$6:$E$197,$A228,'CEMI Raw'!$B$6:$B$197,2025)</f>
        <v>0</v>
      </c>
      <c r="E228" s="17" t="n">
        <f aca="false">SUMIFS('CEMI Raw'!$D$6:$D$197,'CEMI Raw'!$E$6:$E$197,$A228,'CEMI Raw'!$B$6:$B$197,2025)</f>
        <v>0</v>
      </c>
      <c r="F228" s="16" t="n">
        <f aca="false">SUMIFS('CEMI Raw'!$C$6:$C$197,'CEMI Raw'!$E$6:$E$197,$A228,'CEMI Raw'!$B$6:$B$197,2026)</f>
        <v>25</v>
      </c>
      <c r="G228" s="17" t="n">
        <f aca="false">SUMIFS('CEMI Raw'!$D$6:$D$197,'CEMI Raw'!$E$6:$E$197,$A228,'CEMI Raw'!$B$6:$B$197,2026)</f>
        <v>3125</v>
      </c>
      <c r="H228" s="16" t="n">
        <f aca="false">SUMIFS('SALES Raw'!$C$6:$C$435,'SALES Raw'!$E$6:$E$435,$A228,'SALES Raw'!$B$6:$B$435,2025)</f>
        <v>0</v>
      </c>
      <c r="I228" s="17" t="n">
        <f aca="false">SUMIFS('SALES Raw'!$D$6:$D$435,'SALES Raw'!$E$6:$E$435,$A228,'SALES Raw'!$B$6:$B$435,2025)</f>
        <v>0</v>
      </c>
      <c r="J228" s="16" t="n">
        <f aca="false">SUMIFS('SALES Raw'!$C$6:$C$435,'SALES Raw'!$E$6:$E$435,$A228,'SALES Raw'!$B$6:$B$435,2026)</f>
        <v>0</v>
      </c>
      <c r="K228" s="17" t="n">
        <f aca="false">SUMIFS('SALES Raw'!$D$6:$D$435,'SALES Raw'!$E$6:$E$435,$A228,'SALES Raw'!$B$6:$B$435,2026)</f>
        <v>0</v>
      </c>
      <c r="L228" s="16" t="n">
        <f aca="false">D228+H228</f>
        <v>0</v>
      </c>
      <c r="M228" s="17" t="n">
        <f aca="false">E228+I228</f>
        <v>0</v>
      </c>
      <c r="N228" s="16" t="n">
        <f aca="false">F228+J228</f>
        <v>25</v>
      </c>
      <c r="O228" s="17" t="n">
        <f aca="false">G228+K228</f>
        <v>3125</v>
      </c>
    </row>
    <row r="229" customFormat="false" ht="15" hidden="false" customHeight="false" outlineLevel="0" collapsed="false">
      <c r="A229" s="6" t="n">
        <v>4422041</v>
      </c>
      <c r="B229" s="6" t="str">
        <f aca="false">IFERROR(INDEX('TRANS'!$A:$A,MATCH($A229,'TRANS'!$B:$B,0)),"")</f>
        <v>SH422 5</v>
      </c>
      <c r="C229" s="6" t="str">
        <f aca="false">IFERROR(INDEX('TRANS'!$C:$C,MATCH($A229,'TRANS'!$B:$B,0)),"")</f>
        <v>SH422 5 תומך ברך גנושילד</v>
      </c>
      <c r="D229" s="16" t="n">
        <f aca="false">SUMIFS('CEMI Raw'!$C$6:$C$197,'CEMI Raw'!$E$6:$E$197,$A229,'CEMI Raw'!$B$6:$B$197,2025)</f>
        <v>0</v>
      </c>
      <c r="E229" s="17" t="n">
        <f aca="false">SUMIFS('CEMI Raw'!$D$6:$D$197,'CEMI Raw'!$E$6:$E$197,$A229,'CEMI Raw'!$B$6:$B$197,2025)</f>
        <v>0</v>
      </c>
      <c r="F229" s="16" t="n">
        <f aca="false">SUMIFS('CEMI Raw'!$C$6:$C$197,'CEMI Raw'!$E$6:$E$197,$A229,'CEMI Raw'!$B$6:$B$197,2026)</f>
        <v>26</v>
      </c>
      <c r="G229" s="17" t="n">
        <f aca="false">SUMIFS('CEMI Raw'!$D$6:$D$197,'CEMI Raw'!$E$6:$E$197,$A229,'CEMI Raw'!$B$6:$B$197,2026)</f>
        <v>3250</v>
      </c>
      <c r="H229" s="16" t="n">
        <f aca="false">SUMIFS('SALES Raw'!$C$6:$C$435,'SALES Raw'!$E$6:$E$435,$A229,'SALES Raw'!$B$6:$B$435,2025)</f>
        <v>0</v>
      </c>
      <c r="I229" s="17" t="n">
        <f aca="false">SUMIFS('SALES Raw'!$D$6:$D$435,'SALES Raw'!$E$6:$E$435,$A229,'SALES Raw'!$B$6:$B$435,2025)</f>
        <v>0</v>
      </c>
      <c r="J229" s="16" t="n">
        <f aca="false">SUMIFS('SALES Raw'!$C$6:$C$435,'SALES Raw'!$E$6:$E$435,$A229,'SALES Raw'!$B$6:$B$435,2026)</f>
        <v>0</v>
      </c>
      <c r="K229" s="17" t="n">
        <f aca="false">SUMIFS('SALES Raw'!$D$6:$D$435,'SALES Raw'!$E$6:$E$435,$A229,'SALES Raw'!$B$6:$B$435,2026)</f>
        <v>0</v>
      </c>
      <c r="L229" s="16" t="n">
        <f aca="false">D229+H229</f>
        <v>0</v>
      </c>
      <c r="M229" s="17" t="n">
        <f aca="false">E229+I229</f>
        <v>0</v>
      </c>
      <c r="N229" s="16" t="n">
        <f aca="false">F229+J229</f>
        <v>26</v>
      </c>
      <c r="O229" s="17" t="n">
        <f aca="false">G229+K229</f>
        <v>3250</v>
      </c>
    </row>
    <row r="230" customFormat="false" ht="15" hidden="false" customHeight="false" outlineLevel="0" collapsed="false">
      <c r="A230" s="6" t="n">
        <v>4422042</v>
      </c>
      <c r="B230" s="6" t="str">
        <f aca="false">IFERROR(INDEX('TRANS'!$A:$A,MATCH($A230,'TRANS'!$B:$B,0)),"")</f>
        <v>SH422 6</v>
      </c>
      <c r="C230" s="6" t="str">
        <f aca="false">IFERROR(INDEX('TRANS'!$C:$C,MATCH($A230,'TRANS'!$B:$B,0)),"")</f>
        <v>SH422 6 תומך ברך גנושילד</v>
      </c>
      <c r="D230" s="16" t="n">
        <f aca="false">SUMIFS('CEMI Raw'!$C$6:$C$197,'CEMI Raw'!$E$6:$E$197,$A230,'CEMI Raw'!$B$6:$B$197,2025)</f>
        <v>0</v>
      </c>
      <c r="E230" s="17" t="n">
        <f aca="false">SUMIFS('CEMI Raw'!$D$6:$D$197,'CEMI Raw'!$E$6:$E$197,$A230,'CEMI Raw'!$B$6:$B$197,2025)</f>
        <v>0</v>
      </c>
      <c r="F230" s="16" t="n">
        <f aca="false">SUMIFS('CEMI Raw'!$C$6:$C$197,'CEMI Raw'!$E$6:$E$197,$A230,'CEMI Raw'!$B$6:$B$197,2026)</f>
        <v>17</v>
      </c>
      <c r="G230" s="17" t="n">
        <f aca="false">SUMIFS('CEMI Raw'!$D$6:$D$197,'CEMI Raw'!$E$6:$E$197,$A230,'CEMI Raw'!$B$6:$B$197,2026)</f>
        <v>2125</v>
      </c>
      <c r="H230" s="16" t="n">
        <f aca="false">SUMIFS('SALES Raw'!$C$6:$C$435,'SALES Raw'!$E$6:$E$435,$A230,'SALES Raw'!$B$6:$B$435,2025)</f>
        <v>0</v>
      </c>
      <c r="I230" s="17" t="n">
        <f aca="false">SUMIFS('SALES Raw'!$D$6:$D$435,'SALES Raw'!$E$6:$E$435,$A230,'SALES Raw'!$B$6:$B$435,2025)</f>
        <v>0</v>
      </c>
      <c r="J230" s="16" t="n">
        <f aca="false">SUMIFS('SALES Raw'!$C$6:$C$435,'SALES Raw'!$E$6:$E$435,$A230,'SALES Raw'!$B$6:$B$435,2026)</f>
        <v>0</v>
      </c>
      <c r="K230" s="17" t="n">
        <f aca="false">SUMIFS('SALES Raw'!$D$6:$D$435,'SALES Raw'!$E$6:$E$435,$A230,'SALES Raw'!$B$6:$B$435,2026)</f>
        <v>0</v>
      </c>
      <c r="L230" s="16" t="n">
        <f aca="false">D230+H230</f>
        <v>0</v>
      </c>
      <c r="M230" s="17" t="n">
        <f aca="false">E230+I230</f>
        <v>0</v>
      </c>
      <c r="N230" s="16" t="n">
        <f aca="false">F230+J230</f>
        <v>17</v>
      </c>
      <c r="O230" s="17" t="n">
        <f aca="false">G230+K230</f>
        <v>2125</v>
      </c>
    </row>
    <row r="231" customFormat="false" ht="15" hidden="false" customHeight="false" outlineLevel="0" collapsed="false">
      <c r="A231" s="18" t="s">
        <v>61</v>
      </c>
      <c r="B231" s="18"/>
      <c r="C231" s="18"/>
      <c r="D231" s="19" t="n">
        <f aca="false">SUM(D14:D230)</f>
        <v>0</v>
      </c>
      <c r="E231" s="20" t="n">
        <f aca="false">SUM(E14:E230)</f>
        <v>0</v>
      </c>
      <c r="F231" s="19" t="n">
        <f aca="false">SUM(F14:F230)</f>
        <v>9850</v>
      </c>
      <c r="G231" s="20" t="n">
        <f aca="false">SUM(G14:G230)</f>
        <v>295219.9</v>
      </c>
      <c r="H231" s="19" t="n">
        <f aca="false">SUM(H14:H230)</f>
        <v>29272</v>
      </c>
      <c r="I231" s="20" t="n">
        <f aca="false">SUM(I14:I230)</f>
        <v>882043.8</v>
      </c>
      <c r="J231" s="19" t="n">
        <f aca="false">SUM(J14:J230)</f>
        <v>7319</v>
      </c>
      <c r="K231" s="20" t="n">
        <f aca="false">SUM(K14:K230)</f>
        <v>218466.42</v>
      </c>
      <c r="L231" s="19" t="n">
        <f aca="false">SUM(L14:L230)</f>
        <v>29272</v>
      </c>
      <c r="M231" s="20" t="n">
        <f aca="false">SUM(M14:M230)</f>
        <v>882043.8</v>
      </c>
      <c r="N231" s="19" t="n">
        <f aca="false">SUM(N14:N230)</f>
        <v>17169</v>
      </c>
      <c r="O231" s="20" t="n">
        <f aca="false">SUM(O14:O230)</f>
        <v>513686.32</v>
      </c>
    </row>
  </sheetData>
  <mergeCells count="2">
    <mergeCell ref="A3:O3"/>
    <mergeCell ref="A11:H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2"/>
    <col collapsed="false" customWidth="true" hidden="false" outlineLevel="0" max="3" min="3" style="0" width="14"/>
    <col collapsed="false" customWidth="true" hidden="false" outlineLevel="0" max="4" min="4" style="0" width="12"/>
    <col collapsed="false" customWidth="true" hidden="false" outlineLevel="0" max="5" min="5" style="0" width="14"/>
  </cols>
  <sheetData>
    <row r="1" customFormat="false" ht="17.35" hidden="false" customHeight="false" outlineLevel="0" collapsed="false">
      <c r="A1" s="1" t="s">
        <v>62</v>
      </c>
    </row>
    <row r="2" customFormat="false" ht="15" hidden="false" customHeight="false" outlineLevel="0" collapsed="false">
      <c r="A2" s="2" t="s">
        <v>1</v>
      </c>
      <c r="B2" s="3" t="n">
        <v>46289</v>
      </c>
    </row>
    <row r="3" customFormat="false" ht="32.8" hidden="false" customHeight="true" outlineLevel="0" collapsed="false">
      <c r="A3" s="4" t="s">
        <v>63</v>
      </c>
      <c r="B3" s="4"/>
      <c r="C3" s="4"/>
      <c r="D3" s="4"/>
      <c r="E3" s="4"/>
      <c r="F3" s="4"/>
      <c r="G3" s="4"/>
      <c r="H3" s="4"/>
      <c r="I3" s="4"/>
      <c r="J3" s="4"/>
      <c r="K3" s="4"/>
    </row>
    <row r="5" customFormat="false" ht="15" hidden="false" customHeight="false" outlineLevel="0" collapsed="false">
      <c r="A5" s="2" t="s">
        <v>64</v>
      </c>
    </row>
    <row r="6" customFormat="false" ht="15" hidden="false" customHeight="false" outlineLevel="0" collapsed="false">
      <c r="A6" s="5" t="s">
        <v>65</v>
      </c>
      <c r="B6" s="5" t="s">
        <v>66</v>
      </c>
      <c r="C6" s="5" t="s">
        <v>27</v>
      </c>
      <c r="D6" s="5" t="s">
        <v>28</v>
      </c>
    </row>
    <row r="7" customFormat="false" ht="15" hidden="false" customHeight="false" outlineLevel="0" collapsed="false">
      <c r="A7" s="21" t="s">
        <v>67</v>
      </c>
      <c r="B7" s="21" t="n">
        <v>2026</v>
      </c>
      <c r="C7" s="22" t="n">
        <f aca="false">SUMIFS('CEMI Raw'!$C$6:$C$197,'CEMI Raw'!$A$6:$A$197,$A7,'CEMI Raw'!$B$6:$B$197,$B7)</f>
        <v>7</v>
      </c>
      <c r="D7" s="23" t="n">
        <f aca="false">SUMIFS('CEMI Raw'!$D$6:$D$197,'CEMI Raw'!$A$6:$A$197,$A7,'CEMI Raw'!$B$6:$B$197,$B7)</f>
        <v>1096.9</v>
      </c>
    </row>
    <row r="8" customFormat="false" ht="15" hidden="false" customHeight="false" outlineLevel="0" collapsed="false">
      <c r="A8" s="21" t="s">
        <v>68</v>
      </c>
      <c r="B8" s="21" t="n">
        <v>2026</v>
      </c>
      <c r="C8" s="22" t="n">
        <f aca="false">SUMIFS('CEMI Raw'!$C$6:$C$197,'CEMI Raw'!$A$6:$A$197,$A8,'CEMI Raw'!$B$6:$B$197,$B8)</f>
        <v>2</v>
      </c>
      <c r="D8" s="23" t="n">
        <f aca="false">SUMIFS('CEMI Raw'!$D$6:$D$197,'CEMI Raw'!$A$6:$A$197,$A8,'CEMI Raw'!$B$6:$B$197,$B8)</f>
        <v>351</v>
      </c>
    </row>
    <row r="9" customFormat="false" ht="15" hidden="false" customHeight="false" outlineLevel="0" collapsed="false">
      <c r="A9" s="21" t="s">
        <v>69</v>
      </c>
      <c r="B9" s="21" t="n">
        <v>2026</v>
      </c>
      <c r="C9" s="22" t="n">
        <f aca="false">SUMIFS('CEMI Raw'!$C$6:$C$197,'CEMI Raw'!$A$6:$A$197,$A9,'CEMI Raw'!$B$6:$B$197,$B9)</f>
        <v>5</v>
      </c>
      <c r="D9" s="23" t="n">
        <f aca="false">SUMIFS('CEMI Raw'!$D$6:$D$197,'CEMI Raw'!$A$6:$A$197,$A9,'CEMI Raw'!$B$6:$B$197,$B9)</f>
        <v>745.9</v>
      </c>
    </row>
    <row r="10" customFormat="false" ht="15" hidden="false" customHeight="false" outlineLevel="0" collapsed="false">
      <c r="A10" s="21" t="s">
        <v>70</v>
      </c>
      <c r="B10" s="21" t="n">
        <v>2026</v>
      </c>
      <c r="C10" s="22" t="n">
        <f aca="false">SUMIFS('CEMI Raw'!$C$6:$C$197,'CEMI Raw'!$A$6:$A$197,$A10,'CEMI Raw'!$B$6:$B$197,$B10)</f>
        <v>7</v>
      </c>
      <c r="D10" s="23" t="n">
        <f aca="false">SUMIFS('CEMI Raw'!$D$6:$D$197,'CEMI Raw'!$A$6:$A$197,$A10,'CEMI Raw'!$B$6:$B$197,$B10)</f>
        <v>1009.1</v>
      </c>
    </row>
    <row r="11" customFormat="false" ht="15" hidden="false" customHeight="false" outlineLevel="0" collapsed="false">
      <c r="A11" s="21" t="s">
        <v>71</v>
      </c>
      <c r="B11" s="21" t="n">
        <v>2026</v>
      </c>
      <c r="C11" s="22" t="n">
        <f aca="false">SUMIFS('CEMI Raw'!$C$6:$C$197,'CEMI Raw'!$A$6:$A$197,$A11,'CEMI Raw'!$B$6:$B$197,$B11)</f>
        <v>29</v>
      </c>
      <c r="D11" s="23" t="n">
        <f aca="false">SUMIFS('CEMI Raw'!$D$6:$D$197,'CEMI Raw'!$A$6:$A$197,$A11,'CEMI Raw'!$B$6:$B$197,$B11)</f>
        <v>2043.6</v>
      </c>
    </row>
    <row r="12" customFormat="false" ht="15" hidden="false" customHeight="false" outlineLevel="0" collapsed="false">
      <c r="A12" s="21" t="s">
        <v>72</v>
      </c>
      <c r="B12" s="21" t="n">
        <v>2026</v>
      </c>
      <c r="C12" s="22" t="n">
        <f aca="false">SUMIFS('CEMI Raw'!$C$6:$C$197,'CEMI Raw'!$A$6:$A$197,$A12,'CEMI Raw'!$B$6:$B$197,$B12)</f>
        <v>20</v>
      </c>
      <c r="D12" s="23" t="n">
        <f aca="false">SUMIFS('CEMI Raw'!$D$6:$D$197,'CEMI Raw'!$A$6:$A$197,$A12,'CEMI Raw'!$B$6:$B$197,$B12)</f>
        <v>1446.8</v>
      </c>
    </row>
    <row r="13" customFormat="false" ht="15" hidden="false" customHeight="false" outlineLevel="0" collapsed="false">
      <c r="A13" s="21" t="s">
        <v>73</v>
      </c>
      <c r="B13" s="21" t="n">
        <v>2026</v>
      </c>
      <c r="C13" s="22" t="n">
        <f aca="false">SUMIFS('CEMI Raw'!$C$6:$C$197,'CEMI Raw'!$A$6:$A$197,$A13,'CEMI Raw'!$B$6:$B$197,$B13)</f>
        <v>2</v>
      </c>
      <c r="D13" s="23" t="n">
        <f aca="false">SUMIFS('CEMI Raw'!$D$6:$D$197,'CEMI Raw'!$A$6:$A$197,$A13,'CEMI Raw'!$B$6:$B$197,$B13)</f>
        <v>144.7</v>
      </c>
    </row>
    <row r="14" customFormat="false" ht="15" hidden="false" customHeight="false" outlineLevel="0" collapsed="false">
      <c r="A14" s="21" t="s">
        <v>74</v>
      </c>
      <c r="B14" s="21" t="n">
        <v>2026</v>
      </c>
      <c r="C14" s="22" t="n">
        <f aca="false">SUMIFS('CEMI Raw'!$C$6:$C$197,'CEMI Raw'!$A$6:$A$197,$A14,'CEMI Raw'!$B$6:$B$197,$B14)</f>
        <v>36</v>
      </c>
      <c r="D14" s="23" t="n">
        <f aca="false">SUMIFS('CEMI Raw'!$D$6:$D$197,'CEMI Raw'!$A$6:$A$197,$A14,'CEMI Raw'!$B$6:$B$197,$B14)</f>
        <v>2531.9</v>
      </c>
    </row>
    <row r="15" customFormat="false" ht="15" hidden="false" customHeight="false" outlineLevel="0" collapsed="false">
      <c r="A15" s="21" t="s">
        <v>75</v>
      </c>
      <c r="B15" s="21" t="n">
        <v>2026</v>
      </c>
      <c r="C15" s="22" t="n">
        <f aca="false">SUMIFS('CEMI Raw'!$C$6:$C$197,'CEMI Raw'!$A$6:$A$197,$A15,'CEMI Raw'!$B$6:$B$197,$B15)</f>
        <v>20</v>
      </c>
      <c r="D15" s="23" t="n">
        <f aca="false">SUMIFS('CEMI Raw'!$D$6:$D$197,'CEMI Raw'!$A$6:$A$197,$A15,'CEMI Raw'!$B$6:$B$197,$B15)</f>
        <v>1410.6</v>
      </c>
    </row>
    <row r="16" customFormat="false" ht="15" hidden="false" customHeight="false" outlineLevel="0" collapsed="false">
      <c r="A16" s="21" t="s">
        <v>76</v>
      </c>
      <c r="B16" s="21" t="n">
        <v>2026</v>
      </c>
      <c r="C16" s="22" t="n">
        <f aca="false">SUMIFS('CEMI Raw'!$C$6:$C$197,'CEMI Raw'!$A$6:$A$197,$A16,'CEMI Raw'!$B$6:$B$197,$B16)</f>
        <v>43</v>
      </c>
      <c r="D16" s="23" t="n">
        <f aca="false">SUMIFS('CEMI Raw'!$D$6:$D$197,'CEMI Raw'!$A$6:$A$197,$A16,'CEMI Raw'!$B$6:$B$197,$B16)</f>
        <v>556.9</v>
      </c>
    </row>
    <row r="17" customFormat="false" ht="15" hidden="false" customHeight="false" outlineLevel="0" collapsed="false">
      <c r="A17" s="21" t="s">
        <v>77</v>
      </c>
      <c r="B17" s="21" t="n">
        <v>2026</v>
      </c>
      <c r="C17" s="22" t="n">
        <f aca="false">SUMIFS('CEMI Raw'!$C$6:$C$197,'CEMI Raw'!$A$6:$A$197,$A17,'CEMI Raw'!$B$6:$B$197,$B17)</f>
        <v>16</v>
      </c>
      <c r="D17" s="23" t="n">
        <f aca="false">SUMIFS('CEMI Raw'!$D$6:$D$197,'CEMI Raw'!$A$6:$A$197,$A17,'CEMI Raw'!$B$6:$B$197,$B17)</f>
        <v>957.1</v>
      </c>
    </row>
    <row r="18" customFormat="false" ht="15" hidden="false" customHeight="false" outlineLevel="0" collapsed="false">
      <c r="A18" s="24" t="s">
        <v>78</v>
      </c>
      <c r="B18" s="24"/>
      <c r="C18" s="25" t="n">
        <f aca="false">SUM(C7:C17)</f>
        <v>187</v>
      </c>
      <c r="D18" s="26" t="n">
        <f aca="false">SUM(D7:D17)</f>
        <v>12294.5</v>
      </c>
    </row>
    <row r="21" customFormat="false" ht="15" hidden="false" customHeight="false" outlineLevel="0" collapsed="false">
      <c r="A21" s="2" t="s">
        <v>79</v>
      </c>
    </row>
    <row r="22" customFormat="false" ht="15" hidden="false" customHeight="false" outlineLevel="0" collapsed="false">
      <c r="A22" s="5" t="s">
        <v>80</v>
      </c>
      <c r="B22" s="5" t="s">
        <v>81</v>
      </c>
      <c r="C22" s="5" t="s">
        <v>82</v>
      </c>
      <c r="D22" s="5" t="s">
        <v>83</v>
      </c>
      <c r="E22" s="5" t="s">
        <v>84</v>
      </c>
    </row>
    <row r="23" customFormat="false" ht="15" hidden="false" customHeight="false" outlineLevel="0" collapsed="false">
      <c r="A23" s="21" t="s">
        <v>85</v>
      </c>
      <c r="B23" s="22" t="n">
        <f aca="false">SUMIFS('SALES Raw'!$C$6:$C$435,'SALES Raw'!$A$6:$A$435,$A23,'SALES Raw'!$B$6:$B$435,2025)</f>
        <v>0</v>
      </c>
      <c r="C23" s="23" t="n">
        <f aca="false">SUMIFS('SALES Raw'!$D$6:$D$435,'SALES Raw'!$A$6:$A$435,$A23,'SALES Raw'!$B$6:$B$435,2025)</f>
        <v>-921.56</v>
      </c>
      <c r="D23" s="22" t="n">
        <f aca="false">SUMIFS('SALES Raw'!$C$6:$C$435,'SALES Raw'!$A$6:$A$435,$A23,'SALES Raw'!$B$6:$B$435,2026)</f>
        <v>0</v>
      </c>
      <c r="E23" s="23" t="n">
        <f aca="false">SUMIFS('SALES Raw'!$D$6:$D$435,'SALES Raw'!$A$6:$A$435,$A23,'SALES Raw'!$B$6:$B$435,2026)</f>
        <v>0</v>
      </c>
    </row>
    <row r="24" customFormat="false" ht="15" hidden="false" customHeight="false" outlineLevel="0" collapsed="false">
      <c r="A24" s="21" t="s">
        <v>86</v>
      </c>
      <c r="B24" s="22" t="n">
        <f aca="false">SUMIFS('SALES Raw'!$C$6:$C$435,'SALES Raw'!$A$6:$A$435,$A24,'SALES Raw'!$B$6:$B$435,2025)</f>
        <v>2</v>
      </c>
      <c r="C24" s="23" t="n">
        <f aca="false">SUMIFS('SALES Raw'!$D$6:$D$435,'SALES Raw'!$A$6:$A$435,$A24,'SALES Raw'!$B$6:$B$435,2025)</f>
        <v>130</v>
      </c>
      <c r="D24" s="22" t="n">
        <f aca="false">SUMIFS('SALES Raw'!$C$6:$C$435,'SALES Raw'!$A$6:$A$435,$A24,'SALES Raw'!$B$6:$B$435,2026)</f>
        <v>0</v>
      </c>
      <c r="E24" s="23" t="n">
        <f aca="false">SUMIFS('SALES Raw'!$D$6:$D$435,'SALES Raw'!$A$6:$A$435,$A24,'SALES Raw'!$B$6:$B$435,2026)</f>
        <v>0</v>
      </c>
    </row>
    <row r="25" customFormat="false" ht="15" hidden="false" customHeight="false" outlineLevel="0" collapsed="false">
      <c r="A25" s="21" t="s">
        <v>87</v>
      </c>
      <c r="B25" s="22" t="n">
        <f aca="false">SUMIFS('SALES Raw'!$C$6:$C$435,'SALES Raw'!$A$6:$A$435,$A25,'SALES Raw'!$B$6:$B$435,2025)</f>
        <v>2</v>
      </c>
      <c r="C25" s="23" t="n">
        <f aca="false">SUMIFS('SALES Raw'!$D$6:$D$435,'SALES Raw'!$A$6:$A$435,$A25,'SALES Raw'!$B$6:$B$435,2025)</f>
        <v>130</v>
      </c>
      <c r="D25" s="22" t="n">
        <f aca="false">SUMIFS('SALES Raw'!$C$6:$C$435,'SALES Raw'!$A$6:$A$435,$A25,'SALES Raw'!$B$6:$B$435,2026)</f>
        <v>0</v>
      </c>
      <c r="E25" s="23" t="n">
        <f aca="false">SUMIFS('SALES Raw'!$D$6:$D$435,'SALES Raw'!$A$6:$A$435,$A25,'SALES Raw'!$B$6:$B$435,2026)</f>
        <v>0</v>
      </c>
    </row>
    <row r="26" customFormat="false" ht="15" hidden="false" customHeight="false" outlineLevel="0" collapsed="false">
      <c r="A26" s="21" t="s">
        <v>88</v>
      </c>
      <c r="B26" s="22" t="n">
        <f aca="false">SUMIFS('SALES Raw'!$C$6:$C$435,'SALES Raw'!$A$6:$A$435,$A26,'SALES Raw'!$B$6:$B$435,2025)</f>
        <v>0</v>
      </c>
      <c r="C26" s="23" t="n">
        <f aca="false">SUMIFS('SALES Raw'!$D$6:$D$435,'SALES Raw'!$A$6:$A$435,$A26,'SALES Raw'!$B$6:$B$435,2025)</f>
        <v>0</v>
      </c>
      <c r="D26" s="22" t="n">
        <f aca="false">SUMIFS('SALES Raw'!$C$6:$C$435,'SALES Raw'!$A$6:$A$435,$A26,'SALES Raw'!$B$6:$B$435,2026)</f>
        <v>1</v>
      </c>
      <c r="E26" s="23" t="n">
        <f aca="false">SUMIFS('SALES Raw'!$D$6:$D$435,'SALES Raw'!$A$6:$A$435,$A26,'SALES Raw'!$B$6:$B$435,2026)</f>
        <v>65</v>
      </c>
    </row>
    <row r="27" customFormat="false" ht="15" hidden="false" customHeight="false" outlineLevel="0" collapsed="false">
      <c r="A27" s="21" t="s">
        <v>89</v>
      </c>
      <c r="B27" s="22" t="n">
        <f aca="false">SUMIFS('SALES Raw'!$C$6:$C$435,'SALES Raw'!$A$6:$A$435,$A27,'SALES Raw'!$B$6:$B$435,2025)</f>
        <v>16</v>
      </c>
      <c r="C27" s="23" t="n">
        <f aca="false">SUMIFS('SALES Raw'!$D$6:$D$435,'SALES Raw'!$A$6:$A$435,$A27,'SALES Raw'!$B$6:$B$435,2025)</f>
        <v>1038.24</v>
      </c>
      <c r="D27" s="22" t="n">
        <f aca="false">SUMIFS('SALES Raw'!$C$6:$C$435,'SALES Raw'!$A$6:$A$435,$A27,'SALES Raw'!$B$6:$B$435,2026)</f>
        <v>1</v>
      </c>
      <c r="E27" s="23" t="n">
        <f aca="false">SUMIFS('SALES Raw'!$D$6:$D$435,'SALES Raw'!$A$6:$A$435,$A27,'SALES Raw'!$B$6:$B$435,2026)</f>
        <v>64.89</v>
      </c>
    </row>
    <row r="28" customFormat="false" ht="15" hidden="false" customHeight="false" outlineLevel="0" collapsed="false">
      <c r="A28" s="21" t="s">
        <v>90</v>
      </c>
      <c r="B28" s="22" t="n">
        <f aca="false">SUMIFS('SALES Raw'!$C$6:$C$435,'SALES Raw'!$A$6:$A$435,$A28,'SALES Raw'!$B$6:$B$435,2025)</f>
        <v>6</v>
      </c>
      <c r="C28" s="23" t="n">
        <f aca="false">SUMIFS('SALES Raw'!$D$6:$D$435,'SALES Raw'!$A$6:$A$435,$A28,'SALES Raw'!$B$6:$B$435,2025)</f>
        <v>389.34</v>
      </c>
      <c r="D28" s="22" t="n">
        <f aca="false">SUMIFS('SALES Raw'!$C$6:$C$435,'SALES Raw'!$A$6:$A$435,$A28,'SALES Raw'!$B$6:$B$435,2026)</f>
        <v>0</v>
      </c>
      <c r="E28" s="23" t="n">
        <f aca="false">SUMIFS('SALES Raw'!$D$6:$D$435,'SALES Raw'!$A$6:$A$435,$A28,'SALES Raw'!$B$6:$B$435,2026)</f>
        <v>0</v>
      </c>
    </row>
    <row r="29" customFormat="false" ht="15" hidden="false" customHeight="false" outlineLevel="0" collapsed="false">
      <c r="A29" s="21" t="s">
        <v>91</v>
      </c>
      <c r="B29" s="22" t="n">
        <f aca="false">SUMIFS('SALES Raw'!$C$6:$C$435,'SALES Raw'!$A$6:$A$435,$A29,'SALES Raw'!$B$6:$B$435,2025)</f>
        <v>5</v>
      </c>
      <c r="C29" s="23" t="n">
        <f aca="false">SUMIFS('SALES Raw'!$D$6:$D$435,'SALES Raw'!$A$6:$A$435,$A29,'SALES Raw'!$B$6:$B$435,2025)</f>
        <v>324.45</v>
      </c>
      <c r="D29" s="22" t="n">
        <f aca="false">SUMIFS('SALES Raw'!$C$6:$C$435,'SALES Raw'!$A$6:$A$435,$A29,'SALES Raw'!$B$6:$B$435,2026)</f>
        <v>4</v>
      </c>
      <c r="E29" s="23" t="n">
        <f aca="false">SUMIFS('SALES Raw'!$D$6:$D$435,'SALES Raw'!$A$6:$A$435,$A29,'SALES Raw'!$B$6:$B$435,2026)</f>
        <v>259.56</v>
      </c>
    </row>
    <row r="30" customFormat="false" ht="15" hidden="false" customHeight="false" outlineLevel="0" collapsed="false">
      <c r="A30" s="21" t="s">
        <v>92</v>
      </c>
      <c r="B30" s="22" t="n">
        <f aca="false">SUMIFS('SALES Raw'!$C$6:$C$435,'SALES Raw'!$A$6:$A$435,$A30,'SALES Raw'!$B$6:$B$435,2025)</f>
        <v>1</v>
      </c>
      <c r="C30" s="23" t="n">
        <f aca="false">SUMIFS('SALES Raw'!$D$6:$D$435,'SALES Raw'!$A$6:$A$435,$A30,'SALES Raw'!$B$6:$B$435,2025)</f>
        <v>107.09</v>
      </c>
      <c r="D30" s="22" t="n">
        <f aca="false">SUMIFS('SALES Raw'!$C$6:$C$435,'SALES Raw'!$A$6:$A$435,$A30,'SALES Raw'!$B$6:$B$435,2026)</f>
        <v>0</v>
      </c>
      <c r="E30" s="23" t="n">
        <f aca="false">SUMIFS('SALES Raw'!$D$6:$D$435,'SALES Raw'!$A$6:$A$435,$A30,'SALES Raw'!$B$6:$B$435,2026)</f>
        <v>0</v>
      </c>
    </row>
    <row r="31" customFormat="false" ht="15" hidden="false" customHeight="false" outlineLevel="0" collapsed="false">
      <c r="A31" s="21" t="s">
        <v>93</v>
      </c>
      <c r="B31" s="22" t="n">
        <f aca="false">SUMIFS('SALES Raw'!$C$6:$C$435,'SALES Raw'!$A$6:$A$435,$A31,'SALES Raw'!$B$6:$B$435,2025)</f>
        <v>54</v>
      </c>
      <c r="C31" s="23" t="n">
        <f aca="false">SUMIFS('SALES Raw'!$D$6:$D$435,'SALES Raw'!$A$6:$A$435,$A31,'SALES Raw'!$B$6:$B$435,2025)</f>
        <v>594</v>
      </c>
      <c r="D31" s="22" t="n">
        <f aca="false">SUMIFS('SALES Raw'!$C$6:$C$435,'SALES Raw'!$A$6:$A$435,$A31,'SALES Raw'!$B$6:$B$435,2026)</f>
        <v>-3</v>
      </c>
      <c r="E31" s="23" t="n">
        <f aca="false">SUMIFS('SALES Raw'!$D$6:$D$435,'SALES Raw'!$A$6:$A$435,$A31,'SALES Raw'!$B$6:$B$435,2026)</f>
        <v>-33</v>
      </c>
    </row>
    <row r="32" customFormat="false" ht="15" hidden="false" customHeight="false" outlineLevel="0" collapsed="false">
      <c r="A32" s="21" t="s">
        <v>94</v>
      </c>
      <c r="B32" s="22" t="n">
        <f aca="false">SUMIFS('SALES Raw'!$C$6:$C$435,'SALES Raw'!$A$6:$A$435,$A32,'SALES Raw'!$B$6:$B$435,2025)</f>
        <v>25</v>
      </c>
      <c r="C32" s="23" t="n">
        <f aca="false">SUMIFS('SALES Raw'!$D$6:$D$435,'SALES Raw'!$A$6:$A$435,$A32,'SALES Raw'!$B$6:$B$435,2025)</f>
        <v>723.25</v>
      </c>
      <c r="D32" s="22" t="n">
        <f aca="false">SUMIFS('SALES Raw'!$C$6:$C$435,'SALES Raw'!$A$6:$A$435,$A32,'SALES Raw'!$B$6:$B$435,2026)</f>
        <v>2</v>
      </c>
      <c r="E32" s="23" t="n">
        <f aca="false">SUMIFS('SALES Raw'!$D$6:$D$435,'SALES Raw'!$A$6:$A$435,$A32,'SALES Raw'!$B$6:$B$435,2026)</f>
        <v>57.86</v>
      </c>
    </row>
    <row r="33" customFormat="false" ht="15" hidden="false" customHeight="false" outlineLevel="0" collapsed="false">
      <c r="A33" s="21" t="s">
        <v>95</v>
      </c>
      <c r="B33" s="22" t="n">
        <f aca="false">SUMIFS('SALES Raw'!$C$6:$C$435,'SALES Raw'!$A$6:$A$435,$A33,'SALES Raw'!$B$6:$B$435,2025)</f>
        <v>8</v>
      </c>
      <c r="C33" s="23" t="n">
        <f aca="false">SUMIFS('SALES Raw'!$D$6:$D$435,'SALES Raw'!$A$6:$A$435,$A33,'SALES Raw'!$B$6:$B$435,2025)</f>
        <v>136</v>
      </c>
      <c r="D33" s="22" t="n">
        <f aca="false">SUMIFS('SALES Raw'!$C$6:$C$435,'SALES Raw'!$A$6:$A$435,$A33,'SALES Raw'!$B$6:$B$435,2026)</f>
        <v>3</v>
      </c>
      <c r="E33" s="23" t="n">
        <f aca="false">SUMIFS('SALES Raw'!$D$6:$D$435,'SALES Raw'!$A$6:$A$435,$A33,'SALES Raw'!$B$6:$B$435,2026)</f>
        <v>51</v>
      </c>
    </row>
    <row r="34" customFormat="false" ht="15" hidden="false" customHeight="false" outlineLevel="0" collapsed="false">
      <c r="A34" s="21" t="s">
        <v>96</v>
      </c>
      <c r="B34" s="22" t="n">
        <f aca="false">SUMIFS('SALES Raw'!$C$6:$C$435,'SALES Raw'!$A$6:$A$435,$A34,'SALES Raw'!$B$6:$B$435,2025)</f>
        <v>14</v>
      </c>
      <c r="C34" s="23" t="n">
        <f aca="false">SUMIFS('SALES Raw'!$D$6:$D$435,'SALES Raw'!$A$6:$A$435,$A34,'SALES Raw'!$B$6:$B$435,2025)</f>
        <v>690.2</v>
      </c>
      <c r="D34" s="22" t="n">
        <f aca="false">SUMIFS('SALES Raw'!$C$6:$C$435,'SALES Raw'!$A$6:$A$435,$A34,'SALES Raw'!$B$6:$B$435,2026)</f>
        <v>0</v>
      </c>
      <c r="E34" s="23" t="n">
        <f aca="false">SUMIFS('SALES Raw'!$D$6:$D$435,'SALES Raw'!$A$6:$A$435,$A34,'SALES Raw'!$B$6:$B$435,2026)</f>
        <v>0</v>
      </c>
    </row>
    <row r="35" customFormat="false" ht="15" hidden="false" customHeight="false" outlineLevel="0" collapsed="false">
      <c r="A35" s="21" t="s">
        <v>97</v>
      </c>
      <c r="B35" s="22" t="n">
        <f aca="false">SUMIFS('SALES Raw'!$C$6:$C$435,'SALES Raw'!$A$6:$A$435,$A35,'SALES Raw'!$B$6:$B$435,2025)</f>
        <v>0</v>
      </c>
      <c r="C35" s="23" t="n">
        <f aca="false">SUMIFS('SALES Raw'!$D$6:$D$435,'SALES Raw'!$A$6:$A$435,$A35,'SALES Raw'!$B$6:$B$435,2025)</f>
        <v>0</v>
      </c>
      <c r="D35" s="22" t="n">
        <f aca="false">SUMIFS('SALES Raw'!$C$6:$C$435,'SALES Raw'!$A$6:$A$435,$A35,'SALES Raw'!$B$6:$B$435,2026)</f>
        <v>0</v>
      </c>
      <c r="E35" s="23" t="n">
        <f aca="false">SUMIFS('SALES Raw'!$D$6:$D$435,'SALES Raw'!$A$6:$A$435,$A35,'SALES Raw'!$B$6:$B$435,2026)</f>
        <v>0</v>
      </c>
    </row>
    <row r="36" customFormat="false" ht="15" hidden="false" customHeight="false" outlineLevel="0" collapsed="false">
      <c r="A36" s="21" t="s">
        <v>98</v>
      </c>
      <c r="B36" s="22" t="n">
        <f aca="false">SUMIFS('SALES Raw'!$C$6:$C$435,'SALES Raw'!$A$6:$A$435,$A36,'SALES Raw'!$B$6:$B$435,2025)</f>
        <v>31</v>
      </c>
      <c r="C36" s="23" t="n">
        <f aca="false">SUMIFS('SALES Raw'!$D$6:$D$435,'SALES Raw'!$A$6:$A$435,$A36,'SALES Raw'!$B$6:$B$435,2025)</f>
        <v>731.6</v>
      </c>
      <c r="D36" s="22" t="n">
        <f aca="false">SUMIFS('SALES Raw'!$C$6:$C$435,'SALES Raw'!$A$6:$A$435,$A36,'SALES Raw'!$B$6:$B$435,2026)</f>
        <v>9</v>
      </c>
      <c r="E36" s="23" t="n">
        <f aca="false">SUMIFS('SALES Raw'!$D$6:$D$435,'SALES Raw'!$A$6:$A$435,$A36,'SALES Raw'!$B$6:$B$435,2026)</f>
        <v>212.4</v>
      </c>
    </row>
    <row r="37" customFormat="false" ht="15" hidden="false" customHeight="false" outlineLevel="0" collapsed="false">
      <c r="A37" s="21" t="s">
        <v>99</v>
      </c>
      <c r="B37" s="22" t="n">
        <f aca="false">SUMIFS('SALES Raw'!$C$6:$C$435,'SALES Raw'!$A$6:$A$435,$A37,'SALES Raw'!$B$6:$B$435,2025)</f>
        <v>39</v>
      </c>
      <c r="C37" s="23" t="n">
        <f aca="false">SUMIFS('SALES Raw'!$D$6:$D$435,'SALES Raw'!$A$6:$A$435,$A37,'SALES Raw'!$B$6:$B$435,2025)</f>
        <v>717.6</v>
      </c>
      <c r="D37" s="22" t="n">
        <f aca="false">SUMIFS('SALES Raw'!$C$6:$C$435,'SALES Raw'!$A$6:$A$435,$A37,'SALES Raw'!$B$6:$B$435,2026)</f>
        <v>0</v>
      </c>
      <c r="E37" s="23" t="n">
        <f aca="false">SUMIFS('SALES Raw'!$D$6:$D$435,'SALES Raw'!$A$6:$A$435,$A37,'SALES Raw'!$B$6:$B$435,2026)</f>
        <v>0</v>
      </c>
    </row>
    <row r="38" customFormat="false" ht="15" hidden="false" customHeight="false" outlineLevel="0" collapsed="false">
      <c r="A38" s="21" t="s">
        <v>100</v>
      </c>
      <c r="B38" s="22" t="n">
        <f aca="false">SUMIFS('SALES Raw'!$C$6:$C$435,'SALES Raw'!$A$6:$A$435,$A38,'SALES Raw'!$B$6:$B$435,2025)</f>
        <v>45</v>
      </c>
      <c r="C38" s="23" t="n">
        <f aca="false">SUMIFS('SALES Raw'!$D$6:$D$435,'SALES Raw'!$A$6:$A$435,$A38,'SALES Raw'!$B$6:$B$435,2025)</f>
        <v>828</v>
      </c>
      <c r="D38" s="22" t="n">
        <f aca="false">SUMIFS('SALES Raw'!$C$6:$C$435,'SALES Raw'!$A$6:$A$435,$A38,'SALES Raw'!$B$6:$B$435,2026)</f>
        <v>7</v>
      </c>
      <c r="E38" s="23" t="n">
        <f aca="false">SUMIFS('SALES Raw'!$D$6:$D$435,'SALES Raw'!$A$6:$A$435,$A38,'SALES Raw'!$B$6:$B$435,2026)</f>
        <v>128.8</v>
      </c>
    </row>
    <row r="39" customFormat="false" ht="15" hidden="false" customHeight="false" outlineLevel="0" collapsed="false">
      <c r="A39" s="21" t="s">
        <v>101</v>
      </c>
      <c r="B39" s="22" t="n">
        <f aca="false">SUMIFS('SALES Raw'!$C$6:$C$435,'SALES Raw'!$A$6:$A$435,$A39,'SALES Raw'!$B$6:$B$435,2025)</f>
        <v>28</v>
      </c>
      <c r="C39" s="23" t="n">
        <f aca="false">SUMIFS('SALES Raw'!$D$6:$D$435,'SALES Raw'!$A$6:$A$435,$A39,'SALES Raw'!$B$6:$B$435,2025)</f>
        <v>515.2</v>
      </c>
      <c r="D39" s="22" t="n">
        <f aca="false">SUMIFS('SALES Raw'!$C$6:$C$435,'SALES Raw'!$A$6:$A$435,$A39,'SALES Raw'!$B$6:$B$435,2026)</f>
        <v>4</v>
      </c>
      <c r="E39" s="23" t="n">
        <f aca="false">SUMIFS('SALES Raw'!$D$6:$D$435,'SALES Raw'!$A$6:$A$435,$A39,'SALES Raw'!$B$6:$B$435,2026)</f>
        <v>73.6</v>
      </c>
    </row>
    <row r="40" customFormat="false" ht="15" hidden="false" customHeight="false" outlineLevel="0" collapsed="false">
      <c r="A40" s="21" t="s">
        <v>102</v>
      </c>
      <c r="B40" s="22" t="n">
        <f aca="false">SUMIFS('SALES Raw'!$C$6:$C$435,'SALES Raw'!$A$6:$A$435,$A40,'SALES Raw'!$B$6:$B$435,2025)</f>
        <v>-1</v>
      </c>
      <c r="C40" s="23" t="n">
        <f aca="false">SUMIFS('SALES Raw'!$D$6:$D$435,'SALES Raw'!$A$6:$A$435,$A40,'SALES Raw'!$B$6:$B$435,2025)</f>
        <v>-441.17</v>
      </c>
      <c r="D40" s="22" t="n">
        <f aca="false">SUMIFS('SALES Raw'!$C$6:$C$435,'SALES Raw'!$A$6:$A$435,$A40,'SALES Raw'!$B$6:$B$435,2026)</f>
        <v>0</v>
      </c>
      <c r="E40" s="23" t="n">
        <f aca="false">SUMIFS('SALES Raw'!$D$6:$D$435,'SALES Raw'!$A$6:$A$435,$A40,'SALES Raw'!$B$6:$B$435,2026)</f>
        <v>0</v>
      </c>
    </row>
    <row r="41" customFormat="false" ht="15" hidden="false" customHeight="false" outlineLevel="0" collapsed="false">
      <c r="A41" s="21" t="s">
        <v>103</v>
      </c>
      <c r="B41" s="22" t="n">
        <f aca="false">SUMIFS('SALES Raw'!$C$6:$C$435,'SALES Raw'!$A$6:$A$435,$A41,'SALES Raw'!$B$6:$B$435,2025)</f>
        <v>0</v>
      </c>
      <c r="C41" s="23" t="n">
        <f aca="false">SUMIFS('SALES Raw'!$D$6:$D$435,'SALES Raw'!$A$6:$A$435,$A41,'SALES Raw'!$B$6:$B$435,2025)</f>
        <v>0</v>
      </c>
      <c r="D41" s="22" t="n">
        <f aca="false">SUMIFS('SALES Raw'!$C$6:$C$435,'SALES Raw'!$A$6:$A$435,$A41,'SALES Raw'!$B$6:$B$435,2026)</f>
        <v>1</v>
      </c>
      <c r="E41" s="23" t="n">
        <f aca="false">SUMIFS('SALES Raw'!$D$6:$D$435,'SALES Raw'!$A$6:$A$435,$A41,'SALES Raw'!$B$6:$B$435,2026)</f>
        <v>0</v>
      </c>
    </row>
    <row r="42" customFormat="false" ht="15" hidden="false" customHeight="false" outlineLevel="0" collapsed="false">
      <c r="A42" s="21" t="s">
        <v>104</v>
      </c>
      <c r="B42" s="22" t="n">
        <f aca="false">SUMIFS('SALES Raw'!$C$6:$C$435,'SALES Raw'!$A$6:$A$435,$A42,'SALES Raw'!$B$6:$B$435,2025)</f>
        <v>0</v>
      </c>
      <c r="C42" s="23" t="n">
        <f aca="false">SUMIFS('SALES Raw'!$D$6:$D$435,'SALES Raw'!$A$6:$A$435,$A42,'SALES Raw'!$B$6:$B$435,2025)</f>
        <v>0</v>
      </c>
      <c r="D42" s="22" t="n">
        <f aca="false">SUMIFS('SALES Raw'!$C$6:$C$435,'SALES Raw'!$A$6:$A$435,$A42,'SALES Raw'!$B$6:$B$435,2026)</f>
        <v>2</v>
      </c>
      <c r="E42" s="23" t="n">
        <f aca="false">SUMIFS('SALES Raw'!$D$6:$D$435,'SALES Raw'!$A$6:$A$435,$A42,'SALES Raw'!$B$6:$B$435,2026)</f>
        <v>0</v>
      </c>
    </row>
    <row r="43" customFormat="false" ht="15" hidden="false" customHeight="false" outlineLevel="0" collapsed="false">
      <c r="A43" s="21" t="s">
        <v>105</v>
      </c>
      <c r="B43" s="22" t="n">
        <f aca="false">SUMIFS('SALES Raw'!$C$6:$C$435,'SALES Raw'!$A$6:$A$435,$A43,'SALES Raw'!$B$6:$B$435,2025)</f>
        <v>8</v>
      </c>
      <c r="C43" s="23" t="n">
        <f aca="false">SUMIFS('SALES Raw'!$D$6:$D$435,'SALES Raw'!$A$6:$A$435,$A43,'SALES Raw'!$B$6:$B$435,2025)</f>
        <v>1038.48</v>
      </c>
      <c r="D43" s="22" t="n">
        <f aca="false">SUMIFS('SALES Raw'!$C$6:$C$435,'SALES Raw'!$A$6:$A$435,$A43,'SALES Raw'!$B$6:$B$435,2026)</f>
        <v>1</v>
      </c>
      <c r="E43" s="23" t="n">
        <f aca="false">SUMIFS('SALES Raw'!$D$6:$D$435,'SALES Raw'!$A$6:$A$435,$A43,'SALES Raw'!$B$6:$B$435,2026)</f>
        <v>129.81</v>
      </c>
    </row>
    <row r="44" customFormat="false" ht="15" hidden="false" customHeight="false" outlineLevel="0" collapsed="false">
      <c r="A44" s="21" t="s">
        <v>106</v>
      </c>
      <c r="B44" s="22" t="n">
        <f aca="false">SUMIFS('SALES Raw'!$C$6:$C$435,'SALES Raw'!$A$6:$A$435,$A44,'SALES Raw'!$B$6:$B$435,2025)</f>
        <v>13</v>
      </c>
      <c r="C44" s="23" t="n">
        <f aca="false">SUMIFS('SALES Raw'!$D$6:$D$435,'SALES Raw'!$A$6:$A$435,$A44,'SALES Raw'!$B$6:$B$435,2025)</f>
        <v>818.61</v>
      </c>
      <c r="D44" s="22" t="n">
        <f aca="false">SUMIFS('SALES Raw'!$C$6:$C$435,'SALES Raw'!$A$6:$A$435,$A44,'SALES Raw'!$B$6:$B$435,2026)</f>
        <v>0</v>
      </c>
      <c r="E44" s="23" t="n">
        <f aca="false">SUMIFS('SALES Raw'!$D$6:$D$435,'SALES Raw'!$A$6:$A$435,$A44,'SALES Raw'!$B$6:$B$435,2026)</f>
        <v>0</v>
      </c>
    </row>
    <row r="45" customFormat="false" ht="15" hidden="false" customHeight="false" outlineLevel="0" collapsed="false">
      <c r="A45" s="21" t="s">
        <v>107</v>
      </c>
      <c r="B45" s="22" t="n">
        <f aca="false">SUMIFS('SALES Raw'!$C$6:$C$435,'SALES Raw'!$A$6:$A$435,$A45,'SALES Raw'!$B$6:$B$435,2025)</f>
        <v>6</v>
      </c>
      <c r="C45" s="23" t="n">
        <f aca="false">SUMIFS('SALES Raw'!$D$6:$D$435,'SALES Raw'!$A$6:$A$435,$A45,'SALES Raw'!$B$6:$B$435,2025)</f>
        <v>377.82</v>
      </c>
      <c r="D45" s="22" t="n">
        <f aca="false">SUMIFS('SALES Raw'!$C$6:$C$435,'SALES Raw'!$A$6:$A$435,$A45,'SALES Raw'!$B$6:$B$435,2026)</f>
        <v>4</v>
      </c>
      <c r="E45" s="23" t="n">
        <f aca="false">SUMIFS('SALES Raw'!$D$6:$D$435,'SALES Raw'!$A$6:$A$435,$A45,'SALES Raw'!$B$6:$B$435,2026)</f>
        <v>251.88</v>
      </c>
    </row>
    <row r="46" customFormat="false" ht="15" hidden="false" customHeight="false" outlineLevel="0" collapsed="false">
      <c r="A46" s="21" t="s">
        <v>108</v>
      </c>
      <c r="B46" s="22" t="n">
        <f aca="false">SUMIFS('SALES Raw'!$C$6:$C$435,'SALES Raw'!$A$6:$A$435,$A46,'SALES Raw'!$B$6:$B$435,2025)</f>
        <v>0</v>
      </c>
      <c r="C46" s="23" t="n">
        <f aca="false">SUMIFS('SALES Raw'!$D$6:$D$435,'SALES Raw'!$A$6:$A$435,$A46,'SALES Raw'!$B$6:$B$435,2025)</f>
        <v>0</v>
      </c>
      <c r="D46" s="22" t="n">
        <f aca="false">SUMIFS('SALES Raw'!$C$6:$C$435,'SALES Raw'!$A$6:$A$435,$A46,'SALES Raw'!$B$6:$B$435,2026)</f>
        <v>1</v>
      </c>
      <c r="E46" s="23" t="n">
        <f aca="false">SUMIFS('SALES Raw'!$D$6:$D$435,'SALES Raw'!$A$6:$A$435,$A46,'SALES Raw'!$B$6:$B$435,2026)</f>
        <v>0</v>
      </c>
    </row>
    <row r="47" customFormat="false" ht="15" hidden="false" customHeight="false" outlineLevel="0" collapsed="false">
      <c r="A47" s="21" t="s">
        <v>109</v>
      </c>
      <c r="B47" s="22" t="n">
        <f aca="false">SUMIFS('SALES Raw'!$C$6:$C$435,'SALES Raw'!$A$6:$A$435,$A47,'SALES Raw'!$B$6:$B$435,2025)</f>
        <v>0</v>
      </c>
      <c r="C47" s="23" t="n">
        <f aca="false">SUMIFS('SALES Raw'!$D$6:$D$435,'SALES Raw'!$A$6:$A$435,$A47,'SALES Raw'!$B$6:$B$435,2025)</f>
        <v>0</v>
      </c>
      <c r="D47" s="22" t="n">
        <f aca="false">SUMIFS('SALES Raw'!$C$6:$C$435,'SALES Raw'!$A$6:$A$435,$A47,'SALES Raw'!$B$6:$B$435,2026)</f>
        <v>6</v>
      </c>
      <c r="E47" s="23" t="n">
        <f aca="false">SUMIFS('SALES Raw'!$D$6:$D$435,'SALES Raw'!$A$6:$A$435,$A47,'SALES Raw'!$B$6:$B$435,2026)</f>
        <v>0</v>
      </c>
    </row>
    <row r="48" customFormat="false" ht="15" hidden="false" customHeight="false" outlineLevel="0" collapsed="false">
      <c r="A48" s="21" t="s">
        <v>110</v>
      </c>
      <c r="B48" s="22" t="n">
        <f aca="false">SUMIFS('SALES Raw'!$C$6:$C$435,'SALES Raw'!$A$6:$A$435,$A48,'SALES Raw'!$B$6:$B$435,2025)</f>
        <v>10</v>
      </c>
      <c r="C48" s="23" t="n">
        <f aca="false">SUMIFS('SALES Raw'!$D$6:$D$435,'SALES Raw'!$A$6:$A$435,$A48,'SALES Raw'!$B$6:$B$435,2025)</f>
        <v>941</v>
      </c>
      <c r="D48" s="22" t="n">
        <f aca="false">SUMIFS('SALES Raw'!$C$6:$C$435,'SALES Raw'!$A$6:$A$435,$A48,'SALES Raw'!$B$6:$B$435,2026)</f>
        <v>1</v>
      </c>
      <c r="E48" s="23" t="n">
        <f aca="false">SUMIFS('SALES Raw'!$D$6:$D$435,'SALES Raw'!$A$6:$A$435,$A48,'SALES Raw'!$B$6:$B$435,2026)</f>
        <v>94.1</v>
      </c>
    </row>
    <row r="49" customFormat="false" ht="15" hidden="false" customHeight="false" outlineLevel="0" collapsed="false">
      <c r="A49" s="21" t="s">
        <v>111</v>
      </c>
      <c r="B49" s="22" t="n">
        <f aca="false">SUMIFS('SALES Raw'!$C$6:$C$435,'SALES Raw'!$A$6:$A$435,$A49,'SALES Raw'!$B$6:$B$435,2025)</f>
        <v>10</v>
      </c>
      <c r="C49" s="23" t="n">
        <f aca="false">SUMIFS('SALES Raw'!$D$6:$D$435,'SALES Raw'!$A$6:$A$435,$A49,'SALES Raw'!$B$6:$B$435,2025)</f>
        <v>941</v>
      </c>
      <c r="D49" s="22" t="n">
        <f aca="false">SUMIFS('SALES Raw'!$C$6:$C$435,'SALES Raw'!$A$6:$A$435,$A49,'SALES Raw'!$B$6:$B$435,2026)</f>
        <v>2</v>
      </c>
      <c r="E49" s="23" t="n">
        <f aca="false">SUMIFS('SALES Raw'!$D$6:$D$435,'SALES Raw'!$A$6:$A$435,$A49,'SALES Raw'!$B$6:$B$435,2026)</f>
        <v>188.2</v>
      </c>
    </row>
    <row r="50" customFormat="false" ht="15" hidden="false" customHeight="false" outlineLevel="0" collapsed="false">
      <c r="A50" s="21" t="s">
        <v>112</v>
      </c>
      <c r="B50" s="22" t="n">
        <f aca="false">SUMIFS('SALES Raw'!$C$6:$C$435,'SALES Raw'!$A$6:$A$435,$A50,'SALES Raw'!$B$6:$B$435,2025)</f>
        <v>11</v>
      </c>
      <c r="C50" s="23" t="n">
        <f aca="false">SUMIFS('SALES Raw'!$D$6:$D$435,'SALES Raw'!$A$6:$A$435,$A50,'SALES Raw'!$B$6:$B$435,2025)</f>
        <v>1035.1</v>
      </c>
      <c r="D50" s="22" t="n">
        <f aca="false">SUMIFS('SALES Raw'!$C$6:$C$435,'SALES Raw'!$A$6:$A$435,$A50,'SALES Raw'!$B$6:$B$435,2026)</f>
        <v>7</v>
      </c>
      <c r="E50" s="23" t="n">
        <f aca="false">SUMIFS('SALES Raw'!$D$6:$D$435,'SALES Raw'!$A$6:$A$435,$A50,'SALES Raw'!$B$6:$B$435,2026)</f>
        <v>658.7</v>
      </c>
    </row>
    <row r="51" customFormat="false" ht="15" hidden="false" customHeight="false" outlineLevel="0" collapsed="false">
      <c r="A51" s="21" t="s">
        <v>113</v>
      </c>
      <c r="B51" s="22" t="n">
        <f aca="false">SUMIFS('SALES Raw'!$C$6:$C$435,'SALES Raw'!$A$6:$A$435,$A51,'SALES Raw'!$B$6:$B$435,2025)</f>
        <v>1</v>
      </c>
      <c r="C51" s="23" t="n">
        <f aca="false">SUMIFS('SALES Raw'!$D$6:$D$435,'SALES Raw'!$A$6:$A$435,$A51,'SALES Raw'!$B$6:$B$435,2025)</f>
        <v>94.1</v>
      </c>
      <c r="D51" s="22" t="n">
        <f aca="false">SUMIFS('SALES Raw'!$C$6:$C$435,'SALES Raw'!$A$6:$A$435,$A51,'SALES Raw'!$B$6:$B$435,2026)</f>
        <v>2</v>
      </c>
      <c r="E51" s="23" t="n">
        <f aca="false">SUMIFS('SALES Raw'!$D$6:$D$435,'SALES Raw'!$A$6:$A$435,$A51,'SALES Raw'!$B$6:$B$435,2026)</f>
        <v>188.2</v>
      </c>
    </row>
    <row r="52" customFormat="false" ht="15" hidden="false" customHeight="false" outlineLevel="0" collapsed="false">
      <c r="A52" s="21" t="s">
        <v>114</v>
      </c>
      <c r="B52" s="22" t="n">
        <f aca="false">SUMIFS('SALES Raw'!$C$6:$C$435,'SALES Raw'!$A$6:$A$435,$A52,'SALES Raw'!$B$6:$B$435,2025)</f>
        <v>2</v>
      </c>
      <c r="C52" s="23" t="n">
        <f aca="false">SUMIFS('SALES Raw'!$D$6:$D$435,'SALES Raw'!$A$6:$A$435,$A52,'SALES Raw'!$B$6:$B$435,2025)</f>
        <v>147.6</v>
      </c>
      <c r="D52" s="22" t="n">
        <f aca="false">SUMIFS('SALES Raw'!$C$6:$C$435,'SALES Raw'!$A$6:$A$435,$A52,'SALES Raw'!$B$6:$B$435,2026)</f>
        <v>2</v>
      </c>
      <c r="E52" s="23" t="n">
        <f aca="false">SUMIFS('SALES Raw'!$D$6:$D$435,'SALES Raw'!$A$6:$A$435,$A52,'SALES Raw'!$B$6:$B$435,2026)</f>
        <v>147.6</v>
      </c>
    </row>
    <row r="53" customFormat="false" ht="15" hidden="false" customHeight="false" outlineLevel="0" collapsed="false">
      <c r="A53" s="21" t="s">
        <v>115</v>
      </c>
      <c r="B53" s="22" t="n">
        <f aca="false">SUMIFS('SALES Raw'!$C$6:$C$435,'SALES Raw'!$A$6:$A$435,$A53,'SALES Raw'!$B$6:$B$435,2025)</f>
        <v>1</v>
      </c>
      <c r="C53" s="23" t="n">
        <f aca="false">SUMIFS('SALES Raw'!$D$6:$D$435,'SALES Raw'!$A$6:$A$435,$A53,'SALES Raw'!$B$6:$B$435,2025)</f>
        <v>73.8</v>
      </c>
      <c r="D53" s="22" t="n">
        <f aca="false">SUMIFS('SALES Raw'!$C$6:$C$435,'SALES Raw'!$A$6:$A$435,$A53,'SALES Raw'!$B$6:$B$435,2026)</f>
        <v>6</v>
      </c>
      <c r="E53" s="23" t="n">
        <f aca="false">SUMIFS('SALES Raw'!$D$6:$D$435,'SALES Raw'!$A$6:$A$435,$A53,'SALES Raw'!$B$6:$B$435,2026)</f>
        <v>442.8</v>
      </c>
    </row>
    <row r="54" customFormat="false" ht="15" hidden="false" customHeight="false" outlineLevel="0" collapsed="false">
      <c r="A54" s="21" t="s">
        <v>116</v>
      </c>
      <c r="B54" s="22" t="n">
        <f aca="false">SUMIFS('SALES Raw'!$C$6:$C$435,'SALES Raw'!$A$6:$A$435,$A54,'SALES Raw'!$B$6:$B$435,2025)</f>
        <v>0</v>
      </c>
      <c r="C54" s="23" t="n">
        <f aca="false">SUMIFS('SALES Raw'!$D$6:$D$435,'SALES Raw'!$A$6:$A$435,$A54,'SALES Raw'!$B$6:$B$435,2025)</f>
        <v>0</v>
      </c>
      <c r="D54" s="22" t="n">
        <f aca="false">SUMIFS('SALES Raw'!$C$6:$C$435,'SALES Raw'!$A$6:$A$435,$A54,'SALES Raw'!$B$6:$B$435,2026)</f>
        <v>4</v>
      </c>
      <c r="E54" s="23" t="n">
        <f aca="false">SUMIFS('SALES Raw'!$D$6:$D$435,'SALES Raw'!$A$6:$A$435,$A54,'SALES Raw'!$B$6:$B$435,2026)</f>
        <v>295.2</v>
      </c>
    </row>
    <row r="55" customFormat="false" ht="15" hidden="false" customHeight="false" outlineLevel="0" collapsed="false">
      <c r="A55" s="21" t="s">
        <v>117</v>
      </c>
      <c r="B55" s="22" t="n">
        <f aca="false">SUMIFS('SALES Raw'!$C$6:$C$435,'SALES Raw'!$A$6:$A$435,$A55,'SALES Raw'!$B$6:$B$435,2025)</f>
        <v>-4</v>
      </c>
      <c r="C55" s="23" t="n">
        <f aca="false">SUMIFS('SALES Raw'!$D$6:$D$435,'SALES Raw'!$A$6:$A$435,$A55,'SALES Raw'!$B$6:$B$435,2025)</f>
        <v>-329.92</v>
      </c>
      <c r="D55" s="22" t="n">
        <f aca="false">SUMIFS('SALES Raw'!$C$6:$C$435,'SALES Raw'!$A$6:$A$435,$A55,'SALES Raw'!$B$6:$B$435,2026)</f>
        <v>0</v>
      </c>
      <c r="E55" s="23" t="n">
        <f aca="false">SUMIFS('SALES Raw'!$D$6:$D$435,'SALES Raw'!$A$6:$A$435,$A55,'SALES Raw'!$B$6:$B$435,2026)</f>
        <v>0</v>
      </c>
    </row>
    <row r="56" customFormat="false" ht="15" hidden="false" customHeight="false" outlineLevel="0" collapsed="false">
      <c r="A56" s="21" t="s">
        <v>118</v>
      </c>
      <c r="B56" s="22" t="n">
        <f aca="false">SUMIFS('SALES Raw'!$C$6:$C$435,'SALES Raw'!$A$6:$A$435,$A56,'SALES Raw'!$B$6:$B$435,2025)</f>
        <v>-3</v>
      </c>
      <c r="C56" s="23" t="n">
        <f aca="false">SUMIFS('SALES Raw'!$D$6:$D$435,'SALES Raw'!$A$6:$A$435,$A56,'SALES Raw'!$B$6:$B$435,2025)</f>
        <v>-247.44</v>
      </c>
      <c r="D56" s="22" t="n">
        <f aca="false">SUMIFS('SALES Raw'!$C$6:$C$435,'SALES Raw'!$A$6:$A$435,$A56,'SALES Raw'!$B$6:$B$435,2026)</f>
        <v>0</v>
      </c>
      <c r="E56" s="23" t="n">
        <f aca="false">SUMIFS('SALES Raw'!$D$6:$D$435,'SALES Raw'!$A$6:$A$435,$A56,'SALES Raw'!$B$6:$B$435,2026)</f>
        <v>0</v>
      </c>
    </row>
    <row r="57" customFormat="false" ht="15" hidden="false" customHeight="false" outlineLevel="0" collapsed="false">
      <c r="A57" s="21" t="s">
        <v>119</v>
      </c>
      <c r="B57" s="22" t="n">
        <f aca="false">SUMIFS('SALES Raw'!$C$6:$C$435,'SALES Raw'!$A$6:$A$435,$A57,'SALES Raw'!$B$6:$B$435,2025)</f>
        <v>-1</v>
      </c>
      <c r="C57" s="23" t="n">
        <f aca="false">SUMIFS('SALES Raw'!$D$6:$D$435,'SALES Raw'!$A$6:$A$435,$A57,'SALES Raw'!$B$6:$B$435,2025)</f>
        <v>-31945.47</v>
      </c>
      <c r="D57" s="22" t="n">
        <f aca="false">SUMIFS('SALES Raw'!$C$6:$C$435,'SALES Raw'!$A$6:$A$435,$A57,'SALES Raw'!$B$6:$B$435,2026)</f>
        <v>-1</v>
      </c>
      <c r="E57" s="23" t="n">
        <f aca="false">SUMIFS('SALES Raw'!$D$6:$D$435,'SALES Raw'!$A$6:$A$435,$A57,'SALES Raw'!$B$6:$B$435,2026)</f>
        <v>-35055</v>
      </c>
    </row>
    <row r="58" customFormat="false" ht="15" hidden="false" customHeight="false" outlineLevel="0" collapsed="false">
      <c r="A58" s="24" t="s">
        <v>78</v>
      </c>
      <c r="B58" s="25" t="n">
        <f aca="false">SUM(B23:B57)</f>
        <v>329</v>
      </c>
      <c r="C58" s="26" t="n">
        <f aca="false">SUM(C23:C57)</f>
        <v>-21363.08</v>
      </c>
      <c r="D58" s="25" t="n">
        <f aca="false">SUM(D23:D57)</f>
        <v>66</v>
      </c>
      <c r="E58" s="26" t="n">
        <f aca="false">SUM(E23:E57)</f>
        <v>-31778.4</v>
      </c>
    </row>
    <row r="60" customFormat="false" ht="22.35" hidden="false" customHeight="true" outlineLevel="0" collapsed="false">
      <c r="A60" s="12" t="s">
        <v>120</v>
      </c>
      <c r="B60" s="12"/>
      <c r="C60" s="12"/>
      <c r="D60" s="12"/>
      <c r="E60" s="12"/>
    </row>
    <row r="61" customFormat="false" ht="22.35" hidden="false" customHeight="true" outlineLevel="0" collapsed="false">
      <c r="A61" s="12" t="s">
        <v>121</v>
      </c>
      <c r="B61" s="12"/>
      <c r="C61" s="12"/>
      <c r="D61" s="12"/>
      <c r="E61" s="12"/>
    </row>
    <row r="62" customFormat="false" ht="32.8" hidden="false" customHeight="true" outlineLevel="0" collapsed="false">
      <c r="A62" s="12" t="s">
        <v>122</v>
      </c>
      <c r="B62" s="12"/>
      <c r="C62" s="12"/>
      <c r="D62" s="12"/>
      <c r="E62" s="12"/>
    </row>
  </sheetData>
  <mergeCells count="4">
    <mergeCell ref="A3:K3"/>
    <mergeCell ref="A60:E60"/>
    <mergeCell ref="A61:E61"/>
    <mergeCell ref="A62:E6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3" min="2" style="0" width="16"/>
    <col collapsed="false" customWidth="true" hidden="false" outlineLevel="0" max="4" min="4" style="0" width="90"/>
  </cols>
  <sheetData>
    <row r="1" customFormat="false" ht="17.35" hidden="false" customHeight="false" outlineLevel="0" collapsed="false">
      <c r="A1" s="1" t="s">
        <v>123</v>
      </c>
    </row>
    <row r="2" customFormat="false" ht="15" hidden="false" customHeight="false" outlineLevel="0" collapsed="false">
      <c r="A2" s="2" t="s">
        <v>1</v>
      </c>
      <c r="B2" s="3" t="n">
        <v>46289</v>
      </c>
    </row>
    <row r="3" customFormat="false" ht="22.35" hidden="false" customHeight="true" outlineLevel="0" collapsed="false">
      <c r="A3" s="4" t="s">
        <v>124</v>
      </c>
      <c r="B3" s="4"/>
      <c r="C3" s="4"/>
      <c r="D3" s="4"/>
      <c r="E3" s="4"/>
      <c r="F3" s="4"/>
      <c r="G3" s="4"/>
      <c r="H3" s="4"/>
      <c r="I3" s="4"/>
      <c r="J3" s="4"/>
      <c r="K3" s="4"/>
      <c r="L3" s="4"/>
      <c r="M3" s="4"/>
      <c r="N3" s="4"/>
      <c r="O3" s="4"/>
    </row>
    <row r="5" customFormat="false" ht="15" hidden="false" customHeight="false" outlineLevel="0" collapsed="false">
      <c r="A5" s="5" t="s">
        <v>21</v>
      </c>
      <c r="B5" s="5" t="s">
        <v>125</v>
      </c>
      <c r="C5" s="5" t="s">
        <v>46</v>
      </c>
      <c r="D5" s="5" t="s">
        <v>126</v>
      </c>
    </row>
    <row r="6" customFormat="false" ht="46.25" hidden="false" customHeight="false" outlineLevel="0" collapsed="false">
      <c r="A6" s="6" t="s">
        <v>127</v>
      </c>
      <c r="B6" s="6" t="s">
        <v>128</v>
      </c>
      <c r="C6" s="6" t="n">
        <v>4403041</v>
      </c>
      <c r="D6" s="27" t="s">
        <v>129</v>
      </c>
    </row>
    <row r="7" customFormat="false" ht="15" hidden="false" customHeight="false" outlineLevel="0" collapsed="false">
      <c r="A7" s="6" t="s">
        <v>127</v>
      </c>
      <c r="B7" s="6" t="s">
        <v>130</v>
      </c>
      <c r="C7" s="6" t="n">
        <v>4403043</v>
      </c>
      <c r="D7" s="27" t="s">
        <v>131</v>
      </c>
    </row>
    <row r="8" customFormat="false" ht="35.05" hidden="false" customHeight="false" outlineLevel="0" collapsed="false">
      <c r="A8" s="6" t="s">
        <v>127</v>
      </c>
      <c r="B8" s="6" t="s">
        <v>132</v>
      </c>
      <c r="C8" s="6" t="n">
        <v>4402000</v>
      </c>
      <c r="D8" s="27" t="s">
        <v>133</v>
      </c>
    </row>
    <row r="9" customFormat="false" ht="35.05" hidden="false" customHeight="false" outlineLevel="0" collapsed="false">
      <c r="A9" s="6" t="s">
        <v>127</v>
      </c>
      <c r="B9" s="6" t="s">
        <v>134</v>
      </c>
      <c r="C9" s="6" t="n">
        <v>4420018</v>
      </c>
      <c r="D9" s="27" t="s">
        <v>135</v>
      </c>
    </row>
  </sheetData>
  <mergeCells count="1">
    <mergeCell ref="A3:O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40"/>
    <col collapsed="false" customWidth="true" hidden="false" outlineLevel="0" max="4" min="4" style="0" width="20"/>
    <col collapsed="false" customWidth="true" hidden="false" outlineLevel="0" max="5" min="5" style="0" width="40"/>
  </cols>
  <sheetData>
    <row r="1" customFormat="false" ht="17.35" hidden="false" customHeight="false" outlineLevel="0" collapsed="false">
      <c r="A1" s="1" t="s">
        <v>136</v>
      </c>
    </row>
    <row r="2" customFormat="false" ht="15" hidden="false" customHeight="false" outlineLevel="0" collapsed="false">
      <c r="A2" s="2" t="s">
        <v>1</v>
      </c>
      <c r="B2" s="3" t="n">
        <v>46289</v>
      </c>
    </row>
    <row r="3" customFormat="false" ht="22.35" hidden="false" customHeight="true" outlineLevel="0" collapsed="false">
      <c r="A3" s="4" t="s">
        <v>137</v>
      </c>
      <c r="B3" s="4"/>
      <c r="C3" s="4"/>
      <c r="D3" s="4"/>
      <c r="E3" s="4"/>
      <c r="F3" s="4"/>
      <c r="G3" s="4"/>
      <c r="H3" s="4"/>
      <c r="I3" s="4"/>
      <c r="J3" s="4"/>
      <c r="K3" s="4"/>
      <c r="L3" s="4"/>
      <c r="M3" s="4"/>
      <c r="N3" s="4"/>
      <c r="O3" s="4"/>
    </row>
    <row r="5" customFormat="false" ht="15" hidden="false" customHeight="false" outlineLevel="0" collapsed="false">
      <c r="A5" s="5" t="s">
        <v>138</v>
      </c>
      <c r="B5" s="5" t="s">
        <v>46</v>
      </c>
      <c r="C5" s="5" t="s">
        <v>139</v>
      </c>
      <c r="D5" s="5" t="s">
        <v>140</v>
      </c>
      <c r="E5" s="5" t="s">
        <v>141</v>
      </c>
    </row>
    <row r="6" customFormat="false" ht="15" hidden="false" customHeight="false" outlineLevel="0" collapsed="false">
      <c r="A6" s="6" t="s">
        <v>142</v>
      </c>
      <c r="B6" s="6" t="n">
        <v>4420016</v>
      </c>
      <c r="C6" s="6" t="s">
        <v>143</v>
      </c>
      <c r="D6" s="6" t="str">
        <f aca="false">TRIM(SUBSTITUTE($A6,CHAR(160)," "))</f>
        <v>40 0</v>
      </c>
      <c r="E6" s="6" t="str">
        <f aca="false">TRIM(SUBSTITUTE($C6,CHAR(160)," "))</f>
        <v>40-רצועת פיקה לברך</v>
      </c>
    </row>
    <row r="7" customFormat="false" ht="15" hidden="false" customHeight="false" outlineLevel="0" collapsed="false">
      <c r="A7" s="6" t="s">
        <v>144</v>
      </c>
      <c r="B7" s="6" t="n">
        <v>4420017</v>
      </c>
      <c r="C7" s="6" t="s">
        <v>145</v>
      </c>
      <c r="D7" s="6" t="str">
        <f aca="false">TRIM(SUBSTITUTE($A7,CHAR(160)," "))</f>
        <v>4022 0</v>
      </c>
      <c r="E7" s="6" t="str">
        <f aca="false">TRIM(SUBSTITUTE($C7,CHAR(160)," "))</f>
        <v>4022 רצועת """"פיקה""""+כרית</v>
      </c>
    </row>
    <row r="8" customFormat="false" ht="15" hidden="false" customHeight="false" outlineLevel="0" collapsed="false">
      <c r="A8" s="6" t="s">
        <v>146</v>
      </c>
      <c r="B8" s="6" t="n">
        <v>4413074</v>
      </c>
      <c r="C8" s="6" t="s">
        <v>147</v>
      </c>
      <c r="D8" s="6" t="str">
        <f aca="false">TRIM(SUBSTITUTE($A8,CHAR(160)," "))</f>
        <v>41 XL</v>
      </c>
      <c r="E8" s="6" t="str">
        <f aca="false">TRIM(SUBSTITUTE($C8,CHAR(160)," "))</f>
        <v>41 XL.מ.ברך מוצלב+ספירלות בצד</v>
      </c>
    </row>
    <row r="9" customFormat="false" ht="15" hidden="false" customHeight="false" outlineLevel="0" collapsed="false">
      <c r="A9" s="6" t="s">
        <v>148</v>
      </c>
      <c r="B9" s="6" t="n">
        <v>4413072</v>
      </c>
      <c r="C9" s="6" t="s">
        <v>149</v>
      </c>
      <c r="D9" s="6" t="str">
        <f aca="false">TRIM(SUBSTITUTE($A9,CHAR(160)," "))</f>
        <v>41 L</v>
      </c>
      <c r="E9" s="6" t="str">
        <f aca="false">TRIM(SUBSTITUTE($C9,CHAR(160)," "))</f>
        <v>41 Lמ.ברך מוצלב+ספירלות בצדדים</v>
      </c>
    </row>
    <row r="10" customFormat="false" ht="15" hidden="false" customHeight="false" outlineLevel="0" collapsed="false">
      <c r="A10" s="6" t="s">
        <v>150</v>
      </c>
      <c r="B10" s="6" t="n">
        <v>4413073</v>
      </c>
      <c r="C10" s="6" t="s">
        <v>151</v>
      </c>
      <c r="D10" s="6" t="str">
        <f aca="false">TRIM(SUBSTITUTE($A10,CHAR(160)," "))</f>
        <v>41 M</v>
      </c>
      <c r="E10" s="6" t="str">
        <f aca="false">TRIM(SUBSTITUTE($C10,CHAR(160)," "))</f>
        <v>41 Mמ.ברך מוצלב+ספירלות בצדדים</v>
      </c>
    </row>
    <row r="11" customFormat="false" ht="15" hidden="false" customHeight="false" outlineLevel="0" collapsed="false">
      <c r="A11" s="6" t="s">
        <v>152</v>
      </c>
      <c r="B11" s="6" t="n">
        <v>4413071</v>
      </c>
      <c r="C11" s="6" t="s">
        <v>153</v>
      </c>
      <c r="D11" s="6" t="str">
        <f aca="false">TRIM(SUBSTITUTE($A11,CHAR(160)," "))</f>
        <v>41 S</v>
      </c>
      <c r="E11" s="6" t="str">
        <f aca="false">TRIM(SUBSTITUTE($C11,CHAR(160)," "))</f>
        <v>41 Sמ.ברך מוצלב+ספירלות בצדדים</v>
      </c>
    </row>
    <row r="12" customFormat="false" ht="15" hidden="false" customHeight="false" outlineLevel="0" collapsed="false">
      <c r="A12" s="6" t="s">
        <v>154</v>
      </c>
      <c r="B12" s="6" t="n">
        <v>4413076</v>
      </c>
      <c r="C12" s="6" t="s">
        <v>155</v>
      </c>
      <c r="D12" s="6" t="str">
        <f aca="false">TRIM(SUBSTITUTE($A12,CHAR(160)," "))</f>
        <v>41X L</v>
      </c>
      <c r="E12" s="6" t="str">
        <f aca="false">TRIM(SUBSTITUTE($C12,CHAR(160)," "))</f>
        <v>41X L מגן ברך מוצלב+מוט</v>
      </c>
    </row>
    <row r="13" customFormat="false" ht="15" hidden="false" customHeight="false" outlineLevel="0" collapsed="false">
      <c r="A13" s="6" t="s">
        <v>156</v>
      </c>
      <c r="B13" s="6" t="n">
        <v>4413079</v>
      </c>
      <c r="C13" s="6" t="s">
        <v>157</v>
      </c>
      <c r="D13" s="6" t="str">
        <f aca="false">TRIM(SUBSTITUTE($A13,CHAR(160)," "))</f>
        <v>41X XL</v>
      </c>
      <c r="E13" s="6" t="str">
        <f aca="false">TRIM(SUBSTITUTE($C13,CHAR(160)," "))</f>
        <v>41X XL מגן ברך מוצלב+מוט</v>
      </c>
    </row>
    <row r="14" customFormat="false" ht="15" hidden="false" customHeight="false" outlineLevel="0" collapsed="false">
      <c r="A14" s="6" t="s">
        <v>158</v>
      </c>
      <c r="B14" s="6" t="n">
        <v>4413089</v>
      </c>
      <c r="C14" s="6" t="s">
        <v>159</v>
      </c>
      <c r="D14" s="6" t="str">
        <f aca="false">TRIM(SUBSTITUTE($A14,CHAR(160)," "))</f>
        <v>422 S</v>
      </c>
      <c r="E14" s="6" t="str">
        <f aca="false">TRIM(SUBSTITUTE($C14,CHAR(160)," "))</f>
        <v>422 Sמ.ברך+כרית סיל.סביב לפיקה</v>
      </c>
    </row>
    <row r="15" customFormat="false" ht="15" hidden="false" customHeight="false" outlineLevel="0" collapsed="false">
      <c r="A15" s="6" t="s">
        <v>160</v>
      </c>
      <c r="B15" s="6" t="n">
        <v>4413284</v>
      </c>
      <c r="C15" s="6" t="s">
        <v>161</v>
      </c>
      <c r="D15" s="6" t="str">
        <f aca="false">TRIM(SUBSTITUTE($A15,CHAR(160)," "))</f>
        <v>422E XXXL</v>
      </c>
      <c r="E15" s="6" t="str">
        <f aca="false">TRIM(SUBSTITUTE($C15,CHAR(160)," "))</f>
        <v>422E XXXL מגן ברך ארוך עם כרית</v>
      </c>
    </row>
    <row r="16" customFormat="false" ht="15" hidden="false" customHeight="false" outlineLevel="0" collapsed="false">
      <c r="A16" s="6" t="s">
        <v>162</v>
      </c>
      <c r="B16" s="6" t="n">
        <v>4413332</v>
      </c>
      <c r="C16" s="6" t="s">
        <v>163</v>
      </c>
      <c r="D16" s="6" t="str">
        <f aca="false">TRIM(SUBSTITUTE($A16,CHAR(160)," "))</f>
        <v>45 XS</v>
      </c>
      <c r="E16" s="6" t="str">
        <f aca="false">TRIM(SUBSTITUTE($C16,CHAR(160)," "))</f>
        <v>45 XS מגן ברך רגיל לבן</v>
      </c>
    </row>
    <row r="17" customFormat="false" ht="15" hidden="false" customHeight="false" outlineLevel="0" collapsed="false">
      <c r="A17" s="6" t="s">
        <v>164</v>
      </c>
      <c r="B17" s="6" t="n">
        <v>4413092</v>
      </c>
      <c r="C17" s="6" t="s">
        <v>165</v>
      </c>
      <c r="D17" s="6" t="str">
        <f aca="false">TRIM(SUBSTITUTE($A17,CHAR(160)," "))</f>
        <v>45 L</v>
      </c>
      <c r="E17" s="6" t="str">
        <f aca="false">TRIM(SUBSTITUTE($C17,CHAR(160)," "))</f>
        <v>45 L מגן ברך לבן</v>
      </c>
    </row>
    <row r="18" customFormat="false" ht="15" hidden="false" customHeight="false" outlineLevel="0" collapsed="false">
      <c r="A18" s="6" t="s">
        <v>166</v>
      </c>
      <c r="B18" s="6" t="n">
        <v>4413093</v>
      </c>
      <c r="C18" s="6" t="s">
        <v>167</v>
      </c>
      <c r="D18" s="6" t="str">
        <f aca="false">TRIM(SUBSTITUTE($A18,CHAR(160)," "))</f>
        <v>45 M</v>
      </c>
      <c r="E18" s="6" t="str">
        <f aca="false">TRIM(SUBSTITUTE($C18,CHAR(160)," "))</f>
        <v>45 M מגן ברך לבן</v>
      </c>
    </row>
    <row r="19" customFormat="false" ht="15" hidden="false" customHeight="false" outlineLevel="0" collapsed="false">
      <c r="A19" s="6" t="s">
        <v>168</v>
      </c>
      <c r="B19" s="6" t="n">
        <v>4413094</v>
      </c>
      <c r="C19" s="6" t="s">
        <v>169</v>
      </c>
      <c r="D19" s="6" t="str">
        <f aca="false">TRIM(SUBSTITUTE($A19,CHAR(160)," "))</f>
        <v>45 S</v>
      </c>
      <c r="E19" s="6" t="str">
        <f aca="false">TRIM(SUBSTITUTE($C19,CHAR(160)," "))</f>
        <v>45 S מגן ברך לבן</v>
      </c>
    </row>
    <row r="20" customFormat="false" ht="15" hidden="false" customHeight="false" outlineLevel="0" collapsed="false">
      <c r="A20" s="6" t="s">
        <v>170</v>
      </c>
      <c r="B20" s="6" t="n">
        <v>4413095</v>
      </c>
      <c r="C20" s="6" t="s">
        <v>171</v>
      </c>
      <c r="D20" s="6" t="str">
        <f aca="false">TRIM(SUBSTITUTE($A20,CHAR(160)," "))</f>
        <v>45 XL</v>
      </c>
      <c r="E20" s="6" t="str">
        <f aca="false">TRIM(SUBSTITUTE($C20,CHAR(160)," "))</f>
        <v>45 XL מגן ברך לבן</v>
      </c>
    </row>
    <row r="21" customFormat="false" ht="15" hidden="false" customHeight="false" outlineLevel="0" collapsed="false">
      <c r="A21" s="6" t="s">
        <v>172</v>
      </c>
      <c r="B21" s="6" t="n">
        <v>4413096</v>
      </c>
      <c r="C21" s="6" t="s">
        <v>173</v>
      </c>
      <c r="D21" s="6" t="str">
        <f aca="false">TRIM(SUBSTITUTE($A21,CHAR(160)," "))</f>
        <v>45 XXL</v>
      </c>
      <c r="E21" s="6" t="str">
        <f aca="false">TRIM(SUBSTITUTE($C21,CHAR(160)," "))</f>
        <v>45 XXL מגן ברך לבן</v>
      </c>
    </row>
    <row r="22" customFormat="false" ht="15" hidden="false" customHeight="false" outlineLevel="0" collapsed="false">
      <c r="A22" s="6" t="s">
        <v>174</v>
      </c>
      <c r="B22" s="6" t="n">
        <v>4413495</v>
      </c>
      <c r="C22" s="6" t="s">
        <v>175</v>
      </c>
      <c r="D22" s="6" t="str">
        <f aca="false">TRIM(SUBSTITUTE($A22,CHAR(160)," "))</f>
        <v>45B L</v>
      </c>
      <c r="E22" s="6" t="str">
        <f aca="false">TRIM(SUBSTITUTE($C22,CHAR(160)," "))</f>
        <v>45B L מגן ברך שחור</v>
      </c>
    </row>
    <row r="23" customFormat="false" ht="15" hidden="false" customHeight="false" outlineLevel="0" collapsed="false">
      <c r="A23" s="6" t="s">
        <v>176</v>
      </c>
      <c r="B23" s="6" t="n">
        <v>4413497</v>
      </c>
      <c r="C23" s="6" t="s">
        <v>177</v>
      </c>
      <c r="D23" s="6" t="str">
        <f aca="false">TRIM(SUBSTITUTE($A23,CHAR(160)," "))</f>
        <v>45B M</v>
      </c>
      <c r="E23" s="6" t="str">
        <f aca="false">TRIM(SUBSTITUTE($C23,CHAR(160)," "))</f>
        <v>45B M מגן ברך שחור</v>
      </c>
    </row>
    <row r="24" customFormat="false" ht="15" hidden="false" customHeight="false" outlineLevel="0" collapsed="false">
      <c r="A24" s="6" t="s">
        <v>178</v>
      </c>
      <c r="B24" s="6" t="n">
        <v>4413498</v>
      </c>
      <c r="C24" s="6" t="s">
        <v>179</v>
      </c>
      <c r="D24" s="6" t="str">
        <f aca="false">TRIM(SUBSTITUTE($A24,CHAR(160)," "))</f>
        <v>45B S</v>
      </c>
      <c r="E24" s="6" t="str">
        <f aca="false">TRIM(SUBSTITUTE($C24,CHAR(160)," "))</f>
        <v>45B S מגן ברך שחור</v>
      </c>
    </row>
    <row r="25" customFormat="false" ht="15" hidden="false" customHeight="false" outlineLevel="0" collapsed="false">
      <c r="A25" s="6" t="s">
        <v>180</v>
      </c>
      <c r="B25" s="6" t="n">
        <v>4413496</v>
      </c>
      <c r="C25" s="6" t="s">
        <v>181</v>
      </c>
      <c r="D25" s="6" t="str">
        <f aca="false">TRIM(SUBSTITUTE($A25,CHAR(160)," "))</f>
        <v>45B XL</v>
      </c>
      <c r="E25" s="6" t="str">
        <f aca="false">TRIM(SUBSTITUTE($C25,CHAR(160)," "))</f>
        <v>45B XL מגן ברך שחור</v>
      </c>
    </row>
    <row r="26" customFormat="false" ht="15" hidden="false" customHeight="false" outlineLevel="0" collapsed="false">
      <c r="A26" s="6" t="s">
        <v>182</v>
      </c>
      <c r="B26" s="6" t="n">
        <v>4413499</v>
      </c>
      <c r="C26" s="6" t="s">
        <v>183</v>
      </c>
      <c r="D26" s="6" t="str">
        <f aca="false">TRIM(SUBSTITUTE($A26,CHAR(160)," "))</f>
        <v>45B XXL</v>
      </c>
      <c r="E26" s="6" t="str">
        <f aca="false">TRIM(SUBSTITUTE($C26,CHAR(160)," "))</f>
        <v>45B XXLמגן ברך שחור</v>
      </c>
    </row>
    <row r="27" customFormat="false" ht="15" hidden="false" customHeight="false" outlineLevel="0" collapsed="false">
      <c r="A27" s="6" t="s">
        <v>184</v>
      </c>
      <c r="B27" s="6" t="n">
        <v>4413098</v>
      </c>
      <c r="C27" s="6" t="s">
        <v>185</v>
      </c>
      <c r="D27" s="6" t="str">
        <f aca="false">TRIM(SUBSTITUTE($A27,CHAR(160)," "))</f>
        <v>45C L</v>
      </c>
      <c r="E27" s="6" t="str">
        <f aca="false">TRIM(SUBSTITUTE($C27,CHAR(160)," "))</f>
        <v>45C L מגן ברך חום</v>
      </c>
    </row>
    <row r="28" customFormat="false" ht="15" hidden="false" customHeight="false" outlineLevel="0" collapsed="false">
      <c r="A28" s="6" t="s">
        <v>186</v>
      </c>
      <c r="B28" s="6" t="n">
        <v>4413099</v>
      </c>
      <c r="C28" s="6" t="s">
        <v>187</v>
      </c>
      <c r="D28" s="6" t="str">
        <f aca="false">TRIM(SUBSTITUTE($A28,CHAR(160)," "))</f>
        <v>45C M</v>
      </c>
      <c r="E28" s="6" t="str">
        <f aca="false">TRIM(SUBSTITUTE($C28,CHAR(160)," "))</f>
        <v>45C M מגן ברך חום</v>
      </c>
    </row>
    <row r="29" customFormat="false" ht="15" hidden="false" customHeight="false" outlineLevel="0" collapsed="false">
      <c r="A29" s="6" t="s">
        <v>188</v>
      </c>
      <c r="B29" s="6" t="n">
        <v>4413097</v>
      </c>
      <c r="C29" s="6" t="s">
        <v>189</v>
      </c>
      <c r="D29" s="6" t="str">
        <f aca="false">TRIM(SUBSTITUTE($A29,CHAR(160)," "))</f>
        <v>45C S</v>
      </c>
      <c r="E29" s="6" t="str">
        <f aca="false">TRIM(SUBSTITUTE($C29,CHAR(160)," "))</f>
        <v>45C S מגן ברך חום</v>
      </c>
    </row>
    <row r="30" customFormat="false" ht="15" hidden="false" customHeight="false" outlineLevel="0" collapsed="false">
      <c r="A30" s="6" t="s">
        <v>190</v>
      </c>
      <c r="B30" s="6" t="n">
        <v>4413100</v>
      </c>
      <c r="C30" s="6" t="s">
        <v>191</v>
      </c>
      <c r="D30" s="6" t="str">
        <f aca="false">TRIM(SUBSTITUTE($A30,CHAR(160)," "))</f>
        <v>45C XL</v>
      </c>
      <c r="E30" s="6" t="str">
        <f aca="false">TRIM(SUBSTITUTE($C30,CHAR(160)," "))</f>
        <v>45C XL מגן ברך חום</v>
      </c>
    </row>
    <row r="31" customFormat="false" ht="15" hidden="false" customHeight="false" outlineLevel="0" collapsed="false">
      <c r="A31" s="6" t="s">
        <v>192</v>
      </c>
      <c r="B31" s="6" t="n">
        <v>4413102</v>
      </c>
      <c r="C31" s="6" t="s">
        <v>193</v>
      </c>
      <c r="D31" s="6" t="str">
        <f aca="false">TRIM(SUBSTITUTE($A31,CHAR(160)," "))</f>
        <v>45E L</v>
      </c>
      <c r="E31" s="6" t="str">
        <f aca="false">TRIM(SUBSTITUTE($C31,CHAR(160)," "))</f>
        <v>45E L מגן ברך ארוך לבן</v>
      </c>
    </row>
    <row r="32" customFormat="false" ht="15" hidden="false" customHeight="false" outlineLevel="0" collapsed="false">
      <c r="A32" s="6" t="s">
        <v>194</v>
      </c>
      <c r="B32" s="6" t="n">
        <v>4413103</v>
      </c>
      <c r="C32" s="6" t="s">
        <v>195</v>
      </c>
      <c r="D32" s="6" t="str">
        <f aca="false">TRIM(SUBSTITUTE($A32,CHAR(160)," "))</f>
        <v>45E M</v>
      </c>
      <c r="E32" s="6" t="str">
        <f aca="false">TRIM(SUBSTITUTE($C32,CHAR(160)," "))</f>
        <v>45E Mמגן ברך ארוך לבן</v>
      </c>
    </row>
    <row r="33" customFormat="false" ht="15" hidden="false" customHeight="false" outlineLevel="0" collapsed="false">
      <c r="A33" s="6" t="s">
        <v>196</v>
      </c>
      <c r="B33" s="6" t="n">
        <v>4413101</v>
      </c>
      <c r="C33" s="6" t="s">
        <v>197</v>
      </c>
      <c r="D33" s="6" t="str">
        <f aca="false">TRIM(SUBSTITUTE($A33,CHAR(160)," "))</f>
        <v>45E S</v>
      </c>
      <c r="E33" s="6" t="str">
        <f aca="false">TRIM(SUBSTITUTE($C33,CHAR(160)," "))</f>
        <v>45E Sמגן ברך ארוך לבן</v>
      </c>
    </row>
    <row r="34" customFormat="false" ht="15" hidden="false" customHeight="false" outlineLevel="0" collapsed="false">
      <c r="A34" s="6" t="s">
        <v>198</v>
      </c>
      <c r="B34" s="6" t="n">
        <v>4413104</v>
      </c>
      <c r="C34" s="6" t="s">
        <v>199</v>
      </c>
      <c r="D34" s="6" t="str">
        <f aca="false">TRIM(SUBSTITUTE($A34,CHAR(160)," "))</f>
        <v>45E XL</v>
      </c>
      <c r="E34" s="6" t="str">
        <f aca="false">TRIM(SUBSTITUTE($C34,CHAR(160)," "))</f>
        <v>45E XLמגן ברך ארוך לבן</v>
      </c>
    </row>
    <row r="35" customFormat="false" ht="15" hidden="false" customHeight="false" outlineLevel="0" collapsed="false">
      <c r="A35" s="6" t="s">
        <v>200</v>
      </c>
      <c r="B35" s="6" t="n">
        <v>4413105</v>
      </c>
      <c r="C35" s="6" t="s">
        <v>201</v>
      </c>
      <c r="D35" s="6" t="str">
        <f aca="false">TRIM(SUBSTITUTE($A35,CHAR(160)," "))</f>
        <v>45E XXL</v>
      </c>
      <c r="E35" s="6" t="str">
        <f aca="false">TRIM(SUBSTITUTE($C35,CHAR(160)," "))</f>
        <v>45E XXLמגן ברך ארוך לבן</v>
      </c>
    </row>
    <row r="36" customFormat="false" ht="15" hidden="false" customHeight="false" outlineLevel="0" collapsed="false">
      <c r="A36" s="6" t="s">
        <v>202</v>
      </c>
      <c r="B36" s="6" t="n">
        <v>4413396</v>
      </c>
      <c r="C36" s="6" t="s">
        <v>203</v>
      </c>
      <c r="D36" s="6" t="str">
        <f aca="false">TRIM(SUBSTITUTE($A36,CHAR(160)," "))</f>
        <v>45EC L</v>
      </c>
      <c r="E36" s="6" t="str">
        <f aca="false">TRIM(SUBSTITUTE($C36,CHAR(160)," "))</f>
        <v>45EC L 'מגן ברך ארוך בז</v>
      </c>
    </row>
    <row r="37" customFormat="false" ht="15" hidden="false" customHeight="false" outlineLevel="0" collapsed="false">
      <c r="A37" s="6" t="s">
        <v>204</v>
      </c>
      <c r="B37" s="6" t="n">
        <v>4413395</v>
      </c>
      <c r="C37" s="6" t="s">
        <v>205</v>
      </c>
      <c r="D37" s="6" t="str">
        <f aca="false">TRIM(SUBSTITUTE($A37,CHAR(160)," "))</f>
        <v>45EC M</v>
      </c>
      <c r="E37" s="6" t="str">
        <f aca="false">TRIM(SUBSTITUTE($C37,CHAR(160)," "))</f>
        <v>45EC M 'מגן ברך ארוך בז</v>
      </c>
    </row>
    <row r="38" customFormat="false" ht="15" hidden="false" customHeight="false" outlineLevel="0" collapsed="false">
      <c r="A38" s="6" t="s">
        <v>206</v>
      </c>
      <c r="B38" s="6" t="n">
        <v>4413394</v>
      </c>
      <c r="C38" s="6" t="s">
        <v>207</v>
      </c>
      <c r="D38" s="6" t="str">
        <f aca="false">TRIM(SUBSTITUTE($A38,CHAR(160)," "))</f>
        <v>45EC S</v>
      </c>
      <c r="E38" s="6" t="str">
        <f aca="false">TRIM(SUBSTITUTE($C38,CHAR(160)," "))</f>
        <v>45EC S 'מגן ברך ארוך בז</v>
      </c>
    </row>
    <row r="39" customFormat="false" ht="15" hidden="false" customHeight="false" outlineLevel="0" collapsed="false">
      <c r="A39" s="6" t="s">
        <v>208</v>
      </c>
      <c r="B39" s="6" t="n">
        <v>4413397</v>
      </c>
      <c r="C39" s="6" t="s">
        <v>209</v>
      </c>
      <c r="D39" s="6" t="str">
        <f aca="false">TRIM(SUBSTITUTE($A39,CHAR(160)," "))</f>
        <v>45EC XL</v>
      </c>
      <c r="E39" s="6" t="str">
        <f aca="false">TRIM(SUBSTITUTE($C39,CHAR(160)," "))</f>
        <v>45EC XL'מגן ברך ארוך בז</v>
      </c>
    </row>
    <row r="40" customFormat="false" ht="15" hidden="false" customHeight="false" outlineLevel="0" collapsed="false">
      <c r="A40" s="6" t="s">
        <v>210</v>
      </c>
      <c r="B40" s="6" t="n">
        <v>4413398</v>
      </c>
      <c r="C40" s="6" t="s">
        <v>211</v>
      </c>
      <c r="D40" s="6" t="str">
        <f aca="false">TRIM(SUBSTITUTE($A40,CHAR(160)," "))</f>
        <v>45EC XXL</v>
      </c>
      <c r="E40" s="6" t="str">
        <f aca="false">TRIM(SUBSTITUTE($C40,CHAR(160)," "))</f>
        <v>45EC XXL'מגן ברך ארוך בז</v>
      </c>
    </row>
    <row r="41" customFormat="false" ht="15" hidden="false" customHeight="false" outlineLevel="0" collapsed="false">
      <c r="A41" s="6" t="s">
        <v>212</v>
      </c>
      <c r="B41" s="6" t="n">
        <v>4413107</v>
      </c>
      <c r="C41" s="6" t="s">
        <v>213</v>
      </c>
      <c r="D41" s="6" t="str">
        <f aca="false">TRIM(SUBSTITUTE($A41,CHAR(160)," "))</f>
        <v>48 L</v>
      </c>
      <c r="E41" s="6" t="str">
        <f aca="false">TRIM(SUBSTITUTE($C41,CHAR(160)," "))</f>
        <v>48 L מגן ברך מחמם</v>
      </c>
    </row>
    <row r="42" customFormat="false" ht="15" hidden="false" customHeight="false" outlineLevel="0" collapsed="false">
      <c r="A42" s="6" t="s">
        <v>214</v>
      </c>
      <c r="B42" s="6" t="n">
        <v>4413108</v>
      </c>
      <c r="C42" s="6" t="s">
        <v>215</v>
      </c>
      <c r="D42" s="6" t="str">
        <f aca="false">TRIM(SUBSTITUTE($A42,CHAR(160)," "))</f>
        <v>48 M</v>
      </c>
      <c r="E42" s="6" t="str">
        <f aca="false">TRIM(SUBSTITUTE($C42,CHAR(160)," "))</f>
        <v>48 M מגן ברך מחמם</v>
      </c>
    </row>
    <row r="43" customFormat="false" ht="15" hidden="false" customHeight="false" outlineLevel="0" collapsed="false">
      <c r="A43" s="6" t="s">
        <v>216</v>
      </c>
      <c r="B43" s="6" t="n">
        <v>4420026</v>
      </c>
      <c r="C43" s="6" t="s">
        <v>217</v>
      </c>
      <c r="D43" s="6" t="str">
        <f aca="false">TRIM(SUBSTITUTE($A43,CHAR(160)," "))</f>
        <v>AC40 0</v>
      </c>
      <c r="E43" s="6" t="str">
        <f aca="false">TRIM(SUBSTITUTE($C43,CHAR(160)," "))</f>
        <v>AC40 רצועה לפיקת הברך</v>
      </c>
    </row>
    <row r="44" customFormat="false" ht="15" hidden="false" customHeight="false" outlineLevel="0" collapsed="false">
      <c r="A44" s="6" t="s">
        <v>218</v>
      </c>
      <c r="B44" s="6" t="n">
        <v>4413328</v>
      </c>
      <c r="C44" s="6" t="s">
        <v>219</v>
      </c>
      <c r="D44" s="6" t="str">
        <f aca="false">TRIM(SUBSTITUTE($A44,CHAR(160)," "))</f>
        <v>AC43D 0</v>
      </c>
      <c r="E44" s="6" t="str">
        <f aca="false">TRIM(SUBSTITUTE($C44,CHAR(160)," "))</f>
        <v>AC43D מגן ברך + צירים</v>
      </c>
    </row>
    <row r="45" customFormat="false" ht="15" hidden="false" customHeight="false" outlineLevel="0" collapsed="false">
      <c r="A45" s="6" t="s">
        <v>220</v>
      </c>
      <c r="B45" s="6" t="n">
        <v>4413329</v>
      </c>
      <c r="C45" s="6" t="s">
        <v>221</v>
      </c>
      <c r="D45" s="6" t="str">
        <f aca="false">TRIM(SUBSTITUTE($A45,CHAR(160)," "))</f>
        <v>AC45X 0</v>
      </c>
      <c r="E45" s="6" t="str">
        <f aca="false">TRIM(SUBSTITUTE($C45,CHAR(160)," "))</f>
        <v>AC45X מגן ברך עם תמיכות</v>
      </c>
    </row>
    <row r="46" customFormat="false" ht="15" hidden="false" customHeight="false" outlineLevel="0" collapsed="false">
      <c r="A46" s="6" t="s">
        <v>222</v>
      </c>
      <c r="B46" s="6" t="n">
        <v>4402011</v>
      </c>
      <c r="C46" s="6" t="s">
        <v>223</v>
      </c>
      <c r="D46" s="6" t="str">
        <f aca="false">TRIM(SUBSTITUTE($A46,CHAR(160)," "))</f>
        <v>ST422 0</v>
      </c>
      <c r="E46" s="6" t="str">
        <f aca="false">TRIM(SUBSTITUTE($C46,CHAR(160)," "))</f>
        <v>S-XLST422 מגן ברך+כרית ג'ל</v>
      </c>
    </row>
    <row r="47" customFormat="false" ht="15" hidden="false" customHeight="false" outlineLevel="0" collapsed="false">
      <c r="A47" s="6" t="s">
        <v>224</v>
      </c>
      <c r="B47" s="6" t="n">
        <v>4413438</v>
      </c>
      <c r="C47" s="6" t="s">
        <v>225</v>
      </c>
      <c r="D47" s="6" t="str">
        <f aca="false">TRIM(SUBSTITUTE($A47,CHAR(160)," "))</f>
        <v>SC422 S</v>
      </c>
      <c r="E47" s="6" t="str">
        <f aca="false">TRIM(SUBSTITUTE($C47,CHAR(160)," "))</f>
        <v>SC422 S מגן ברך</v>
      </c>
    </row>
    <row r="48" customFormat="false" ht="15" hidden="false" customHeight="false" outlineLevel="0" collapsed="false">
      <c r="A48" s="6" t="s">
        <v>226</v>
      </c>
      <c r="B48" s="6" t="n">
        <v>4413442</v>
      </c>
      <c r="C48" s="6" t="s">
        <v>227</v>
      </c>
      <c r="D48" s="6" t="str">
        <f aca="false">TRIM(SUBSTITUTE($A48,CHAR(160)," "))</f>
        <v>SC422 XXL</v>
      </c>
      <c r="E48" s="6" t="str">
        <f aca="false">TRIM(SUBSTITUTE($C48,CHAR(160)," "))</f>
        <v>SC422 XXLמגן ברך</v>
      </c>
    </row>
    <row r="49" customFormat="false" ht="15" hidden="false" customHeight="false" outlineLevel="0" collapsed="false">
      <c r="A49" s="6" t="s">
        <v>228</v>
      </c>
      <c r="B49" s="6" t="n">
        <v>4422037</v>
      </c>
      <c r="C49" s="6" t="s">
        <v>229</v>
      </c>
      <c r="D49" s="6" t="str">
        <f aca="false">TRIM(SUBSTITUTE($A49,CHAR(160)," "))</f>
        <v>SH422 1</v>
      </c>
      <c r="E49" s="6" t="str">
        <f aca="false">TRIM(SUBSTITUTE($C49,CHAR(160)," "))</f>
        <v>SH422 1 תומך ברך גנושילד</v>
      </c>
    </row>
    <row r="50" customFormat="false" ht="15" hidden="false" customHeight="false" outlineLevel="0" collapsed="false">
      <c r="A50" s="6" t="s">
        <v>230</v>
      </c>
      <c r="B50" s="6" t="n">
        <v>4422038</v>
      </c>
      <c r="C50" s="6" t="s">
        <v>231</v>
      </c>
      <c r="D50" s="6" t="str">
        <f aca="false">TRIM(SUBSTITUTE($A50,CHAR(160)," "))</f>
        <v>SH422 2</v>
      </c>
      <c r="E50" s="6" t="str">
        <f aca="false">TRIM(SUBSTITUTE($C50,CHAR(160)," "))</f>
        <v>SH422 2 תומך ברך גנושילד</v>
      </c>
    </row>
    <row r="51" customFormat="false" ht="15" hidden="false" customHeight="false" outlineLevel="0" collapsed="false">
      <c r="A51" s="6" t="s">
        <v>232</v>
      </c>
      <c r="B51" s="6" t="n">
        <v>4422039</v>
      </c>
      <c r="C51" s="6" t="s">
        <v>233</v>
      </c>
      <c r="D51" s="6" t="str">
        <f aca="false">TRIM(SUBSTITUTE($A51,CHAR(160)," "))</f>
        <v>SH422 3</v>
      </c>
      <c r="E51" s="6" t="str">
        <f aca="false">TRIM(SUBSTITUTE($C51,CHAR(160)," "))</f>
        <v>SH422 3 תומך ברך גנושילד</v>
      </c>
    </row>
    <row r="52" customFormat="false" ht="15" hidden="false" customHeight="false" outlineLevel="0" collapsed="false">
      <c r="A52" s="6" t="s">
        <v>234</v>
      </c>
      <c r="B52" s="6" t="n">
        <v>4422040</v>
      </c>
      <c r="C52" s="6" t="s">
        <v>235</v>
      </c>
      <c r="D52" s="6" t="str">
        <f aca="false">TRIM(SUBSTITUTE($A52,CHAR(160)," "))</f>
        <v>SH422 4</v>
      </c>
      <c r="E52" s="6" t="str">
        <f aca="false">TRIM(SUBSTITUTE($C52,CHAR(160)," "))</f>
        <v>SH422 4 תומך ברך גנושילד</v>
      </c>
    </row>
    <row r="53" customFormat="false" ht="15" hidden="false" customHeight="false" outlineLevel="0" collapsed="false">
      <c r="A53" s="6" t="s">
        <v>236</v>
      </c>
      <c r="B53" s="6" t="n">
        <v>4422041</v>
      </c>
      <c r="C53" s="6" t="s">
        <v>237</v>
      </c>
      <c r="D53" s="6" t="str">
        <f aca="false">TRIM(SUBSTITUTE($A53,CHAR(160)," "))</f>
        <v>SH422 5</v>
      </c>
      <c r="E53" s="6" t="str">
        <f aca="false">TRIM(SUBSTITUTE($C53,CHAR(160)," "))</f>
        <v>SH422 5 תומך ברך גנושילד</v>
      </c>
    </row>
    <row r="54" customFormat="false" ht="15" hidden="false" customHeight="false" outlineLevel="0" collapsed="false">
      <c r="A54" s="6" t="s">
        <v>238</v>
      </c>
      <c r="B54" s="6" t="n">
        <v>4422042</v>
      </c>
      <c r="C54" s="6" t="s">
        <v>239</v>
      </c>
      <c r="D54" s="6" t="str">
        <f aca="false">TRIM(SUBSTITUTE($A54,CHAR(160)," "))</f>
        <v>SH422 6</v>
      </c>
      <c r="E54" s="6" t="str">
        <f aca="false">TRIM(SUBSTITUTE($C54,CHAR(160)," "))</f>
        <v>SH422 6 תומך ברך גנושילד</v>
      </c>
    </row>
    <row r="55" customFormat="false" ht="15" hidden="false" customHeight="false" outlineLevel="0" collapsed="false">
      <c r="A55" s="6" t="s">
        <v>240</v>
      </c>
      <c r="B55" s="6" t="n">
        <v>4413532</v>
      </c>
      <c r="C55" s="6" t="s">
        <v>241</v>
      </c>
      <c r="D55" s="6" t="str">
        <f aca="false">TRIM(SUBSTITUTE($A55,CHAR(160)," "))</f>
        <v>ST433 0</v>
      </c>
      <c r="E55" s="6" t="str">
        <f aca="false">TRIM(SUBSTITUTE($C55,CHAR(160)," "))</f>
        <v>ST433 H מגן ברך עם ציר</v>
      </c>
    </row>
    <row r="56" customFormat="false" ht="15" hidden="false" customHeight="false" outlineLevel="0" collapsed="false">
      <c r="A56" s="6" t="s">
        <v>242</v>
      </c>
      <c r="B56" s="6" t="n">
        <v>4413184</v>
      </c>
      <c r="C56" s="6" t="s">
        <v>243</v>
      </c>
      <c r="D56" s="6" t="str">
        <f aca="false">TRIM(SUBSTITUTE($A56,CHAR(160)," "))</f>
        <v>T45 L</v>
      </c>
      <c r="E56" s="6" t="str">
        <f aca="false">TRIM(SUBSTITUTE($C56,CHAR(160)," "))</f>
        <v>T 45 L מגן ברך רגיל</v>
      </c>
    </row>
    <row r="57" customFormat="false" ht="15" hidden="false" customHeight="false" outlineLevel="0" collapsed="false">
      <c r="A57" s="6" t="s">
        <v>244</v>
      </c>
      <c r="B57" s="6" t="n">
        <v>4413183</v>
      </c>
      <c r="C57" s="6" t="s">
        <v>245</v>
      </c>
      <c r="D57" s="6" t="str">
        <f aca="false">TRIM(SUBSTITUTE($A57,CHAR(160)," "))</f>
        <v>T45 M</v>
      </c>
      <c r="E57" s="6" t="str">
        <f aca="false">TRIM(SUBSTITUTE($C57,CHAR(160)," "))</f>
        <v>T 45 M מגן ברך רגיל</v>
      </c>
    </row>
    <row r="58" customFormat="false" ht="15" hidden="false" customHeight="false" outlineLevel="0" collapsed="false">
      <c r="A58" s="6" t="s">
        <v>246</v>
      </c>
      <c r="B58" s="6" t="n">
        <v>4413185</v>
      </c>
      <c r="C58" s="6" t="s">
        <v>247</v>
      </c>
      <c r="D58" s="6" t="str">
        <f aca="false">TRIM(SUBSTITUTE($A58,CHAR(160)," "))</f>
        <v>T45 XL</v>
      </c>
      <c r="E58" s="6" t="str">
        <f aca="false">TRIM(SUBSTITUTE($C58,CHAR(160)," "))</f>
        <v>T 45XL מגן ברך רגיל</v>
      </c>
    </row>
    <row r="59" customFormat="false" ht="15" hidden="false" customHeight="false" outlineLevel="0" collapsed="false">
      <c r="A59" s="6" t="s">
        <v>248</v>
      </c>
      <c r="B59" s="6" t="n">
        <v>4413182</v>
      </c>
      <c r="C59" s="6" t="s">
        <v>249</v>
      </c>
      <c r="D59" s="6" t="str">
        <f aca="false">TRIM(SUBSTITUTE($A59,CHAR(160)," "))</f>
        <v>T45 S</v>
      </c>
      <c r="E59" s="6" t="str">
        <f aca="false">TRIM(SUBSTITUTE($C59,CHAR(160)," "))</f>
        <v>T45 S מגן ברך רגיל</v>
      </c>
    </row>
    <row r="60" customFormat="false" ht="15" hidden="false" customHeight="false" outlineLevel="0" collapsed="false">
      <c r="A60" s="6" t="s">
        <v>250</v>
      </c>
      <c r="B60" s="6" t="n">
        <v>4413286</v>
      </c>
      <c r="C60" s="6" t="s">
        <v>251</v>
      </c>
      <c r="D60" s="6" t="str">
        <f aca="false">TRIM(SUBSTITUTE($A60,CHAR(160)," "))</f>
        <v>T45 XXL</v>
      </c>
      <c r="E60" s="6" t="str">
        <f aca="false">TRIM(SUBSTITUTE($C60,CHAR(160)," "))</f>
        <v>T45 XXL מגן ברך רגיל</v>
      </c>
    </row>
    <row r="61" customFormat="false" ht="15" hidden="false" customHeight="false" outlineLevel="0" collapsed="false">
      <c r="A61" s="6" t="s">
        <v>252</v>
      </c>
      <c r="B61" s="6" t="n">
        <v>4413260</v>
      </c>
      <c r="C61" s="6" t="s">
        <v>253</v>
      </c>
      <c r="D61" s="6" t="str">
        <f aca="false">TRIM(SUBSTITUTE($A61,CHAR(160)," "))</f>
        <v>T45X XXL</v>
      </c>
      <c r="E61" s="6" t="str">
        <f aca="false">TRIM(SUBSTITUTE($C61,CHAR(160)," "))</f>
        <v>T45X-XXLמגן ברך רגיל</v>
      </c>
    </row>
    <row r="62" customFormat="false" ht="15" hidden="false" customHeight="false" outlineLevel="0" collapsed="false">
      <c r="A62" s="6" t="s">
        <v>254</v>
      </c>
      <c r="B62" s="6" t="n">
        <v>4413224</v>
      </c>
      <c r="C62" s="6" t="s">
        <v>255</v>
      </c>
      <c r="D62" s="6" t="str">
        <f aca="false">TRIM(SUBSTITUTE($A62,CHAR(160)," "))</f>
        <v>T45X XL</v>
      </c>
      <c r="E62" s="6" t="str">
        <f aca="false">TRIM(SUBSTITUTE($C62,CHAR(160)," "))</f>
        <v>T45X XL מגן ברך רגיל</v>
      </c>
    </row>
    <row r="63" customFormat="false" ht="15" hidden="false" customHeight="false" outlineLevel="0" collapsed="false">
      <c r="A63" s="6" t="s">
        <v>256</v>
      </c>
      <c r="B63" s="6" t="n">
        <v>4403040</v>
      </c>
      <c r="C63" s="6" t="s">
        <v>257</v>
      </c>
      <c r="D63" s="6" t="str">
        <f aca="false">TRIM(SUBSTITUTE($A63,CHAR(160)," "))</f>
        <v>3444B 0</v>
      </c>
      <c r="E63" s="6" t="str">
        <f aca="false">TRIM(SUBSTITUTE($C63,CHAR(160)," "))</f>
        <v>3444B גרבי ג'ל לריכוך עור העקב</v>
      </c>
    </row>
    <row r="64" customFormat="false" ht="15" hidden="false" customHeight="false" outlineLevel="0" collapsed="false">
      <c r="A64" s="6" t="s">
        <v>258</v>
      </c>
      <c r="B64" s="6" t="n">
        <v>4403001</v>
      </c>
      <c r="C64" s="6" t="s">
        <v>259</v>
      </c>
      <c r="D64" s="6" t="str">
        <f aca="false">TRIM(SUBSTITUTE($A64,CHAR(160)," "))</f>
        <v>390B-39-42</v>
      </c>
      <c r="E64" s="6" t="str">
        <f aca="false">TRIM(SUBSTITUTE($C64,CHAR(160)," "))</f>
        <v>390B 39-42.גרב.כסף לסכרתיים שח</v>
      </c>
    </row>
    <row r="65" customFormat="false" ht="15" hidden="false" customHeight="false" outlineLevel="0" collapsed="false">
      <c r="A65" s="6" t="s">
        <v>260</v>
      </c>
      <c r="B65" s="6" t="n">
        <v>4403002</v>
      </c>
      <c r="C65" s="6" t="s">
        <v>261</v>
      </c>
      <c r="D65" s="6" t="str">
        <f aca="false">TRIM(SUBSTITUTE($A65,CHAR(160)," "))</f>
        <v>390B-43-46</v>
      </c>
      <c r="E65" s="6" t="str">
        <f aca="false">TRIM(SUBSTITUTE($C65,CHAR(160)," "))</f>
        <v>390B 43-46.גרב.כסף לסכרתיים שח</v>
      </c>
    </row>
    <row r="66" customFormat="false" ht="15" hidden="false" customHeight="false" outlineLevel="0" collapsed="false">
      <c r="A66" s="6" t="s">
        <v>262</v>
      </c>
      <c r="B66" s="6" t="n">
        <v>4403000</v>
      </c>
      <c r="C66" s="6" t="s">
        <v>263</v>
      </c>
      <c r="D66" s="6" t="str">
        <f aca="false">TRIM(SUBSTITUTE($A66,CHAR(160)," "))</f>
        <v>390B-35-38</v>
      </c>
      <c r="E66" s="6" t="str">
        <f aca="false">TRIM(SUBSTITUTE($C66,CHAR(160)," "))</f>
        <v>390B גרב.כסף לסכרתים שחור35-38</v>
      </c>
    </row>
    <row r="67" customFormat="false" ht="15" hidden="false" customHeight="false" outlineLevel="0" collapsed="false">
      <c r="A67" s="6" t="s">
        <v>264</v>
      </c>
      <c r="B67" s="6" t="n">
        <v>4403003</v>
      </c>
      <c r="C67" s="6" t="s">
        <v>265</v>
      </c>
      <c r="D67" s="6" t="str">
        <f aca="false">TRIM(SUBSTITUTE($A67,CHAR(160)," "))</f>
        <v>390G-35-38</v>
      </c>
      <c r="E67" s="6" t="str">
        <f aca="false">TRIM(SUBSTITUTE($C67,CHAR(160)," "))</f>
        <v>390G ג.כסף לסכרתיים אפור35-38</v>
      </c>
    </row>
    <row r="68" customFormat="false" ht="15" hidden="false" customHeight="false" outlineLevel="0" collapsed="false">
      <c r="A68" s="6" t="s">
        <v>266</v>
      </c>
      <c r="B68" s="6" t="n">
        <v>4403006</v>
      </c>
      <c r="C68" s="6" t="s">
        <v>267</v>
      </c>
      <c r="D68" s="6" t="str">
        <f aca="false">TRIM(SUBSTITUTE($A68,CHAR(160)," "))</f>
        <v>390W-35-38</v>
      </c>
      <c r="E68" s="6" t="str">
        <f aca="false">TRIM(SUBSTITUTE($C68,CHAR(160)," "))</f>
        <v>390W גרב כסף לסכרתיים לבן35-38</v>
      </c>
    </row>
    <row r="69" customFormat="false" ht="15" hidden="false" customHeight="false" outlineLevel="0" collapsed="false">
      <c r="A69" s="6" t="s">
        <v>268</v>
      </c>
      <c r="B69" s="6" t="n">
        <v>4403007</v>
      </c>
      <c r="C69" s="6" t="s">
        <v>269</v>
      </c>
      <c r="D69" s="6" t="str">
        <f aca="false">TRIM(SUBSTITUTE($A69,CHAR(160)," "))</f>
        <v>390W-39-42</v>
      </c>
      <c r="E69" s="6" t="str">
        <f aca="false">TRIM(SUBSTITUTE($C69,CHAR(160)," "))</f>
        <v>390W גרב.כסף לסכרתיים לבן39-42</v>
      </c>
    </row>
    <row r="70" customFormat="false" ht="15" hidden="false" customHeight="false" outlineLevel="0" collapsed="false">
      <c r="A70" s="6" t="s">
        <v>270</v>
      </c>
      <c r="B70" s="6" t="n">
        <v>4403008</v>
      </c>
      <c r="C70" s="6" t="s">
        <v>271</v>
      </c>
      <c r="D70" s="6" t="str">
        <f aca="false">TRIM(SUBSTITUTE($A70,CHAR(160)," "))</f>
        <v>390W-43-46</v>
      </c>
      <c r="E70" s="6" t="str">
        <f aca="false">TRIM(SUBSTITUTE($C70,CHAR(160)," "))</f>
        <v>390W גרב.כסף לסכרתיים לבן43-46</v>
      </c>
    </row>
    <row r="71" customFormat="false" ht="15" hidden="false" customHeight="false" outlineLevel="0" collapsed="false">
      <c r="A71" s="6" t="s">
        <v>272</v>
      </c>
      <c r="B71" s="6" t="n">
        <v>4403017</v>
      </c>
      <c r="C71" s="6" t="s">
        <v>273</v>
      </c>
      <c r="D71" s="6" t="str">
        <f aca="false">TRIM(SUBSTITUTE($A71,CHAR(160)," "))</f>
        <v>394B-35-38</v>
      </c>
      <c r="E71" s="6" t="str">
        <f aca="false">TRIM(SUBSTITUTE($C71,CHAR(160)," "))</f>
        <v>394B גרב.כסף לסכרתים שחור35-38</v>
      </c>
    </row>
    <row r="72" customFormat="false" ht="15" hidden="false" customHeight="false" outlineLevel="0" collapsed="false">
      <c r="A72" s="6" t="s">
        <v>274</v>
      </c>
      <c r="B72" s="6" t="n">
        <v>4403018</v>
      </c>
      <c r="C72" s="6" t="s">
        <v>275</v>
      </c>
      <c r="D72" s="6" t="str">
        <f aca="false">TRIM(SUBSTITUTE($A72,CHAR(160)," "))</f>
        <v>394B-39-42</v>
      </c>
      <c r="E72" s="6" t="str">
        <f aca="false">TRIM(SUBSTITUTE($C72,CHAR(160)," "))</f>
        <v>394B גרב.כסף לסכרתים שחור39-42</v>
      </c>
    </row>
    <row r="73" customFormat="false" ht="15" hidden="false" customHeight="false" outlineLevel="0" collapsed="false">
      <c r="A73" s="6" t="s">
        <v>276</v>
      </c>
      <c r="B73" s="6" t="n">
        <v>4403019</v>
      </c>
      <c r="C73" s="6" t="s">
        <v>277</v>
      </c>
      <c r="D73" s="6" t="str">
        <f aca="false">TRIM(SUBSTITUTE($A73,CHAR(160)," "))</f>
        <v>394B-43-46</v>
      </c>
      <c r="E73" s="6" t="str">
        <f aca="false">TRIM(SUBSTITUTE($C73,CHAR(160)," "))</f>
        <v>394B גרב.כסף לסכרתים שחור43-46</v>
      </c>
    </row>
    <row r="74" customFormat="false" ht="15" hidden="false" customHeight="false" outlineLevel="0" collapsed="false">
      <c r="A74" s="6" t="s">
        <v>278</v>
      </c>
      <c r="B74" s="6" t="n">
        <v>4403023</v>
      </c>
      <c r="C74" s="6" t="s">
        <v>279</v>
      </c>
      <c r="D74" s="6" t="str">
        <f aca="false">TRIM(SUBSTITUTE($A74,CHAR(160)," "))</f>
        <v>394W-35-38</v>
      </c>
      <c r="E74" s="6" t="str">
        <f aca="false">TRIM(SUBSTITUTE($C74,CHAR(160)," "))</f>
        <v>394W 35-38 גרב.כסף לסכרתים לבן</v>
      </c>
    </row>
    <row r="75" customFormat="false" ht="15" hidden="false" customHeight="false" outlineLevel="0" collapsed="false">
      <c r="A75" s="6" t="s">
        <v>280</v>
      </c>
      <c r="B75" s="6" t="n">
        <v>4403024</v>
      </c>
      <c r="C75" s="6" t="s">
        <v>281</v>
      </c>
      <c r="D75" s="6" t="str">
        <f aca="false">TRIM(SUBSTITUTE($A75,CHAR(160)," "))</f>
        <v>394W-39-42</v>
      </c>
      <c r="E75" s="6" t="str">
        <f aca="false">TRIM(SUBSTITUTE($C75,CHAR(160)," "))</f>
        <v>394W 39-42 גרב.כסף לסכרתים לבן</v>
      </c>
    </row>
    <row r="76" customFormat="false" ht="15" hidden="false" customHeight="false" outlineLevel="0" collapsed="false">
      <c r="A76" s="6" t="s">
        <v>282</v>
      </c>
      <c r="B76" s="6" t="n">
        <v>4403025</v>
      </c>
      <c r="C76" s="6" t="s">
        <v>283</v>
      </c>
      <c r="D76" s="6" t="str">
        <f aca="false">TRIM(SUBSTITUTE($A76,CHAR(160)," "))</f>
        <v>394W-43-46</v>
      </c>
      <c r="E76" s="6" t="str">
        <f aca="false">TRIM(SUBSTITUTE($C76,CHAR(160)," "))</f>
        <v>394W 43-46 גרב.כסף לסכרתים לבן</v>
      </c>
    </row>
    <row r="77" customFormat="false" ht="15" hidden="false" customHeight="false" outlineLevel="0" collapsed="false">
      <c r="A77" s="6" t="s">
        <v>284</v>
      </c>
      <c r="B77" s="6" t="n">
        <v>4403044</v>
      </c>
      <c r="C77" s="6" t="s">
        <v>285</v>
      </c>
      <c r="D77" s="6" t="str">
        <f aca="false">TRIM(SUBSTITUTE($A77,CHAR(160)," "))</f>
        <v>395B-39-42</v>
      </c>
      <c r="E77" s="6" t="str">
        <f aca="false">TRIM(SUBSTITUTE($C77,CHAR(160)," "))</f>
        <v>395B גרבי קיץ אנטי בקטריא39-42</v>
      </c>
    </row>
    <row r="78" customFormat="false" ht="15" hidden="false" customHeight="false" outlineLevel="0" collapsed="false">
      <c r="A78" s="6" t="s">
        <v>286</v>
      </c>
      <c r="B78" s="6" t="n">
        <v>4403045</v>
      </c>
      <c r="C78" s="6" t="s">
        <v>287</v>
      </c>
      <c r="D78" s="6" t="str">
        <f aca="false">TRIM(SUBSTITUTE($A78,CHAR(160)," "))</f>
        <v>395B-43-46</v>
      </c>
      <c r="E78" s="6" t="str">
        <f aca="false">TRIM(SUBSTITUTE($C78,CHAR(160)," "))</f>
        <v>395B גרבי קיץ אנטי בקטריא43-46</v>
      </c>
    </row>
    <row r="79" customFormat="false" ht="15" hidden="false" customHeight="false" outlineLevel="0" collapsed="false">
      <c r="A79" s="6" t="s">
        <v>288</v>
      </c>
      <c r="B79" s="6" t="n">
        <v>4403029</v>
      </c>
      <c r="C79" s="6" t="s">
        <v>289</v>
      </c>
      <c r="D79" s="6" t="str">
        <f aca="false">TRIM(SUBSTITUTE($A79,CHAR(160)," "))</f>
        <v>397-39-42</v>
      </c>
      <c r="E79" s="6" t="str">
        <f aca="false">TRIM(SUBSTITUTE($C79,CHAR(160)," "))</f>
        <v>397 39-42 גרבי טיסה מידה</v>
      </c>
    </row>
    <row r="80" customFormat="false" ht="15" hidden="false" customHeight="false" outlineLevel="0" collapsed="false">
      <c r="A80" s="6" t="s">
        <v>290</v>
      </c>
      <c r="B80" s="6" t="n">
        <v>4403041</v>
      </c>
      <c r="C80" s="6" t="s">
        <v>291</v>
      </c>
      <c r="D80" s="6" t="str">
        <f aca="false">TRIM(SUBSTITUTE($A80,CHAR(160)," "))</f>
        <v>397A-35-38</v>
      </c>
      <c r="E80" s="6" t="str">
        <f aca="false">TRIM(SUBSTITUTE($C80,CHAR(160)," "))</f>
        <v>397A-גרבי טיסה אנטי בקטרי35-38</v>
      </c>
    </row>
    <row r="81" customFormat="false" ht="15" hidden="false" customHeight="false" outlineLevel="0" collapsed="false">
      <c r="A81" s="6" t="s">
        <v>292</v>
      </c>
      <c r="B81" s="6" t="n">
        <v>4403042</v>
      </c>
      <c r="C81" s="6" t="s">
        <v>293</v>
      </c>
      <c r="D81" s="6" t="str">
        <f aca="false">TRIM(SUBSTITUTE($A81,CHAR(160)," "))</f>
        <v>397A-39-42</v>
      </c>
      <c r="E81" s="6" t="str">
        <f aca="false">TRIM(SUBSTITUTE($C81,CHAR(160)," "))</f>
        <v>397A-גרבי טיסה אנטי בקטרי39-42</v>
      </c>
    </row>
    <row r="82" customFormat="false" ht="15" hidden="false" customHeight="false" outlineLevel="0" collapsed="false">
      <c r="A82" s="6" t="s">
        <v>294</v>
      </c>
      <c r="B82" s="6" t="n">
        <v>4403043</v>
      </c>
      <c r="C82" s="6" t="s">
        <v>295</v>
      </c>
      <c r="D82" s="6" t="str">
        <f aca="false">TRIM(SUBSTITUTE($A82,CHAR(160)," "))</f>
        <v>397A-43-46</v>
      </c>
      <c r="E82" s="6" t="str">
        <f aca="false">TRIM(SUBSTITUTE($C82,CHAR(160)," "))</f>
        <v>397A-גרבי טיסה אנטי בקטרי43-46</v>
      </c>
    </row>
    <row r="83" customFormat="false" ht="15" hidden="false" customHeight="false" outlineLevel="0" collapsed="false">
      <c r="A83" s="6" t="s">
        <v>296</v>
      </c>
      <c r="B83" s="6" t="n">
        <v>4403005</v>
      </c>
      <c r="C83" s="6" t="s">
        <v>297</v>
      </c>
      <c r="D83" s="6" t="str">
        <f aca="false">TRIM(SUBSTITUTE($A83,CHAR(160)," "))</f>
        <v>390G-43-46</v>
      </c>
      <c r="E83" s="6" t="str">
        <f aca="false">TRIM(SUBSTITUTE($C83,CHAR(160)," "))</f>
        <v>G390.43-46 גרבי כסף לסכרת מידה</v>
      </c>
    </row>
    <row r="84" customFormat="false" ht="15" hidden="false" customHeight="false" outlineLevel="0" collapsed="false">
      <c r="A84" s="6" t="s">
        <v>298</v>
      </c>
      <c r="B84" s="6" t="n">
        <v>4403034</v>
      </c>
      <c r="C84" s="6" t="s">
        <v>299</v>
      </c>
      <c r="D84" s="6" t="str">
        <f aca="false">TRIM(SUBSTITUTE($A84,CHAR(160)," "))</f>
        <v>ST3555-S-M</v>
      </c>
      <c r="E84" s="6" t="str">
        <f aca="false">TRIM(SUBSTITUTE($C84,CHAR(160)," "))</f>
        <v>ST3555 S-Mגרב לילה לטיפ.בדורבן</v>
      </c>
    </row>
    <row r="85" customFormat="false" ht="15" hidden="false" customHeight="false" outlineLevel="0" collapsed="false">
      <c r="A85" s="6" t="s">
        <v>300</v>
      </c>
      <c r="B85" s="6" t="n">
        <v>4403035</v>
      </c>
      <c r="C85" s="6" t="s">
        <v>301</v>
      </c>
      <c r="D85" s="6" t="str">
        <f aca="false">TRIM(SUBSTITUTE($A85,CHAR(160)," "))</f>
        <v>ST3555-L-XL</v>
      </c>
      <c r="E85" s="6" t="str">
        <f aca="false">TRIM(SUBSTITUTE($C85,CHAR(160)," "))</f>
        <v>ST3555L-XLגרב לילה לטיפ.בדורבן</v>
      </c>
    </row>
    <row r="86" customFormat="false" ht="15" hidden="false" customHeight="false" outlineLevel="0" collapsed="false">
      <c r="A86" s="6" t="s">
        <v>302</v>
      </c>
      <c r="B86" s="6" t="n">
        <v>4408119</v>
      </c>
      <c r="C86" s="6" t="s">
        <v>303</v>
      </c>
      <c r="D86" s="6" t="str">
        <f aca="false">TRIM(SUBSTITUTE($A86,CHAR(160)," "))</f>
        <v>06U L</v>
      </c>
      <c r="E86" s="6" t="str">
        <f aca="false">TRIM(SUBSTITUTE($C86,CHAR(160)," "))</f>
        <v>06U L ח.בטן מותנית צר</v>
      </c>
    </row>
    <row r="87" customFormat="false" ht="15" hidden="false" customHeight="false" outlineLevel="0" collapsed="false">
      <c r="A87" s="6" t="s">
        <v>304</v>
      </c>
      <c r="B87" s="6" t="n">
        <v>4408120</v>
      </c>
      <c r="C87" s="6" t="s">
        <v>305</v>
      </c>
      <c r="D87" s="6" t="str">
        <f aca="false">TRIM(SUBSTITUTE($A87,CHAR(160)," "))</f>
        <v>06U XL</v>
      </c>
      <c r="E87" s="6" t="str">
        <f aca="false">TRIM(SUBSTITUTE($C87,CHAR(160)," "))</f>
        <v>06U XL ח.בטן מותנית צר</v>
      </c>
    </row>
    <row r="88" customFormat="false" ht="15" hidden="false" customHeight="false" outlineLevel="0" collapsed="false">
      <c r="A88" s="6" t="s">
        <v>306</v>
      </c>
      <c r="B88" s="6" t="n">
        <v>4408245</v>
      </c>
      <c r="C88" s="6" t="s">
        <v>307</v>
      </c>
      <c r="D88" s="6" t="str">
        <f aca="false">TRIM(SUBSTITUTE($A88,CHAR(160)," "))</f>
        <v>077A XXL</v>
      </c>
      <c r="E88" s="6" t="str">
        <f aca="false">TRIM(SUBSTITUTE($C88,CHAR(160)," "))</f>
        <v>077A XXL חגורת גב עם חיזוקים</v>
      </c>
    </row>
    <row r="89" customFormat="false" ht="15" hidden="false" customHeight="false" outlineLevel="0" collapsed="false">
      <c r="A89" s="6" t="s">
        <v>308</v>
      </c>
      <c r="B89" s="6" t="n">
        <v>4408135</v>
      </c>
      <c r="C89" s="6" t="s">
        <v>309</v>
      </c>
      <c r="D89" s="6" t="str">
        <f aca="false">TRIM(SUBSTITUTE($A89,CHAR(160)," "))</f>
        <v>077A-L-XL</v>
      </c>
      <c r="E89" s="6" t="str">
        <f aca="false">TRIM(SUBSTITUTE($C89,CHAR(160)," "))</f>
        <v>077A L-XLחגורת גב</v>
      </c>
    </row>
    <row r="90" customFormat="false" ht="15" hidden="false" customHeight="false" outlineLevel="0" collapsed="false">
      <c r="A90" s="6" t="s">
        <v>310</v>
      </c>
      <c r="B90" s="6" t="n">
        <v>4408134</v>
      </c>
      <c r="C90" s="6" t="s">
        <v>311</v>
      </c>
      <c r="D90" s="6" t="str">
        <f aca="false">TRIM(SUBSTITUTE($A90,CHAR(160)," "))</f>
        <v>077A-S-M</v>
      </c>
      <c r="E90" s="6" t="str">
        <f aca="false">TRIM(SUBSTITUTE($C90,CHAR(160)," "))</f>
        <v>077A S-M חגורת גב</v>
      </c>
    </row>
    <row r="91" customFormat="false" ht="15" hidden="false" customHeight="false" outlineLevel="0" collapsed="false">
      <c r="A91" s="6" t="s">
        <v>312</v>
      </c>
      <c r="B91" s="6" t="n">
        <v>4408192</v>
      </c>
      <c r="C91" s="6" t="s">
        <v>313</v>
      </c>
      <c r="D91" s="6" t="str">
        <f aca="false">TRIM(SUBSTITUTE($A91,CHAR(160)," "))</f>
        <v>078 L</v>
      </c>
      <c r="E91" s="6" t="str">
        <f aca="false">TRIM(SUBSTITUTE($C91,CHAR(160)," "))</f>
        <v>078 L חגורת גב +סגירה</v>
      </c>
    </row>
    <row r="92" customFormat="false" ht="15" hidden="false" customHeight="false" outlineLevel="0" collapsed="false">
      <c r="A92" s="6" t="s">
        <v>314</v>
      </c>
      <c r="B92" s="6" t="n">
        <v>4408221</v>
      </c>
      <c r="C92" s="6" t="s">
        <v>315</v>
      </c>
      <c r="D92" s="6" t="str">
        <f aca="false">TRIM(SUBSTITUTE($A92,CHAR(160)," "))</f>
        <v>078G L</v>
      </c>
      <c r="E92" s="6" t="str">
        <f aca="false">TRIM(SUBSTITUTE($C92,CHAR(160)," "))</f>
        <v>078G-L חגורת גב אפורה</v>
      </c>
    </row>
    <row r="93" customFormat="false" ht="15" hidden="false" customHeight="false" outlineLevel="0" collapsed="false">
      <c r="A93" s="6" t="s">
        <v>316</v>
      </c>
      <c r="B93" s="6" t="n">
        <v>4408220</v>
      </c>
      <c r="C93" s="6" t="s">
        <v>317</v>
      </c>
      <c r="D93" s="6" t="str">
        <f aca="false">TRIM(SUBSTITUTE($A93,CHAR(160)," "))</f>
        <v>078G M</v>
      </c>
      <c r="E93" s="6" t="str">
        <f aca="false">TRIM(SUBSTITUTE($C93,CHAR(160)," "))</f>
        <v>078G-M חגורת גב אפורה</v>
      </c>
    </row>
    <row r="94" customFormat="false" ht="15" hidden="false" customHeight="false" outlineLevel="0" collapsed="false">
      <c r="A94" s="6" t="s">
        <v>318</v>
      </c>
      <c r="B94" s="6" t="n">
        <v>4408219</v>
      </c>
      <c r="C94" s="6" t="s">
        <v>319</v>
      </c>
      <c r="D94" s="6" t="str">
        <f aca="false">TRIM(SUBSTITUTE($A94,CHAR(160)," "))</f>
        <v>078G S</v>
      </c>
      <c r="E94" s="6" t="str">
        <f aca="false">TRIM(SUBSTITUTE($C94,CHAR(160)," "))</f>
        <v>078G-S חגורת גב אפורה</v>
      </c>
    </row>
    <row r="95" customFormat="false" ht="15" hidden="false" customHeight="false" outlineLevel="0" collapsed="false">
      <c r="A95" s="6" t="s">
        <v>320</v>
      </c>
      <c r="B95" s="6" t="n">
        <v>4408222</v>
      </c>
      <c r="C95" s="6" t="s">
        <v>321</v>
      </c>
      <c r="D95" s="6" t="str">
        <f aca="false">TRIM(SUBSTITUTE($A95,CHAR(160)," "))</f>
        <v>078G XL</v>
      </c>
      <c r="E95" s="6" t="str">
        <f aca="false">TRIM(SUBSTITUTE($C95,CHAR(160)," "))</f>
        <v>078G-XLחגורת גב אפורה</v>
      </c>
    </row>
    <row r="96" customFormat="false" ht="15" hidden="false" customHeight="false" outlineLevel="0" collapsed="false">
      <c r="A96" s="6" t="s">
        <v>322</v>
      </c>
      <c r="B96" s="6" t="n">
        <v>4408223</v>
      </c>
      <c r="C96" s="6" t="s">
        <v>323</v>
      </c>
      <c r="D96" s="6" t="str">
        <f aca="false">TRIM(SUBSTITUTE($A96,CHAR(160)," "))</f>
        <v>078G XXL</v>
      </c>
      <c r="E96" s="6" t="str">
        <f aca="false">TRIM(SUBSTITUTE($C96,CHAR(160)," "))</f>
        <v>078G-XXLחגורת גב אפורה</v>
      </c>
    </row>
    <row r="97" customFormat="false" ht="15" hidden="false" customHeight="false" outlineLevel="0" collapsed="false">
      <c r="A97" s="6" t="s">
        <v>324</v>
      </c>
      <c r="B97" s="6" t="n">
        <v>4408218</v>
      </c>
      <c r="C97" s="6" t="s">
        <v>325</v>
      </c>
      <c r="D97" s="6" t="str">
        <f aca="false">TRIM(SUBSTITUTE($A97,CHAR(160)," "))</f>
        <v>078 XL</v>
      </c>
      <c r="E97" s="6" t="str">
        <f aca="false">TRIM(SUBSTITUTE($C97,CHAR(160)," "))</f>
        <v>078XL חגורת גב +סגירה כפולה</v>
      </c>
    </row>
    <row r="98" customFormat="false" ht="15" hidden="false" customHeight="false" outlineLevel="0" collapsed="false">
      <c r="A98" s="6" t="s">
        <v>326</v>
      </c>
      <c r="B98" s="6" t="n">
        <v>4408265</v>
      </c>
      <c r="C98" s="6" t="s">
        <v>327</v>
      </c>
      <c r="D98" s="6" t="str">
        <f aca="false">TRIM(SUBSTITUTE($A98,CHAR(160)," "))</f>
        <v>078 XXL</v>
      </c>
      <c r="E98" s="6" t="str">
        <f aca="false">TRIM(SUBSTITUTE($C98,CHAR(160)," "))</f>
        <v>078XXL חגורת גב +סגירה כפולה</v>
      </c>
    </row>
    <row r="99" customFormat="false" ht="15" hidden="false" customHeight="false" outlineLevel="0" collapsed="false">
      <c r="A99" s="6" t="s">
        <v>328</v>
      </c>
      <c r="B99" s="6" t="n">
        <v>4408015</v>
      </c>
      <c r="C99" s="6" t="s">
        <v>329</v>
      </c>
      <c r="D99" s="6" t="str">
        <f aca="false">TRIM(SUBSTITUTE($A99,CHAR(160)," "))</f>
        <v>07AU L</v>
      </c>
      <c r="E99" s="6" t="str">
        <f aca="false">TRIM(SUBSTITUTE($C99,CHAR(160)," "))</f>
        <v>07AU L ח.גב """"איטלקית"""" אורירית</v>
      </c>
    </row>
    <row r="100" customFormat="false" ht="15" hidden="false" customHeight="false" outlineLevel="0" collapsed="false">
      <c r="A100" s="6" t="s">
        <v>330</v>
      </c>
      <c r="B100" s="6" t="n">
        <v>4408016</v>
      </c>
      <c r="C100" s="6" t="s">
        <v>331</v>
      </c>
      <c r="D100" s="6" t="str">
        <f aca="false">TRIM(SUBSTITUTE($A100,CHAR(160)," "))</f>
        <v>07AU M</v>
      </c>
      <c r="E100" s="6" t="str">
        <f aca="false">TRIM(SUBSTITUTE($C100,CHAR(160)," "))</f>
        <v>07AU M ח.גב """"איטלקית"""" אורירית</v>
      </c>
    </row>
    <row r="101" customFormat="false" ht="15" hidden="false" customHeight="false" outlineLevel="0" collapsed="false">
      <c r="A101" s="6" t="s">
        <v>332</v>
      </c>
      <c r="B101" s="6" t="n">
        <v>4408014</v>
      </c>
      <c r="C101" s="6" t="s">
        <v>333</v>
      </c>
      <c r="D101" s="6" t="str">
        <f aca="false">TRIM(SUBSTITUTE($A101,CHAR(160)," "))</f>
        <v>07AU S</v>
      </c>
      <c r="E101" s="6" t="str">
        <f aca="false">TRIM(SUBSTITUTE($C101,CHAR(160)," "))</f>
        <v>07AU S ח.גב """"איטלקית"""" אורירית</v>
      </c>
    </row>
    <row r="102" customFormat="false" ht="15" hidden="false" customHeight="false" outlineLevel="0" collapsed="false">
      <c r="A102" s="6" t="s">
        <v>334</v>
      </c>
      <c r="B102" s="6" t="n">
        <v>4408017</v>
      </c>
      <c r="C102" s="6" t="s">
        <v>335</v>
      </c>
      <c r="D102" s="6" t="str">
        <f aca="false">TRIM(SUBSTITUTE($A102,CHAR(160)," "))</f>
        <v>07AU XL</v>
      </c>
      <c r="E102" s="6" t="str">
        <f aca="false">TRIM(SUBSTITUTE($C102,CHAR(160)," "))</f>
        <v>07AU XL ח.גב """"איטלקית"""" אורירית</v>
      </c>
    </row>
    <row r="103" customFormat="false" ht="15" hidden="false" customHeight="false" outlineLevel="0" collapsed="false">
      <c r="A103" s="6" t="s">
        <v>336</v>
      </c>
      <c r="B103" s="6" t="n">
        <v>4408018</v>
      </c>
      <c r="C103" s="6" t="s">
        <v>337</v>
      </c>
      <c r="D103" s="6" t="str">
        <f aca="false">TRIM(SUBSTITUTE($A103,CHAR(160)," "))</f>
        <v>07AU XXL</v>
      </c>
      <c r="E103" s="6" t="str">
        <f aca="false">TRIM(SUBSTITUTE($C103,CHAR(160)," "))</f>
        <v>07AU XXL.ח.גב """"איטלקית"""" אוריר</v>
      </c>
    </row>
    <row r="104" customFormat="false" ht="15" hidden="false" customHeight="false" outlineLevel="0" collapsed="false">
      <c r="A104" s="6" t="s">
        <v>338</v>
      </c>
      <c r="B104" s="6" t="n">
        <v>4408027</v>
      </c>
      <c r="C104" s="6" t="s">
        <v>339</v>
      </c>
      <c r="D104" s="6" t="str">
        <f aca="false">TRIM(SUBSTITUTE($A104,CHAR(160)," "))</f>
        <v>10 L</v>
      </c>
      <c r="E104" s="6" t="str">
        <f aca="false">TRIM(SUBSTITUTE($C104,CHAR(160)," "))</f>
        <v>10 L """"חגורת גב """"לומבו</v>
      </c>
    </row>
    <row r="105" customFormat="false" ht="15" hidden="false" customHeight="false" outlineLevel="0" collapsed="false">
      <c r="A105" s="6" t="s">
        <v>340</v>
      </c>
      <c r="B105" s="6" t="n">
        <v>4408028</v>
      </c>
      <c r="C105" s="6" t="s">
        <v>341</v>
      </c>
      <c r="D105" s="6" t="str">
        <f aca="false">TRIM(SUBSTITUTE($A105,CHAR(160)," "))</f>
        <v>10 M</v>
      </c>
      <c r="E105" s="6" t="str">
        <f aca="false">TRIM(SUBSTITUTE($C105,CHAR(160)," "))</f>
        <v>10 M """"חגורת גב """"לומבו</v>
      </c>
    </row>
    <row r="106" customFormat="false" ht="15" hidden="false" customHeight="false" outlineLevel="0" collapsed="false">
      <c r="A106" s="6" t="s">
        <v>342</v>
      </c>
      <c r="B106" s="6" t="n">
        <v>4408029</v>
      </c>
      <c r="C106" s="6" t="s">
        <v>343</v>
      </c>
      <c r="D106" s="6" t="str">
        <f aca="false">TRIM(SUBSTITUTE($A106,CHAR(160)," "))</f>
        <v>10 XL</v>
      </c>
      <c r="E106" s="6" t="str">
        <f aca="false">TRIM(SUBSTITUTE($C106,CHAR(160)," "))</f>
        <v>10 XL """"חגורת גב """"לומבו</v>
      </c>
    </row>
    <row r="107" customFormat="false" ht="15" hidden="false" customHeight="false" outlineLevel="0" collapsed="false">
      <c r="A107" s="6" t="s">
        <v>344</v>
      </c>
      <c r="B107" s="6" t="n">
        <v>4408032</v>
      </c>
      <c r="C107" s="6" t="s">
        <v>345</v>
      </c>
      <c r="D107" s="6" t="str">
        <f aca="false">TRIM(SUBSTITUTE($A107,CHAR(160)," "))</f>
        <v>11 L</v>
      </c>
      <c r="E107" s="6" t="str">
        <f aca="false">TRIM(SUBSTITUTE($C107,CHAR(160)," "))</f>
        <v>11 L""""חגורת בטן""""אורירית</v>
      </c>
    </row>
    <row r="108" customFormat="false" ht="15" hidden="false" customHeight="false" outlineLevel="0" collapsed="false">
      <c r="A108" s="6" t="s">
        <v>346</v>
      </c>
      <c r="B108" s="6" t="n">
        <v>4408033</v>
      </c>
      <c r="C108" s="6" t="s">
        <v>347</v>
      </c>
      <c r="D108" s="6" t="str">
        <f aca="false">TRIM(SUBSTITUTE($A108,CHAR(160)," "))</f>
        <v>11 M</v>
      </c>
      <c r="E108" s="6" t="str">
        <f aca="false">TRIM(SUBSTITUTE($C108,CHAR(160)," "))</f>
        <v>11 M""""חגורת בטן""""אורירית</v>
      </c>
    </row>
    <row r="109" customFormat="false" ht="15" hidden="false" customHeight="false" outlineLevel="0" collapsed="false">
      <c r="A109" s="6" t="s">
        <v>348</v>
      </c>
      <c r="B109" s="6" t="n">
        <v>4408031</v>
      </c>
      <c r="C109" s="6" t="s">
        <v>349</v>
      </c>
      <c r="D109" s="6" t="str">
        <f aca="false">TRIM(SUBSTITUTE($A109,CHAR(160)," "))</f>
        <v>11 S</v>
      </c>
      <c r="E109" s="6" t="str">
        <f aca="false">TRIM(SUBSTITUTE($C109,CHAR(160)," "))</f>
        <v>11 S""""חגורת בטן""""אורירית</v>
      </c>
    </row>
    <row r="110" customFormat="false" ht="15" hidden="false" customHeight="false" outlineLevel="0" collapsed="false">
      <c r="A110" s="6" t="s">
        <v>350</v>
      </c>
      <c r="B110" s="6" t="n">
        <v>4408034</v>
      </c>
      <c r="C110" s="6" t="s">
        <v>351</v>
      </c>
      <c r="D110" s="6" t="str">
        <f aca="false">TRIM(SUBSTITUTE($A110,CHAR(160)," "))</f>
        <v>11 XL</v>
      </c>
      <c r="E110" s="6" t="str">
        <f aca="false">TRIM(SUBSTITUTE($C110,CHAR(160)," "))</f>
        <v>11 XL""""חגורת בטן""""אורירית</v>
      </c>
    </row>
    <row r="111" customFormat="false" ht="15" hidden="false" customHeight="false" outlineLevel="0" collapsed="false">
      <c r="A111" s="6" t="s">
        <v>352</v>
      </c>
      <c r="B111" s="6" t="n">
        <v>4408035</v>
      </c>
      <c r="C111" s="6" t="s">
        <v>353</v>
      </c>
      <c r="D111" s="6" t="str">
        <f aca="false">TRIM(SUBSTITUTE($A111,CHAR(160)," "))</f>
        <v>11 XXL</v>
      </c>
      <c r="E111" s="6" t="str">
        <f aca="false">TRIM(SUBSTITUTE($C111,CHAR(160)," "))</f>
        <v>11 XXL""""חגורת בטן""""אורירית</v>
      </c>
    </row>
    <row r="112" customFormat="false" ht="15" hidden="false" customHeight="false" outlineLevel="0" collapsed="false">
      <c r="A112" s="6" t="s">
        <v>354</v>
      </c>
      <c r="B112" s="6" t="n">
        <v>4408115</v>
      </c>
      <c r="C112" s="6" t="s">
        <v>355</v>
      </c>
      <c r="D112" s="6" t="str">
        <f aca="false">TRIM(SUBSTITUTE($A112,CHAR(160)," "))</f>
        <v>11EU L</v>
      </c>
      <c r="E112" s="6" t="str">
        <f aca="false">TRIM(SUBSTITUTE($C112,CHAR(160)," "))</f>
        <v>11EU L ח.בטן לאחר ניתוח</v>
      </c>
    </row>
    <row r="113" customFormat="false" ht="15" hidden="false" customHeight="false" outlineLevel="0" collapsed="false">
      <c r="A113" s="6" t="s">
        <v>356</v>
      </c>
      <c r="B113" s="6" t="n">
        <v>4408114</v>
      </c>
      <c r="C113" s="6" t="s">
        <v>357</v>
      </c>
      <c r="D113" s="6" t="str">
        <f aca="false">TRIM(SUBSTITUTE($A113,CHAR(160)," "))</f>
        <v>11EU M</v>
      </c>
      <c r="E113" s="6" t="str">
        <f aca="false">TRIM(SUBSTITUTE($C113,CHAR(160)," "))</f>
        <v>11EU M ח.בטן לאחר ניתוח</v>
      </c>
    </row>
    <row r="114" customFormat="false" ht="15" hidden="false" customHeight="false" outlineLevel="0" collapsed="false">
      <c r="A114" s="6" t="s">
        <v>358</v>
      </c>
      <c r="B114" s="6" t="n">
        <v>4408116</v>
      </c>
      <c r="C114" s="6" t="s">
        <v>359</v>
      </c>
      <c r="D114" s="6" t="str">
        <f aca="false">TRIM(SUBSTITUTE($A114,CHAR(160)," "))</f>
        <v>11EU XL</v>
      </c>
      <c r="E114" s="6" t="str">
        <f aca="false">TRIM(SUBSTITUTE($C114,CHAR(160)," "))</f>
        <v>11EU XLח.בטן לאחר ניתוח</v>
      </c>
    </row>
    <row r="115" customFormat="false" ht="15" hidden="false" customHeight="false" outlineLevel="0" collapsed="false">
      <c r="A115" s="6" t="s">
        <v>360</v>
      </c>
      <c r="B115" s="6" t="n">
        <v>4408132</v>
      </c>
      <c r="C115" s="6" t="s">
        <v>361</v>
      </c>
      <c r="D115" s="6" t="str">
        <f aca="false">TRIM(SUBSTITUTE($A115,CHAR(160)," "))</f>
        <v>11EU XXL</v>
      </c>
      <c r="E115" s="6" t="str">
        <f aca="false">TRIM(SUBSTITUTE($C115,CHAR(160)," "))</f>
        <v>11EU XXL חגורת בטןלאחר ניתוח</v>
      </c>
    </row>
    <row r="116" customFormat="false" ht="15" hidden="false" customHeight="false" outlineLevel="0" collapsed="false">
      <c r="A116" s="6" t="s">
        <v>362</v>
      </c>
      <c r="B116" s="6" t="n">
        <v>4408147</v>
      </c>
      <c r="C116" s="6" t="s">
        <v>363</v>
      </c>
      <c r="D116" s="6" t="str">
        <f aca="false">TRIM(SUBSTITUTE($A116,CHAR(160)," "))</f>
        <v>11PS L</v>
      </c>
      <c r="E116" s="6" t="str">
        <f aca="false">TRIM(SUBSTITUTE($C116,CHAR(160)," "))</f>
        <v>11PS Lחגורה למנותחי בטן</v>
      </c>
    </row>
    <row r="117" customFormat="false" ht="15" hidden="false" customHeight="false" outlineLevel="0" collapsed="false">
      <c r="A117" s="6" t="s">
        <v>364</v>
      </c>
      <c r="B117" s="6" t="n">
        <v>4408145</v>
      </c>
      <c r="C117" s="6" t="s">
        <v>365</v>
      </c>
      <c r="D117" s="6" t="str">
        <f aca="false">TRIM(SUBSTITUTE($A117,CHAR(160)," "))</f>
        <v>11PS S</v>
      </c>
      <c r="E117" s="6" t="str">
        <f aca="false">TRIM(SUBSTITUTE($C117,CHAR(160)," "))</f>
        <v>11PS Sחגורה למנותחי בטן</v>
      </c>
    </row>
    <row r="118" customFormat="false" ht="15" hidden="false" customHeight="false" outlineLevel="0" collapsed="false">
      <c r="A118" s="6" t="s">
        <v>366</v>
      </c>
      <c r="B118" s="6" t="n">
        <v>4408148</v>
      </c>
      <c r="C118" s="6" t="s">
        <v>367</v>
      </c>
      <c r="D118" s="6" t="str">
        <f aca="false">TRIM(SUBSTITUTE($A118,CHAR(160)," "))</f>
        <v>11PS XL</v>
      </c>
      <c r="E118" s="6" t="str">
        <f aca="false">TRIM(SUBSTITUTE($C118,CHAR(160)," "))</f>
        <v>11PS XLחגורה למנותחי בטן</v>
      </c>
    </row>
    <row r="119" customFormat="false" ht="15" hidden="false" customHeight="false" outlineLevel="0" collapsed="false">
      <c r="A119" s="6" t="s">
        <v>368</v>
      </c>
      <c r="B119" s="6" t="n">
        <v>4408149</v>
      </c>
      <c r="C119" s="6" t="s">
        <v>369</v>
      </c>
      <c r="D119" s="6" t="str">
        <f aca="false">TRIM(SUBSTITUTE($A119,CHAR(160)," "))</f>
        <v>11PS XXL</v>
      </c>
      <c r="E119" s="6" t="str">
        <f aca="false">TRIM(SUBSTITUTE($C119,CHAR(160)," "))</f>
        <v>11PS XXLחגורה למנותחי בטן</v>
      </c>
    </row>
    <row r="120" customFormat="false" ht="15" hidden="false" customHeight="false" outlineLevel="0" collapsed="false">
      <c r="A120" s="6" t="s">
        <v>370</v>
      </c>
      <c r="B120" s="6" t="n">
        <v>4408261</v>
      </c>
      <c r="C120" s="6" t="s">
        <v>371</v>
      </c>
      <c r="D120" s="6" t="str">
        <f aca="false">TRIM(SUBSTITUTE($A120,CHAR(160)," "))</f>
        <v>11STO L</v>
      </c>
      <c r="E120" s="6" t="str">
        <f aca="false">TRIM(SUBSTITUTE($C120,CHAR(160)," "))</f>
        <v>11STO L חגורה אחרי ניתוח</v>
      </c>
    </row>
    <row r="121" customFormat="false" ht="15" hidden="false" customHeight="false" outlineLevel="0" collapsed="false">
      <c r="A121" s="6" t="s">
        <v>372</v>
      </c>
      <c r="B121" s="6" t="n">
        <v>4408260</v>
      </c>
      <c r="C121" s="6" t="s">
        <v>373</v>
      </c>
      <c r="D121" s="6" t="str">
        <f aca="false">TRIM(SUBSTITUTE($A121,CHAR(160)," "))</f>
        <v>11STO M</v>
      </c>
      <c r="E121" s="6" t="str">
        <f aca="false">TRIM(SUBSTITUTE($C121,CHAR(160)," "))</f>
        <v>11STO M חגורה אחרי ניתוח</v>
      </c>
    </row>
    <row r="122" customFormat="false" ht="15" hidden="false" customHeight="false" outlineLevel="0" collapsed="false">
      <c r="A122" s="6" t="s">
        <v>374</v>
      </c>
      <c r="B122" s="6" t="n">
        <v>4408259</v>
      </c>
      <c r="C122" s="6" t="s">
        <v>375</v>
      </c>
      <c r="D122" s="6" t="str">
        <f aca="false">TRIM(SUBSTITUTE($A122,CHAR(160)," "))</f>
        <v>11STO S</v>
      </c>
      <c r="E122" s="6" t="str">
        <f aca="false">TRIM(SUBSTITUTE($C122,CHAR(160)," "))</f>
        <v>11STO S חגורה אחרי ניתוח</v>
      </c>
    </row>
    <row r="123" customFormat="false" ht="15" hidden="false" customHeight="false" outlineLevel="0" collapsed="false">
      <c r="A123" s="6" t="s">
        <v>376</v>
      </c>
      <c r="B123" s="6" t="n">
        <v>4408262</v>
      </c>
      <c r="C123" s="6" t="s">
        <v>377</v>
      </c>
      <c r="D123" s="6" t="str">
        <f aca="false">TRIM(SUBSTITUTE($A123,CHAR(160)," "))</f>
        <v>11STO XL</v>
      </c>
      <c r="E123" s="6" t="str">
        <f aca="false">TRIM(SUBSTITUTE($C123,CHAR(160)," "))</f>
        <v>11STO XL חגורה אחרי ניתוח</v>
      </c>
    </row>
    <row r="124" customFormat="false" ht="15" hidden="false" customHeight="false" outlineLevel="0" collapsed="false">
      <c r="A124" s="6" t="s">
        <v>378</v>
      </c>
      <c r="B124" s="6" t="n">
        <v>4408263</v>
      </c>
      <c r="C124" s="6" t="s">
        <v>379</v>
      </c>
      <c r="D124" s="6" t="str">
        <f aca="false">TRIM(SUBSTITUTE($A124,CHAR(160)," "))</f>
        <v>11STO XXL</v>
      </c>
      <c r="E124" s="6" t="str">
        <f aca="false">TRIM(SUBSTITUTE($C124,CHAR(160)," "))</f>
        <v>11STO XXL חגורה אחרי ניתוח</v>
      </c>
    </row>
    <row r="125" customFormat="false" ht="15" hidden="false" customHeight="false" outlineLevel="0" collapsed="false">
      <c r="A125" s="6" t="s">
        <v>380</v>
      </c>
      <c r="B125" s="6" t="n">
        <v>4408152</v>
      </c>
      <c r="C125" s="6" t="s">
        <v>381</v>
      </c>
      <c r="D125" s="6" t="str">
        <f aca="false">TRIM(SUBSTITUTE($A125,CHAR(160)," "))</f>
        <v>11TO L</v>
      </c>
      <c r="E125" s="6" t="str">
        <f aca="false">TRIM(SUBSTITUTE($C125,CHAR(160)," "))</f>
        <v>11TO L חגורה למנותחי בית החזה</v>
      </c>
    </row>
    <row r="126" customFormat="false" ht="15" hidden="false" customHeight="false" outlineLevel="0" collapsed="false">
      <c r="A126" s="6" t="s">
        <v>382</v>
      </c>
      <c r="B126" s="6" t="n">
        <v>4408151</v>
      </c>
      <c r="C126" s="6" t="s">
        <v>383</v>
      </c>
      <c r="D126" s="6" t="str">
        <f aca="false">TRIM(SUBSTITUTE($A126,CHAR(160)," "))</f>
        <v>11TO M</v>
      </c>
      <c r="E126" s="6" t="str">
        <f aca="false">TRIM(SUBSTITUTE($C126,CHAR(160)," "))</f>
        <v>11TO M חגורה למנותחי בית החזה</v>
      </c>
    </row>
    <row r="127" customFormat="false" ht="15" hidden="false" customHeight="false" outlineLevel="0" collapsed="false">
      <c r="A127" s="6" t="s">
        <v>384</v>
      </c>
      <c r="B127" s="6" t="n">
        <v>4408150</v>
      </c>
      <c r="C127" s="6" t="s">
        <v>385</v>
      </c>
      <c r="D127" s="6" t="str">
        <f aca="false">TRIM(SUBSTITUTE($A127,CHAR(160)," "))</f>
        <v>11TO S</v>
      </c>
      <c r="E127" s="6" t="str">
        <f aca="false">TRIM(SUBSTITUTE($C127,CHAR(160)," "))</f>
        <v>11TO S חגורה למנותחי בית החזה</v>
      </c>
    </row>
    <row r="128" customFormat="false" ht="15" hidden="false" customHeight="false" outlineLevel="0" collapsed="false">
      <c r="A128" s="6" t="s">
        <v>386</v>
      </c>
      <c r="B128" s="6" t="n">
        <v>4408153</v>
      </c>
      <c r="C128" s="6" t="s">
        <v>387</v>
      </c>
      <c r="D128" s="6" t="str">
        <f aca="false">TRIM(SUBSTITUTE($A128,CHAR(160)," "))</f>
        <v>11TO XL</v>
      </c>
      <c r="E128" s="6" t="str">
        <f aca="false">TRIM(SUBSTITUTE($C128,CHAR(160)," "))</f>
        <v>11TO XLחגורה למנותחי בית החזה</v>
      </c>
    </row>
    <row r="129" customFormat="false" ht="15" hidden="false" customHeight="false" outlineLevel="0" collapsed="false">
      <c r="A129" s="6" t="s">
        <v>388</v>
      </c>
      <c r="B129" s="6" t="n">
        <v>4408154</v>
      </c>
      <c r="C129" s="6" t="s">
        <v>389</v>
      </c>
      <c r="D129" s="6" t="str">
        <f aca="false">TRIM(SUBSTITUTE($A129,CHAR(160)," "))</f>
        <v>11TO XXL</v>
      </c>
      <c r="E129" s="6" t="str">
        <f aca="false">TRIM(SUBSTITUTE($C129,CHAR(160)," "))</f>
        <v>11TO XXLחגורה למנותחי בית החזה</v>
      </c>
    </row>
    <row r="130" customFormat="false" ht="15" hidden="false" customHeight="false" outlineLevel="0" collapsed="false">
      <c r="A130" s="6" t="s">
        <v>390</v>
      </c>
      <c r="B130" s="6" t="n">
        <v>4408179</v>
      </c>
      <c r="C130" s="6" t="s">
        <v>391</v>
      </c>
      <c r="D130" s="6" t="str">
        <f aca="false">TRIM(SUBSTITUTE($A130,CHAR(160)," "))</f>
        <v>13 XL</v>
      </c>
      <c r="E130" s="6" t="str">
        <f aca="false">TRIM(SUBSTITUTE($C130,CHAR(160)," "))</f>
        <v>13 XL חגורה לשבר טבור</v>
      </c>
    </row>
    <row r="131" customFormat="false" ht="15" hidden="false" customHeight="false" outlineLevel="0" collapsed="false">
      <c r="A131" s="6" t="s">
        <v>392</v>
      </c>
      <c r="B131" s="6" t="n">
        <v>4408180</v>
      </c>
      <c r="C131" s="6" t="s">
        <v>393</v>
      </c>
      <c r="D131" s="6" t="str">
        <f aca="false">TRIM(SUBSTITUTE($A131,CHAR(160)," "))</f>
        <v>13 XXL</v>
      </c>
      <c r="E131" s="6" t="str">
        <f aca="false">TRIM(SUBSTITUTE($C131,CHAR(160)," "))</f>
        <v>13 XXL חגורה לשבר טבור</v>
      </c>
    </row>
    <row r="132" customFormat="false" ht="15" hidden="false" customHeight="false" outlineLevel="0" collapsed="false">
      <c r="A132" s="6" t="s">
        <v>394</v>
      </c>
      <c r="B132" s="6" t="n">
        <v>4408203</v>
      </c>
      <c r="C132" s="6" t="s">
        <v>395</v>
      </c>
      <c r="D132" s="6" t="str">
        <f aca="false">TRIM(SUBSTITUTE($A132,CHAR(160)," "))</f>
        <v>14 0</v>
      </c>
      <c r="E132" s="6" t="str">
        <f aca="false">TRIM(SUBSTITUTE($C132,CHAR(160)," "))</f>
        <v>14 0 חגורה למנותחי בית חזה</v>
      </c>
    </row>
    <row r="133" customFormat="false" ht="15" hidden="false" customHeight="false" outlineLevel="0" collapsed="false">
      <c r="A133" s="6" t="s">
        <v>396</v>
      </c>
      <c r="B133" s="6" t="n">
        <v>4408131</v>
      </c>
      <c r="C133" s="6" t="s">
        <v>397</v>
      </c>
      <c r="D133" s="6" t="str">
        <f aca="false">TRIM(SUBSTITUTE($A133,CHAR(160)," "))</f>
        <v>15W L</v>
      </c>
      <c r="E133" s="6" t="str">
        <f aca="false">TRIM(SUBSTITUTE($C133,CHAR(160)," "))</f>
        <v>15W L חגורת צלעות לאשה</v>
      </c>
    </row>
    <row r="134" customFormat="false" ht="15" hidden="false" customHeight="false" outlineLevel="0" collapsed="false">
      <c r="A134" s="6" t="s">
        <v>398</v>
      </c>
      <c r="B134" s="6" t="n">
        <v>4408230</v>
      </c>
      <c r="C134" s="6" t="s">
        <v>399</v>
      </c>
      <c r="D134" s="6" t="str">
        <f aca="false">TRIM(SUBSTITUTE($A134,CHAR(160)," "))</f>
        <v>16-L-XL</v>
      </c>
      <c r="E134" s="6" t="str">
        <f aca="false">TRIM(SUBSTITUTE($C134,CHAR(160)," "))</f>
        <v>16 L-XL חגורת הריון</v>
      </c>
    </row>
    <row r="135" customFormat="false" ht="15" hidden="false" customHeight="false" outlineLevel="0" collapsed="false">
      <c r="A135" s="6" t="s">
        <v>400</v>
      </c>
      <c r="B135" s="6" t="n">
        <v>4408231</v>
      </c>
      <c r="C135" s="6" t="s">
        <v>401</v>
      </c>
      <c r="D135" s="6" t="str">
        <f aca="false">TRIM(SUBSTITUTE($A135,CHAR(160)," "))</f>
        <v>16-S-M</v>
      </c>
      <c r="E135" s="6" t="str">
        <f aca="false">TRIM(SUBSTITUTE($C135,CHAR(160)," "))</f>
        <v>16 S-M חגורת הריון</v>
      </c>
    </row>
    <row r="136" customFormat="false" ht="15" hidden="false" customHeight="false" outlineLevel="0" collapsed="false">
      <c r="A136" s="6" t="s">
        <v>402</v>
      </c>
      <c r="B136" s="6" t="n">
        <v>4408232</v>
      </c>
      <c r="C136" s="6" t="s">
        <v>403</v>
      </c>
      <c r="D136" s="6" t="str">
        <f aca="false">TRIM(SUBSTITUTE($A136,CHAR(160)," "))</f>
        <v>16 XXL</v>
      </c>
      <c r="E136" s="6" t="str">
        <f aca="false">TRIM(SUBSTITUTE($C136,CHAR(160)," "))</f>
        <v>16 XXL חגורת הריון</v>
      </c>
    </row>
    <row r="137" customFormat="false" ht="15" hidden="false" customHeight="false" outlineLevel="0" collapsed="false">
      <c r="A137" s="6" t="s">
        <v>404</v>
      </c>
      <c r="B137" s="6" t="n">
        <v>4408274</v>
      </c>
      <c r="C137" s="6" t="s">
        <v>405</v>
      </c>
      <c r="D137" s="6" t="str">
        <f aca="false">TRIM(SUBSTITUTE($A137,CHAR(160)," "))</f>
        <v>70N L</v>
      </c>
      <c r="E137" s="6" t="str">
        <f aca="false">TRIM(SUBSTITUTE($C137,CHAR(160)," "))</f>
        <v>70N L חגורת פאבליק</v>
      </c>
    </row>
    <row r="138" customFormat="false" ht="15" hidden="false" customHeight="false" outlineLevel="0" collapsed="false">
      <c r="A138" s="6" t="s">
        <v>406</v>
      </c>
      <c r="B138" s="6" t="n">
        <v>4408273</v>
      </c>
      <c r="C138" s="6" t="s">
        <v>407</v>
      </c>
      <c r="D138" s="6" t="str">
        <f aca="false">TRIM(SUBSTITUTE($A138,CHAR(160)," "))</f>
        <v>70N M</v>
      </c>
      <c r="E138" s="6" t="str">
        <f aca="false">TRIM(SUBSTITUTE($C138,CHAR(160)," "))</f>
        <v>70N M חגורת פאבליק</v>
      </c>
    </row>
    <row r="139" customFormat="false" ht="15" hidden="false" customHeight="false" outlineLevel="0" collapsed="false">
      <c r="A139" s="6" t="s">
        <v>408</v>
      </c>
      <c r="B139" s="6" t="n">
        <v>4408272</v>
      </c>
      <c r="C139" s="6" t="s">
        <v>409</v>
      </c>
      <c r="D139" s="6" t="str">
        <f aca="false">TRIM(SUBSTITUTE($A139,CHAR(160)," "))</f>
        <v>70N S</v>
      </c>
      <c r="E139" s="6" t="str">
        <f aca="false">TRIM(SUBSTITUTE($C139,CHAR(160)," "))</f>
        <v>70N S חגורת פאבליק</v>
      </c>
    </row>
    <row r="140" customFormat="false" ht="15" hidden="false" customHeight="false" outlineLevel="0" collapsed="false">
      <c r="A140" s="6" t="s">
        <v>410</v>
      </c>
      <c r="B140" s="6" t="n">
        <v>4408271</v>
      </c>
      <c r="C140" s="6" t="s">
        <v>411</v>
      </c>
      <c r="D140" s="6" t="str">
        <f aca="false">TRIM(SUBSTITUTE($A140,CHAR(160)," "))</f>
        <v>70N XS</v>
      </c>
      <c r="E140" s="6" t="str">
        <f aca="false">TRIM(SUBSTITUTE($C140,CHAR(160)," "))</f>
        <v>70N XS חגורת פאבליק</v>
      </c>
    </row>
    <row r="141" customFormat="false" ht="15" hidden="false" customHeight="false" outlineLevel="0" collapsed="false">
      <c r="A141" s="6" t="s">
        <v>412</v>
      </c>
      <c r="B141" s="6" t="n">
        <v>4408205</v>
      </c>
      <c r="C141" s="6" t="s">
        <v>413</v>
      </c>
      <c r="D141" s="6" t="str">
        <f aca="false">TRIM(SUBSTITUTE($A141,CHAR(160)," "))</f>
        <v>AC07 0</v>
      </c>
      <c r="E141" s="6" t="str">
        <f aca="false">TRIM(SUBSTITUTE($C141,CHAR(160)," "))</f>
        <v>AC-07 חגורת גב עם תמיכות</v>
      </c>
    </row>
    <row r="142" customFormat="false" ht="15" hidden="false" customHeight="false" outlineLevel="0" collapsed="false">
      <c r="A142" s="6" t="s">
        <v>414</v>
      </c>
      <c r="B142" s="6" t="n">
        <v>4408206</v>
      </c>
      <c r="C142" s="6" t="s">
        <v>415</v>
      </c>
      <c r="D142" s="6" t="str">
        <f aca="false">TRIM(SUBSTITUTE($A142,CHAR(160)," "))</f>
        <v>AC11 0</v>
      </c>
      <c r="E142" s="6" t="str">
        <f aca="false">TRIM(SUBSTITUTE($C142,CHAR(160)," "))</f>
        <v>AC-11 חגורת בטן קלה</v>
      </c>
    </row>
    <row r="143" customFormat="false" ht="15" hidden="false" customHeight="false" outlineLevel="0" collapsed="false">
      <c r="A143" s="6" t="s">
        <v>416</v>
      </c>
      <c r="B143" s="6" t="n">
        <v>4408226</v>
      </c>
      <c r="C143" s="6" t="s">
        <v>417</v>
      </c>
      <c r="D143" s="6" t="str">
        <f aca="false">TRIM(SUBSTITUTE($A143,CHAR(160)," "))</f>
        <v>11UG L</v>
      </c>
      <c r="E143" s="6" t="str">
        <f aca="false">TRIM(SUBSTITUTE($C143,CHAR(160)," "))</f>
        <v>L 11 אפורUG חגורת בטן</v>
      </c>
    </row>
    <row r="144" customFormat="false" ht="15" hidden="false" customHeight="false" outlineLevel="0" collapsed="false">
      <c r="A144" s="6" t="s">
        <v>418</v>
      </c>
      <c r="B144" s="6" t="n">
        <v>4408190</v>
      </c>
      <c r="C144" s="6" t="s">
        <v>419</v>
      </c>
      <c r="D144" s="6" t="str">
        <f aca="false">TRIM(SUBSTITUTE($A144,CHAR(160)," "))</f>
        <v>078 M</v>
      </c>
      <c r="E144" s="6" t="str">
        <f aca="false">TRIM(SUBSTITUTE($C144,CHAR(160)," "))</f>
        <v>M078 חגורת גב +סגירה כפולה</v>
      </c>
    </row>
    <row r="145" customFormat="false" ht="15" hidden="false" customHeight="false" outlineLevel="0" collapsed="false">
      <c r="A145" s="6" t="s">
        <v>420</v>
      </c>
      <c r="B145" s="6" t="n">
        <v>4408217</v>
      </c>
      <c r="C145" s="6" t="s">
        <v>421</v>
      </c>
      <c r="D145" s="6" t="str">
        <f aca="false">TRIM(SUBSTITUTE($A145,CHAR(160)," "))</f>
        <v>078 S</v>
      </c>
      <c r="E145" s="6" t="str">
        <f aca="false">TRIM(SUBSTITUTE($C145,CHAR(160)," "))</f>
        <v>S078 חגורת גב +סגירה כפולה</v>
      </c>
    </row>
    <row r="146" customFormat="false" ht="15" hidden="false" customHeight="false" outlineLevel="0" collapsed="false">
      <c r="A146" s="6" t="s">
        <v>422</v>
      </c>
      <c r="B146" s="6" t="n">
        <v>4408270</v>
      </c>
      <c r="C146" s="6" t="s">
        <v>423</v>
      </c>
      <c r="D146" s="6" t="str">
        <f aca="false">TRIM(SUBSTITUTE($A146,CHAR(160)," "))</f>
        <v>ST11 0</v>
      </c>
      <c r="E146" s="6" t="str">
        <f aca="false">TRIM(SUBSTITUTE($C146,CHAR(160)," "))</f>
        <v>ST11 חגורת בטן</v>
      </c>
    </row>
    <row r="147" customFormat="false" ht="15" hidden="false" customHeight="false" outlineLevel="0" collapsed="false">
      <c r="A147" s="6" t="s">
        <v>424</v>
      </c>
      <c r="B147" s="6" t="n">
        <v>4408090</v>
      </c>
      <c r="C147" s="6" t="s">
        <v>425</v>
      </c>
      <c r="D147" s="6" t="str">
        <f aca="false">TRIM(SUBSTITUTE($A147,CHAR(160)," "))</f>
        <v>T11C L</v>
      </c>
      <c r="E147" s="6" t="str">
        <f aca="false">TRIM(SUBSTITUTE($C147,CHAR(160)," "))</f>
        <v>T11C L חגורת גב פוג'יאמה</v>
      </c>
    </row>
    <row r="148" customFormat="false" ht="15" hidden="false" customHeight="false" outlineLevel="0" collapsed="false">
      <c r="A148" s="6" t="s">
        <v>426</v>
      </c>
      <c r="B148" s="6" t="n">
        <v>4408091</v>
      </c>
      <c r="C148" s="6" t="s">
        <v>427</v>
      </c>
      <c r="D148" s="6" t="str">
        <f aca="false">TRIM(SUBSTITUTE($A148,CHAR(160)," "))</f>
        <v>T11C M</v>
      </c>
      <c r="E148" s="6" t="str">
        <f aca="false">TRIM(SUBSTITUTE($C148,CHAR(160)," "))</f>
        <v>T11C M חגורת גב פוג'יאמה</v>
      </c>
    </row>
    <row r="149" customFormat="false" ht="15" hidden="false" customHeight="false" outlineLevel="0" collapsed="false">
      <c r="A149" s="6" t="s">
        <v>428</v>
      </c>
      <c r="B149" s="6" t="n">
        <v>4408089</v>
      </c>
      <c r="C149" s="6" t="s">
        <v>429</v>
      </c>
      <c r="D149" s="6" t="str">
        <f aca="false">TRIM(SUBSTITUTE($A149,CHAR(160)," "))</f>
        <v>T11C S</v>
      </c>
      <c r="E149" s="6" t="str">
        <f aca="false">TRIM(SUBSTITUTE($C149,CHAR(160)," "))</f>
        <v>T11C S חגורת גב פוג'יאמה</v>
      </c>
    </row>
    <row r="150" customFormat="false" ht="15" hidden="false" customHeight="false" outlineLevel="0" collapsed="false">
      <c r="A150" s="6" t="s">
        <v>430</v>
      </c>
      <c r="B150" s="6" t="n">
        <v>4408092</v>
      </c>
      <c r="C150" s="6" t="s">
        <v>431</v>
      </c>
      <c r="D150" s="6" t="str">
        <f aca="false">TRIM(SUBSTITUTE($A150,CHAR(160)," "))</f>
        <v>T11C XL</v>
      </c>
      <c r="E150" s="6" t="str">
        <f aca="false">TRIM(SUBSTITUTE($C150,CHAR(160)," "))</f>
        <v>T11C XL חגורת גב פוג'יאמה</v>
      </c>
    </row>
    <row r="151" customFormat="false" ht="15" hidden="false" customHeight="false" outlineLevel="0" collapsed="false">
      <c r="A151" s="6" t="s">
        <v>432</v>
      </c>
      <c r="B151" s="6" t="n">
        <v>4408093</v>
      </c>
      <c r="C151" s="6" t="s">
        <v>433</v>
      </c>
      <c r="D151" s="6" t="str">
        <f aca="false">TRIM(SUBSTITUTE($A151,CHAR(160)," "))</f>
        <v>T11C XXL</v>
      </c>
      <c r="E151" s="6" t="str">
        <f aca="false">TRIM(SUBSTITUTE($C151,CHAR(160)," "))</f>
        <v>T11C XXL חגורת גב פוג'יאמה</v>
      </c>
    </row>
    <row r="152" customFormat="false" ht="15" hidden="false" customHeight="false" outlineLevel="0" collapsed="false">
      <c r="A152" s="6" t="s">
        <v>434</v>
      </c>
      <c r="B152" s="6" t="n">
        <v>4409011</v>
      </c>
      <c r="C152" s="6" t="s">
        <v>435</v>
      </c>
      <c r="D152" s="6" t="str">
        <f aca="false">TRIM(SUBSTITUTE($A152,CHAR(160)," "))</f>
        <v>804AT-B</v>
      </c>
      <c r="E152" s="6" t="str">
        <f aca="false">TRIM(SUBSTITUTE($C152,CHAR(160)," "))</f>
        <v>804AT-B טייפ חבישה לספורט</v>
      </c>
    </row>
    <row r="153" customFormat="false" ht="15" hidden="false" customHeight="false" outlineLevel="0" collapsed="false">
      <c r="A153" s="6" t="s">
        <v>436</v>
      </c>
      <c r="B153" s="6" t="n">
        <v>4409013</v>
      </c>
      <c r="C153" s="6" t="s">
        <v>437</v>
      </c>
      <c r="D153" s="6" t="str">
        <f aca="false">TRIM(SUBSTITUTE($A153,CHAR(160)," "))</f>
        <v>804AT-BL</v>
      </c>
      <c r="E153" s="6" t="str">
        <f aca="false">TRIM(SUBSTITUTE($C153,CHAR(160)," "))</f>
        <v>804AT-BL טייפ חבישה לספורט</v>
      </c>
    </row>
    <row r="154" customFormat="false" ht="15" hidden="false" customHeight="false" outlineLevel="0" collapsed="false">
      <c r="A154" s="6" t="s">
        <v>438</v>
      </c>
      <c r="B154" s="6" t="n">
        <v>4409012</v>
      </c>
      <c r="C154" s="6" t="s">
        <v>439</v>
      </c>
      <c r="D154" s="6" t="str">
        <f aca="false">TRIM(SUBSTITUTE($A154,CHAR(160)," "))</f>
        <v>804AT-C</v>
      </c>
      <c r="E154" s="6" t="str">
        <f aca="false">TRIM(SUBSTITUTE($C154,CHAR(160)," "))</f>
        <v>804AT-C טייפ חבישה לספורט</v>
      </c>
    </row>
    <row r="155" customFormat="false" ht="15" hidden="false" customHeight="false" outlineLevel="0" collapsed="false">
      <c r="A155" s="6" t="s">
        <v>440</v>
      </c>
      <c r="B155" s="6" t="n">
        <v>4409010</v>
      </c>
      <c r="C155" s="6" t="s">
        <v>441</v>
      </c>
      <c r="D155" s="6" t="str">
        <f aca="false">TRIM(SUBSTITUTE($A155,CHAR(160)," "))</f>
        <v>804AT-W</v>
      </c>
      <c r="E155" s="6" t="str">
        <f aca="false">TRIM(SUBSTITUTE($C155,CHAR(160)," "))</f>
        <v>804AT-W טייפ חבישה לספורט</v>
      </c>
    </row>
    <row r="156" customFormat="false" ht="15" hidden="false" customHeight="false" outlineLevel="0" collapsed="false">
      <c r="A156" s="6" t="s">
        <v>442</v>
      </c>
      <c r="B156" s="6" t="n">
        <v>4401012</v>
      </c>
      <c r="C156" s="6" t="s">
        <v>443</v>
      </c>
      <c r="D156" s="6" t="str">
        <f aca="false">TRIM(SUBSTITUTE($A156,CHAR(160)," "))</f>
        <v>805AT-B</v>
      </c>
      <c r="E156" s="6" t="str">
        <f aca="false">TRIM(SUBSTITUTE($C156,CHAR(160)," "))</f>
        <v>805AT-B אתלטיק טייפ שחור 20מ""""מ</v>
      </c>
    </row>
    <row r="157" customFormat="false" ht="15" hidden="false" customHeight="false" outlineLevel="0" collapsed="false">
      <c r="A157" s="6" t="s">
        <v>444</v>
      </c>
      <c r="B157" s="6" t="n">
        <v>4401013</v>
      </c>
      <c r="C157" s="6" t="s">
        <v>445</v>
      </c>
      <c r="D157" s="6" t="str">
        <f aca="false">TRIM(SUBSTITUTE($A157,CHAR(160)," "))</f>
        <v>805AT-BL</v>
      </c>
      <c r="E157" s="6" t="str">
        <f aca="false">TRIM(SUBSTITUTE($C157,CHAR(160)," "))</f>
        <v>805AT-BLאתלטיק טייפ כחול 20מ""""מ</v>
      </c>
    </row>
    <row r="158" customFormat="false" ht="15" hidden="false" customHeight="false" outlineLevel="0" collapsed="false">
      <c r="A158" s="6" t="s">
        <v>446</v>
      </c>
      <c r="B158" s="6" t="n">
        <v>4401011</v>
      </c>
      <c r="C158" s="6" t="s">
        <v>447</v>
      </c>
      <c r="D158" s="6" t="str">
        <f aca="false">TRIM(SUBSTITUTE($A158,CHAR(160)," "))</f>
        <v>805AT-C</v>
      </c>
      <c r="E158" s="6" t="str">
        <f aca="false">TRIM(SUBSTITUTE($C158,CHAR(160)," "))</f>
        <v>805AT-Cאתלטיק טייפ בז' 20מ""""מ20</v>
      </c>
    </row>
    <row r="159" customFormat="false" ht="15" hidden="false" customHeight="false" outlineLevel="0" collapsed="false">
      <c r="A159" s="6" t="s">
        <v>448</v>
      </c>
      <c r="B159" s="6" t="n">
        <v>4401014</v>
      </c>
      <c r="C159" s="6" t="s">
        <v>449</v>
      </c>
      <c r="D159" s="6" t="str">
        <f aca="false">TRIM(SUBSTITUTE($A159,CHAR(160)," "))</f>
        <v>805AT-W</v>
      </c>
      <c r="E159" s="6" t="str">
        <f aca="false">TRIM(SUBSTITUTE($C159,CHAR(160)," "))</f>
        <v>805AT-W אתלטיק טייפ לבן 20מ""""מ</v>
      </c>
    </row>
    <row r="160" customFormat="false" ht="15" hidden="false" customHeight="false" outlineLevel="0" collapsed="false">
      <c r="A160" s="6" t="s">
        <v>450</v>
      </c>
      <c r="B160" s="6" t="n">
        <v>4409017</v>
      </c>
      <c r="C160" s="6" t="s">
        <v>451</v>
      </c>
      <c r="D160" s="6" t="str">
        <f aca="false">TRIM(SUBSTITUTE($A160,CHAR(160)," "))</f>
        <v>808KT-B</v>
      </c>
      <c r="E160" s="6" t="str">
        <f aca="false">TRIM(SUBSTITUTE($C160,CHAR(160)," "))</f>
        <v>808KT-B טייפ קינזיולוגי</v>
      </c>
    </row>
    <row r="161" customFormat="false" ht="15" hidden="false" customHeight="false" outlineLevel="0" collapsed="false">
      <c r="A161" s="6" t="s">
        <v>452</v>
      </c>
      <c r="B161" s="6" t="n">
        <v>4409015</v>
      </c>
      <c r="C161" s="6" t="s">
        <v>453</v>
      </c>
      <c r="D161" s="6" t="str">
        <f aca="false">TRIM(SUBSTITUTE($A161,CHAR(160)," "))</f>
        <v>808KT-BL</v>
      </c>
      <c r="E161" s="6" t="str">
        <f aca="false">TRIM(SUBSTITUTE($C161,CHAR(160)," "))</f>
        <v>808KT-BL טייפ קינזיולוגי</v>
      </c>
    </row>
    <row r="162" customFormat="false" ht="15" hidden="false" customHeight="false" outlineLevel="0" collapsed="false">
      <c r="A162" s="6" t="s">
        <v>454</v>
      </c>
      <c r="B162" s="6" t="n">
        <v>4409016</v>
      </c>
      <c r="C162" s="6" t="s">
        <v>455</v>
      </c>
      <c r="D162" s="6" t="str">
        <f aca="false">TRIM(SUBSTITUTE($A162,CHAR(160)," "))</f>
        <v>808KT-C</v>
      </c>
      <c r="E162" s="6" t="str">
        <f aca="false">TRIM(SUBSTITUTE($C162,CHAR(160)," "))</f>
        <v>808KT-C טייפ קינזיולוגי</v>
      </c>
    </row>
    <row r="163" customFormat="false" ht="15" hidden="false" customHeight="false" outlineLevel="0" collapsed="false">
      <c r="A163" s="6" t="s">
        <v>456</v>
      </c>
      <c r="B163" s="6" t="n">
        <v>4409014</v>
      </c>
      <c r="C163" s="6" t="s">
        <v>457</v>
      </c>
      <c r="D163" s="6" t="str">
        <f aca="false">TRIM(SUBSTITUTE($A163,CHAR(160)," "))</f>
        <v>808KT-P</v>
      </c>
      <c r="E163" s="6" t="str">
        <f aca="false">TRIM(SUBSTITUTE($C163,CHAR(160)," "))</f>
        <v>808KT-P טייפ קינזיולוגי</v>
      </c>
    </row>
    <row r="164" customFormat="false" ht="15" hidden="false" customHeight="false" outlineLevel="0" collapsed="false">
      <c r="A164" s="6" t="s">
        <v>458</v>
      </c>
      <c r="B164" s="6" t="n">
        <v>4419013</v>
      </c>
      <c r="C164" s="6" t="s">
        <v>459</v>
      </c>
      <c r="D164" s="6" t="str">
        <f aca="false">TRIM(SUBSTITUTE($A164,CHAR(160)," "))</f>
        <v>239B-L-XL</v>
      </c>
      <c r="E164" s="6" t="str">
        <f aca="false">TRIM(SUBSTITUTE($C164,CHAR(160)," "))</f>
        <v>239B L-XL STRAP4U</v>
      </c>
    </row>
    <row r="165" customFormat="false" ht="15" hidden="false" customHeight="false" outlineLevel="0" collapsed="false">
      <c r="A165" s="6" t="s">
        <v>460</v>
      </c>
      <c r="B165" s="6" t="n">
        <v>4419011</v>
      </c>
      <c r="C165" s="6" t="s">
        <v>461</v>
      </c>
      <c r="D165" s="6" t="str">
        <f aca="false">TRIM(SUBSTITUTE($A165,CHAR(160)," "))</f>
        <v>239B-S-M</v>
      </c>
      <c r="E165" s="6" t="str">
        <f aca="false">TRIM(SUBSTITUTE($C165,CHAR(160)," "))</f>
        <v>239B S-M STRAP4U</v>
      </c>
    </row>
    <row r="166" customFormat="false" ht="15" hidden="false" customHeight="false" outlineLevel="0" collapsed="false">
      <c r="A166" s="6" t="s">
        <v>462</v>
      </c>
      <c r="B166" s="6" t="n">
        <v>4419014</v>
      </c>
      <c r="C166" s="6" t="s">
        <v>463</v>
      </c>
      <c r="D166" s="6" t="str">
        <f aca="false">TRIM(SUBSTITUTE($A166,CHAR(160)," "))</f>
        <v>239TR-L-XL</v>
      </c>
      <c r="E166" s="6" t="str">
        <f aca="false">TRIM(SUBSTITUTE($C166,CHAR(160)," "))</f>
        <v>239TR L-XL STRAP4U</v>
      </c>
    </row>
    <row r="167" customFormat="false" ht="15" hidden="false" customHeight="false" outlineLevel="0" collapsed="false">
      <c r="A167" s="6" t="s">
        <v>464</v>
      </c>
      <c r="B167" s="6" t="n">
        <v>4414000</v>
      </c>
      <c r="C167" s="6" t="s">
        <v>465</v>
      </c>
      <c r="D167" s="6" t="str">
        <f aca="false">TRIM(SUBSTITUTE($A167,CHAR(160)," "))</f>
        <v>FC342 0</v>
      </c>
      <c r="E167" s="6" t="str">
        <f aca="false">TRIM(SUBSTITUTE($C167,CHAR(160)," "))</f>
        <v>FC342-נוזל לציפורן חודרנית</v>
      </c>
    </row>
    <row r="168" customFormat="false" ht="15" hidden="false" customHeight="false" outlineLevel="0" collapsed="false">
      <c r="A168" s="6" t="s">
        <v>466</v>
      </c>
      <c r="B168" s="6" t="n">
        <v>4421008</v>
      </c>
      <c r="C168" s="6" t="s">
        <v>467</v>
      </c>
      <c r="D168" s="6" t="str">
        <f aca="false">TRIM(SUBSTITUTE($A168,CHAR(160)," "))</f>
        <v>351 0</v>
      </c>
      <c r="E168" s="6" t="str">
        <f aca="false">TRIM(SUBSTITUTE($C168,CHAR(160)," "))</f>
        <v>שרוול לגבס ארוך רגל</v>
      </c>
    </row>
    <row r="169" customFormat="false" ht="15" hidden="false" customHeight="false" outlineLevel="0" collapsed="false">
      <c r="A169" s="6" t="s">
        <v>468</v>
      </c>
      <c r="B169" s="6" t="n">
        <v>4421007</v>
      </c>
      <c r="C169" s="6" t="s">
        <v>469</v>
      </c>
      <c r="D169" s="6" t="str">
        <f aca="false">TRIM(SUBSTITUTE($A169,CHAR(160)," "))</f>
        <v>350 0</v>
      </c>
      <c r="E169" s="6" t="str">
        <f aca="false">TRIM(SUBSTITUTE($C169,CHAR(160)," "))</f>
        <v>שרוול לגבס קצר רגל</v>
      </c>
    </row>
    <row r="170" customFormat="false" ht="15" hidden="false" customHeight="false" outlineLevel="0" collapsed="false">
      <c r="A170" s="6" t="s">
        <v>470</v>
      </c>
      <c r="B170" s="6" t="n">
        <v>4413149</v>
      </c>
      <c r="C170" s="6" t="s">
        <v>471</v>
      </c>
      <c r="D170" s="6" t="str">
        <f aca="false">TRIM(SUBSTITUTE($A170,CHAR(160)," "))</f>
        <v>FC321 0</v>
      </c>
      <c r="E170" s="6" t="str">
        <f aca="false">TRIM(SUBSTITUTE($C170,CHAR(160)," "))</f>
        <v>FC321-מלח אמבט לכף הרגל</v>
      </c>
    </row>
    <row r="171" customFormat="false" ht="15" hidden="false" customHeight="false" outlineLevel="0" collapsed="false">
      <c r="A171" s="6" t="s">
        <v>472</v>
      </c>
      <c r="B171" s="6" t="n">
        <v>4422036</v>
      </c>
      <c r="C171" s="6" t="s">
        <v>473</v>
      </c>
      <c r="D171" s="6" t="str">
        <f aca="false">TRIM(SUBSTITUTE($A171,CHAR(160)," "))</f>
        <v>FC334 0</v>
      </c>
      <c r="E171" s="6" t="str">
        <f aca="false">TRIM(SUBSTITUTE($C171,CHAR(160)," "))</f>
        <v>FC334 תרסיס דאודורנט לכף הרגל</v>
      </c>
    </row>
    <row r="172" customFormat="false" ht="15" hidden="false" customHeight="false" outlineLevel="0" collapsed="false">
      <c r="A172" s="6" t="s">
        <v>474</v>
      </c>
      <c r="B172" s="6" t="n">
        <v>4409004</v>
      </c>
      <c r="C172" s="6" t="s">
        <v>475</v>
      </c>
      <c r="D172" s="6" t="str">
        <f aca="false">TRIM(SUBSTITUTE($A172,CHAR(160)," "))</f>
        <v>FC335 0</v>
      </c>
      <c r="E172" s="6" t="str">
        <f aca="false">TRIM(SUBSTITUTE($C172,CHAR(160)," "))</f>
        <v>FC335 טלק מעושר באלוורה</v>
      </c>
    </row>
    <row r="173" customFormat="false" ht="15" hidden="false" customHeight="false" outlineLevel="0" collapsed="false">
      <c r="A173" s="6" t="s">
        <v>476</v>
      </c>
      <c r="B173" s="6" t="n">
        <v>4422035</v>
      </c>
      <c r="C173" s="6" t="s">
        <v>477</v>
      </c>
      <c r="D173" s="6" t="str">
        <f aca="false">TRIM(SUBSTITUTE($A173,CHAR(160)," "))</f>
        <v>FC333 0</v>
      </c>
      <c r="E173" s="6" t="str">
        <f aca="false">TRIM(SUBSTITUTE($C173,CHAR(160)," "))</f>
        <v>FCתרסיס דאודורנט אנטיבק.נעל333</v>
      </c>
    </row>
    <row r="174" customFormat="false" ht="15" hidden="false" customHeight="false" outlineLevel="0" collapsed="false">
      <c r="A174" s="6" t="s">
        <v>478</v>
      </c>
      <c r="B174" s="6" t="n">
        <v>4421006</v>
      </c>
      <c r="C174" s="6" t="s">
        <v>479</v>
      </c>
      <c r="D174" s="6" t="str">
        <f aca="false">TRIM(SUBSTITUTE($A174,CHAR(160)," "))</f>
        <v>251 0</v>
      </c>
      <c r="E174" s="6" t="str">
        <f aca="false">TRIM(SUBSTITUTE($C174,CHAR(160)," "))</f>
        <v>שרוול לגבס ארוך יד</v>
      </c>
    </row>
    <row r="175" customFormat="false" ht="15" hidden="false" customHeight="false" outlineLevel="0" collapsed="false">
      <c r="A175" s="6" t="s">
        <v>480</v>
      </c>
      <c r="B175" s="6" t="n">
        <v>4421005</v>
      </c>
      <c r="C175" s="6" t="s">
        <v>481</v>
      </c>
      <c r="D175" s="6" t="str">
        <f aca="false">TRIM(SUBSTITUTE($A175,CHAR(160)," "))</f>
        <v>250 0</v>
      </c>
      <c r="E175" s="6" t="str">
        <f aca="false">TRIM(SUBSTITUTE($C175,CHAR(160)," "))</f>
        <v>שרוול לגבס קצר יד</v>
      </c>
    </row>
    <row r="176" customFormat="false" ht="15" hidden="false" customHeight="false" outlineLevel="0" collapsed="false">
      <c r="A176" s="6" t="s">
        <v>482</v>
      </c>
      <c r="B176" s="6" t="n">
        <v>4413165</v>
      </c>
      <c r="C176" s="6" t="s">
        <v>483</v>
      </c>
      <c r="D176" s="6" t="str">
        <f aca="false">TRIM(SUBSTITUTE($A176,CHAR(160)," "))</f>
        <v>74-L-XL</v>
      </c>
      <c r="E176" s="6" t="str">
        <f aca="false">TRIM(SUBSTITUTE($C176,CHAR(160)," "))</f>
        <v>74 L-XL מיצב כתפיים</v>
      </c>
    </row>
    <row r="177" customFormat="false" ht="15" hidden="false" customHeight="false" outlineLevel="0" collapsed="false">
      <c r="A177" s="6" t="s">
        <v>484</v>
      </c>
      <c r="B177" s="6" t="n">
        <v>4413130</v>
      </c>
      <c r="C177" s="6" t="s">
        <v>485</v>
      </c>
      <c r="D177" s="6" t="str">
        <f aca="false">TRIM(SUBSTITUTE($A177,CHAR(160)," "))</f>
        <v>75 XXL</v>
      </c>
      <c r="E177" s="6" t="str">
        <f aca="false">TRIM(SUBSTITUTE($C177,CHAR(160)," "))</f>
        <v>75 XXL מיישר כתף יציב ישור צר</v>
      </c>
    </row>
    <row r="178" customFormat="false" ht="15" hidden="false" customHeight="false" outlineLevel="0" collapsed="false">
      <c r="A178" s="6" t="s">
        <v>486</v>
      </c>
      <c r="B178" s="6" t="n">
        <v>4413127</v>
      </c>
      <c r="C178" s="6" t="s">
        <v>487</v>
      </c>
      <c r="D178" s="6" t="str">
        <f aca="false">TRIM(SUBSTITUTE($A178,CHAR(160)," "))</f>
        <v>75 L</v>
      </c>
      <c r="E178" s="6" t="str">
        <f aca="false">TRIM(SUBSTITUTE($C178,CHAR(160)," "))</f>
        <v>75 Lמיישר כתף יציב יישור גב צר</v>
      </c>
    </row>
    <row r="179" customFormat="false" ht="15" hidden="false" customHeight="false" outlineLevel="0" collapsed="false">
      <c r="A179" s="6" t="s">
        <v>488</v>
      </c>
      <c r="B179" s="6" t="n">
        <v>4413128</v>
      </c>
      <c r="C179" s="6" t="s">
        <v>489</v>
      </c>
      <c r="D179" s="6" t="str">
        <f aca="false">TRIM(SUBSTITUTE($A179,CHAR(160)," "))</f>
        <v>75 M</v>
      </c>
      <c r="E179" s="6" t="str">
        <f aca="false">TRIM(SUBSTITUTE($C179,CHAR(160)," "))</f>
        <v>75 Mמיישר כתף יציב יישור גב צר</v>
      </c>
    </row>
    <row r="180" customFormat="false" ht="15" hidden="false" customHeight="false" outlineLevel="0" collapsed="false">
      <c r="A180" s="6" t="s">
        <v>490</v>
      </c>
      <c r="B180" s="6" t="n">
        <v>4413126</v>
      </c>
      <c r="C180" s="6" t="s">
        <v>491</v>
      </c>
      <c r="D180" s="6" t="str">
        <f aca="false">TRIM(SUBSTITUTE($A180,CHAR(160)," "))</f>
        <v>75 S</v>
      </c>
      <c r="E180" s="6" t="str">
        <f aca="false">TRIM(SUBSTITUTE($C180,CHAR(160)," "))</f>
        <v>75 Sמיישר כתף יציב יישור גב צר</v>
      </c>
    </row>
    <row r="181" customFormat="false" ht="15" hidden="false" customHeight="false" outlineLevel="0" collapsed="false">
      <c r="A181" s="6" t="s">
        <v>492</v>
      </c>
      <c r="B181" s="6" t="n">
        <v>4413129</v>
      </c>
      <c r="C181" s="6" t="s">
        <v>493</v>
      </c>
      <c r="D181" s="6" t="str">
        <f aca="false">TRIM(SUBSTITUTE($A181,CHAR(160)," "))</f>
        <v>75 XL</v>
      </c>
      <c r="E181" s="6" t="str">
        <f aca="false">TRIM(SUBSTITUTE($C181,CHAR(160)," "))</f>
        <v>75 XLמיישר כתף יציב יישור ג.צר</v>
      </c>
    </row>
    <row r="182" customFormat="false" ht="15" hidden="false" customHeight="false" outlineLevel="0" collapsed="false">
      <c r="A182" s="6" t="s">
        <v>494</v>
      </c>
      <c r="B182" s="6" t="n">
        <v>4413132</v>
      </c>
      <c r="C182" s="6" t="s">
        <v>495</v>
      </c>
      <c r="D182" s="6" t="str">
        <f aca="false">TRIM(SUBSTITUTE($A182,CHAR(160)," "))</f>
        <v>76 L</v>
      </c>
      <c r="E182" s="6" t="str">
        <f aca="false">TRIM(SUBSTITUTE($C182,CHAR(160)," "))</f>
        <v>76 Lמיישר כתף יציב יישור רחב</v>
      </c>
    </row>
    <row r="183" customFormat="false" ht="15" hidden="false" customHeight="false" outlineLevel="0" collapsed="false">
      <c r="A183" s="6" t="s">
        <v>496</v>
      </c>
      <c r="B183" s="6" t="n">
        <v>4413133</v>
      </c>
      <c r="C183" s="6" t="s">
        <v>497</v>
      </c>
      <c r="D183" s="6" t="str">
        <f aca="false">TRIM(SUBSTITUTE($A183,CHAR(160)," "))</f>
        <v>76 M</v>
      </c>
      <c r="E183" s="6" t="str">
        <f aca="false">TRIM(SUBSTITUTE($C183,CHAR(160)," "))</f>
        <v>76 Mמיישר כתף יציב,יישור רחב</v>
      </c>
    </row>
    <row r="184" customFormat="false" ht="15" hidden="false" customHeight="false" outlineLevel="0" collapsed="false">
      <c r="A184" s="6" t="s">
        <v>498</v>
      </c>
      <c r="B184" s="6" t="n">
        <v>4413131</v>
      </c>
      <c r="C184" s="6" t="s">
        <v>499</v>
      </c>
      <c r="D184" s="6" t="str">
        <f aca="false">TRIM(SUBSTITUTE($A184,CHAR(160)," "))</f>
        <v>76 S</v>
      </c>
      <c r="E184" s="6" t="str">
        <f aca="false">TRIM(SUBSTITUTE($C184,CHAR(160)," "))</f>
        <v>76 Sמיישר כתף יציב יישור ג.רחב</v>
      </c>
    </row>
    <row r="185" customFormat="false" ht="15" hidden="false" customHeight="false" outlineLevel="0" collapsed="false">
      <c r="A185" s="6" t="s">
        <v>500</v>
      </c>
      <c r="B185" s="6" t="n">
        <v>4413134</v>
      </c>
      <c r="C185" s="6" t="s">
        <v>501</v>
      </c>
      <c r="D185" s="6" t="str">
        <f aca="false">TRIM(SUBSTITUTE($A185,CHAR(160)," "))</f>
        <v>76 XL</v>
      </c>
      <c r="E185" s="6" t="str">
        <f aca="false">TRIM(SUBSTITUTE($C185,CHAR(160)," "))</f>
        <v>76 XLמיישר כתף יציב יישור רחב</v>
      </c>
    </row>
    <row r="186" customFormat="false" ht="15" hidden="false" customHeight="false" outlineLevel="0" collapsed="false">
      <c r="A186" s="6" t="s">
        <v>502</v>
      </c>
      <c r="B186" s="6" t="n">
        <v>4413197</v>
      </c>
      <c r="C186" s="6" t="s">
        <v>503</v>
      </c>
      <c r="D186" s="6" t="str">
        <f aca="false">TRIM(SUBSTITUTE($A186,CHAR(160)," "))</f>
        <v>87 L</v>
      </c>
      <c r="E186" s="6" t="str">
        <f aca="false">TRIM(SUBSTITUTE($C186,CHAR(160)," "))</f>
        <v>87 L מקבע כתף ויד</v>
      </c>
    </row>
    <row r="187" customFormat="false" ht="15" hidden="false" customHeight="false" outlineLevel="0" collapsed="false">
      <c r="A187" s="6" t="s">
        <v>504</v>
      </c>
      <c r="B187" s="6" t="n">
        <v>4413196</v>
      </c>
      <c r="C187" s="6" t="s">
        <v>505</v>
      </c>
      <c r="D187" s="6" t="str">
        <f aca="false">TRIM(SUBSTITUTE($A187,CHAR(160)," "))</f>
        <v>87 M</v>
      </c>
      <c r="E187" s="6" t="str">
        <f aca="false">TRIM(SUBSTITUTE($C187,CHAR(160)," "))</f>
        <v>87 M מקבע כתף ויד</v>
      </c>
    </row>
    <row r="188" customFormat="false" ht="15" hidden="false" customHeight="false" outlineLevel="0" collapsed="false">
      <c r="A188" s="6" t="s">
        <v>506</v>
      </c>
      <c r="B188" s="6" t="n">
        <v>4413195</v>
      </c>
      <c r="C188" s="6" t="s">
        <v>507</v>
      </c>
      <c r="D188" s="6" t="str">
        <f aca="false">TRIM(SUBSTITUTE($A188,CHAR(160)," "))</f>
        <v>87 S</v>
      </c>
      <c r="E188" s="6" t="str">
        <f aca="false">TRIM(SUBSTITUTE($C188,CHAR(160)," "))</f>
        <v>87 S מקבע כתף ויד</v>
      </c>
    </row>
    <row r="189" customFormat="false" ht="15" hidden="false" customHeight="false" outlineLevel="0" collapsed="false">
      <c r="A189" s="6" t="s">
        <v>508</v>
      </c>
      <c r="B189" s="6" t="n">
        <v>4413198</v>
      </c>
      <c r="C189" s="6" t="s">
        <v>509</v>
      </c>
      <c r="D189" s="6" t="str">
        <f aca="false">TRIM(SUBSTITUTE($A189,CHAR(160)," "))</f>
        <v>87 XL</v>
      </c>
      <c r="E189" s="6" t="str">
        <f aca="false">TRIM(SUBSTITUTE($C189,CHAR(160)," "))</f>
        <v>87 XL מקבע כתף ויד</v>
      </c>
    </row>
    <row r="190" customFormat="false" ht="15" hidden="false" customHeight="false" outlineLevel="0" collapsed="false">
      <c r="A190" s="6" t="s">
        <v>510</v>
      </c>
      <c r="B190" s="6" t="n">
        <v>4413204</v>
      </c>
      <c r="C190" s="6" t="s">
        <v>511</v>
      </c>
      <c r="D190" s="6" t="str">
        <f aca="false">TRIM(SUBSTITUTE($A190,CHAR(160)," "))</f>
        <v>87 XXL</v>
      </c>
      <c r="E190" s="6" t="str">
        <f aca="false">TRIM(SUBSTITUTE($C190,CHAR(160)," "))</f>
        <v>87 XXL מקבע כתף ויד</v>
      </c>
    </row>
    <row r="191" customFormat="false" ht="15" hidden="false" customHeight="false" outlineLevel="0" collapsed="false">
      <c r="A191" s="6" t="s">
        <v>512</v>
      </c>
      <c r="B191" s="6" t="n">
        <v>4413456</v>
      </c>
      <c r="C191" s="6" t="s">
        <v>513</v>
      </c>
      <c r="D191" s="6" t="str">
        <f aca="false">TRIM(SUBSTITUTE($A191,CHAR(160)," "))</f>
        <v>AC75 XXL</v>
      </c>
      <c r="E191" s="6" t="str">
        <f aca="false">TRIM(SUBSTITUTE($C191,CHAR(160)," "))</f>
        <v>AC75 XXL מיישר כתפיים אקטיב</v>
      </c>
    </row>
    <row r="192" customFormat="false" ht="15" hidden="false" customHeight="false" outlineLevel="0" collapsed="false">
      <c r="A192" s="6" t="s">
        <v>514</v>
      </c>
      <c r="B192" s="6" t="n">
        <v>4413453</v>
      </c>
      <c r="C192" s="6" t="s">
        <v>515</v>
      </c>
      <c r="D192" s="6" t="str">
        <f aca="false">TRIM(SUBSTITUTE($A192,CHAR(160)," "))</f>
        <v>AC75-S-XL</v>
      </c>
      <c r="E192" s="6" t="str">
        <f aca="false">TRIM(SUBSTITUTE($C192,CHAR(160)," "))</f>
        <v>AC75 מישר כתפיים אקטיב</v>
      </c>
    </row>
    <row r="193" customFormat="false" ht="15" hidden="false" customHeight="false" outlineLevel="0" collapsed="false">
      <c r="A193" s="6" t="s">
        <v>516</v>
      </c>
      <c r="B193" s="6" t="n">
        <v>4422006</v>
      </c>
      <c r="C193" s="6" t="s">
        <v>517</v>
      </c>
      <c r="D193" s="6" t="str">
        <f aca="false">TRIM(SUBSTITUTE($A193,CHAR(160)," "))</f>
        <v>T78 L</v>
      </c>
      <c r="E193" s="6" t="str">
        <f aca="false">TRIM(SUBSTITUTE($C193,CHAR(160)," "))</f>
        <v>T78 L תומך זרוע וכתף</v>
      </c>
    </row>
    <row r="194" customFormat="false" ht="15" hidden="false" customHeight="false" outlineLevel="0" collapsed="false">
      <c r="A194" s="6" t="s">
        <v>518</v>
      </c>
      <c r="B194" s="6" t="n">
        <v>4422005</v>
      </c>
      <c r="C194" s="6" t="s">
        <v>519</v>
      </c>
      <c r="D194" s="6" t="str">
        <f aca="false">TRIM(SUBSTITUTE($A194,CHAR(160)," "))</f>
        <v>T78 M</v>
      </c>
      <c r="E194" s="6" t="str">
        <f aca="false">TRIM(SUBSTITUTE($C194,CHAR(160)," "))</f>
        <v>T78 M תומך זרוע וכתף</v>
      </c>
    </row>
    <row r="195" customFormat="false" ht="15" hidden="false" customHeight="false" outlineLevel="0" collapsed="false">
      <c r="A195" s="6" t="s">
        <v>520</v>
      </c>
      <c r="B195" s="6" t="n">
        <v>4422004</v>
      </c>
      <c r="C195" s="6" t="s">
        <v>521</v>
      </c>
      <c r="D195" s="6" t="str">
        <f aca="false">TRIM(SUBSTITUTE($A195,CHAR(160)," "))</f>
        <v>T78 S</v>
      </c>
      <c r="E195" s="6" t="str">
        <f aca="false">TRIM(SUBSTITUTE($C195,CHAR(160)," "))</f>
        <v>T78 S תומך זרוע וכתף</v>
      </c>
    </row>
    <row r="196" customFormat="false" ht="15" hidden="false" customHeight="false" outlineLevel="0" collapsed="false">
      <c r="A196" s="6" t="s">
        <v>522</v>
      </c>
      <c r="B196" s="6" t="n">
        <v>4422007</v>
      </c>
      <c r="C196" s="6" t="s">
        <v>523</v>
      </c>
      <c r="D196" s="6" t="str">
        <f aca="false">TRIM(SUBSTITUTE($A196,CHAR(160)," "))</f>
        <v>T78 XL</v>
      </c>
      <c r="E196" s="6" t="str">
        <f aca="false">TRIM(SUBSTITUTE($C196,CHAR(160)," "))</f>
        <v>T78 XLתומך זרוע וכתף</v>
      </c>
    </row>
    <row r="197" customFormat="false" ht="15" hidden="false" customHeight="false" outlineLevel="0" collapsed="false">
      <c r="A197" s="6" t="s">
        <v>524</v>
      </c>
      <c r="B197" s="6" t="n">
        <v>4422009</v>
      </c>
      <c r="C197" s="6" t="s">
        <v>525</v>
      </c>
      <c r="D197" s="6" t="str">
        <f aca="false">TRIM(SUBSTITUTE($A197,CHAR(160)," "))</f>
        <v>T78 XXL</v>
      </c>
      <c r="E197" s="6" t="str">
        <f aca="false">TRIM(SUBSTITUTE($C197,CHAR(160)," "))</f>
        <v>T78 XXL תומך זרוע וכתף</v>
      </c>
    </row>
    <row r="198" customFormat="false" ht="15" hidden="false" customHeight="false" outlineLevel="0" collapsed="false">
      <c r="A198" s="6" t="s">
        <v>526</v>
      </c>
      <c r="B198" s="6" t="n">
        <v>4413056</v>
      </c>
      <c r="C198" s="6" t="s">
        <v>527</v>
      </c>
      <c r="D198" s="6" t="str">
        <f aca="false">TRIM(SUBSTITUTE($A198,CHAR(160)," "))</f>
        <v>LF360 0</v>
      </c>
      <c r="E198" s="6" t="str">
        <f aca="false">TRIM(SUBSTITUTE($C198,CHAR(160)," "))</f>
        <v>LF360 מדרס מטטרזלי לנעלי עקב</v>
      </c>
    </row>
    <row r="199" customFormat="false" ht="15" hidden="false" customHeight="false" outlineLevel="0" collapsed="false">
      <c r="A199" s="6" t="s">
        <v>528</v>
      </c>
      <c r="B199" s="6" t="n">
        <v>4420022</v>
      </c>
      <c r="C199" s="6" t="s">
        <v>529</v>
      </c>
      <c r="D199" s="6" t="str">
        <f aca="false">TRIM(SUBSTITUTE($A199,CHAR(160)," "))</f>
        <v>LF370 0</v>
      </c>
      <c r="E199" s="6" t="str">
        <f aca="false">TRIM(SUBSTITUTE($C199,CHAR(160)," "))</f>
        <v>LF370 ריפוד סיליקון לעקב אחורי</v>
      </c>
    </row>
    <row r="200" customFormat="false" ht="15" hidden="false" customHeight="false" outlineLevel="0" collapsed="false">
      <c r="A200" s="6" t="s">
        <v>530</v>
      </c>
      <c r="B200" s="6" t="n">
        <v>4420023</v>
      </c>
      <c r="C200" s="6" t="s">
        <v>531</v>
      </c>
      <c r="D200" s="6" t="str">
        <f aca="false">TRIM(SUBSTITUTE($A200,CHAR(160)," "))</f>
        <v>LF371 0</v>
      </c>
      <c r="E200" s="6" t="str">
        <f aca="false">TRIM(SUBSTITUTE($C200,CHAR(160)," "))</f>
        <v>LF371 ריפוד סיליקון לנעלי אצבע</v>
      </c>
    </row>
    <row r="201" customFormat="false" ht="15" hidden="false" customHeight="false" outlineLevel="0" collapsed="false">
      <c r="A201" s="6" t="s">
        <v>532</v>
      </c>
      <c r="B201" s="6" t="n">
        <v>4420025</v>
      </c>
      <c r="C201" s="6" t="s">
        <v>533</v>
      </c>
      <c r="D201" s="6" t="str">
        <f aca="false">TRIM(SUBSTITUTE($A201,CHAR(160)," "))</f>
        <v>LF374 0</v>
      </c>
      <c r="E201" s="6" t="str">
        <f aca="false">TRIM(SUBSTITUTE($C201,CHAR(160)," "))</f>
        <v>LF374 ריפוד סיליק.לעקב תחתון</v>
      </c>
    </row>
    <row r="202" customFormat="false" ht="15" hidden="false" customHeight="false" outlineLevel="0" collapsed="false">
      <c r="A202" s="6" t="s">
        <v>534</v>
      </c>
      <c r="B202" s="6" t="n">
        <v>4413276</v>
      </c>
      <c r="C202" s="6" t="s">
        <v>535</v>
      </c>
      <c r="D202" s="6" t="str">
        <f aca="false">TRIM(SUBSTITUTE($A202,CHAR(160)," "))</f>
        <v>LF377 L</v>
      </c>
      <c r="E202" s="6" t="str">
        <f aca="false">TRIM(SUBSTITUTE($C202,CHAR(160)," "))</f>
        <v>LF377 L-מדרס סיליקון לנעלי עקב</v>
      </c>
    </row>
    <row r="203" customFormat="false" ht="15" hidden="false" customHeight="false" outlineLevel="0" collapsed="false">
      <c r="A203" s="6" t="s">
        <v>536</v>
      </c>
      <c r="B203" s="6" t="n">
        <v>4413277</v>
      </c>
      <c r="C203" s="6" t="s">
        <v>537</v>
      </c>
      <c r="D203" s="6" t="str">
        <f aca="false">TRIM(SUBSTITUTE($A203,CHAR(160)," "))</f>
        <v>LF377 M</v>
      </c>
      <c r="E203" s="6" t="str">
        <f aca="false">TRIM(SUBSTITUTE($C203,CHAR(160)," "))</f>
        <v>LF377 M-מדרס סיליקון לנעלי עקב</v>
      </c>
    </row>
    <row r="204" customFormat="false" ht="15" hidden="false" customHeight="false" outlineLevel="0" collapsed="false">
      <c r="A204" s="6" t="s">
        <v>538</v>
      </c>
      <c r="B204" s="6" t="n">
        <v>4413278</v>
      </c>
      <c r="C204" s="6" t="s">
        <v>539</v>
      </c>
      <c r="D204" s="6" t="str">
        <f aca="false">TRIM(SUBSTITUTE($A204,CHAR(160)," "))</f>
        <v>LF377 S</v>
      </c>
      <c r="E204" s="6" t="str">
        <f aca="false">TRIM(SUBSTITUTE($C204,CHAR(160)," "))</f>
        <v>LF377 S-מדרס סיליקון לנעלי עקב</v>
      </c>
    </row>
    <row r="205" customFormat="false" ht="15" hidden="false" customHeight="false" outlineLevel="0" collapsed="false">
      <c r="A205" s="6" t="s">
        <v>540</v>
      </c>
      <c r="B205" s="6" t="n">
        <v>4413451</v>
      </c>
      <c r="C205" s="6" t="s">
        <v>541</v>
      </c>
      <c r="D205" s="6" t="str">
        <f aca="false">TRIM(SUBSTITUTE($A205,CHAR(160)," "))</f>
        <v>LF378 L</v>
      </c>
      <c r="E205" s="6" t="str">
        <f aca="false">TRIM(SUBSTITUTE($C205,CHAR(160)," "))</f>
        <v>LF378 L מדרס ג'ל לנעלי עקב</v>
      </c>
    </row>
    <row r="206" customFormat="false" ht="15" hidden="false" customHeight="false" outlineLevel="0" collapsed="false">
      <c r="A206" s="6" t="s">
        <v>542</v>
      </c>
      <c r="B206" s="6" t="n">
        <v>4420024</v>
      </c>
      <c r="C206" s="6" t="s">
        <v>543</v>
      </c>
      <c r="D206" s="6" t="str">
        <f aca="false">TRIM(SUBSTITUTE($A206,CHAR(160)," "))</f>
        <v>LF373 0</v>
      </c>
      <c r="E206" s="6" t="str">
        <f aca="false">TRIM(SUBSTITUTE($C206,CHAR(160)," "))</f>
        <v>LFריפוד סיליק.לכרית כף הרגל373</v>
      </c>
    </row>
    <row r="207" customFormat="false" ht="15" hidden="false" customHeight="false" outlineLevel="0" collapsed="false">
      <c r="A207" s="6" t="s">
        <v>544</v>
      </c>
      <c r="B207" s="6" t="n">
        <v>4413372</v>
      </c>
      <c r="C207" s="6" t="s">
        <v>545</v>
      </c>
      <c r="D207" s="6" t="str">
        <f aca="false">TRIM(SUBSTITUTE($A207,CHAR(160)," "))</f>
        <v>302W 0</v>
      </c>
      <c r="E207" s="6" t="str">
        <f aca="false">TRIM(SUBSTITUTE($C207,CHAR(160)," "))</f>
        <v>302 W מדרס לאישה</v>
      </c>
    </row>
    <row r="208" customFormat="false" ht="15" hidden="false" customHeight="false" outlineLevel="0" collapsed="false">
      <c r="A208" s="6" t="s">
        <v>546</v>
      </c>
      <c r="B208" s="6" t="n">
        <v>4413348</v>
      </c>
      <c r="C208" s="6" t="s">
        <v>547</v>
      </c>
      <c r="D208" s="6" t="str">
        <f aca="false">TRIM(SUBSTITUTE($A208,CHAR(160)," "))</f>
        <v>302M 0</v>
      </c>
      <c r="E208" s="6" t="str">
        <f aca="false">TRIM(SUBSTITUTE($C208,CHAR(160)," "))</f>
        <v>302 מדרס ג'ל לגבר</v>
      </c>
    </row>
    <row r="209" customFormat="false" ht="15" hidden="false" customHeight="false" outlineLevel="0" collapsed="false">
      <c r="A209" s="6" t="s">
        <v>548</v>
      </c>
      <c r="B209" s="6" t="n">
        <v>4413018</v>
      </c>
      <c r="C209" s="6" t="s">
        <v>549</v>
      </c>
      <c r="D209" s="6" t="str">
        <f aca="false">TRIM(SUBSTITUTE($A209,CHAR(160)," "))</f>
        <v>303-37-38</v>
      </c>
      <c r="E209" s="6" t="str">
        <f aca="false">TRIM(SUBSTITUTE($C209,CHAR(160)," "))</f>
        <v>303 37-38 מדרסי סיליק.לח.סכרת</v>
      </c>
    </row>
    <row r="210" customFormat="false" ht="15" hidden="false" customHeight="false" outlineLevel="0" collapsed="false">
      <c r="A210" s="6" t="s">
        <v>550</v>
      </c>
      <c r="B210" s="6" t="n">
        <v>4413020</v>
      </c>
      <c r="C210" s="6" t="s">
        <v>551</v>
      </c>
      <c r="D210" s="6" t="str">
        <f aca="false">TRIM(SUBSTITUTE($A210,CHAR(160)," "))</f>
        <v>303-41-42</v>
      </c>
      <c r="E210" s="6" t="str">
        <f aca="false">TRIM(SUBSTITUTE($C210,CHAR(160)," "))</f>
        <v>303 41-42 מדרסי סיליק.לח.סכרת</v>
      </c>
    </row>
    <row r="211" customFormat="false" ht="15" hidden="false" customHeight="false" outlineLevel="0" collapsed="false">
      <c r="A211" s="6" t="s">
        <v>552</v>
      </c>
      <c r="B211" s="6" t="n">
        <v>4413022</v>
      </c>
      <c r="C211" s="6" t="s">
        <v>553</v>
      </c>
      <c r="D211" s="6" t="str">
        <f aca="false">TRIM(SUBSTITUTE($A211,CHAR(160)," "))</f>
        <v>303-45-46</v>
      </c>
      <c r="E211" s="6" t="str">
        <f aca="false">TRIM(SUBSTITUTE($C211,CHAR(160)," "))</f>
        <v>303 45-46 מדרסי סיליק.לח.סכרת</v>
      </c>
    </row>
    <row r="212" customFormat="false" ht="15" hidden="false" customHeight="false" outlineLevel="0" collapsed="false">
      <c r="A212" s="6" t="s">
        <v>554</v>
      </c>
      <c r="B212" s="6" t="n">
        <v>4413154</v>
      </c>
      <c r="C212" s="6" t="s">
        <v>555</v>
      </c>
      <c r="D212" s="6" t="str">
        <f aca="false">TRIM(SUBSTITUTE($A212,CHAR(160)," "))</f>
        <v>305GA-37-38</v>
      </c>
      <c r="E212" s="6" t="str">
        <f aca="false">TRIM(SUBSTITUTE($C212,CHAR(160)," "))</f>
        <v>305GA מדרס אורטופ.מתכוון37-38</v>
      </c>
    </row>
    <row r="213" customFormat="false" ht="15" hidden="false" customHeight="false" outlineLevel="0" collapsed="false">
      <c r="A213" s="6" t="s">
        <v>556</v>
      </c>
      <c r="B213" s="6" t="n">
        <v>4413155</v>
      </c>
      <c r="C213" s="6" t="s">
        <v>557</v>
      </c>
      <c r="D213" s="6" t="str">
        <f aca="false">TRIM(SUBSTITUTE($A213,CHAR(160)," "))</f>
        <v>305GA-39-40</v>
      </c>
      <c r="E213" s="6" t="str">
        <f aca="false">TRIM(SUBSTITUTE($C213,CHAR(160)," "))</f>
        <v>305GA מדרס אורטופ.מתכוון39-40</v>
      </c>
    </row>
    <row r="214" customFormat="false" ht="15" hidden="false" customHeight="false" outlineLevel="0" collapsed="false">
      <c r="A214" s="6" t="s">
        <v>558</v>
      </c>
      <c r="B214" s="6" t="n">
        <v>4413156</v>
      </c>
      <c r="C214" s="6" t="s">
        <v>559</v>
      </c>
      <c r="D214" s="6" t="str">
        <f aca="false">TRIM(SUBSTITUTE($A214,CHAR(160)," "))</f>
        <v>305GA-41-42</v>
      </c>
      <c r="E214" s="6" t="str">
        <f aca="false">TRIM(SUBSTITUTE($C214,CHAR(160)," "))</f>
        <v>305GA מדרס אורטופ.מתכוון41-42</v>
      </c>
    </row>
    <row r="215" customFormat="false" ht="15" hidden="false" customHeight="false" outlineLevel="0" collapsed="false">
      <c r="A215" s="6" t="s">
        <v>560</v>
      </c>
      <c r="B215" s="6" t="n">
        <v>4413157</v>
      </c>
      <c r="C215" s="6" t="s">
        <v>561</v>
      </c>
      <c r="D215" s="6" t="str">
        <f aca="false">TRIM(SUBSTITUTE($A215,CHAR(160)," "))</f>
        <v>305GA-43-44</v>
      </c>
      <c r="E215" s="6" t="str">
        <f aca="false">TRIM(SUBSTITUTE($C215,CHAR(160)," "))</f>
        <v>305GA מדרס אורטופ.מתכוון43-44</v>
      </c>
    </row>
    <row r="216" customFormat="false" ht="15" hidden="false" customHeight="false" outlineLevel="0" collapsed="false">
      <c r="A216" s="6" t="s">
        <v>562</v>
      </c>
      <c r="B216" s="6" t="n">
        <v>4413158</v>
      </c>
      <c r="C216" s="6" t="s">
        <v>563</v>
      </c>
      <c r="D216" s="6" t="str">
        <f aca="false">TRIM(SUBSTITUTE($A216,CHAR(160)," "))</f>
        <v>305GA-45-46</v>
      </c>
      <c r="E216" s="6" t="str">
        <f aca="false">TRIM(SUBSTITUTE($C216,CHAR(160)," "))</f>
        <v>305GA מדרס אורטופ.מתכוון45-46</v>
      </c>
    </row>
    <row r="217" customFormat="false" ht="15" hidden="false" customHeight="false" outlineLevel="0" collapsed="false">
      <c r="A217" s="6" t="s">
        <v>564</v>
      </c>
      <c r="B217" s="6" t="n">
        <v>4413523</v>
      </c>
      <c r="C217" s="6" t="s">
        <v>565</v>
      </c>
      <c r="D217" s="6" t="str">
        <f aca="false">TRIM(SUBSTITUTE($A217,CHAR(160)," "))</f>
        <v>379COM-35-38</v>
      </c>
      <c r="E217" s="6" t="str">
        <f aca="false">TRIM(SUBSTITUTE($C217,CHAR(160)," "))</f>
        <v>35-38 מדרסי אפיק ג'ל נוחות</v>
      </c>
    </row>
    <row r="218" customFormat="false" ht="15" hidden="false" customHeight="false" outlineLevel="0" collapsed="false">
      <c r="A218" s="6" t="s">
        <v>566</v>
      </c>
      <c r="B218" s="6" t="n">
        <v>4413527</v>
      </c>
      <c r="C218" s="6" t="s">
        <v>567</v>
      </c>
      <c r="D218" s="6" t="str">
        <f aca="false">TRIM(SUBSTITUTE($A218,CHAR(160)," "))</f>
        <v>379WRK-35-38</v>
      </c>
      <c r="E218" s="6" t="str">
        <f aca="false">TRIM(SUBSTITUTE($C218,CHAR(160)," "))</f>
        <v>35-38 מדרסי אפיק ג'ל עבודה</v>
      </c>
    </row>
    <row r="219" customFormat="false" ht="15" hidden="false" customHeight="false" outlineLevel="0" collapsed="false">
      <c r="A219" s="6" t="s">
        <v>568</v>
      </c>
      <c r="B219" s="6" t="n">
        <v>4413524</v>
      </c>
      <c r="C219" s="6" t="s">
        <v>569</v>
      </c>
      <c r="D219" s="6" t="str">
        <f aca="false">TRIM(SUBSTITUTE($A219,CHAR(160)," "))</f>
        <v>379COM-39-42</v>
      </c>
      <c r="E219" s="6" t="str">
        <f aca="false">TRIM(SUBSTITUTE($C219,CHAR(160)," "))</f>
        <v>39-42 מדרסי אפיק ג'ל נוחות</v>
      </c>
    </row>
    <row r="220" customFormat="false" ht="15" hidden="false" customHeight="false" outlineLevel="0" collapsed="false">
      <c r="A220" s="6" t="s">
        <v>570</v>
      </c>
      <c r="B220" s="6" t="n">
        <v>4413528</v>
      </c>
      <c r="C220" s="6" t="s">
        <v>571</v>
      </c>
      <c r="D220" s="6" t="str">
        <f aca="false">TRIM(SUBSTITUTE($A220,CHAR(160)," "))</f>
        <v>379WRK-39-42</v>
      </c>
      <c r="E220" s="6" t="str">
        <f aca="false">TRIM(SUBSTITUTE($C220,CHAR(160)," "))</f>
        <v>39-42 מדרסי אפיק ג'ל עבודה</v>
      </c>
    </row>
    <row r="221" customFormat="false" ht="15" hidden="false" customHeight="false" outlineLevel="0" collapsed="false">
      <c r="A221" s="6" t="s">
        <v>572</v>
      </c>
      <c r="B221" s="6" t="n">
        <v>4413525</v>
      </c>
      <c r="C221" s="6" t="s">
        <v>573</v>
      </c>
      <c r="D221" s="6" t="str">
        <f aca="false">TRIM(SUBSTITUTE($A221,CHAR(160)," "))</f>
        <v>379COM-43-46</v>
      </c>
      <c r="E221" s="6" t="str">
        <f aca="false">TRIM(SUBSTITUTE($C221,CHAR(160)," "))</f>
        <v>43-47 מדרסי אפיק ג'ל נוחות</v>
      </c>
    </row>
    <row r="222" customFormat="false" ht="15" hidden="false" customHeight="false" outlineLevel="0" collapsed="false">
      <c r="A222" s="6" t="s">
        <v>574</v>
      </c>
      <c r="B222" s="6" t="n">
        <v>4413529</v>
      </c>
      <c r="C222" s="6" t="s">
        <v>575</v>
      </c>
      <c r="D222" s="6" t="str">
        <f aca="false">TRIM(SUBSTITUTE($A222,CHAR(160)," "))</f>
        <v>379WRK-43-46</v>
      </c>
      <c r="E222" s="6" t="str">
        <f aca="false">TRIM(SUBSTITUTE($C222,CHAR(160)," "))</f>
        <v>43-47 מדרסי אפיק ג'ל עבודה</v>
      </c>
    </row>
    <row r="223" customFormat="false" ht="15" hidden="false" customHeight="false" outlineLevel="0" collapsed="false">
      <c r="A223" s="6" t="s">
        <v>576</v>
      </c>
      <c r="B223" s="6" t="n">
        <v>4413450</v>
      </c>
      <c r="C223" s="6" t="s">
        <v>577</v>
      </c>
      <c r="D223" s="6" t="str">
        <f aca="false">TRIM(SUBSTITUTE($A223,CHAR(160)," "))</f>
        <v>LF378 M</v>
      </c>
      <c r="E223" s="6" t="str">
        <f aca="false">TRIM(SUBSTITUTE($C223,CHAR(160)," "))</f>
        <v>LF378 M מדרס ג'ל לנעלי עקב</v>
      </c>
    </row>
    <row r="224" customFormat="false" ht="15" hidden="false" customHeight="false" outlineLevel="0" collapsed="false">
      <c r="A224" s="6" t="s">
        <v>578</v>
      </c>
      <c r="B224" s="6" t="n">
        <v>4413449</v>
      </c>
      <c r="C224" s="6" t="s">
        <v>579</v>
      </c>
      <c r="D224" s="6" t="str">
        <f aca="false">TRIM(SUBSTITUTE($A224,CHAR(160)," "))</f>
        <v>LF378 S</v>
      </c>
      <c r="E224" s="6" t="str">
        <f aca="false">TRIM(SUBSTITUTE($C224,CHAR(160)," "))</f>
        <v>LF378 S מדרס ג'ל לנעלי עקב</v>
      </c>
    </row>
    <row r="225" customFormat="false" ht="15" hidden="false" customHeight="false" outlineLevel="0" collapsed="false">
      <c r="A225" s="6" t="s">
        <v>580</v>
      </c>
      <c r="B225" s="6" t="n">
        <v>4413520</v>
      </c>
      <c r="C225" s="6" t="s">
        <v>581</v>
      </c>
      <c r="D225" s="6" t="str">
        <f aca="false">TRIM(SUBSTITUTE($A225,CHAR(160)," "))</f>
        <v>379MSP-35-38</v>
      </c>
      <c r="E225" s="6" t="str">
        <f aca="false">TRIM(SUBSTITUTE($C225,CHAR(160)," "))</f>
        <v>מדרסי אפיק ג'ל מולט.ספורט35-38</v>
      </c>
    </row>
    <row r="226" customFormat="false" ht="15" hidden="false" customHeight="false" outlineLevel="0" collapsed="false">
      <c r="A226" s="6" t="s">
        <v>582</v>
      </c>
      <c r="B226" s="6" t="n">
        <v>4413522</v>
      </c>
      <c r="C226" s="6" t="s">
        <v>583</v>
      </c>
      <c r="D226" s="6" t="str">
        <f aca="false">TRIM(SUBSTITUTE($A226,CHAR(160)," "))</f>
        <v>379MSP-43-46</v>
      </c>
      <c r="E226" s="6" t="str">
        <f aca="false">TRIM(SUBSTITUTE($C226,CHAR(160)," "))</f>
        <v>מדרסי אפיק ג'ל מולט.ספורט43-47</v>
      </c>
    </row>
    <row r="227" customFormat="false" ht="15" hidden="false" customHeight="false" outlineLevel="0" collapsed="false">
      <c r="A227" s="6" t="s">
        <v>584</v>
      </c>
      <c r="B227" s="6" t="n">
        <v>4413521</v>
      </c>
      <c r="C227" s="6" t="s">
        <v>585</v>
      </c>
      <c r="D227" s="6" t="str">
        <f aca="false">TRIM(SUBSTITUTE($A227,CHAR(160)," "))</f>
        <v>379MSP-39-42</v>
      </c>
      <c r="E227" s="6" t="str">
        <f aca="false">TRIM(SUBSTITUTE($C227,CHAR(160)," "))</f>
        <v>מדרסי אפיק ג'ל מולטי ספור39-42</v>
      </c>
    </row>
    <row r="228" customFormat="false" ht="15" hidden="false" customHeight="false" outlineLevel="0" collapsed="false">
      <c r="A228" s="6" t="s">
        <v>586</v>
      </c>
      <c r="B228" s="6" t="n">
        <v>4413117</v>
      </c>
      <c r="C228" s="6" t="s">
        <v>587</v>
      </c>
      <c r="D228" s="6" t="str">
        <f aca="false">TRIM(SUBSTITUTE($A228,CHAR(160)," "))</f>
        <v>50 L</v>
      </c>
      <c r="E228" s="6" t="str">
        <f aca="false">TRIM(SUBSTITUTE($C228,CHAR(160)," "))</f>
        <v>50 L מתלה אשכים לאחר ניתוח</v>
      </c>
    </row>
    <row r="229" customFormat="false" ht="15" hidden="false" customHeight="false" outlineLevel="0" collapsed="false">
      <c r="A229" s="6" t="s">
        <v>588</v>
      </c>
      <c r="B229" s="6" t="n">
        <v>4413118</v>
      </c>
      <c r="C229" s="6" t="s">
        <v>589</v>
      </c>
      <c r="D229" s="6" t="str">
        <f aca="false">TRIM(SUBSTITUTE($A229,CHAR(160)," "))</f>
        <v>50 M</v>
      </c>
      <c r="E229" s="6" t="str">
        <f aca="false">TRIM(SUBSTITUTE($C229,CHAR(160)," "))</f>
        <v>50 M מתלה אשכים לאחר ניתוח</v>
      </c>
    </row>
    <row r="230" customFormat="false" ht="15" hidden="false" customHeight="false" outlineLevel="0" collapsed="false">
      <c r="A230" s="6" t="s">
        <v>590</v>
      </c>
      <c r="B230" s="6" t="n">
        <v>4413119</v>
      </c>
      <c r="C230" s="6" t="s">
        <v>591</v>
      </c>
      <c r="D230" s="6" t="str">
        <f aca="false">TRIM(SUBSTITUTE($A230,CHAR(160)," "))</f>
        <v>50 XL</v>
      </c>
      <c r="E230" s="6" t="str">
        <f aca="false">TRIM(SUBSTITUTE($C230,CHAR(160)," "))</f>
        <v>50 XL מתלה אשכים לאחר ניתוח</v>
      </c>
    </row>
    <row r="231" customFormat="false" ht="15" hidden="false" customHeight="false" outlineLevel="0" collapsed="false">
      <c r="A231" s="6" t="s">
        <v>592</v>
      </c>
      <c r="B231" s="6" t="n">
        <v>4413122</v>
      </c>
      <c r="C231" s="6" t="s">
        <v>593</v>
      </c>
      <c r="D231" s="6" t="str">
        <f aca="false">TRIM(SUBSTITUTE($A231,CHAR(160)," "))</f>
        <v>55 L</v>
      </c>
      <c r="E231" s="6" t="str">
        <f aca="false">TRIM(SUBSTITUTE($C231,CHAR(160)," "))</f>
        <v>55 L מתלה אשכים לספורטאים</v>
      </c>
    </row>
    <row r="232" customFormat="false" ht="15" hidden="false" customHeight="false" outlineLevel="0" collapsed="false">
      <c r="A232" s="6" t="s">
        <v>594</v>
      </c>
      <c r="B232" s="6" t="n">
        <v>4413124</v>
      </c>
      <c r="C232" s="6" t="s">
        <v>595</v>
      </c>
      <c r="D232" s="6" t="str">
        <f aca="false">TRIM(SUBSTITUTE($A232,CHAR(160)," "))</f>
        <v>55 XL</v>
      </c>
      <c r="E232" s="6" t="str">
        <f aca="false">TRIM(SUBSTITUTE($C232,CHAR(160)," "))</f>
        <v>55 XL מתלה אשכים לספורטאים</v>
      </c>
    </row>
    <row r="233" customFormat="false" ht="15" hidden="false" customHeight="false" outlineLevel="0" collapsed="false">
      <c r="A233" s="6" t="s">
        <v>596</v>
      </c>
      <c r="B233" s="6" t="n">
        <v>4408071</v>
      </c>
      <c r="C233" s="6" t="s">
        <v>597</v>
      </c>
      <c r="D233" s="6" t="str">
        <f aca="false">TRIM(SUBSTITUTE($A233,CHAR(160)," "))</f>
        <v>59D L</v>
      </c>
      <c r="E233" s="6" t="str">
        <f aca="false">TRIM(SUBSTITUTE($C233,CHAR(160)," "))</f>
        <v>59D L חגורת שבר דו צדדי</v>
      </c>
    </row>
    <row r="234" customFormat="false" ht="15" hidden="false" customHeight="false" outlineLevel="0" collapsed="false">
      <c r="A234" s="6" t="s">
        <v>598</v>
      </c>
      <c r="B234" s="6" t="n">
        <v>4408072</v>
      </c>
      <c r="C234" s="6" t="s">
        <v>599</v>
      </c>
      <c r="D234" s="6" t="str">
        <f aca="false">TRIM(SUBSTITUTE($A234,CHAR(160)," "))</f>
        <v>59D M</v>
      </c>
      <c r="E234" s="6" t="str">
        <f aca="false">TRIM(SUBSTITUTE($C234,CHAR(160)," "))</f>
        <v>59D M חגורת שבר דו צדדי</v>
      </c>
    </row>
    <row r="235" customFormat="false" ht="15" hidden="false" customHeight="false" outlineLevel="0" collapsed="false">
      <c r="A235" s="6" t="s">
        <v>600</v>
      </c>
      <c r="B235" s="6" t="n">
        <v>4408070</v>
      </c>
      <c r="C235" s="6" t="s">
        <v>601</v>
      </c>
      <c r="D235" s="6" t="str">
        <f aca="false">TRIM(SUBSTITUTE($A235,CHAR(160)," "))</f>
        <v>59D S</v>
      </c>
      <c r="E235" s="6" t="str">
        <f aca="false">TRIM(SUBSTITUTE($C235,CHAR(160)," "))</f>
        <v>59D S חגורת שבר דו צדדי</v>
      </c>
    </row>
    <row r="236" customFormat="false" ht="15" hidden="false" customHeight="false" outlineLevel="0" collapsed="false">
      <c r="A236" s="6" t="s">
        <v>602</v>
      </c>
      <c r="B236" s="6" t="n">
        <v>4408073</v>
      </c>
      <c r="C236" s="6" t="s">
        <v>603</v>
      </c>
      <c r="D236" s="6" t="str">
        <f aca="false">TRIM(SUBSTITUTE($A236,CHAR(160)," "))</f>
        <v>59D XL</v>
      </c>
      <c r="E236" s="6" t="str">
        <f aca="false">TRIM(SUBSTITUTE($C236,CHAR(160)," "))</f>
        <v>59D XL חגורת שבר דו צדדי</v>
      </c>
    </row>
    <row r="237" customFormat="false" ht="15" hidden="false" customHeight="false" outlineLevel="0" collapsed="false">
      <c r="A237" s="6" t="s">
        <v>604</v>
      </c>
      <c r="B237" s="6" t="n">
        <v>4408076</v>
      </c>
      <c r="C237" s="6" t="s">
        <v>605</v>
      </c>
      <c r="D237" s="6" t="str">
        <f aca="false">TRIM(SUBSTITUTE($A237,CHAR(160)," "))</f>
        <v>59L L</v>
      </c>
      <c r="E237" s="6" t="str">
        <f aca="false">TRIM(SUBSTITUTE($C237,CHAR(160)," "))</f>
        <v>59L L חגורת שבר לצד שמאל</v>
      </c>
    </row>
    <row r="238" customFormat="false" ht="15" hidden="false" customHeight="false" outlineLevel="0" collapsed="false">
      <c r="A238" s="6" t="s">
        <v>606</v>
      </c>
      <c r="B238" s="6" t="n">
        <v>4408077</v>
      </c>
      <c r="C238" s="6" t="s">
        <v>607</v>
      </c>
      <c r="D238" s="6" t="str">
        <f aca="false">TRIM(SUBSTITUTE($A238,CHAR(160)," "))</f>
        <v>59L M</v>
      </c>
      <c r="E238" s="6" t="str">
        <f aca="false">TRIM(SUBSTITUTE($C238,CHAR(160)," "))</f>
        <v>59L M חגורת שבר לצד שמאל</v>
      </c>
    </row>
    <row r="239" customFormat="false" ht="15" hidden="false" customHeight="false" outlineLevel="0" collapsed="false">
      <c r="A239" s="6" t="s">
        <v>608</v>
      </c>
      <c r="B239" s="6" t="n">
        <v>4408075</v>
      </c>
      <c r="C239" s="6" t="s">
        <v>609</v>
      </c>
      <c r="D239" s="6" t="str">
        <f aca="false">TRIM(SUBSTITUTE($A239,CHAR(160)," "))</f>
        <v>59L S</v>
      </c>
      <c r="E239" s="6" t="str">
        <f aca="false">TRIM(SUBSTITUTE($C239,CHAR(160)," "))</f>
        <v>59L S חגורת שבר לצד שמאל</v>
      </c>
    </row>
    <row r="240" customFormat="false" ht="15" hidden="false" customHeight="false" outlineLevel="0" collapsed="false">
      <c r="A240" s="6" t="s">
        <v>610</v>
      </c>
      <c r="B240" s="6" t="n">
        <v>4408078</v>
      </c>
      <c r="C240" s="6" t="s">
        <v>611</v>
      </c>
      <c r="D240" s="6" t="str">
        <f aca="false">TRIM(SUBSTITUTE($A240,CHAR(160)," "))</f>
        <v>59L XL</v>
      </c>
      <c r="E240" s="6" t="str">
        <f aca="false">TRIM(SUBSTITUTE($C240,CHAR(160)," "))</f>
        <v>59L XLחגורת שבר לצד שמאל</v>
      </c>
    </row>
    <row r="241" customFormat="false" ht="15" hidden="false" customHeight="false" outlineLevel="0" collapsed="false">
      <c r="A241" s="6" t="s">
        <v>612</v>
      </c>
      <c r="B241" s="6" t="n">
        <v>4408080</v>
      </c>
      <c r="C241" s="6" t="s">
        <v>613</v>
      </c>
      <c r="D241" s="6" t="str">
        <f aca="false">TRIM(SUBSTITUTE($A241,CHAR(160)," "))</f>
        <v>59R L</v>
      </c>
      <c r="E241" s="6" t="str">
        <f aca="false">TRIM(SUBSTITUTE($C241,CHAR(160)," "))</f>
        <v>59R L חגורת שבר לצד ימין</v>
      </c>
    </row>
    <row r="242" customFormat="false" ht="15" hidden="false" customHeight="false" outlineLevel="0" collapsed="false">
      <c r="A242" s="6" t="s">
        <v>614</v>
      </c>
      <c r="B242" s="6" t="n">
        <v>4408081</v>
      </c>
      <c r="C242" s="6" t="s">
        <v>615</v>
      </c>
      <c r="D242" s="6" t="str">
        <f aca="false">TRIM(SUBSTITUTE($A242,CHAR(160)," "))</f>
        <v>59R M</v>
      </c>
      <c r="E242" s="6" t="str">
        <f aca="false">TRIM(SUBSTITUTE($C242,CHAR(160)," "))</f>
        <v>59R M חגורת שבר לצד ימין</v>
      </c>
    </row>
    <row r="243" customFormat="false" ht="15" hidden="false" customHeight="false" outlineLevel="0" collapsed="false">
      <c r="A243" s="6" t="s">
        <v>616</v>
      </c>
      <c r="B243" s="6" t="n">
        <v>4408079</v>
      </c>
      <c r="C243" s="6" t="s">
        <v>617</v>
      </c>
      <c r="D243" s="6" t="str">
        <f aca="false">TRIM(SUBSTITUTE($A243,CHAR(160)," "))</f>
        <v>59R S</v>
      </c>
      <c r="E243" s="6" t="str">
        <f aca="false">TRIM(SUBSTITUTE($C243,CHAR(160)," "))</f>
        <v>59R S חגורת שבר לצד ימין</v>
      </c>
    </row>
    <row r="244" customFormat="false" ht="15" hidden="false" customHeight="false" outlineLevel="0" collapsed="false">
      <c r="A244" s="6" t="s">
        <v>618</v>
      </c>
      <c r="B244" s="6" t="n">
        <v>4408082</v>
      </c>
      <c r="C244" s="6" t="s">
        <v>619</v>
      </c>
      <c r="D244" s="6" t="str">
        <f aca="false">TRIM(SUBSTITUTE($A244,CHAR(160)," "))</f>
        <v>59R XL</v>
      </c>
      <c r="E244" s="6" t="str">
        <f aca="false">TRIM(SUBSTITUTE($C244,CHAR(160)," "))</f>
        <v>59R XL חגורת שבר לצד ימין</v>
      </c>
    </row>
    <row r="245" customFormat="false" ht="15" hidden="false" customHeight="false" outlineLevel="0" collapsed="false">
      <c r="A245" s="6" t="s">
        <v>620</v>
      </c>
      <c r="B245" s="6" t="n">
        <v>4408266</v>
      </c>
      <c r="C245" s="6" t="s">
        <v>621</v>
      </c>
      <c r="D245" s="6" t="str">
        <f aca="false">TRIM(SUBSTITUTE($A245,CHAR(160)," "))</f>
        <v>91B 0</v>
      </c>
      <c r="E245" s="6" t="str">
        <f aca="false">TRIM(SUBSTITUTE($C245,CHAR(160)," "))</f>
        <v>91B חבק טניס אלבו</v>
      </c>
    </row>
    <row r="246" customFormat="false" ht="15" hidden="false" customHeight="false" outlineLevel="0" collapsed="false">
      <c r="A246" s="6" t="s">
        <v>622</v>
      </c>
      <c r="B246" s="6" t="n">
        <v>4408084</v>
      </c>
      <c r="C246" s="6" t="s">
        <v>623</v>
      </c>
      <c r="D246" s="6" t="str">
        <f aca="false">TRIM(SUBSTITUTE($A246,CHAR(160)," "))</f>
        <v>922 L</v>
      </c>
      <c r="E246" s="6" t="str">
        <f aca="false">TRIM(SUBSTITUTE($C246,CHAR(160)," "))</f>
        <v>922L.חבק יד לטניס כרית סיליק</v>
      </c>
    </row>
    <row r="247" customFormat="false" ht="15" hidden="false" customHeight="false" outlineLevel="0" collapsed="false">
      <c r="A247" s="6" t="s">
        <v>624</v>
      </c>
      <c r="B247" s="6" t="n">
        <v>4408087</v>
      </c>
      <c r="C247" s="6" t="s">
        <v>625</v>
      </c>
      <c r="D247" s="6" t="str">
        <f aca="false">TRIM(SUBSTITUTE($A247,CHAR(160)," "))</f>
        <v>922 XL</v>
      </c>
      <c r="E247" s="6" t="str">
        <f aca="false">TRIM(SUBSTITUTE($C247,CHAR(160)," "))</f>
        <v>922XLחבק יד לטניס כרית סיליק</v>
      </c>
    </row>
    <row r="248" customFormat="false" ht="15" hidden="false" customHeight="false" outlineLevel="0" collapsed="false">
      <c r="A248" s="6" t="s">
        <v>626</v>
      </c>
      <c r="B248" s="6" t="n">
        <v>4413139</v>
      </c>
      <c r="C248" s="6" t="s">
        <v>627</v>
      </c>
      <c r="D248" s="6" t="str">
        <f aca="false">TRIM(SUBSTITUTE($A248,CHAR(160)," "))</f>
        <v>95 L</v>
      </c>
      <c r="E248" s="6" t="str">
        <f aca="false">TRIM(SUBSTITUTE($C248,CHAR(160)," "))</f>
        <v>95 L מגן מרפק רגיל לבן</v>
      </c>
    </row>
    <row r="249" customFormat="false" ht="15" hidden="false" customHeight="false" outlineLevel="0" collapsed="false">
      <c r="A249" s="6" t="s">
        <v>628</v>
      </c>
      <c r="B249" s="6" t="n">
        <v>4413140</v>
      </c>
      <c r="C249" s="6" t="s">
        <v>629</v>
      </c>
      <c r="D249" s="6" t="str">
        <f aca="false">TRIM(SUBSTITUTE($A249,CHAR(160)," "))</f>
        <v>95 M</v>
      </c>
      <c r="E249" s="6" t="str">
        <f aca="false">TRIM(SUBSTITUTE($C249,CHAR(160)," "))</f>
        <v>95 M מגן מרפק רגיל לבן</v>
      </c>
    </row>
    <row r="250" customFormat="false" ht="15" hidden="false" customHeight="false" outlineLevel="0" collapsed="false">
      <c r="A250" s="6" t="s">
        <v>630</v>
      </c>
      <c r="B250" s="6" t="n">
        <v>4413141</v>
      </c>
      <c r="C250" s="6" t="s">
        <v>631</v>
      </c>
      <c r="D250" s="6" t="str">
        <f aca="false">TRIM(SUBSTITUTE($A250,CHAR(160)," "))</f>
        <v>95 S</v>
      </c>
      <c r="E250" s="6" t="str">
        <f aca="false">TRIM(SUBSTITUTE($C250,CHAR(160)," "))</f>
        <v>95 S מגן מרפק רגיל לבן</v>
      </c>
    </row>
    <row r="251" customFormat="false" ht="15" hidden="false" customHeight="false" outlineLevel="0" collapsed="false">
      <c r="A251" s="6" t="s">
        <v>632</v>
      </c>
      <c r="B251" s="6" t="n">
        <v>4413142</v>
      </c>
      <c r="C251" s="6" t="s">
        <v>633</v>
      </c>
      <c r="D251" s="6" t="str">
        <f aca="false">TRIM(SUBSTITUTE($A251,CHAR(160)," "))</f>
        <v>95 XL</v>
      </c>
      <c r="E251" s="6" t="str">
        <f aca="false">TRIM(SUBSTITUTE($C251,CHAR(160)," "))</f>
        <v>95 XL מגן מרפק רגיל לבן</v>
      </c>
    </row>
    <row r="252" customFormat="false" ht="15" hidden="false" customHeight="false" outlineLevel="0" collapsed="false">
      <c r="A252" s="6" t="s">
        <v>634</v>
      </c>
      <c r="B252" s="6" t="n">
        <v>4413143</v>
      </c>
      <c r="C252" s="6" t="s">
        <v>635</v>
      </c>
      <c r="D252" s="6" t="str">
        <f aca="false">TRIM(SUBSTITUTE($A252,CHAR(160)," "))</f>
        <v>95 XS</v>
      </c>
      <c r="E252" s="6" t="str">
        <f aca="false">TRIM(SUBSTITUTE($C252,CHAR(160)," "))</f>
        <v>95 XS מגן מרפק רגיל לבן</v>
      </c>
    </row>
    <row r="253" customFormat="false" ht="15" hidden="false" customHeight="false" outlineLevel="0" collapsed="false">
      <c r="A253" s="6" t="s">
        <v>636</v>
      </c>
      <c r="B253" s="6" t="n">
        <v>4413144</v>
      </c>
      <c r="C253" s="6" t="s">
        <v>637</v>
      </c>
      <c r="D253" s="6" t="str">
        <f aca="false">TRIM(SUBSTITUTE($A253,CHAR(160)," "))</f>
        <v>95 XXL</v>
      </c>
      <c r="E253" s="6" t="str">
        <f aca="false">TRIM(SUBSTITUTE($C253,CHAR(160)," "))</f>
        <v>95 XXL מגן מרפק רגיל לבן</v>
      </c>
    </row>
    <row r="254" customFormat="false" ht="15" hidden="false" customHeight="false" outlineLevel="0" collapsed="false">
      <c r="A254" s="6" t="s">
        <v>638</v>
      </c>
      <c r="B254" s="6" t="n">
        <v>4413500</v>
      </c>
      <c r="C254" s="6" t="s">
        <v>639</v>
      </c>
      <c r="D254" s="6" t="str">
        <f aca="false">TRIM(SUBSTITUTE($A254,CHAR(160)," "))</f>
        <v>95B L</v>
      </c>
      <c r="E254" s="6" t="str">
        <f aca="false">TRIM(SUBSTITUTE($C254,CHAR(160)," "))</f>
        <v>95B L מגן מרפק שחור</v>
      </c>
    </row>
    <row r="255" customFormat="false" ht="15" hidden="false" customHeight="false" outlineLevel="0" collapsed="false">
      <c r="A255" s="6" t="s">
        <v>640</v>
      </c>
      <c r="B255" s="6" t="n">
        <v>4413501</v>
      </c>
      <c r="C255" s="6" t="s">
        <v>641</v>
      </c>
      <c r="D255" s="6" t="str">
        <f aca="false">TRIM(SUBSTITUTE($A255,CHAR(160)," "))</f>
        <v>95B M</v>
      </c>
      <c r="E255" s="6" t="str">
        <f aca="false">TRIM(SUBSTITUTE($C255,CHAR(160)," "))</f>
        <v>95B M מגן מרפק שחור</v>
      </c>
    </row>
    <row r="256" customFormat="false" ht="15" hidden="false" customHeight="false" outlineLevel="0" collapsed="false">
      <c r="A256" s="6" t="s">
        <v>642</v>
      </c>
      <c r="B256" s="6" t="n">
        <v>4413502</v>
      </c>
      <c r="C256" s="6" t="s">
        <v>643</v>
      </c>
      <c r="D256" s="6" t="str">
        <f aca="false">TRIM(SUBSTITUTE($A256,CHAR(160)," "))</f>
        <v>95B S</v>
      </c>
      <c r="E256" s="6" t="str">
        <f aca="false">TRIM(SUBSTITUTE($C256,CHAR(160)," "))</f>
        <v>95B S מגן מרפק שחור</v>
      </c>
    </row>
    <row r="257" customFormat="false" ht="15" hidden="false" customHeight="false" outlineLevel="0" collapsed="false">
      <c r="A257" s="6" t="s">
        <v>644</v>
      </c>
      <c r="B257" s="6" t="n">
        <v>4413503</v>
      </c>
      <c r="C257" s="6" t="s">
        <v>645</v>
      </c>
      <c r="D257" s="6" t="str">
        <f aca="false">TRIM(SUBSTITUTE($A257,CHAR(160)," "))</f>
        <v>95B XL</v>
      </c>
      <c r="E257" s="6" t="str">
        <f aca="false">TRIM(SUBSTITUTE($C257,CHAR(160)," "))</f>
        <v>95B XL מגן מרפק שחור</v>
      </c>
    </row>
    <row r="258" customFormat="false" ht="15" hidden="false" customHeight="false" outlineLevel="0" collapsed="false">
      <c r="A258" s="6" t="s">
        <v>646</v>
      </c>
      <c r="B258" s="6" t="n">
        <v>4413504</v>
      </c>
      <c r="C258" s="6" t="s">
        <v>647</v>
      </c>
      <c r="D258" s="6" t="str">
        <f aca="false">TRIM(SUBSTITUTE($A258,CHAR(160)," "))</f>
        <v>95B XXL</v>
      </c>
      <c r="E258" s="6" t="str">
        <f aca="false">TRIM(SUBSTITUTE($C258,CHAR(160)," "))</f>
        <v>95B XXLמגן מרפק שחור</v>
      </c>
    </row>
    <row r="259" customFormat="false" ht="15" hidden="false" customHeight="false" outlineLevel="0" collapsed="false">
      <c r="A259" s="6" t="s">
        <v>648</v>
      </c>
      <c r="B259" s="6" t="n">
        <v>4413365</v>
      </c>
      <c r="C259" s="6" t="s">
        <v>649</v>
      </c>
      <c r="D259" s="6" t="str">
        <f aca="false">TRIM(SUBSTITUTE($A259,CHAR(160)," "))</f>
        <v>95C L</v>
      </c>
      <c r="E259" s="6" t="str">
        <f aca="false">TRIM(SUBSTITUTE($C259,CHAR(160)," "))</f>
        <v>95C L 'מגן מרפק בז</v>
      </c>
    </row>
    <row r="260" customFormat="false" ht="15" hidden="false" customHeight="false" outlineLevel="0" collapsed="false">
      <c r="A260" s="6" t="s">
        <v>650</v>
      </c>
      <c r="B260" s="6" t="n">
        <v>4413364</v>
      </c>
      <c r="C260" s="6" t="s">
        <v>651</v>
      </c>
      <c r="D260" s="6" t="str">
        <f aca="false">TRIM(SUBSTITUTE($A260,CHAR(160)," "))</f>
        <v>95C M</v>
      </c>
      <c r="E260" s="6" t="str">
        <f aca="false">TRIM(SUBSTITUTE($C260,CHAR(160)," "))</f>
        <v>95C M 'מגן מרפק בז</v>
      </c>
    </row>
    <row r="261" customFormat="false" ht="15" hidden="false" customHeight="false" outlineLevel="0" collapsed="false">
      <c r="A261" s="6" t="s">
        <v>652</v>
      </c>
      <c r="B261" s="6" t="n">
        <v>4413366</v>
      </c>
      <c r="C261" s="6" t="s">
        <v>653</v>
      </c>
      <c r="D261" s="6" t="str">
        <f aca="false">TRIM(SUBSTITUTE($A261,CHAR(160)," "))</f>
        <v>95C S</v>
      </c>
      <c r="E261" s="6" t="str">
        <f aca="false">TRIM(SUBSTITUTE($C261,CHAR(160)," "))</f>
        <v>95C S 'מגן מרפק בז</v>
      </c>
    </row>
    <row r="262" customFormat="false" ht="15" hidden="false" customHeight="false" outlineLevel="0" collapsed="false">
      <c r="A262" s="6" t="s">
        <v>654</v>
      </c>
      <c r="B262" s="6" t="n">
        <v>4413367</v>
      </c>
      <c r="C262" s="6" t="s">
        <v>655</v>
      </c>
      <c r="D262" s="6" t="str">
        <f aca="false">TRIM(SUBSTITUTE($A262,CHAR(160)," "))</f>
        <v>95C XL</v>
      </c>
      <c r="E262" s="6" t="str">
        <f aca="false">TRIM(SUBSTITUTE($C262,CHAR(160)," "))</f>
        <v>95C XL'מגן מרפק בז</v>
      </c>
    </row>
    <row r="263" customFormat="false" ht="15" hidden="false" customHeight="false" outlineLevel="0" collapsed="false">
      <c r="A263" s="6" t="s">
        <v>656</v>
      </c>
      <c r="B263" s="6" t="n">
        <v>4413368</v>
      </c>
      <c r="C263" s="6" t="s">
        <v>657</v>
      </c>
      <c r="D263" s="6" t="str">
        <f aca="false">TRIM(SUBSTITUTE($A263,CHAR(160)," "))</f>
        <v>95C XS</v>
      </c>
      <c r="E263" s="6" t="str">
        <f aca="false">TRIM(SUBSTITUTE($C263,CHAR(160)," "))</f>
        <v>95C XS'מגן מרפק בז</v>
      </c>
    </row>
    <row r="264" customFormat="false" ht="15" hidden="false" customHeight="false" outlineLevel="0" collapsed="false">
      <c r="A264" s="6" t="s">
        <v>658</v>
      </c>
      <c r="B264" s="6" t="n">
        <v>4413369</v>
      </c>
      <c r="C264" s="6" t="s">
        <v>659</v>
      </c>
      <c r="D264" s="6" t="str">
        <f aca="false">TRIM(SUBSTITUTE($A264,CHAR(160)," "))</f>
        <v>95C XXL</v>
      </c>
      <c r="E264" s="6" t="str">
        <f aca="false">TRIM(SUBSTITUTE($C264,CHAR(160)," "))</f>
        <v>95C XXL'מגן מרפק בז</v>
      </c>
    </row>
    <row r="265" customFormat="false" ht="15" hidden="false" customHeight="false" outlineLevel="0" collapsed="false">
      <c r="A265" s="6" t="s">
        <v>660</v>
      </c>
      <c r="B265" s="6" t="n">
        <v>4408208</v>
      </c>
      <c r="C265" s="6" t="s">
        <v>661</v>
      </c>
      <c r="D265" s="6" t="str">
        <f aca="false">TRIM(SUBSTITUTE($A265,CHAR(160)," "))</f>
        <v>AC91 0</v>
      </c>
      <c r="E265" s="6" t="str">
        <f aca="false">TRIM(SUBSTITUTE($C265,CHAR(160)," "))</f>
        <v>AC91 חבק טניס</v>
      </c>
    </row>
    <row r="266" customFormat="false" ht="15" hidden="false" customHeight="false" outlineLevel="0" collapsed="false">
      <c r="A266" s="6" t="s">
        <v>662</v>
      </c>
      <c r="B266" s="6" t="n">
        <v>4413331</v>
      </c>
      <c r="C266" s="6" t="s">
        <v>663</v>
      </c>
      <c r="D266" s="6" t="str">
        <f aca="false">TRIM(SUBSTITUTE($A266,CHAR(160)," "))</f>
        <v>AC95 0</v>
      </c>
      <c r="E266" s="6" t="str">
        <f aca="false">TRIM(SUBSTITUTE($C266,CHAR(160)," "))</f>
        <v>AC95 מגן מרפק</v>
      </c>
    </row>
    <row r="267" customFormat="false" ht="15" hidden="false" customHeight="false" outlineLevel="0" collapsed="false">
      <c r="A267" s="6" t="s">
        <v>664</v>
      </c>
      <c r="B267" s="6" t="n">
        <v>4413405</v>
      </c>
      <c r="C267" s="6" t="s">
        <v>665</v>
      </c>
      <c r="D267" s="6" t="str">
        <f aca="false">TRIM(SUBSTITUTE($A267,CHAR(160)," "))</f>
        <v>SC95 S</v>
      </c>
      <c r="E267" s="6" t="str">
        <f aca="false">TRIM(SUBSTITUTE($C267,CHAR(160)," "))</f>
        <v>SC95 S מגן מרפק</v>
      </c>
    </row>
    <row r="268" customFormat="false" ht="15" hidden="false" customHeight="false" outlineLevel="0" collapsed="false">
      <c r="A268" s="6" t="s">
        <v>666</v>
      </c>
      <c r="B268" s="6" t="n">
        <v>4413531</v>
      </c>
      <c r="C268" s="6" t="s">
        <v>667</v>
      </c>
      <c r="D268" s="6" t="str">
        <f aca="false">TRIM(SUBSTITUTE($A268,CHAR(160)," "))</f>
        <v>ST91 0</v>
      </c>
      <c r="E268" s="6" t="str">
        <f aca="false">TRIM(SUBSTITUTE($C268,CHAR(160)," "))</f>
        <v>ST91 מגן מרפק לטניס</v>
      </c>
    </row>
    <row r="269" customFormat="false" ht="15" hidden="false" customHeight="false" outlineLevel="0" collapsed="false">
      <c r="A269" s="6" t="s">
        <v>668</v>
      </c>
      <c r="B269" s="6" t="n">
        <v>4420018</v>
      </c>
      <c r="C269" s="6" t="s">
        <v>669</v>
      </c>
      <c r="D269" s="6" t="str">
        <f aca="false">TRIM(SUBSTITUTE($A269,CHAR(160)," "))</f>
        <v>(missing in TRANS source - cell was blank/error)</v>
      </c>
      <c r="E269" s="6" t="str">
        <f aca="false">TRIM(SUBSTITUTE($C269,CHAR(160)," "))</f>
        <v>T90 רצועת טניס אלבו עם פלסטיק</v>
      </c>
    </row>
    <row r="270" customFormat="false" ht="15" hidden="false" customHeight="false" outlineLevel="0" collapsed="false">
      <c r="A270" s="6" t="s">
        <v>670</v>
      </c>
      <c r="B270" s="6" t="n">
        <v>4413210</v>
      </c>
      <c r="C270" s="6" t="s">
        <v>671</v>
      </c>
      <c r="D270" s="6" t="str">
        <f aca="false">TRIM(SUBSTITUTE($A270,CHAR(160)," "))</f>
        <v>T95 S</v>
      </c>
      <c r="E270" s="6" t="str">
        <f aca="false">TRIM(SUBSTITUTE($C270,CHAR(160)," "))</f>
        <v>T95 S מגן מרפק רגיל</v>
      </c>
    </row>
    <row r="271" customFormat="false" ht="15" hidden="false" customHeight="false" outlineLevel="0" collapsed="false">
      <c r="A271" s="6" t="s">
        <v>672</v>
      </c>
      <c r="B271" s="6" t="n">
        <v>4413135</v>
      </c>
      <c r="C271" s="6" t="s">
        <v>673</v>
      </c>
      <c r="D271" s="6" t="str">
        <f aca="false">TRIM(SUBSTITUTE($A271,CHAR(160)," "))</f>
        <v>85 L</v>
      </c>
      <c r="E271" s="6" t="str">
        <f aca="false">TRIM(SUBSTITUTE($C271,CHAR(160)," "))</f>
        <v>85 L (מתלה ליד )כיס</v>
      </c>
    </row>
    <row r="272" customFormat="false" ht="15" hidden="false" customHeight="false" outlineLevel="0" collapsed="false">
      <c r="A272" s="6" t="s">
        <v>674</v>
      </c>
      <c r="B272" s="6" t="n">
        <v>4413136</v>
      </c>
      <c r="C272" s="6" t="s">
        <v>675</v>
      </c>
      <c r="D272" s="6" t="str">
        <f aca="false">TRIM(SUBSTITUTE($A272,CHAR(160)," "))</f>
        <v>85 M</v>
      </c>
      <c r="E272" s="6" t="str">
        <f aca="false">TRIM(SUBSTITUTE($C272,CHAR(160)," "))</f>
        <v>85 M (מתלה ליד )כיס</v>
      </c>
    </row>
    <row r="273" customFormat="false" ht="15" hidden="false" customHeight="false" outlineLevel="0" collapsed="false">
      <c r="A273" s="6" t="s">
        <v>676</v>
      </c>
      <c r="B273" s="6" t="n">
        <v>4413137</v>
      </c>
      <c r="C273" s="6" t="s">
        <v>677</v>
      </c>
      <c r="D273" s="6" t="str">
        <f aca="false">TRIM(SUBSTITUTE($A273,CHAR(160)," "))</f>
        <v>85 S</v>
      </c>
      <c r="E273" s="6" t="str">
        <f aca="false">TRIM(SUBSTITUTE($C273,CHAR(160)," "))</f>
        <v>85 S (מתלה ליד )כיס</v>
      </c>
    </row>
    <row r="274" customFormat="false" ht="15" hidden="false" customHeight="false" outlineLevel="0" collapsed="false">
      <c r="A274" s="6" t="s">
        <v>678</v>
      </c>
      <c r="B274" s="6" t="n">
        <v>4413138</v>
      </c>
      <c r="C274" s="6" t="s">
        <v>679</v>
      </c>
      <c r="D274" s="6" t="str">
        <f aca="false">TRIM(SUBSTITUTE($A274,CHAR(160)," "))</f>
        <v>85 XL</v>
      </c>
      <c r="E274" s="6" t="str">
        <f aca="false">TRIM(SUBSTITUTE($C274,CHAR(160)," "))</f>
        <v>85 XL (מתלה ליד )כיס</v>
      </c>
    </row>
    <row r="275" customFormat="false" ht="15" hidden="false" customHeight="false" outlineLevel="0" collapsed="false">
      <c r="A275" s="6" t="s">
        <v>680</v>
      </c>
      <c r="B275" s="6" t="n">
        <v>4413176</v>
      </c>
      <c r="C275" s="6" t="s">
        <v>681</v>
      </c>
      <c r="D275" s="6" t="str">
        <f aca="false">TRIM(SUBSTITUTE($A275,CHAR(160)," "))</f>
        <v>85+ L</v>
      </c>
      <c r="E275" s="6" t="str">
        <f aca="false">TRIM(SUBSTITUTE($C275,CHAR(160)," "))</f>
        <v>85+ Lמתלה ליד)כיס(+רצועת חיזוק</v>
      </c>
    </row>
    <row r="276" customFormat="false" ht="15" hidden="false" customHeight="false" outlineLevel="0" collapsed="false">
      <c r="A276" s="6" t="s">
        <v>682</v>
      </c>
      <c r="B276" s="6" t="n">
        <v>4413175</v>
      </c>
      <c r="C276" s="6" t="s">
        <v>683</v>
      </c>
      <c r="D276" s="6" t="str">
        <f aca="false">TRIM(SUBSTITUTE($A276,CHAR(160)," "))</f>
        <v>85+ M</v>
      </c>
      <c r="E276" s="6" t="str">
        <f aca="false">TRIM(SUBSTITUTE($C276,CHAR(160)," "))</f>
        <v>85+ Mמתלה ליד)כיס(+רצועת חיזוק</v>
      </c>
    </row>
    <row r="277" customFormat="false" ht="15" hidden="false" customHeight="false" outlineLevel="0" collapsed="false">
      <c r="A277" s="6" t="s">
        <v>684</v>
      </c>
      <c r="B277" s="6" t="n">
        <v>4413177</v>
      </c>
      <c r="C277" s="6" t="s">
        <v>685</v>
      </c>
      <c r="D277" s="6" t="str">
        <f aca="false">TRIM(SUBSTITUTE($A277,CHAR(160)," "))</f>
        <v>85+ XL</v>
      </c>
      <c r="E277" s="6" t="str">
        <f aca="false">TRIM(SUBSTITUTE($C277,CHAR(160)," "))</f>
        <v>85+ XLמתלה ליד)כיס(רצועת חיזוק</v>
      </c>
    </row>
    <row r="278" customFormat="false" ht="15" hidden="false" customHeight="false" outlineLevel="0" collapsed="false">
      <c r="A278" s="6" t="s">
        <v>686</v>
      </c>
      <c r="B278" s="6" t="n">
        <v>4413516</v>
      </c>
      <c r="C278" s="6" t="s">
        <v>687</v>
      </c>
      <c r="D278" s="6" t="str">
        <f aca="false">TRIM(SUBSTITUTE($A278,CHAR(160)," "))</f>
        <v>85B L</v>
      </c>
      <c r="E278" s="6" t="str">
        <f aca="false">TRIM(SUBSTITUTE($C278,CHAR(160)," "))</f>
        <v>85B L מתלה רשת לזרוע שחור</v>
      </c>
    </row>
    <row r="279" customFormat="false" ht="15" hidden="false" customHeight="false" outlineLevel="0" collapsed="false">
      <c r="A279" s="6" t="s">
        <v>688</v>
      </c>
      <c r="B279" s="6" t="n">
        <v>4413517</v>
      </c>
      <c r="C279" s="6" t="s">
        <v>689</v>
      </c>
      <c r="D279" s="6" t="str">
        <f aca="false">TRIM(SUBSTITUTE($A279,CHAR(160)," "))</f>
        <v>85B M</v>
      </c>
      <c r="E279" s="6" t="str">
        <f aca="false">TRIM(SUBSTITUTE($C279,CHAR(160)," "))</f>
        <v>85B M מתלה רשת לזרוע שחור</v>
      </c>
    </row>
    <row r="280" customFormat="false" ht="15" hidden="false" customHeight="false" outlineLevel="0" collapsed="false">
      <c r="A280" s="6" t="s">
        <v>690</v>
      </c>
      <c r="B280" s="6" t="n">
        <v>4413519</v>
      </c>
      <c r="C280" s="6" t="s">
        <v>691</v>
      </c>
      <c r="D280" s="6" t="str">
        <f aca="false">TRIM(SUBSTITUTE($A280,CHAR(160)," "))</f>
        <v>85B S</v>
      </c>
      <c r="E280" s="6" t="str">
        <f aca="false">TRIM(SUBSTITUTE($C280,CHAR(160)," "))</f>
        <v>85B S מתלה רשת לזרוע שחור</v>
      </c>
    </row>
    <row r="281" customFormat="false" ht="15" hidden="false" customHeight="false" outlineLevel="0" collapsed="false">
      <c r="A281" s="6" t="s">
        <v>692</v>
      </c>
      <c r="B281" s="6" t="n">
        <v>4413518</v>
      </c>
      <c r="C281" s="6" t="s">
        <v>693</v>
      </c>
      <c r="D281" s="6" t="str">
        <f aca="false">TRIM(SUBSTITUTE($A281,CHAR(160)," "))</f>
        <v>85B XL</v>
      </c>
      <c r="E281" s="6" t="str">
        <f aca="false">TRIM(SUBSTITUTE($C281,CHAR(160)," "))</f>
        <v>85B XL מתלה רשת לזרוע שחור</v>
      </c>
    </row>
    <row r="282" customFormat="false" ht="15" hidden="false" customHeight="false" outlineLevel="0" collapsed="false">
      <c r="A282" s="6" t="s">
        <v>694</v>
      </c>
      <c r="B282" s="6" t="n">
        <v>4413455</v>
      </c>
      <c r="C282" s="6" t="s">
        <v>695</v>
      </c>
      <c r="D282" s="6" t="str">
        <f aca="false">TRIM(SUBSTITUTE($A282,CHAR(160)," "))</f>
        <v>85K 0</v>
      </c>
      <c r="E282" s="6" t="str">
        <f aca="false">TRIM(SUBSTITUTE($C282,CHAR(160)," "))</f>
        <v>85K מתלה ליד לילדים</v>
      </c>
    </row>
    <row r="283" customFormat="false" ht="15" hidden="false" customHeight="false" outlineLevel="0" collapsed="false">
      <c r="A283" s="6" t="s">
        <v>696</v>
      </c>
      <c r="B283" s="6" t="n">
        <v>4416000</v>
      </c>
      <c r="C283" s="6" t="s">
        <v>697</v>
      </c>
      <c r="D283" s="6" t="str">
        <f aca="false">TRIM(SUBSTITUTE($A283,CHAR(160)," "))</f>
        <v>307 L</v>
      </c>
      <c r="E283" s="6" t="str">
        <f aca="false">TRIM(SUBSTITUTE($C283,CHAR(160)," "))</f>
        <v>307 L עקבים לדורבן-זוג כריות</v>
      </c>
    </row>
    <row r="284" customFormat="false" ht="15" hidden="false" customHeight="false" outlineLevel="0" collapsed="false">
      <c r="A284" s="6" t="s">
        <v>698</v>
      </c>
      <c r="B284" s="6" t="n">
        <v>4416001</v>
      </c>
      <c r="C284" s="6" t="s">
        <v>699</v>
      </c>
      <c r="D284" s="6" t="str">
        <f aca="false">TRIM(SUBSTITUTE($A284,CHAR(160)," "))</f>
        <v>307 M</v>
      </c>
      <c r="E284" s="6" t="str">
        <f aca="false">TRIM(SUBSTITUTE($C284,CHAR(160)," "))</f>
        <v>307 M עקבים לדורבן-זוג כריות</v>
      </c>
    </row>
    <row r="285" customFormat="false" ht="15" hidden="false" customHeight="false" outlineLevel="0" collapsed="false">
      <c r="A285" s="6" t="s">
        <v>700</v>
      </c>
      <c r="B285" s="6" t="n">
        <v>4416002</v>
      </c>
      <c r="C285" s="6" t="s">
        <v>701</v>
      </c>
      <c r="D285" s="6" t="str">
        <f aca="false">TRIM(SUBSTITUTE($A285,CHAR(160)," "))</f>
        <v>307 S</v>
      </c>
      <c r="E285" s="6" t="str">
        <f aca="false">TRIM(SUBSTITUTE($C285,CHAR(160)," "))</f>
        <v>307 S עקבים לדורבן-זוג כריות</v>
      </c>
    </row>
    <row r="286" customFormat="false" ht="15" hidden="false" customHeight="false" outlineLevel="0" collapsed="false">
      <c r="A286" s="6" t="s">
        <v>702</v>
      </c>
      <c r="B286" s="6" t="n">
        <v>4411016</v>
      </c>
      <c r="C286" s="6" t="s">
        <v>703</v>
      </c>
      <c r="D286" s="6" t="str">
        <f aca="false">TRIM(SUBSTITUTE($A286,CHAR(160)," "))</f>
        <v>307 XL</v>
      </c>
      <c r="E286" s="6" t="str">
        <f aca="false">TRIM(SUBSTITUTE($C286,CHAR(160)," "))</f>
        <v>307 XL כרית סיליקון לעקב</v>
      </c>
    </row>
    <row r="287" customFormat="false" ht="15" hidden="false" customHeight="false" outlineLevel="0" collapsed="false">
      <c r="A287" s="6" t="s">
        <v>704</v>
      </c>
      <c r="B287" s="6" t="n">
        <v>4416003</v>
      </c>
      <c r="C287" s="6" t="s">
        <v>705</v>
      </c>
      <c r="D287" s="6" t="str">
        <f aca="false">TRIM(SUBSTITUTE($A287,CHAR(160)," "))</f>
        <v>308 L</v>
      </c>
      <c r="E287" s="6" t="str">
        <f aca="false">TRIM(SUBSTITUTE($C287,CHAR(160)," "))</f>
        <v>308 Lעקבים סיליקון כחול לדורבן</v>
      </c>
    </row>
    <row r="288" customFormat="false" ht="15" hidden="false" customHeight="false" outlineLevel="0" collapsed="false">
      <c r="A288" s="6" t="s">
        <v>706</v>
      </c>
      <c r="B288" s="6" t="n">
        <v>4416005</v>
      </c>
      <c r="C288" s="6" t="s">
        <v>707</v>
      </c>
      <c r="D288" s="6" t="str">
        <f aca="false">TRIM(SUBSTITUTE($A288,CHAR(160)," "))</f>
        <v>308 M</v>
      </c>
      <c r="E288" s="6" t="str">
        <f aca="false">TRIM(SUBSTITUTE($C288,CHAR(160)," "))</f>
        <v>308 Mעקבים סיליק.כחול לדורבן</v>
      </c>
    </row>
    <row r="289" customFormat="false" ht="15" hidden="false" customHeight="false" outlineLevel="0" collapsed="false">
      <c r="A289" s="6" t="s">
        <v>708</v>
      </c>
      <c r="B289" s="6" t="n">
        <v>4413033</v>
      </c>
      <c r="C289" s="6" t="s">
        <v>709</v>
      </c>
      <c r="D289" s="6" t="str">
        <f aca="false">TRIM(SUBSTITUTE($A289,CHAR(160)," "))</f>
        <v>311 0</v>
      </c>
      <c r="E289" s="6" t="str">
        <f aca="false">TRIM(SUBSTITUTE($C289,CHAR(160)," "))</f>
        <v>311'מדב.ג'ל למניעת שפשוף 5 יח</v>
      </c>
    </row>
    <row r="290" customFormat="false" ht="15" hidden="false" customHeight="false" outlineLevel="0" collapsed="false">
      <c r="A290" s="6" t="s">
        <v>710</v>
      </c>
      <c r="B290" s="6" t="n">
        <v>4413034</v>
      </c>
      <c r="C290" s="6" t="s">
        <v>711</v>
      </c>
      <c r="D290" s="6" t="str">
        <f aca="false">TRIM(SUBSTITUTE($A290,CHAR(160)," "))</f>
        <v>312 0</v>
      </c>
      <c r="E290" s="6" t="str">
        <f aca="false">TRIM(SUBSTITUTE($C290,CHAR(160)," "))</f>
        <v>312 9 מ""""ס להתאמהX5 מדבקה גדולה</v>
      </c>
    </row>
    <row r="291" customFormat="false" ht="15" hidden="false" customHeight="false" outlineLevel="0" collapsed="false">
      <c r="A291" s="6" t="s">
        <v>712</v>
      </c>
      <c r="B291" s="6" t="n">
        <v>4415297</v>
      </c>
      <c r="C291" s="6" t="s">
        <v>713</v>
      </c>
      <c r="D291" s="6" t="str">
        <f aca="false">TRIM(SUBSTITUTE($A291,CHAR(160)," "))</f>
        <v>313 0</v>
      </c>
      <c r="E291" s="6" t="str">
        <f aca="false">TRIM(SUBSTITUTE($C291,CHAR(160)," "))</f>
        <v>313 סט פלסטרים נגד שפשופים</v>
      </c>
    </row>
    <row r="292" customFormat="false" ht="15" hidden="false" customHeight="false" outlineLevel="0" collapsed="false">
      <c r="A292" s="6" t="s">
        <v>714</v>
      </c>
      <c r="B292" s="6" t="n">
        <v>4402007</v>
      </c>
      <c r="C292" s="6" t="s">
        <v>715</v>
      </c>
      <c r="D292" s="6" t="str">
        <f aca="false">TRIM(SUBSTITUTE($A292,CHAR(160)," "))</f>
        <v>320 0</v>
      </c>
      <c r="E292" s="6" t="str">
        <f aca="false">TRIM(SUBSTITUTE($C292,CHAR(160)," "))</f>
        <v>320 בליסטר פלסטר</v>
      </c>
    </row>
    <row r="293" customFormat="false" ht="15" hidden="false" customHeight="false" outlineLevel="0" collapsed="false">
      <c r="A293" s="6" t="s">
        <v>716</v>
      </c>
      <c r="B293" s="6" t="n">
        <v>4421001</v>
      </c>
      <c r="C293" s="6" t="s">
        <v>717</v>
      </c>
      <c r="D293" s="6" t="str">
        <f aca="false">TRIM(SUBSTITUTE($A293,CHAR(160)," "))</f>
        <v>3611 0</v>
      </c>
      <c r="E293" s="6" t="str">
        <f aca="false">TRIM(SUBSTITUTE($C293,CHAR(160)," "))</f>
        <v>3611 שרוול מטטרזלי מסיליקון</v>
      </c>
    </row>
    <row r="294" customFormat="false" ht="15" hidden="false" customHeight="false" outlineLevel="0" collapsed="false">
      <c r="A294" s="6" t="s">
        <v>718</v>
      </c>
      <c r="B294" s="6" t="n">
        <v>4413058</v>
      </c>
      <c r="C294" s="6" t="s">
        <v>719</v>
      </c>
      <c r="D294" s="6" t="str">
        <f aca="false">TRIM(SUBSTITUTE($A294,CHAR(160)," "))</f>
        <v>3622S 0</v>
      </c>
      <c r="E294" s="6" t="str">
        <f aca="false">TRIM(SUBSTITUTE($C294,CHAR(160)," "))</f>
        <v>3622S מדבקה לשחרור לחץ 2 יח</v>
      </c>
    </row>
    <row r="295" customFormat="false" ht="15" hidden="false" customHeight="false" outlineLevel="0" collapsed="false">
      <c r="A295" s="6" t="s">
        <v>720</v>
      </c>
      <c r="B295" s="6" t="n">
        <v>4411001</v>
      </c>
      <c r="C295" s="6" t="s">
        <v>721</v>
      </c>
      <c r="D295" s="6" t="str">
        <f aca="false">TRIM(SUBSTITUTE($A295,CHAR(160)," "))</f>
        <v>3623 0</v>
      </c>
      <c r="E295" s="6" t="str">
        <f aca="false">TRIM(SUBSTITUTE($C295,CHAR(160)," "))</f>
        <v>3623 כרית ליישור אצבע פטיש</v>
      </c>
    </row>
    <row r="296" customFormat="false" ht="15" hidden="false" customHeight="false" outlineLevel="0" collapsed="false">
      <c r="A296" s="6" t="s">
        <v>722</v>
      </c>
      <c r="B296" s="6" t="n">
        <v>4402000</v>
      </c>
      <c r="C296" s="6" t="s">
        <v>723</v>
      </c>
      <c r="D296" s="6" t="str">
        <f aca="false">TRIM(SUBSTITUTE($A296,CHAR(160)," "))</f>
        <v>363-L-R</v>
      </c>
      <c r="E296" s="6" t="str">
        <f aca="false">TRIM(SUBSTITUTE($C296,CHAR(160)," "))</f>
        <v>363 בננה לתמיכת אצבעות ז.כרית</v>
      </c>
    </row>
    <row r="297" customFormat="false" ht="15" hidden="false" customHeight="false" outlineLevel="0" collapsed="false">
      <c r="A297" s="6" t="s">
        <v>724</v>
      </c>
      <c r="B297" s="6" t="n">
        <v>4413060</v>
      </c>
      <c r="C297" s="6" t="s">
        <v>725</v>
      </c>
      <c r="D297" s="6" t="str">
        <f aca="false">TRIM(SUBSTITUTE($A297,CHAR(160)," "))</f>
        <v>364 XL</v>
      </c>
      <c r="E297" s="6" t="str">
        <f aca="false">TRIM(SUBSTITUTE($C297,CHAR(160)," "))</f>
        <v>364 XLמפריד אצבע סיליקון ליבלת</v>
      </c>
    </row>
    <row r="298" customFormat="false" ht="15" hidden="false" customHeight="false" outlineLevel="0" collapsed="false">
      <c r="A298" s="6" t="s">
        <v>726</v>
      </c>
      <c r="B298" s="6" t="n">
        <v>4413061</v>
      </c>
      <c r="C298" s="6" t="s">
        <v>727</v>
      </c>
      <c r="D298" s="6" t="str">
        <f aca="false">TRIM(SUBSTITUTE($A298,CHAR(160)," "))</f>
        <v>3641 0</v>
      </c>
      <c r="E298" s="6" t="str">
        <f aca="false">TRIM(SUBSTITUTE($C298,CHAR(160)," "))</f>
        <v>3641-מיישר בוהן סיליקון קשיח</v>
      </c>
    </row>
    <row r="299" customFormat="false" ht="15" hidden="false" customHeight="false" outlineLevel="0" collapsed="false">
      <c r="A299" s="6" t="s">
        <v>728</v>
      </c>
      <c r="B299" s="6" t="n">
        <v>4413059</v>
      </c>
      <c r="C299" s="6" t="s">
        <v>729</v>
      </c>
      <c r="D299" s="6" t="str">
        <f aca="false">TRIM(SUBSTITUTE($A299,CHAR(160)," "))</f>
        <v>364-S-L</v>
      </c>
      <c r="E299" s="6" t="str">
        <f aca="false">TRIM(SUBSTITUTE($C299,CHAR(160)," "))</f>
        <v>364S Lמפר.אצבע סיליק. ליבל.זוג</v>
      </c>
    </row>
    <row r="300" customFormat="false" ht="15" hidden="false" customHeight="false" outlineLevel="0" collapsed="false">
      <c r="A300" s="6" t="s">
        <v>730</v>
      </c>
      <c r="B300" s="6" t="n">
        <v>4409001</v>
      </c>
      <c r="C300" s="6" t="s">
        <v>731</v>
      </c>
      <c r="D300" s="6" t="str">
        <f aca="false">TRIM(SUBSTITUTE($A300,CHAR(160)," "))</f>
        <v>365-XL</v>
      </c>
      <c r="E300" s="6" t="str">
        <f aca="false">TRIM(SUBSTITUTE($C300,CHAR(160)," "))</f>
        <v>365 X-Lטבעת אלסטית מסיליקון</v>
      </c>
    </row>
    <row r="301" customFormat="false" ht="15" hidden="false" customHeight="false" outlineLevel="0" collapsed="false">
      <c r="A301" s="6" t="s">
        <v>732</v>
      </c>
      <c r="B301" s="6" t="n">
        <v>4409000</v>
      </c>
      <c r="C301" s="6" t="s">
        <v>733</v>
      </c>
      <c r="D301" s="6" t="str">
        <f aca="false">TRIM(SUBSTITUTE($A301,CHAR(160)," "))</f>
        <v>365-S-L</v>
      </c>
      <c r="E301" s="6" t="str">
        <f aca="false">TRIM(SUBSTITUTE($C301,CHAR(160)," "))</f>
        <v>365 S-Lטבעת אלסטית מסיליקון</v>
      </c>
    </row>
    <row r="302" customFormat="false" ht="15" hidden="false" customHeight="false" outlineLevel="0" collapsed="false">
      <c r="A302" s="6" t="s">
        <v>734</v>
      </c>
      <c r="B302" s="6" t="n">
        <v>4421000</v>
      </c>
      <c r="C302" s="6" t="s">
        <v>735</v>
      </c>
      <c r="D302" s="6" t="str">
        <f aca="false">TRIM(SUBSTITUTE($A302,CHAR(160)," "))</f>
        <v>3655 0</v>
      </c>
      <c r="E302" s="6" t="str">
        <f aca="false">TRIM(SUBSTITUTE($C302,CHAR(160)," "))</f>
        <v>3655 שרוול מסיליקון לאצבע</v>
      </c>
    </row>
    <row r="303" customFormat="false" ht="15" hidden="false" customHeight="false" outlineLevel="0" collapsed="false">
      <c r="A303" s="6" t="s">
        <v>736</v>
      </c>
      <c r="B303" s="6" t="n">
        <v>4413340</v>
      </c>
      <c r="C303" s="6" t="s">
        <v>737</v>
      </c>
      <c r="D303" s="6" t="str">
        <f aca="false">TRIM(SUBSTITUTE($A303,CHAR(160)," "))</f>
        <v>3666 0</v>
      </c>
      <c r="E303" s="6" t="str">
        <f aca="false">TRIM(SUBSTITUTE($C303,CHAR(160)," "))</f>
        <v>3666 מפריד הלוקס</v>
      </c>
    </row>
    <row r="304" customFormat="false" ht="15" hidden="false" customHeight="false" outlineLevel="0" collapsed="false">
      <c r="A304" s="6" t="s">
        <v>738</v>
      </c>
      <c r="B304" s="6" t="n">
        <v>4413063</v>
      </c>
      <c r="C304" s="6" t="s">
        <v>739</v>
      </c>
      <c r="D304" s="6" t="str">
        <f aca="false">TRIM(SUBSTITUTE($A304,CHAR(160)," "))</f>
        <v>366S 0</v>
      </c>
      <c r="E304" s="6" t="str">
        <f aca="false">TRIM(SUBSTITUTE($C304,CHAR(160)," "))</f>
        <v>366S-'מדבק.לשחרור לחץ מיבלת2יח</v>
      </c>
    </row>
    <row r="305" customFormat="false" ht="15" hidden="false" customHeight="false" outlineLevel="0" collapsed="false">
      <c r="A305" s="6" t="s">
        <v>740</v>
      </c>
      <c r="B305" s="6" t="n">
        <v>4421003</v>
      </c>
      <c r="C305" s="6" t="s">
        <v>741</v>
      </c>
      <c r="D305" s="6" t="str">
        <f aca="false">TRIM(SUBSTITUTE($A305,CHAR(160)," "))</f>
        <v>3672 0</v>
      </c>
      <c r="E305" s="6" t="str">
        <f aca="false">TRIM(SUBSTITUTE($C305,CHAR(160)," "))</f>
        <v>3672 שרוול מגן לבוניון</v>
      </c>
    </row>
    <row r="306" customFormat="false" ht="15" hidden="false" customHeight="false" outlineLevel="0" collapsed="false">
      <c r="A306" s="6" t="s">
        <v>742</v>
      </c>
      <c r="B306" s="6" t="n">
        <v>4413370</v>
      </c>
      <c r="C306" s="6" t="s">
        <v>743</v>
      </c>
      <c r="D306" s="6" t="str">
        <f aca="false">TRIM(SUBSTITUTE($A306,CHAR(160)," "))</f>
        <v>3674 0</v>
      </c>
      <c r="E306" s="6" t="str">
        <f aca="false">TRIM(SUBSTITUTE($C306,CHAR(160)," "))</f>
        <v>3674 0 מ.בוניון+מפריד אצבע</v>
      </c>
    </row>
    <row r="307" customFormat="false" ht="15" hidden="false" customHeight="false" outlineLevel="0" collapsed="false">
      <c r="A307" s="6" t="s">
        <v>744</v>
      </c>
      <c r="B307" s="6" t="n">
        <v>4413371</v>
      </c>
      <c r="C307" s="6" t="s">
        <v>745</v>
      </c>
      <c r="D307" s="6" t="str">
        <f aca="false">TRIM(SUBSTITUTE($A307,CHAR(160)," "))</f>
        <v>3675 0</v>
      </c>
      <c r="E307" s="6" t="str">
        <f aca="false">TRIM(SUBSTITUTE($C307,CHAR(160)," "))</f>
        <v>3675 מגן זרת מסיליקון</v>
      </c>
    </row>
    <row r="308" customFormat="false" ht="15" hidden="false" customHeight="false" outlineLevel="0" collapsed="false">
      <c r="A308" s="6" t="s">
        <v>746</v>
      </c>
      <c r="B308" s="6" t="n">
        <v>4413066</v>
      </c>
      <c r="C308" s="6" t="s">
        <v>747</v>
      </c>
      <c r="D308" s="6" t="str">
        <f aca="false">TRIM(SUBSTITUTE($A308,CHAR(160)," "))</f>
        <v>3677S 0</v>
      </c>
      <c r="E308" s="6" t="str">
        <f aca="false">TRIM(SUBSTITUTE($C308,CHAR(160)," "))</f>
        <v>3677S-מד.לשחרור לחץ א.הבוניון</v>
      </c>
    </row>
    <row r="309" customFormat="false" ht="15" hidden="false" customHeight="false" outlineLevel="0" collapsed="false">
      <c r="A309" s="6" t="s">
        <v>748</v>
      </c>
      <c r="B309" s="6" t="n">
        <v>4401001</v>
      </c>
      <c r="C309" s="6" t="s">
        <v>749</v>
      </c>
      <c r="D309" s="6" t="str">
        <f aca="false">TRIM(SUBSTITUTE($A309,CHAR(160)," "))</f>
        <v>369-XL</v>
      </c>
      <c r="E309" s="6" t="str">
        <f aca="false">TRIM(SUBSTITUTE($C309,CHAR(160)," "))</f>
        <v>369 XL אצבעון מסיליקון יחידה</v>
      </c>
    </row>
    <row r="310" customFormat="false" ht="15" hidden="false" customHeight="false" outlineLevel="0" collapsed="false">
      <c r="A310" s="6" t="s">
        <v>750</v>
      </c>
      <c r="B310" s="6" t="n">
        <v>4401000</v>
      </c>
      <c r="C310" s="6" t="s">
        <v>751</v>
      </c>
      <c r="D310" s="6" t="str">
        <f aca="false">TRIM(SUBSTITUTE($A310,CHAR(160)," "))</f>
        <v>369-S-L</v>
      </c>
      <c r="E310" s="6" t="str">
        <f aca="false">TRIM(SUBSTITUTE($C310,CHAR(160)," "))</f>
        <v>369 S-L אצבעון מסיליקון יחידה</v>
      </c>
    </row>
    <row r="311" customFormat="false" ht="15" hidden="false" customHeight="false" outlineLevel="0" collapsed="false">
      <c r="A311" s="6" t="s">
        <v>752</v>
      </c>
      <c r="B311" s="6" t="n">
        <v>4408069</v>
      </c>
      <c r="C311" s="6" t="s">
        <v>753</v>
      </c>
      <c r="D311" s="6" t="str">
        <f aca="false">TRIM(SUBSTITUTE($A311,CHAR(160)," "))</f>
        <v>38 0</v>
      </c>
      <c r="E311" s="6" t="str">
        <f aca="false">TRIM(SUBSTITUTE($C311,CHAR(160)," "))</f>
        <v>38 .חבישת""""הלוקס ולגוס""""לאחר נית</v>
      </c>
    </row>
    <row r="312" customFormat="false" ht="15" hidden="false" customHeight="false" outlineLevel="0" collapsed="false">
      <c r="A312" s="6" t="s">
        <v>754</v>
      </c>
      <c r="B312" s="6" t="n">
        <v>4413452</v>
      </c>
      <c r="C312" s="6" t="s">
        <v>755</v>
      </c>
      <c r="D312" s="6" t="str">
        <f aca="false">TRIM(SUBSTITUTE($A312,CHAR(160)," "))</f>
        <v>386 0</v>
      </c>
      <c r="E312" s="6" t="str">
        <f aca="false">TRIM(SUBSTITUTE($C312,CHAR(160)," "))</f>
        <v>386 מיישר בוניון-האלוקס ולגוס</v>
      </c>
    </row>
    <row r="313" customFormat="false" ht="15" hidden="false" customHeight="false" outlineLevel="0" collapsed="false">
      <c r="A313" s="6" t="s">
        <v>756</v>
      </c>
      <c r="B313" s="6" t="n">
        <v>4411015</v>
      </c>
      <c r="C313" s="6" t="s">
        <v>757</v>
      </c>
      <c r="D313" s="6" t="str">
        <f aca="false">TRIM(SUBSTITUTE($A313,CHAR(160)," "))</f>
        <v>820 0</v>
      </c>
      <c r="E313" s="6" t="str">
        <f aca="false">TRIM(SUBSTITUTE($C313,CHAR(160)," "))</f>
        <v>820 0 כרית חום וקור</v>
      </c>
    </row>
    <row r="314" customFormat="false" ht="15" hidden="false" customHeight="false" outlineLevel="0" collapsed="false">
      <c r="A314" s="6" t="s">
        <v>758</v>
      </c>
      <c r="B314" s="6" t="n">
        <v>4413307</v>
      </c>
      <c r="C314" s="6" t="s">
        <v>759</v>
      </c>
      <c r="D314" s="6" t="str">
        <f aca="false">TRIM(SUBSTITUTE($A314,CHAR(160)," "))</f>
        <v>3667 0</v>
      </c>
      <c r="E314" s="6" t="str">
        <f aca="false">TRIM(SUBSTITUTE($C314,CHAR(160)," "))</f>
        <v>URI 3667 מגן בוניון</v>
      </c>
    </row>
    <row r="315" customFormat="false" ht="15" hidden="false" customHeight="false" outlineLevel="0" collapsed="false">
      <c r="A315" s="6" t="s">
        <v>760</v>
      </c>
      <c r="B315" s="6" t="n">
        <v>4411000</v>
      </c>
      <c r="C315" s="6" t="s">
        <v>761</v>
      </c>
      <c r="D315" s="6" t="str">
        <f aca="false">TRIM(SUBSTITUTE($A315,CHAR(160)," "))</f>
        <v>362-L-R</v>
      </c>
      <c r="E315" s="6" t="str">
        <f aca="false">TRIM(SUBSTITUTE($C315,CHAR(160)," "))</f>
        <v>כרית מטטרזלי סיליקון362</v>
      </c>
    </row>
    <row r="316" customFormat="false" ht="15" hidden="false" customHeight="false" outlineLevel="0" collapsed="false">
      <c r="A316" s="6" t="s">
        <v>762</v>
      </c>
      <c r="B316" s="6" t="n">
        <v>4401002</v>
      </c>
      <c r="C316" s="6" t="s">
        <v>763</v>
      </c>
      <c r="D316" s="6" t="str">
        <f aca="false">TRIM(SUBSTITUTE($A316,CHAR(160)," "))</f>
        <v>PD344 0</v>
      </c>
      <c r="E316" s="6" t="str">
        <f aca="false">TRIM(SUBSTITUTE($C316,CHAR(160)," "))</f>
        <v>PD 344-אבן טבעית להסרת עור קשה</v>
      </c>
    </row>
    <row r="317" customFormat="false" ht="15" hidden="false" customHeight="false" outlineLevel="0" collapsed="false">
      <c r="A317" s="6" t="s">
        <v>764</v>
      </c>
      <c r="B317" s="6" t="n">
        <v>4419006</v>
      </c>
      <c r="C317" s="6" t="s">
        <v>765</v>
      </c>
      <c r="D317" s="6" t="str">
        <f aca="false">TRIM(SUBSTITUTE($A317,CHAR(160)," "))</f>
        <v>PD340 0</v>
      </c>
      <c r="E317" s="6" t="str">
        <f aca="false">TRIM(SUBSTITUTE($C317,CHAR(160)," "))</f>
        <v>PD340-קוצץ ציפורניים</v>
      </c>
    </row>
    <row r="318" customFormat="false" ht="15" hidden="false" customHeight="false" outlineLevel="0" collapsed="false">
      <c r="A318" s="6" t="s">
        <v>766</v>
      </c>
      <c r="B318" s="6" t="n">
        <v>4413150</v>
      </c>
      <c r="C318" s="6" t="s">
        <v>767</v>
      </c>
      <c r="D318" s="6" t="str">
        <f aca="false">TRIM(SUBSTITUTE($A318,CHAR(160)," "))</f>
        <v>PD341 0</v>
      </c>
      <c r="E318" s="6" t="str">
        <f aca="false">TRIM(SUBSTITUTE($C318,CHAR(160)," "))</f>
        <v>PD341-מקצוע להסרת עור קשה</v>
      </c>
    </row>
    <row r="319" customFormat="false" ht="15" hidden="false" customHeight="false" outlineLevel="0" collapsed="false">
      <c r="A319" s="6" t="s">
        <v>768</v>
      </c>
      <c r="B319" s="6" t="n">
        <v>4417000</v>
      </c>
      <c r="C319" s="6" t="s">
        <v>769</v>
      </c>
      <c r="D319" s="6" t="str">
        <f aca="false">TRIM(SUBSTITUTE($A319,CHAR(160)," "))</f>
        <v>PD342 0</v>
      </c>
      <c r="E319" s="6" t="str">
        <f aca="false">TRIM(SUBSTITUTE($C319,CHAR(160)," "))</f>
        <v>PD342-פומפיה להסרת עור קשה</v>
      </c>
    </row>
    <row r="320" customFormat="false" ht="15" hidden="false" customHeight="false" outlineLevel="0" collapsed="false">
      <c r="A320" s="6" t="s">
        <v>770</v>
      </c>
      <c r="B320" s="6" t="n">
        <v>4415080</v>
      </c>
      <c r="C320" s="6" t="s">
        <v>771</v>
      </c>
      <c r="D320" s="6" t="str">
        <f aca="false">TRIM(SUBSTITUTE($A320,CHAR(160)," "))</f>
        <v>PD346 0</v>
      </c>
      <c r="E320" s="6" t="str">
        <f aca="false">TRIM(SUBSTITUTE($C320,CHAR(160)," "))</f>
        <v>PD346-10 סכינים למקצוע</v>
      </c>
    </row>
    <row r="321" customFormat="false" ht="15" hidden="false" customHeight="false" outlineLevel="0" collapsed="false">
      <c r="A321" s="6" t="s">
        <v>772</v>
      </c>
      <c r="B321" s="6" t="n">
        <v>4411029</v>
      </c>
      <c r="C321" s="6" t="s">
        <v>773</v>
      </c>
      <c r="D321" s="6" t="str">
        <f aca="false">TRIM(SUBSTITUTE($A321,CHAR(160)," "))</f>
        <v>213CTSR L</v>
      </c>
      <c r="E321" s="6" t="str">
        <f aca="false">TRIM(SUBSTITUTE($C321,CHAR(160)," "))</f>
        <v>213CTSR L ימין CTS כפפות</v>
      </c>
    </row>
    <row r="322" customFormat="false" ht="15" hidden="false" customHeight="false" outlineLevel="0" collapsed="false">
      <c r="A322" s="6" t="s">
        <v>774</v>
      </c>
      <c r="B322" s="6" t="n">
        <v>4408046</v>
      </c>
      <c r="C322" s="6" t="s">
        <v>775</v>
      </c>
      <c r="D322" s="6" t="str">
        <f aca="false">TRIM(SUBSTITUTE($A322,CHAR(160)," "))</f>
        <v>20 L</v>
      </c>
      <c r="E322" s="6" t="str">
        <f aca="false">TRIM(SUBSTITUTE($C322,CHAR(160)," "))</f>
        <v>20 L חבק יד מתכוון עם צמדן</v>
      </c>
    </row>
    <row r="323" customFormat="false" ht="15" hidden="false" customHeight="false" outlineLevel="0" collapsed="false">
      <c r="A323" s="6" t="s">
        <v>776</v>
      </c>
      <c r="B323" s="6" t="n">
        <v>4408047</v>
      </c>
      <c r="C323" s="6" t="s">
        <v>777</v>
      </c>
      <c r="D323" s="6" t="str">
        <f aca="false">TRIM(SUBSTITUTE($A323,CHAR(160)," "))</f>
        <v>20 M</v>
      </c>
      <c r="E323" s="6" t="str">
        <f aca="false">TRIM(SUBSTITUTE($C323,CHAR(160)," "))</f>
        <v>20 M חבק יד מתכוון עם צמדן</v>
      </c>
    </row>
    <row r="324" customFormat="false" ht="15" hidden="false" customHeight="false" outlineLevel="0" collapsed="false">
      <c r="A324" s="6" t="s">
        <v>778</v>
      </c>
      <c r="B324" s="6" t="n">
        <v>4408048</v>
      </c>
      <c r="C324" s="6" t="s">
        <v>779</v>
      </c>
      <c r="D324" s="6" t="str">
        <f aca="false">TRIM(SUBSTITUTE($A324,CHAR(160)," "))</f>
        <v>20 S</v>
      </c>
      <c r="E324" s="6" t="str">
        <f aca="false">TRIM(SUBSTITUTE($C324,CHAR(160)," "))</f>
        <v>20 S חבק יד מתכוון עם צמדן</v>
      </c>
    </row>
    <row r="325" customFormat="false" ht="15" hidden="false" customHeight="false" outlineLevel="0" collapsed="false">
      <c r="A325" s="6" t="s">
        <v>780</v>
      </c>
      <c r="B325" s="6" t="n">
        <v>4408049</v>
      </c>
      <c r="C325" s="6" t="s">
        <v>781</v>
      </c>
      <c r="D325" s="6" t="str">
        <f aca="false">TRIM(SUBSTITUTE($A325,CHAR(160)," "))</f>
        <v>20 XL</v>
      </c>
      <c r="E325" s="6" t="str">
        <f aca="false">TRIM(SUBSTITUTE($C325,CHAR(160)," "))</f>
        <v>20 XL חבק יד מתכוון עם צמדן</v>
      </c>
    </row>
    <row r="326" customFormat="false" ht="15" hidden="false" customHeight="false" outlineLevel="0" collapsed="false">
      <c r="A326" s="6" t="s">
        <v>782</v>
      </c>
      <c r="B326" s="6" t="n">
        <v>4408050</v>
      </c>
      <c r="C326" s="6" t="s">
        <v>783</v>
      </c>
      <c r="D326" s="6" t="str">
        <f aca="false">TRIM(SUBSTITUTE($A326,CHAR(160)," "))</f>
        <v>20 XXL</v>
      </c>
      <c r="E326" s="6" t="str">
        <f aca="false">TRIM(SUBSTITUTE($C326,CHAR(160)," "))</f>
        <v>20 XXL חבק יד מתכוון עם צמדן</v>
      </c>
    </row>
    <row r="327" customFormat="false" ht="15" hidden="false" customHeight="false" outlineLevel="0" collapsed="false">
      <c r="A327" s="6" t="s">
        <v>784</v>
      </c>
      <c r="B327" s="6" t="n">
        <v>4408275</v>
      </c>
      <c r="C327" s="6" t="s">
        <v>785</v>
      </c>
      <c r="D327" s="6" t="str">
        <f aca="false">TRIM(SUBSTITUTE($A327,CHAR(160)," "))</f>
        <v>202 0</v>
      </c>
      <c r="E327" s="6" t="str">
        <f aca="false">TRIM(SUBSTITUTE($C327,CHAR(160)," "))</f>
        <v>202 ONE SIZE חבק יד</v>
      </c>
    </row>
    <row r="328" customFormat="false" ht="15" hidden="false" customHeight="false" outlineLevel="0" collapsed="false">
      <c r="A328" s="6" t="s">
        <v>786</v>
      </c>
      <c r="B328" s="6" t="n">
        <v>4408052</v>
      </c>
      <c r="C328" s="6" t="s">
        <v>787</v>
      </c>
      <c r="D328" s="6" t="str">
        <f aca="false">TRIM(SUBSTITUTE($A328,CHAR(160)," "))</f>
        <v>21 L</v>
      </c>
      <c r="E328" s="6" t="str">
        <f aca="false">TRIM(SUBSTITUTE($C328,CHAR(160)," "))</f>
        <v>21 L חבק יד ארוך</v>
      </c>
    </row>
    <row r="329" customFormat="false" ht="15" hidden="false" customHeight="false" outlineLevel="0" collapsed="false">
      <c r="A329" s="6" t="s">
        <v>788</v>
      </c>
      <c r="B329" s="6" t="n">
        <v>4408053</v>
      </c>
      <c r="C329" s="6" t="s">
        <v>789</v>
      </c>
      <c r="D329" s="6" t="str">
        <f aca="false">TRIM(SUBSTITUTE($A329,CHAR(160)," "))</f>
        <v>21 M</v>
      </c>
      <c r="E329" s="6" t="str">
        <f aca="false">TRIM(SUBSTITUTE($C329,CHAR(160)," "))</f>
        <v>21 M חבק יד ארוך</v>
      </c>
    </row>
    <row r="330" customFormat="false" ht="15" hidden="false" customHeight="false" outlineLevel="0" collapsed="false">
      <c r="A330" s="6" t="s">
        <v>790</v>
      </c>
      <c r="B330" s="6" t="n">
        <v>4408051</v>
      </c>
      <c r="C330" s="6" t="s">
        <v>791</v>
      </c>
      <c r="D330" s="6" t="str">
        <f aca="false">TRIM(SUBSTITUTE($A330,CHAR(160)," "))</f>
        <v>21 S</v>
      </c>
      <c r="E330" s="6" t="str">
        <f aca="false">TRIM(SUBSTITUTE($C330,CHAR(160)," "))</f>
        <v>21 S חבק יד ארוך</v>
      </c>
    </row>
    <row r="331" customFormat="false" ht="15" hidden="false" customHeight="false" outlineLevel="0" collapsed="false">
      <c r="A331" s="6" t="s">
        <v>792</v>
      </c>
      <c r="B331" s="6" t="n">
        <v>4408054</v>
      </c>
      <c r="C331" s="6" t="s">
        <v>793</v>
      </c>
      <c r="D331" s="6" t="str">
        <f aca="false">TRIM(SUBSTITUTE($A331,CHAR(160)," "))</f>
        <v>21 XL</v>
      </c>
      <c r="E331" s="6" t="str">
        <f aca="false">TRIM(SUBSTITUTE($C331,CHAR(160)," "))</f>
        <v>21 XL חבק יד ארוך</v>
      </c>
    </row>
    <row r="332" customFormat="false" ht="15" hidden="false" customHeight="false" outlineLevel="0" collapsed="false">
      <c r="A332" s="6" t="s">
        <v>794</v>
      </c>
      <c r="B332" s="6" t="n">
        <v>4413399</v>
      </c>
      <c r="C332" s="6" t="s">
        <v>795</v>
      </c>
      <c r="D332" s="6" t="str">
        <f aca="false">TRIM(SUBSTITUTE($A332,CHAR(160)," "))</f>
        <v>21 XS</v>
      </c>
      <c r="E332" s="6" t="str">
        <f aca="false">TRIM(SUBSTITUTE($C332,CHAR(160)," "))</f>
        <v>21 XS מגן יד</v>
      </c>
    </row>
    <row r="333" customFormat="false" ht="15" hidden="false" customHeight="false" outlineLevel="0" collapsed="false">
      <c r="A333" s="6" t="s">
        <v>796</v>
      </c>
      <c r="B333" s="6" t="n">
        <v>4411017</v>
      </c>
      <c r="C333" s="6" t="s">
        <v>797</v>
      </c>
      <c r="D333" s="6" t="str">
        <f aca="false">TRIM(SUBSTITUTE($A333,CHAR(160)," "))</f>
        <v>211 L</v>
      </c>
      <c r="E333" s="6" t="str">
        <f aca="false">TRIM(SUBSTITUTE($C333,CHAR(160)," "))</f>
        <v>211L כפפות לחץ</v>
      </c>
    </row>
    <row r="334" customFormat="false" ht="15" hidden="false" customHeight="false" outlineLevel="0" collapsed="false">
      <c r="A334" s="6" t="s">
        <v>798</v>
      </c>
      <c r="B334" s="6" t="n">
        <v>4411018</v>
      </c>
      <c r="C334" s="6" t="s">
        <v>799</v>
      </c>
      <c r="D334" s="6" t="str">
        <f aca="false">TRIM(SUBSTITUTE($A334,CHAR(160)," "))</f>
        <v>211 M</v>
      </c>
      <c r="E334" s="6" t="str">
        <f aca="false">TRIM(SUBSTITUTE($C334,CHAR(160)," "))</f>
        <v>211M כפפות לחץ</v>
      </c>
    </row>
    <row r="335" customFormat="false" ht="15" hidden="false" customHeight="false" outlineLevel="0" collapsed="false">
      <c r="A335" s="6" t="s">
        <v>800</v>
      </c>
      <c r="B335" s="6" t="n">
        <v>4411019</v>
      </c>
      <c r="C335" s="6" t="s">
        <v>801</v>
      </c>
      <c r="D335" s="6" t="str">
        <f aca="false">TRIM(SUBSTITUTE($A335,CHAR(160)," "))</f>
        <v>211 S</v>
      </c>
      <c r="E335" s="6" t="str">
        <f aca="false">TRIM(SUBSTITUTE($C335,CHAR(160)," "))</f>
        <v>211S כפפות לחץ</v>
      </c>
    </row>
    <row r="336" customFormat="false" ht="15" hidden="false" customHeight="false" outlineLevel="0" collapsed="false">
      <c r="A336" s="6" t="s">
        <v>802</v>
      </c>
      <c r="B336" s="6" t="n">
        <v>4411020</v>
      </c>
      <c r="C336" s="6" t="s">
        <v>803</v>
      </c>
      <c r="D336" s="6" t="str">
        <f aca="false">TRIM(SUBSTITUTE($A336,CHAR(160)," "))</f>
        <v>211 XL</v>
      </c>
      <c r="E336" s="6" t="str">
        <f aca="false">TRIM(SUBSTITUTE($C336,CHAR(160)," "))</f>
        <v>211XL כפפות לחץ</v>
      </c>
    </row>
    <row r="337" customFormat="false" ht="15" hidden="false" customHeight="false" outlineLevel="0" collapsed="false">
      <c r="A337" s="6" t="s">
        <v>804</v>
      </c>
      <c r="B337" s="6" t="n">
        <v>4411021</v>
      </c>
      <c r="C337" s="6" t="s">
        <v>805</v>
      </c>
      <c r="D337" s="6" t="str">
        <f aca="false">TRIM(SUBSTITUTE($A337,CHAR(160)," "))</f>
        <v>212 L</v>
      </c>
      <c r="E337" s="6" t="str">
        <f aca="false">TRIM(SUBSTITUTE($C337,CHAR(160)," "))</f>
        <v>212L כפפות אגודל לחץ</v>
      </c>
    </row>
    <row r="338" customFormat="false" ht="15" hidden="false" customHeight="false" outlineLevel="0" collapsed="false">
      <c r="A338" s="6" t="s">
        <v>806</v>
      </c>
      <c r="B338" s="6" t="n">
        <v>4411022</v>
      </c>
      <c r="C338" s="6" t="s">
        <v>807</v>
      </c>
      <c r="D338" s="6" t="str">
        <f aca="false">TRIM(SUBSTITUTE($A338,CHAR(160)," "))</f>
        <v>212 M</v>
      </c>
      <c r="E338" s="6" t="str">
        <f aca="false">TRIM(SUBSTITUTE($C338,CHAR(160)," "))</f>
        <v>212M כפפות אגודל לחץ</v>
      </c>
    </row>
    <row r="339" customFormat="false" ht="15" hidden="false" customHeight="false" outlineLevel="0" collapsed="false">
      <c r="A339" s="6" t="s">
        <v>808</v>
      </c>
      <c r="B339" s="6" t="n">
        <v>4411023</v>
      </c>
      <c r="C339" s="6" t="s">
        <v>809</v>
      </c>
      <c r="D339" s="6" t="str">
        <f aca="false">TRIM(SUBSTITUTE($A339,CHAR(160)," "))</f>
        <v>212 S</v>
      </c>
      <c r="E339" s="6" t="str">
        <f aca="false">TRIM(SUBSTITUTE($C339,CHAR(160)," "))</f>
        <v>212S כפפות אגודל לחץ</v>
      </c>
    </row>
    <row r="340" customFormat="false" ht="15" hidden="false" customHeight="false" outlineLevel="0" collapsed="false">
      <c r="A340" s="6" t="s">
        <v>810</v>
      </c>
      <c r="B340" s="6" t="n">
        <v>4411024</v>
      </c>
      <c r="C340" s="6" t="s">
        <v>811</v>
      </c>
      <c r="D340" s="6" t="str">
        <f aca="false">TRIM(SUBSTITUTE($A340,CHAR(160)," "))</f>
        <v>212 XL</v>
      </c>
      <c r="E340" s="6" t="str">
        <f aca="false">TRIM(SUBSTITUTE($C340,CHAR(160)," "))</f>
        <v>212XL כפפות אגודל לחץ</v>
      </c>
    </row>
    <row r="341" customFormat="false" ht="15" hidden="false" customHeight="false" outlineLevel="0" collapsed="false">
      <c r="A341" s="6" t="s">
        <v>812</v>
      </c>
      <c r="B341" s="6" t="n">
        <v>4411031</v>
      </c>
      <c r="C341" s="6" t="s">
        <v>813</v>
      </c>
      <c r="D341" s="6" t="str">
        <f aca="false">TRIM(SUBSTITUTE($A341,CHAR(160)," "))</f>
        <v>213CTSR S</v>
      </c>
      <c r="E341" s="6" t="str">
        <f aca="false">TRIM(SUBSTITUTE($C341,CHAR(160)," "))</f>
        <v>213CTS S ימין CTS כפפות</v>
      </c>
    </row>
    <row r="342" customFormat="false" ht="15" hidden="false" customHeight="false" outlineLevel="0" collapsed="false">
      <c r="A342" s="6" t="s">
        <v>814</v>
      </c>
      <c r="B342" s="6" t="n">
        <v>4411026</v>
      </c>
      <c r="C342" s="6" t="s">
        <v>815</v>
      </c>
      <c r="D342" s="6" t="str">
        <f aca="false">TRIM(SUBSTITUTE($A342,CHAR(160)," "))</f>
        <v>213CTSL L</v>
      </c>
      <c r="E342" s="6" t="str">
        <f aca="false">TRIM(SUBSTITUTE($C342,CHAR(160)," "))</f>
        <v>213CTSL L שמאל CTS כפפות</v>
      </c>
    </row>
    <row r="343" customFormat="false" ht="15" hidden="false" customHeight="false" outlineLevel="0" collapsed="false">
      <c r="A343" s="6" t="s">
        <v>816</v>
      </c>
      <c r="B343" s="6" t="n">
        <v>4411027</v>
      </c>
      <c r="C343" s="6" t="s">
        <v>817</v>
      </c>
      <c r="D343" s="6" t="str">
        <f aca="false">TRIM(SUBSTITUTE($A343,CHAR(160)," "))</f>
        <v>213CTSL M</v>
      </c>
      <c r="E343" s="6" t="str">
        <f aca="false">TRIM(SUBSTITUTE($C343,CHAR(160)," "))</f>
        <v>213CTSL M שמאל CTS כפפות</v>
      </c>
    </row>
    <row r="344" customFormat="false" ht="15" hidden="false" customHeight="false" outlineLevel="0" collapsed="false">
      <c r="A344" s="6" t="s">
        <v>818</v>
      </c>
      <c r="B344" s="6" t="n">
        <v>4411028</v>
      </c>
      <c r="C344" s="6" t="s">
        <v>819</v>
      </c>
      <c r="D344" s="6" t="str">
        <f aca="false">TRIM(SUBSTITUTE($A344,CHAR(160)," "))</f>
        <v>213CTSL S</v>
      </c>
      <c r="E344" s="6" t="str">
        <f aca="false">TRIM(SUBSTITUTE($C344,CHAR(160)," "))</f>
        <v>213CTSL S שמאל CTS כפפות</v>
      </c>
    </row>
    <row r="345" customFormat="false" ht="15" hidden="false" customHeight="false" outlineLevel="0" collapsed="false">
      <c r="A345" s="6" t="s">
        <v>820</v>
      </c>
      <c r="B345" s="6" t="n">
        <v>4411030</v>
      </c>
      <c r="C345" s="6" t="s">
        <v>821</v>
      </c>
      <c r="D345" s="6" t="str">
        <f aca="false">TRIM(SUBSTITUTE($A345,CHAR(160)," "))</f>
        <v>213CTSR M</v>
      </c>
      <c r="E345" s="6" t="str">
        <f aca="false">TRIM(SUBSTITUTE($C345,CHAR(160)," "))</f>
        <v>213CTSR M ימין CTS כפפות</v>
      </c>
    </row>
    <row r="346" customFormat="false" ht="15" hidden="false" customHeight="false" outlineLevel="0" collapsed="false">
      <c r="A346" s="6" t="s">
        <v>822</v>
      </c>
      <c r="B346" s="6" t="n">
        <v>4415162</v>
      </c>
      <c r="C346" s="6" t="s">
        <v>823</v>
      </c>
      <c r="D346" s="6" t="str">
        <f aca="false">TRIM(SUBSTITUTE($A346,CHAR(160)," "))</f>
        <v>238 L</v>
      </c>
      <c r="E346" s="6" t="str">
        <f aca="false">TRIM(SUBSTITUTE($C346,CHAR(160)," "))</f>
        <v>238L סד ליישור אצבע</v>
      </c>
    </row>
    <row r="347" customFormat="false" ht="15" hidden="false" customHeight="false" outlineLevel="0" collapsed="false">
      <c r="A347" s="6" t="s">
        <v>824</v>
      </c>
      <c r="B347" s="6" t="n">
        <v>4415161</v>
      </c>
      <c r="C347" s="6" t="s">
        <v>825</v>
      </c>
      <c r="D347" s="6" t="str">
        <f aca="false">TRIM(SUBSTITUTE($A347,CHAR(160)," "))</f>
        <v>238 M</v>
      </c>
      <c r="E347" s="6" t="str">
        <f aca="false">TRIM(SUBSTITUTE($C347,CHAR(160)," "))</f>
        <v>238M סד ליישור אצבע</v>
      </c>
    </row>
    <row r="348" customFormat="false" ht="15" hidden="false" customHeight="false" outlineLevel="0" collapsed="false">
      <c r="A348" s="6" t="s">
        <v>826</v>
      </c>
      <c r="B348" s="6" t="n">
        <v>4415160</v>
      </c>
      <c r="C348" s="6" t="s">
        <v>827</v>
      </c>
      <c r="D348" s="6" t="str">
        <f aca="false">TRIM(SUBSTITUTE($A348,CHAR(160)," "))</f>
        <v>238 S</v>
      </c>
      <c r="E348" s="6" t="str">
        <f aca="false">TRIM(SUBSTITUTE($C348,CHAR(160)," "))</f>
        <v>238S סד ליישור אצבע</v>
      </c>
    </row>
    <row r="349" customFormat="false" ht="15" hidden="false" customHeight="false" outlineLevel="0" collapsed="false">
      <c r="A349" s="6" t="s">
        <v>828</v>
      </c>
      <c r="B349" s="6" t="n">
        <v>4415163</v>
      </c>
      <c r="C349" s="6" t="s">
        <v>829</v>
      </c>
      <c r="D349" s="6" t="str">
        <f aca="false">TRIM(SUBSTITUTE($A349,CHAR(160)," "))</f>
        <v>238 XL</v>
      </c>
      <c r="E349" s="6" t="str">
        <f aca="false">TRIM(SUBSTITUTE($C349,CHAR(160)," "))</f>
        <v>238XL סד ליישור אצבע</v>
      </c>
    </row>
    <row r="350" customFormat="false" ht="15" hidden="false" customHeight="false" outlineLevel="0" collapsed="false">
      <c r="A350" s="6" t="s">
        <v>830</v>
      </c>
      <c r="B350" s="6" t="n">
        <v>4415000</v>
      </c>
      <c r="C350" s="6" t="s">
        <v>831</v>
      </c>
      <c r="D350" s="6" t="str">
        <f aca="false">TRIM(SUBSTITUTE($A350,CHAR(160)," "))</f>
        <v>26 L</v>
      </c>
      <c r="E350" s="6" t="str">
        <f aca="false">TRIM(SUBSTITUTE($C350,CHAR(160)," "))</f>
        <v>26 L סד ליד דו צדדי לאחר שבר</v>
      </c>
    </row>
    <row r="351" customFormat="false" ht="15" hidden="false" customHeight="false" outlineLevel="0" collapsed="false">
      <c r="A351" s="6" t="s">
        <v>832</v>
      </c>
      <c r="B351" s="6" t="n">
        <v>4415001</v>
      </c>
      <c r="C351" s="6" t="s">
        <v>833</v>
      </c>
      <c r="D351" s="6" t="str">
        <f aca="false">TRIM(SUBSTITUTE($A351,CHAR(160)," "))</f>
        <v>26 M</v>
      </c>
      <c r="E351" s="6" t="str">
        <f aca="false">TRIM(SUBSTITUTE($C351,CHAR(160)," "))</f>
        <v>26 M סד ליד דו צדדי לאחר שבר</v>
      </c>
    </row>
    <row r="352" customFormat="false" ht="15" hidden="false" customHeight="false" outlineLevel="0" collapsed="false">
      <c r="A352" s="6" t="s">
        <v>834</v>
      </c>
      <c r="B352" s="6" t="n">
        <v>4415002</v>
      </c>
      <c r="C352" s="6" t="s">
        <v>835</v>
      </c>
      <c r="D352" s="6" t="str">
        <f aca="false">TRIM(SUBSTITUTE($A352,CHAR(160)," "))</f>
        <v>26 S</v>
      </c>
      <c r="E352" s="6" t="str">
        <f aca="false">TRIM(SUBSTITUTE($C352,CHAR(160)," "))</f>
        <v>26 S סד ליד דו צדדי לאחר שבר</v>
      </c>
    </row>
    <row r="353" customFormat="false" ht="15" hidden="false" customHeight="false" outlineLevel="0" collapsed="false">
      <c r="A353" s="6" t="s">
        <v>836</v>
      </c>
      <c r="B353" s="6" t="n">
        <v>4415003</v>
      </c>
      <c r="C353" s="6" t="s">
        <v>837</v>
      </c>
      <c r="D353" s="6" t="str">
        <f aca="false">TRIM(SUBSTITUTE($A353,CHAR(160)," "))</f>
        <v>26 XL</v>
      </c>
      <c r="E353" s="6" t="str">
        <f aca="false">TRIM(SUBSTITUTE($C353,CHAR(160)," "))</f>
        <v>26 XL סד ליד דו צדדי לאחר שבר</v>
      </c>
    </row>
    <row r="354" customFormat="false" ht="15" hidden="false" customHeight="false" outlineLevel="0" collapsed="false">
      <c r="A354" s="6" t="s">
        <v>838</v>
      </c>
      <c r="B354" s="6" t="n">
        <v>4415004</v>
      </c>
      <c r="C354" s="6" t="s">
        <v>839</v>
      </c>
      <c r="D354" s="6" t="str">
        <f aca="false">TRIM(SUBSTITUTE($A354,CHAR(160)," "))</f>
        <v>26 XXL</v>
      </c>
      <c r="E354" s="6" t="str">
        <f aca="false">TRIM(SUBSTITUTE($C354,CHAR(160)," "))</f>
        <v>26 XXL סד ליד דו צדדי לאחר שבר</v>
      </c>
    </row>
    <row r="355" customFormat="false" ht="15" hidden="false" customHeight="false" outlineLevel="0" collapsed="false">
      <c r="A355" s="6" t="s">
        <v>840</v>
      </c>
      <c r="B355" s="6" t="n">
        <v>4415158</v>
      </c>
      <c r="C355" s="6" t="s">
        <v>841</v>
      </c>
      <c r="D355" s="6" t="str">
        <f aca="false">TRIM(SUBSTITUTE($A355,CHAR(160)," "))</f>
        <v>266 0</v>
      </c>
      <c r="E355" s="6" t="str">
        <f aca="false">TRIM(SUBSTITUTE($C355,CHAR(160)," "))</f>
        <v>266 סד ליד דו צדדי</v>
      </c>
    </row>
    <row r="356" customFormat="false" ht="15" hidden="false" customHeight="false" outlineLevel="0" collapsed="false">
      <c r="A356" s="6" t="s">
        <v>842</v>
      </c>
      <c r="B356" s="6" t="n">
        <v>4415159</v>
      </c>
      <c r="C356" s="6" t="s">
        <v>843</v>
      </c>
      <c r="D356" s="6" t="str">
        <f aca="false">TRIM(SUBSTITUTE($A356,CHAR(160)," "))</f>
        <v>268 0</v>
      </c>
      <c r="E356" s="6" t="str">
        <f aca="false">TRIM(SUBSTITUTE($C356,CHAR(160)," "))</f>
        <v>268 סד לאגודל</v>
      </c>
    </row>
    <row r="357" customFormat="false" ht="15" hidden="false" customHeight="false" outlineLevel="0" collapsed="false">
      <c r="A357" s="6" t="s">
        <v>844</v>
      </c>
      <c r="B357" s="6" t="n">
        <v>4415025</v>
      </c>
      <c r="C357" s="6" t="s">
        <v>845</v>
      </c>
      <c r="D357" s="6" t="str">
        <f aca="false">TRIM(SUBSTITUTE($A357,CHAR(160)," "))</f>
        <v>28 XS</v>
      </c>
      <c r="E357" s="6" t="str">
        <f aca="false">TRIM(SUBSTITUTE($C357,CHAR(160)," "))</f>
        <v>28-XS סד לאגודל לאחר שבר</v>
      </c>
    </row>
    <row r="358" customFormat="false" ht="15" hidden="false" customHeight="false" outlineLevel="0" collapsed="false">
      <c r="A358" s="6" t="s">
        <v>846</v>
      </c>
      <c r="B358" s="6" t="n">
        <v>4415005</v>
      </c>
      <c r="C358" s="6" t="s">
        <v>847</v>
      </c>
      <c r="D358" s="6" t="str">
        <f aca="false">TRIM(SUBSTITUTE($A358,CHAR(160)," "))</f>
        <v>28 L</v>
      </c>
      <c r="E358" s="6" t="str">
        <f aca="false">TRIM(SUBSTITUTE($C358,CHAR(160)," "))</f>
        <v>28 L סד לאגודל לאחר שבר</v>
      </c>
    </row>
    <row r="359" customFormat="false" ht="15" hidden="false" customHeight="false" outlineLevel="0" collapsed="false">
      <c r="A359" s="6" t="s">
        <v>848</v>
      </c>
      <c r="B359" s="6" t="n">
        <v>4415006</v>
      </c>
      <c r="C359" s="6" t="s">
        <v>849</v>
      </c>
      <c r="D359" s="6" t="str">
        <f aca="false">TRIM(SUBSTITUTE($A359,CHAR(160)," "))</f>
        <v>28 M</v>
      </c>
      <c r="E359" s="6" t="str">
        <f aca="false">TRIM(SUBSTITUTE($C359,CHAR(160)," "))</f>
        <v>28 M סד לאגודל לאחר שבר</v>
      </c>
    </row>
    <row r="360" customFormat="false" ht="15" hidden="false" customHeight="false" outlineLevel="0" collapsed="false">
      <c r="A360" s="6" t="s">
        <v>850</v>
      </c>
      <c r="B360" s="6" t="n">
        <v>4415007</v>
      </c>
      <c r="C360" s="6" t="s">
        <v>851</v>
      </c>
      <c r="D360" s="6" t="str">
        <f aca="false">TRIM(SUBSTITUTE($A360,CHAR(160)," "))</f>
        <v>28 S</v>
      </c>
      <c r="E360" s="6" t="str">
        <f aca="false">TRIM(SUBSTITUTE($C360,CHAR(160)," "))</f>
        <v>28 S סד לאגודל לאחר שבר</v>
      </c>
    </row>
    <row r="361" customFormat="false" ht="15" hidden="false" customHeight="false" outlineLevel="0" collapsed="false">
      <c r="A361" s="6" t="s">
        <v>852</v>
      </c>
      <c r="B361" s="6" t="n">
        <v>4415008</v>
      </c>
      <c r="C361" s="6" t="s">
        <v>853</v>
      </c>
      <c r="D361" s="6" t="str">
        <f aca="false">TRIM(SUBSTITUTE($A361,CHAR(160)," "))</f>
        <v>28 XL</v>
      </c>
      <c r="E361" s="6" t="str">
        <f aca="false">TRIM(SUBSTITUTE($C361,CHAR(160)," "))</f>
        <v>28 XL סד לאגודל לאחר שבר</v>
      </c>
    </row>
    <row r="362" customFormat="false" ht="15" hidden="false" customHeight="false" outlineLevel="0" collapsed="false">
      <c r="A362" s="6" t="s">
        <v>854</v>
      </c>
      <c r="B362" s="6" t="n">
        <v>4415028</v>
      </c>
      <c r="C362" s="6" t="s">
        <v>855</v>
      </c>
      <c r="D362" s="6" t="str">
        <f aca="false">TRIM(SUBSTITUTE($A362,CHAR(160)," "))</f>
        <v>AC28 0</v>
      </c>
      <c r="E362" s="6" t="str">
        <f aca="false">TRIM(SUBSTITUTE($C362,CHAR(160)," "))</f>
        <v>AC-28 סד לאגודל</v>
      </c>
    </row>
    <row r="363" customFormat="false" ht="15" hidden="false" customHeight="false" outlineLevel="0" collapsed="false">
      <c r="A363" s="6" t="s">
        <v>856</v>
      </c>
      <c r="B363" s="6" t="n">
        <v>4408268</v>
      </c>
      <c r="C363" s="6" t="s">
        <v>857</v>
      </c>
      <c r="D363" s="6" t="str">
        <f aca="false">TRIM(SUBSTITUTE($A363,CHAR(160)," "))</f>
        <v>ST20 0</v>
      </c>
      <c r="E363" s="6" t="str">
        <f aca="false">TRIM(SUBSTITUTE($C363,CHAR(160)," "))</f>
        <v>ST20 חבק יד</v>
      </c>
    </row>
    <row r="364" customFormat="false" ht="15" hidden="false" customHeight="false" outlineLevel="0" collapsed="false">
      <c r="A364" s="6" t="s">
        <v>858</v>
      </c>
      <c r="B364" s="6" t="n">
        <v>4408267</v>
      </c>
      <c r="C364" s="6" t="s">
        <v>859</v>
      </c>
      <c r="D364" s="6" t="str">
        <f aca="false">TRIM(SUBSTITUTE($A364,CHAR(160)," "))</f>
        <v>ST25 0</v>
      </c>
      <c r="E364" s="6" t="str">
        <f aca="false">TRIM(SUBSTITUTE($C364,CHAR(160)," "))</f>
        <v>ST25 חבק שורש לכף היד</v>
      </c>
    </row>
    <row r="365" customFormat="false" ht="15" hidden="false" customHeight="false" outlineLevel="0" collapsed="false">
      <c r="A365" s="6" t="s">
        <v>860</v>
      </c>
      <c r="B365" s="6" t="n">
        <v>4415177</v>
      </c>
      <c r="C365" s="6" t="s">
        <v>861</v>
      </c>
      <c r="D365" s="6" t="str">
        <f aca="false">TRIM(SUBSTITUTE($A365,CHAR(160)," "))</f>
        <v>ST28 0</v>
      </c>
      <c r="E365" s="6" t="str">
        <f aca="false">TRIM(SUBSTITUTE($C365,CHAR(160)," "))</f>
        <v>ST28 סד אגודלי עם מוט תמיכה</v>
      </c>
    </row>
    <row r="366" customFormat="false" ht="15" hidden="false" customHeight="false" outlineLevel="0" collapsed="false">
      <c r="A366" s="6" t="s">
        <v>862</v>
      </c>
      <c r="B366" s="6" t="n">
        <v>4408095</v>
      </c>
      <c r="C366" s="6" t="s">
        <v>863</v>
      </c>
      <c r="D366" s="6" t="str">
        <f aca="false">TRIM(SUBSTITUTE($A366,CHAR(160)," "))</f>
        <v>T20-L-XL</v>
      </c>
      <c r="E366" s="6" t="str">
        <f aca="false">TRIM(SUBSTITUTE($C366,CHAR(160)," "))</f>
        <v>T20 L-XL חבק יד עם צמדן</v>
      </c>
    </row>
    <row r="367" customFormat="false" ht="15" hidden="false" customHeight="false" outlineLevel="0" collapsed="false">
      <c r="A367" s="6" t="s">
        <v>864</v>
      </c>
      <c r="B367" s="6" t="n">
        <v>4408094</v>
      </c>
      <c r="C367" s="6" t="s">
        <v>865</v>
      </c>
      <c r="D367" s="6" t="str">
        <f aca="false">TRIM(SUBSTITUTE($A367,CHAR(160)," "))</f>
        <v>T20-S-M</v>
      </c>
      <c r="E367" s="6" t="str">
        <f aca="false">TRIM(SUBSTITUTE($C367,CHAR(160)," "))</f>
        <v>T20 S-M חבק יד עם צמדן</v>
      </c>
    </row>
    <row r="368" customFormat="false" ht="15" hidden="false" customHeight="false" outlineLevel="0" collapsed="false">
      <c r="A368" s="6" t="s">
        <v>866</v>
      </c>
      <c r="B368" s="6" t="n">
        <v>4408097</v>
      </c>
      <c r="C368" s="6" t="s">
        <v>867</v>
      </c>
      <c r="D368" s="6" t="str">
        <f aca="false">TRIM(SUBSTITUTE($A368,CHAR(160)," "))</f>
        <v>T20C-L-XL</v>
      </c>
      <c r="E368" s="6" t="str">
        <f aca="false">TRIM(SUBSTITUTE($C368,CHAR(160)," "))</f>
        <v>T20C L-XL חבק יד עם צמדן חום</v>
      </c>
    </row>
    <row r="369" customFormat="false" ht="15" hidden="false" customHeight="false" outlineLevel="0" collapsed="false">
      <c r="A369" s="6" t="s">
        <v>868</v>
      </c>
      <c r="B369" s="6" t="n">
        <v>4408096</v>
      </c>
      <c r="C369" s="6" t="s">
        <v>869</v>
      </c>
      <c r="D369" s="6" t="str">
        <f aca="false">TRIM(SUBSTITUTE($A369,CHAR(160)," "))</f>
        <v>T20C-S-M</v>
      </c>
      <c r="E369" s="6" t="str">
        <f aca="false">TRIM(SUBSTITUTE($C369,CHAR(160)," "))</f>
        <v>T20C S-M חבק יד עם צמדןחום</v>
      </c>
    </row>
    <row r="370" customFormat="false" ht="15" hidden="false" customHeight="false" outlineLevel="0" collapsed="false">
      <c r="A370" s="6" t="s">
        <v>870</v>
      </c>
      <c r="B370" s="6" t="n">
        <v>4408098</v>
      </c>
      <c r="C370" s="6" t="s">
        <v>871</v>
      </c>
      <c r="D370" s="6" t="str">
        <f aca="false">TRIM(SUBSTITUTE($A370,CHAR(160)," "))</f>
        <v>T25 0</v>
      </c>
      <c r="E370" s="6" t="str">
        <f aca="false">TRIM(SUBSTITUTE($C370,CHAR(160)," "))</f>
        <v>T25-חבק יד אגודלי</v>
      </c>
    </row>
    <row r="371" customFormat="false" ht="15" hidden="false" customHeight="false" outlineLevel="0" collapsed="false">
      <c r="A371" s="6" t="s">
        <v>872</v>
      </c>
      <c r="B371" s="6" t="n">
        <v>4408264</v>
      </c>
      <c r="C371" s="6" t="s">
        <v>873</v>
      </c>
      <c r="D371" s="6" t="str">
        <f aca="false">TRIM(SUBSTITUTE($A371,CHAR(160)," "))</f>
        <v>T25B 0</v>
      </c>
      <c r="E371" s="6" t="str">
        <f aca="false">TRIM(SUBSTITUTE($C371,CHAR(160)," "))</f>
        <v>T25B חבק יד אגודלי</v>
      </c>
    </row>
    <row r="372" customFormat="false" ht="15" hidden="false" customHeight="false" outlineLevel="0" collapsed="false">
      <c r="A372" s="6" t="s">
        <v>874</v>
      </c>
      <c r="B372" s="6" t="n">
        <v>4408099</v>
      </c>
      <c r="C372" s="6" t="s">
        <v>875</v>
      </c>
      <c r="D372" s="6" t="str">
        <f aca="false">TRIM(SUBSTITUTE($A372,CHAR(160)," "))</f>
        <v>T25C 0</v>
      </c>
      <c r="E372" s="6" t="str">
        <f aca="false">TRIM(SUBSTITUTE($C372,CHAR(160)," "))</f>
        <v>T25C-חבק יד אגודלי</v>
      </c>
    </row>
    <row r="373" customFormat="false" ht="15" hidden="false" customHeight="false" outlineLevel="0" collapsed="false">
      <c r="A373" s="6" t="s">
        <v>876</v>
      </c>
      <c r="B373" s="6" t="n">
        <v>4415067</v>
      </c>
      <c r="C373" s="6" t="s">
        <v>877</v>
      </c>
      <c r="D373" s="6" t="str">
        <f aca="false">TRIM(SUBSTITUTE($A373,CHAR(160)," "))</f>
        <v>T28 XL</v>
      </c>
      <c r="E373" s="6" t="str">
        <f aca="false">TRIM(SUBSTITUTE($C373,CHAR(160)," "))</f>
        <v>T28 XL סד לאגודל כפפה</v>
      </c>
    </row>
    <row r="374" customFormat="false" ht="15" hidden="false" customHeight="false" outlineLevel="0" collapsed="false">
      <c r="A374" s="6" t="s">
        <v>878</v>
      </c>
      <c r="B374" s="6" t="n">
        <v>4415073</v>
      </c>
      <c r="C374" s="6" t="s">
        <v>879</v>
      </c>
      <c r="D374" s="6" t="str">
        <f aca="false">TRIM(SUBSTITUTE($A374,CHAR(160)," "))</f>
        <v>T28A-L-XL</v>
      </c>
      <c r="E374" s="6" t="str">
        <f aca="false">TRIM(SUBSTITUTE($C374,CHAR(160)," "))</f>
        <v>T28A L-XL סד לאגודל</v>
      </c>
    </row>
    <row r="375" customFormat="false" ht="15" hidden="false" customHeight="false" outlineLevel="0" collapsed="false">
      <c r="A375" s="6" t="s">
        <v>880</v>
      </c>
      <c r="B375" s="6" t="n">
        <v>4415072</v>
      </c>
      <c r="C375" s="6" t="s">
        <v>881</v>
      </c>
      <c r="D375" s="6" t="str">
        <f aca="false">TRIM(SUBSTITUTE($A375,CHAR(160)," "))</f>
        <v>T28A-S-M</v>
      </c>
      <c r="E375" s="6" t="str">
        <f aca="false">TRIM(SUBSTITUTE($C375,CHAR(160)," "))</f>
        <v>T28A S-M סד לאגודל</v>
      </c>
    </row>
    <row r="376" customFormat="false" ht="15" hidden="false" customHeight="false" outlineLevel="0" collapsed="false">
      <c r="A376" s="6" t="s">
        <v>882</v>
      </c>
      <c r="B376" s="6" t="n">
        <v>4415075</v>
      </c>
      <c r="C376" s="6" t="s">
        <v>883</v>
      </c>
      <c r="D376" s="6" t="str">
        <f aca="false">TRIM(SUBSTITUTE($A376,CHAR(160)," "))</f>
        <v>T28AC-L-XL</v>
      </c>
      <c r="E376" s="6" t="str">
        <f aca="false">TRIM(SUBSTITUTE($C376,CHAR(160)," "))</f>
        <v>T28AC L-XL סד לאגודל</v>
      </c>
    </row>
    <row r="377" customFormat="false" ht="15" hidden="false" customHeight="false" outlineLevel="0" collapsed="false">
      <c r="A377" s="6" t="s">
        <v>884</v>
      </c>
      <c r="B377" s="6" t="n">
        <v>4415074</v>
      </c>
      <c r="C377" s="6" t="s">
        <v>885</v>
      </c>
      <c r="D377" s="6" t="str">
        <f aca="false">TRIM(SUBSTITUTE($A377,CHAR(160)," "))</f>
        <v>T28AC-S-M</v>
      </c>
      <c r="E377" s="6" t="str">
        <f aca="false">TRIM(SUBSTITUTE($C377,CHAR(160)," "))</f>
        <v>T28AC S-M סד לאגודל</v>
      </c>
    </row>
    <row r="378" customFormat="false" ht="15" hidden="false" customHeight="false" outlineLevel="0" collapsed="false">
      <c r="A378" s="6" t="s">
        <v>886</v>
      </c>
      <c r="B378" s="6" t="n">
        <v>4415071</v>
      </c>
      <c r="C378" s="6" t="s">
        <v>887</v>
      </c>
      <c r="D378" s="6" t="str">
        <f aca="false">TRIM(SUBSTITUTE($A378,CHAR(160)," "))</f>
        <v>T28C XL</v>
      </c>
      <c r="E378" s="6" t="str">
        <f aca="false">TRIM(SUBSTITUTE($C378,CHAR(160)," "))</f>
        <v>T28C XL סד לאגודל כפפה</v>
      </c>
    </row>
    <row r="379" customFormat="false" ht="15" hidden="false" customHeight="false" outlineLevel="0" collapsed="false">
      <c r="A379" s="6" t="s">
        <v>888</v>
      </c>
      <c r="B379" s="6" t="n">
        <v>4415069</v>
      </c>
      <c r="C379" s="6" t="s">
        <v>889</v>
      </c>
      <c r="D379" s="6" t="str">
        <f aca="false">TRIM(SUBSTITUTE($A379,CHAR(160)," "))</f>
        <v>T28C L</v>
      </c>
      <c r="E379" s="6" t="str">
        <f aca="false">TRIM(SUBSTITUTE($C379,CHAR(160)," "))</f>
        <v>T28C L סד לאגודל כפפה</v>
      </c>
    </row>
    <row r="380" customFormat="false" ht="15" hidden="false" customHeight="false" outlineLevel="0" collapsed="false">
      <c r="A380" s="6" t="s">
        <v>890</v>
      </c>
      <c r="B380" s="6" t="n">
        <v>4415029</v>
      </c>
      <c r="C380" s="6" t="s">
        <v>891</v>
      </c>
      <c r="D380" s="6" t="str">
        <f aca="false">TRIM(SUBSTITUTE($A380,CHAR(160)," "))</f>
        <v>237 0</v>
      </c>
      <c r="E380" s="6" t="str">
        <f aca="false">TRIM(SUBSTITUTE($C380,CHAR(160)," "))</f>
        <v>סד קיבוע לאצבע הדק</v>
      </c>
    </row>
    <row r="381" customFormat="false" ht="15" hidden="false" customHeight="false" outlineLevel="0" collapsed="false">
      <c r="A381" s="6" t="s">
        <v>892</v>
      </c>
      <c r="B381" s="6" t="n">
        <v>4418000</v>
      </c>
      <c r="C381" s="6" t="s">
        <v>893</v>
      </c>
      <c r="D381" s="6" t="str">
        <f aca="false">TRIM(SUBSTITUTE($A381,CHAR(160)," "))</f>
        <v>60 L</v>
      </c>
      <c r="E381" s="6" t="str">
        <f aca="false">TRIM(SUBSTITUTE($C381,CHAR(160)," "))</f>
        <v>60 L צוארון ספוגי</v>
      </c>
    </row>
    <row r="382" customFormat="false" ht="15" hidden="false" customHeight="false" outlineLevel="0" collapsed="false">
      <c r="A382" s="6" t="s">
        <v>894</v>
      </c>
      <c r="B382" s="6" t="n">
        <v>4418001</v>
      </c>
      <c r="C382" s="6" t="s">
        <v>895</v>
      </c>
      <c r="D382" s="6" t="str">
        <f aca="false">TRIM(SUBSTITUTE($A382,CHAR(160)," "))</f>
        <v>60 M</v>
      </c>
      <c r="E382" s="6" t="str">
        <f aca="false">TRIM(SUBSTITUTE($C382,CHAR(160)," "))</f>
        <v>60 M צוארון ספוגי</v>
      </c>
    </row>
    <row r="383" customFormat="false" ht="15" hidden="false" customHeight="false" outlineLevel="0" collapsed="false">
      <c r="A383" s="6" t="s">
        <v>896</v>
      </c>
      <c r="B383" s="6" t="n">
        <v>4418002</v>
      </c>
      <c r="C383" s="6" t="s">
        <v>897</v>
      </c>
      <c r="D383" s="6" t="str">
        <f aca="false">TRIM(SUBSTITUTE($A383,CHAR(160)," "))</f>
        <v>60 S</v>
      </c>
      <c r="E383" s="6" t="str">
        <f aca="false">TRIM(SUBSTITUTE($C383,CHAR(160)," "))</f>
        <v>60 S צוארון ספוגי</v>
      </c>
    </row>
    <row r="384" customFormat="false" ht="15" hidden="false" customHeight="false" outlineLevel="0" collapsed="false">
      <c r="A384" s="6" t="s">
        <v>898</v>
      </c>
      <c r="B384" s="6" t="n">
        <v>4418003</v>
      </c>
      <c r="C384" s="6" t="s">
        <v>899</v>
      </c>
      <c r="D384" s="6" t="str">
        <f aca="false">TRIM(SUBSTITUTE($A384,CHAR(160)," "))</f>
        <v>60 XL</v>
      </c>
      <c r="E384" s="6" t="str">
        <f aca="false">TRIM(SUBSTITUTE($C384,CHAR(160)," "))</f>
        <v>60 XL צוארון ספוגי</v>
      </c>
    </row>
    <row r="385" customFormat="false" ht="15" hidden="false" customHeight="false" outlineLevel="0" collapsed="false">
      <c r="A385" s="6" t="s">
        <v>900</v>
      </c>
      <c r="B385" s="6" t="n">
        <v>4415013</v>
      </c>
      <c r="C385" s="6" t="s">
        <v>901</v>
      </c>
      <c r="D385" s="6" t="str">
        <f aca="false">TRIM(SUBSTITUTE($A385,CHAR(160)," "))</f>
        <v>32 XL</v>
      </c>
      <c r="E385" s="6" t="str">
        <f aca="false">TRIM(SUBSTITUTE($C385,CHAR(160)," "))</f>
        <v>32 XL סד קרסול+מוטות אלומיניום</v>
      </c>
    </row>
    <row r="386" customFormat="false" ht="15" hidden="false" customHeight="false" outlineLevel="0" collapsed="false">
      <c r="A386" s="6" t="s">
        <v>902</v>
      </c>
      <c r="B386" s="6" t="n">
        <v>4413347</v>
      </c>
      <c r="C386" s="6" t="s">
        <v>903</v>
      </c>
      <c r="D386" s="6" t="str">
        <f aca="false">TRIM(SUBSTITUTE($A386,CHAR(160)," "))</f>
        <v>322 L</v>
      </c>
      <c r="E386" s="6" t="str">
        <f aca="false">TRIM(SUBSTITUTE($C386,CHAR(160)," "))</f>
        <v>322-L מגן קרסול+כרית סילקון</v>
      </c>
    </row>
    <row r="387" customFormat="false" ht="15" hidden="false" customHeight="false" outlineLevel="0" collapsed="false">
      <c r="A387" s="6" t="s">
        <v>904</v>
      </c>
      <c r="B387" s="6" t="n">
        <v>4413337</v>
      </c>
      <c r="C387" s="6" t="s">
        <v>905</v>
      </c>
      <c r="D387" s="6" t="str">
        <f aca="false">TRIM(SUBSTITUTE($A387,CHAR(160)," "))</f>
        <v>322 XL</v>
      </c>
      <c r="E387" s="6" t="str">
        <f aca="false">TRIM(SUBSTITUTE($C387,CHAR(160)," "))</f>
        <v>322XL מגן קרסול+כרית סילקון</v>
      </c>
    </row>
    <row r="388" customFormat="false" ht="15" hidden="false" customHeight="false" outlineLevel="0" collapsed="false">
      <c r="A388" s="6" t="s">
        <v>906</v>
      </c>
      <c r="B388" s="6" t="n">
        <v>4415019</v>
      </c>
      <c r="C388" s="6" t="s">
        <v>907</v>
      </c>
      <c r="D388" s="6" t="str">
        <f aca="false">TRIM(SUBSTITUTE($A388,CHAR(160)," "))</f>
        <v>333 0</v>
      </c>
      <c r="E388" s="6" t="str">
        <f aca="false">TRIM(SUBSTITUTE($C388,CHAR(160)," "))</f>
        <v>333 סד לקרסול עם כריות אויר</v>
      </c>
    </row>
    <row r="389" customFormat="false" ht="15" hidden="false" customHeight="false" outlineLevel="0" collapsed="false">
      <c r="A389" s="6" t="s">
        <v>908</v>
      </c>
      <c r="B389" s="6" t="n">
        <v>4413043</v>
      </c>
      <c r="C389" s="6" t="s">
        <v>909</v>
      </c>
      <c r="D389" s="6" t="str">
        <f aca="false">TRIM(SUBSTITUTE($A389,CHAR(160)," "))</f>
        <v>34 L</v>
      </c>
      <c r="E389" s="6" t="str">
        <f aca="false">TRIM(SUBSTITUTE($C389,CHAR(160)," "))</f>
        <v>34 L מגן קרסול עקב סגור</v>
      </c>
    </row>
    <row r="390" customFormat="false" ht="15" hidden="false" customHeight="false" outlineLevel="0" collapsed="false">
      <c r="A390" s="6" t="s">
        <v>910</v>
      </c>
      <c r="B390" s="6" t="n">
        <v>4413041</v>
      </c>
      <c r="C390" s="6" t="s">
        <v>911</v>
      </c>
      <c r="D390" s="6" t="str">
        <f aca="false">TRIM(SUBSTITUTE($A390,CHAR(160)," "))</f>
        <v>34 M</v>
      </c>
      <c r="E390" s="6" t="str">
        <f aca="false">TRIM(SUBSTITUTE($C390,CHAR(160)," "))</f>
        <v>34 M מגן קרסול עקב סגור</v>
      </c>
    </row>
    <row r="391" customFormat="false" ht="15" hidden="false" customHeight="false" outlineLevel="0" collapsed="false">
      <c r="A391" s="6" t="s">
        <v>912</v>
      </c>
      <c r="B391" s="6" t="n">
        <v>4413042</v>
      </c>
      <c r="C391" s="6" t="s">
        <v>913</v>
      </c>
      <c r="D391" s="6" t="str">
        <f aca="false">TRIM(SUBSTITUTE($A391,CHAR(160)," "))</f>
        <v>34 S</v>
      </c>
      <c r="E391" s="6" t="str">
        <f aca="false">TRIM(SUBSTITUTE($C391,CHAR(160)," "))</f>
        <v>34 S מגן קרסול עקב סגור</v>
      </c>
    </row>
    <row r="392" customFormat="false" ht="15" hidden="false" customHeight="false" outlineLevel="0" collapsed="false">
      <c r="A392" s="6" t="s">
        <v>914</v>
      </c>
      <c r="B392" s="6" t="n">
        <v>4413044</v>
      </c>
      <c r="C392" s="6" t="s">
        <v>915</v>
      </c>
      <c r="D392" s="6" t="str">
        <f aca="false">TRIM(SUBSTITUTE($A392,CHAR(160)," "))</f>
        <v>34 XL</v>
      </c>
      <c r="E392" s="6" t="str">
        <f aca="false">TRIM(SUBSTITUTE($C392,CHAR(160)," "))</f>
        <v>34 XL מגן קרסול עקב סגור</v>
      </c>
    </row>
    <row r="393" customFormat="false" ht="15" hidden="false" customHeight="false" outlineLevel="0" collapsed="false">
      <c r="A393" s="6" t="s">
        <v>916</v>
      </c>
      <c r="B393" s="6" t="n">
        <v>4413046</v>
      </c>
      <c r="C393" s="6" t="s">
        <v>917</v>
      </c>
      <c r="D393" s="6" t="str">
        <f aca="false">TRIM(SUBSTITUTE($A393,CHAR(160)," "))</f>
        <v>34 XXL</v>
      </c>
      <c r="E393" s="6" t="str">
        <f aca="false">TRIM(SUBSTITUTE($C393,CHAR(160)," "))</f>
        <v>34 XXL מגן קרסול עקב סגור</v>
      </c>
    </row>
    <row r="394" customFormat="false" ht="15" hidden="false" customHeight="false" outlineLevel="0" collapsed="false">
      <c r="A394" s="6" t="s">
        <v>918</v>
      </c>
      <c r="B394" s="6" t="n">
        <v>4413161</v>
      </c>
      <c r="C394" s="6" t="s">
        <v>919</v>
      </c>
      <c r="D394" s="6" t="str">
        <f aca="false">TRIM(SUBSTITUTE($A394,CHAR(160)," "))</f>
        <v>34+ L</v>
      </c>
      <c r="E394" s="6" t="str">
        <f aca="false">TRIM(SUBSTITUTE($C394,CHAR(160)," "))</f>
        <v>34+ L מגן קרסול עקב סגור+רצוע</v>
      </c>
    </row>
    <row r="395" customFormat="false" ht="15" hidden="false" customHeight="false" outlineLevel="0" collapsed="false">
      <c r="A395" s="6" t="s">
        <v>920</v>
      </c>
      <c r="B395" s="6" t="n">
        <v>4413160</v>
      </c>
      <c r="C395" s="6" t="s">
        <v>921</v>
      </c>
      <c r="D395" s="6" t="str">
        <f aca="false">TRIM(SUBSTITUTE($A395,CHAR(160)," "))</f>
        <v>34+ M</v>
      </c>
      <c r="E395" s="6" t="str">
        <f aca="false">TRIM(SUBSTITUTE($C395,CHAR(160)," "))</f>
        <v>34+ M מגן קרסול עקב סגור+רצוע</v>
      </c>
    </row>
    <row r="396" customFormat="false" ht="15" hidden="false" customHeight="false" outlineLevel="0" collapsed="false">
      <c r="A396" s="6" t="s">
        <v>922</v>
      </c>
      <c r="B396" s="6" t="n">
        <v>4413159</v>
      </c>
      <c r="C396" s="6" t="s">
        <v>923</v>
      </c>
      <c r="D396" s="6" t="str">
        <f aca="false">TRIM(SUBSTITUTE($A396,CHAR(160)," "))</f>
        <v>34+ S</v>
      </c>
      <c r="E396" s="6" t="str">
        <f aca="false">TRIM(SUBSTITUTE($C396,CHAR(160)," "))</f>
        <v>34+ S מגן קרסול עקב סגור+רצוע</v>
      </c>
    </row>
    <row r="397" customFormat="false" ht="15" hidden="false" customHeight="false" outlineLevel="0" collapsed="false">
      <c r="A397" s="6" t="s">
        <v>924</v>
      </c>
      <c r="B397" s="6" t="n">
        <v>4413162</v>
      </c>
      <c r="C397" s="6" t="s">
        <v>925</v>
      </c>
      <c r="D397" s="6" t="str">
        <f aca="false">TRIM(SUBSTITUTE($A397,CHAR(160)," "))</f>
        <v>34+ XL</v>
      </c>
      <c r="E397" s="6" t="str">
        <f aca="false">TRIM(SUBSTITUTE($C397,CHAR(160)," "))</f>
        <v>34+XL מגן קרסול עקב סגור+רצוע</v>
      </c>
    </row>
    <row r="398" customFormat="false" ht="15" hidden="false" customHeight="false" outlineLevel="0" collapsed="false">
      <c r="A398" s="6" t="s">
        <v>926</v>
      </c>
      <c r="B398" s="6" t="n">
        <v>4413303</v>
      </c>
      <c r="C398" s="6" t="s">
        <v>927</v>
      </c>
      <c r="D398" s="6" t="str">
        <f aca="false">TRIM(SUBSTITUTE($A398,CHAR(160)," "))</f>
        <v>34+ XXL</v>
      </c>
      <c r="E398" s="6" t="str">
        <f aca="false">TRIM(SUBSTITUTE($C398,CHAR(160)," "))</f>
        <v>34+XXL מ.קרסול+עכב סגור+רצועות</v>
      </c>
    </row>
    <row r="399" customFormat="false" ht="15" hidden="false" customHeight="false" outlineLevel="0" collapsed="false">
      <c r="A399" s="6" t="s">
        <v>928</v>
      </c>
      <c r="B399" s="6" t="n">
        <v>4413048</v>
      </c>
      <c r="C399" s="6" t="s">
        <v>929</v>
      </c>
      <c r="D399" s="6" t="str">
        <f aca="false">TRIM(SUBSTITUTE($A399,CHAR(160)," "))</f>
        <v>35 L</v>
      </c>
      <c r="E399" s="6" t="str">
        <f aca="false">TRIM(SUBSTITUTE($C399,CHAR(160)," "))</f>
        <v>35 L מגן קרסול לבן</v>
      </c>
    </row>
    <row r="400" customFormat="false" ht="15" hidden="false" customHeight="false" outlineLevel="0" collapsed="false">
      <c r="A400" s="6" t="s">
        <v>930</v>
      </c>
      <c r="B400" s="6" t="n">
        <v>4413049</v>
      </c>
      <c r="C400" s="6" t="s">
        <v>931</v>
      </c>
      <c r="D400" s="6" t="str">
        <f aca="false">TRIM(SUBSTITUTE($A400,CHAR(160)," "))</f>
        <v>35 M</v>
      </c>
      <c r="E400" s="6" t="str">
        <f aca="false">TRIM(SUBSTITUTE($C400,CHAR(160)," "))</f>
        <v>35 M מגן קרסול לבן</v>
      </c>
    </row>
    <row r="401" customFormat="false" ht="15" hidden="false" customHeight="false" outlineLevel="0" collapsed="false">
      <c r="A401" s="6" t="s">
        <v>932</v>
      </c>
      <c r="B401" s="6" t="n">
        <v>4413047</v>
      </c>
      <c r="C401" s="6" t="s">
        <v>933</v>
      </c>
      <c r="D401" s="6" t="str">
        <f aca="false">TRIM(SUBSTITUTE($A401,CHAR(160)," "))</f>
        <v>35 S</v>
      </c>
      <c r="E401" s="6" t="str">
        <f aca="false">TRIM(SUBSTITUTE($C401,CHAR(160)," "))</f>
        <v>35 S מגן קרסול לבן</v>
      </c>
    </row>
    <row r="402" customFormat="false" ht="15" hidden="false" customHeight="false" outlineLevel="0" collapsed="false">
      <c r="A402" s="6" t="s">
        <v>934</v>
      </c>
      <c r="B402" s="6" t="n">
        <v>4413050</v>
      </c>
      <c r="C402" s="6" t="s">
        <v>935</v>
      </c>
      <c r="D402" s="6" t="str">
        <f aca="false">TRIM(SUBSTITUTE($A402,CHAR(160)," "))</f>
        <v>35 XL</v>
      </c>
      <c r="E402" s="6" t="str">
        <f aca="false">TRIM(SUBSTITUTE($C402,CHAR(160)," "))</f>
        <v>35 XL מגן קרסול לבן</v>
      </c>
    </row>
    <row r="403" customFormat="false" ht="15" hidden="false" customHeight="false" outlineLevel="0" collapsed="false">
      <c r="A403" s="6" t="s">
        <v>936</v>
      </c>
      <c r="B403" s="6" t="n">
        <v>4413051</v>
      </c>
      <c r="C403" s="6" t="s">
        <v>937</v>
      </c>
      <c r="D403" s="6" t="str">
        <f aca="false">TRIM(SUBSTITUTE($A403,CHAR(160)," "))</f>
        <v>35 XXL</v>
      </c>
      <c r="E403" s="6" t="str">
        <f aca="false">TRIM(SUBSTITUTE($C403,CHAR(160)," "))</f>
        <v>35 XXL מגן קרסול לבן</v>
      </c>
    </row>
    <row r="404" customFormat="false" ht="15" hidden="false" customHeight="false" outlineLevel="0" collapsed="false">
      <c r="A404" s="6" t="s">
        <v>938</v>
      </c>
      <c r="B404" s="6" t="n">
        <v>4413490</v>
      </c>
      <c r="C404" s="6" t="s">
        <v>939</v>
      </c>
      <c r="D404" s="6" t="str">
        <f aca="false">TRIM(SUBSTITUTE($A404,CHAR(160)," "))</f>
        <v>35B L</v>
      </c>
      <c r="E404" s="6" t="str">
        <f aca="false">TRIM(SUBSTITUTE($C404,CHAR(160)," "))</f>
        <v>35B L מגן קרסול שחור</v>
      </c>
    </row>
    <row r="405" customFormat="false" ht="15" hidden="false" customHeight="false" outlineLevel="0" collapsed="false">
      <c r="A405" s="6" t="s">
        <v>940</v>
      </c>
      <c r="B405" s="6" t="n">
        <v>4413492</v>
      </c>
      <c r="C405" s="6" t="s">
        <v>941</v>
      </c>
      <c r="D405" s="6" t="str">
        <f aca="false">TRIM(SUBSTITUTE($A405,CHAR(160)," "))</f>
        <v>35B M</v>
      </c>
      <c r="E405" s="6" t="str">
        <f aca="false">TRIM(SUBSTITUTE($C405,CHAR(160)," "))</f>
        <v>35B M מגן קרסול שחור</v>
      </c>
    </row>
    <row r="406" customFormat="false" ht="15" hidden="false" customHeight="false" outlineLevel="0" collapsed="false">
      <c r="A406" s="6" t="s">
        <v>942</v>
      </c>
      <c r="B406" s="6" t="n">
        <v>4413493</v>
      </c>
      <c r="C406" s="6" t="s">
        <v>943</v>
      </c>
      <c r="D406" s="6" t="str">
        <f aca="false">TRIM(SUBSTITUTE($A406,CHAR(160)," "))</f>
        <v>35B S</v>
      </c>
      <c r="E406" s="6" t="str">
        <f aca="false">TRIM(SUBSTITUTE($C406,CHAR(160)," "))</f>
        <v>35B S מגן קרסול שחור</v>
      </c>
    </row>
    <row r="407" customFormat="false" ht="15" hidden="false" customHeight="false" outlineLevel="0" collapsed="false">
      <c r="A407" s="6" t="s">
        <v>944</v>
      </c>
      <c r="B407" s="6" t="n">
        <v>4413491</v>
      </c>
      <c r="C407" s="6" t="s">
        <v>945</v>
      </c>
      <c r="D407" s="6" t="str">
        <f aca="false">TRIM(SUBSTITUTE($A407,CHAR(160)," "))</f>
        <v>35B XL</v>
      </c>
      <c r="E407" s="6" t="str">
        <f aca="false">TRIM(SUBSTITUTE($C407,CHAR(160)," "))</f>
        <v>35B XL מגן קרסול שחור</v>
      </c>
    </row>
    <row r="408" customFormat="false" ht="15" hidden="false" customHeight="false" outlineLevel="0" collapsed="false">
      <c r="A408" s="6" t="s">
        <v>946</v>
      </c>
      <c r="B408" s="6" t="n">
        <v>4413494</v>
      </c>
      <c r="C408" s="6" t="s">
        <v>947</v>
      </c>
      <c r="D408" s="6" t="str">
        <f aca="false">TRIM(SUBSTITUTE($A408,CHAR(160)," "))</f>
        <v>35B XXL</v>
      </c>
      <c r="E408" s="6" t="str">
        <f aca="false">TRIM(SUBSTITUTE($C408,CHAR(160)," "))</f>
        <v>35B XXL מגן קרסול שחור</v>
      </c>
    </row>
    <row r="409" customFormat="false" ht="15" hidden="false" customHeight="false" outlineLevel="0" collapsed="false">
      <c r="A409" s="6" t="s">
        <v>948</v>
      </c>
      <c r="B409" s="6" t="n">
        <v>4413053</v>
      </c>
      <c r="C409" s="6" t="s">
        <v>949</v>
      </c>
      <c r="D409" s="6" t="str">
        <f aca="false">TRIM(SUBSTITUTE($A409,CHAR(160)," "))</f>
        <v>35C L</v>
      </c>
      <c r="E409" s="6" t="str">
        <f aca="false">TRIM(SUBSTITUTE($C409,CHAR(160)," "))</f>
        <v>35C L מגן קרסול חום</v>
      </c>
    </row>
    <row r="410" customFormat="false" ht="15" hidden="false" customHeight="false" outlineLevel="0" collapsed="false">
      <c r="A410" s="6" t="s">
        <v>950</v>
      </c>
      <c r="B410" s="6" t="n">
        <v>4413054</v>
      </c>
      <c r="C410" s="6" t="s">
        <v>951</v>
      </c>
      <c r="D410" s="6" t="str">
        <f aca="false">TRIM(SUBSTITUTE($A410,CHAR(160)," "))</f>
        <v>35C M</v>
      </c>
      <c r="E410" s="6" t="str">
        <f aca="false">TRIM(SUBSTITUTE($C410,CHAR(160)," "))</f>
        <v>35C M מגן קרסול חום</v>
      </c>
    </row>
    <row r="411" customFormat="false" ht="15" hidden="false" customHeight="false" outlineLevel="0" collapsed="false">
      <c r="A411" s="6" t="s">
        <v>952</v>
      </c>
      <c r="B411" s="6" t="n">
        <v>4413052</v>
      </c>
      <c r="C411" s="6" t="s">
        <v>953</v>
      </c>
      <c r="D411" s="6" t="str">
        <f aca="false">TRIM(SUBSTITUTE($A411,CHAR(160)," "))</f>
        <v>35C S</v>
      </c>
      <c r="E411" s="6" t="str">
        <f aca="false">TRIM(SUBSTITUTE($C411,CHAR(160)," "))</f>
        <v>35C S מגן קרסול חום</v>
      </c>
    </row>
    <row r="412" customFormat="false" ht="15" hidden="false" customHeight="false" outlineLevel="0" collapsed="false">
      <c r="A412" s="6" t="s">
        <v>954</v>
      </c>
      <c r="B412" s="6" t="n">
        <v>4413055</v>
      </c>
      <c r="C412" s="6" t="s">
        <v>955</v>
      </c>
      <c r="D412" s="6" t="str">
        <f aca="false">TRIM(SUBSTITUTE($A412,CHAR(160)," "))</f>
        <v>35C XL</v>
      </c>
      <c r="E412" s="6" t="str">
        <f aca="false">TRIM(SUBSTITUTE($C412,CHAR(160)," "))</f>
        <v>35C XL מגן קרסול חום</v>
      </c>
    </row>
    <row r="413" customFormat="false" ht="15" hidden="false" customHeight="false" outlineLevel="0" collapsed="false">
      <c r="A413" s="6" t="s">
        <v>956</v>
      </c>
      <c r="B413" s="6" t="n">
        <v>4413326</v>
      </c>
      <c r="C413" s="6" t="s">
        <v>957</v>
      </c>
      <c r="D413" s="6" t="str">
        <f aca="false">TRIM(SUBSTITUTE($A413,CHAR(160)," "))</f>
        <v>AC37 0</v>
      </c>
      <c r="E413" s="6" t="str">
        <f aca="false">TRIM(SUBSTITUTE($C413,CHAR(160)," "))</f>
        <v>AC37 מגן קרסול נושם</v>
      </c>
    </row>
    <row r="414" customFormat="false" ht="15" hidden="false" customHeight="false" outlineLevel="0" collapsed="false">
      <c r="A414" s="6" t="s">
        <v>958</v>
      </c>
      <c r="B414" s="6" t="n">
        <v>4413534</v>
      </c>
      <c r="C414" s="6" t="s">
        <v>959</v>
      </c>
      <c r="D414" s="6" t="str">
        <f aca="false">TRIM(SUBSTITUTE($A414,CHAR(160)," "))</f>
        <v>SH333 0</v>
      </c>
      <c r="E414" s="6" t="str">
        <f aca="false">TRIM(SUBSTITUTE($C414,CHAR(160)," "))</f>
        <v>SH333 מקבע קרסול</v>
      </c>
    </row>
    <row r="415" customFormat="false" ht="15" hidden="false" customHeight="false" outlineLevel="0" collapsed="false">
      <c r="A415" s="6" t="s">
        <v>960</v>
      </c>
      <c r="B415" s="6" t="n">
        <v>4408269</v>
      </c>
      <c r="C415" s="6" t="s">
        <v>961</v>
      </c>
      <c r="D415" s="6" t="str">
        <f aca="false">TRIM(SUBSTITUTE($A415,CHAR(160)," "))</f>
        <v>ST37 0</v>
      </c>
      <c r="E415" s="6" t="str">
        <f aca="false">TRIM(SUBSTITUTE($C415,CHAR(160)," "))</f>
        <v>ST37 חבק לקרסול</v>
      </c>
    </row>
    <row r="416" customFormat="false" ht="15" hidden="false" customHeight="false" outlineLevel="0" collapsed="false">
      <c r="A416" s="6" t="s">
        <v>962</v>
      </c>
      <c r="B416" s="6" t="n">
        <v>4420036</v>
      </c>
      <c r="C416" s="6" t="s">
        <v>963</v>
      </c>
      <c r="D416" s="6" t="str">
        <f aca="false">TRIM(SUBSTITUTE($A416,CHAR(160)," "))</f>
        <v>301CM-41-45</v>
      </c>
      <c r="E416" s="6" t="str">
        <f aca="false">TRIM(SUBSTITUTE($C416,CHAR(160)," "))</f>
        <v>301CM 41-45 'רפידת ג'ל בז</v>
      </c>
    </row>
    <row r="417" customFormat="false" ht="15" hidden="false" customHeight="false" outlineLevel="0" collapsed="false">
      <c r="A417" s="6" t="s">
        <v>964</v>
      </c>
      <c r="B417" s="6" t="n">
        <v>4420035</v>
      </c>
      <c r="C417" s="6" t="s">
        <v>965</v>
      </c>
      <c r="D417" s="6" t="str">
        <f aca="false">TRIM(SUBSTITUTE($A417,CHAR(160)," "))</f>
        <v>301CW-36-40</v>
      </c>
      <c r="E417" s="6" t="str">
        <f aca="false">TRIM(SUBSTITUTE($C417,CHAR(160)," "))</f>
        <v>301CW 36-40 'רפידת ג'ל בז</v>
      </c>
    </row>
    <row r="418" customFormat="false" ht="15" hidden="false" customHeight="false" outlineLevel="0" collapsed="false">
      <c r="A418" s="6" t="s">
        <v>966</v>
      </c>
      <c r="B418" s="6" t="n">
        <v>4420037</v>
      </c>
      <c r="C418" s="6" t="s">
        <v>967</v>
      </c>
      <c r="D418" s="6" t="str">
        <f aca="false">TRIM(SUBSTITUTE($A418,CHAR(160)," "))</f>
        <v>301JW-36-40</v>
      </c>
      <c r="E418" s="6" t="str">
        <f aca="false">TRIM(SUBSTITUTE($C418,CHAR(160)," "))</f>
        <v>301JW רפידת ג'ל כחול36-40</v>
      </c>
    </row>
    <row r="419" customFormat="false" ht="15" hidden="false" customHeight="false" outlineLevel="0" collapsed="false">
      <c r="A419" s="6" t="s">
        <v>968</v>
      </c>
      <c r="B419" s="6" t="n">
        <v>4420000</v>
      </c>
      <c r="C419" s="6" t="s">
        <v>969</v>
      </c>
      <c r="D419" s="6" t="str">
        <f aca="false">TRIM(SUBSTITUTE($A419,CHAR(160)," "))</f>
        <v>370 0</v>
      </c>
      <c r="E419" s="6" t="str">
        <f aca="false">TRIM(SUBSTITUTE($C419,CHAR(160)," "))</f>
        <v>370 רפידת נוחות-זוג</v>
      </c>
    </row>
    <row r="420" customFormat="false" ht="15" hidden="false" customHeight="false" outlineLevel="0" collapsed="false">
      <c r="A420" s="6" t="s">
        <v>970</v>
      </c>
      <c r="B420" s="6" t="n">
        <v>4420027</v>
      </c>
      <c r="C420" s="6" t="s">
        <v>971</v>
      </c>
      <c r="D420" s="6" t="str">
        <f aca="false">TRIM(SUBSTITUTE($A420,CHAR(160)," "))</f>
        <v>370K 0</v>
      </c>
      <c r="E420" s="6" t="str">
        <f aca="false">TRIM(SUBSTITUTE($C420,CHAR(160)," "))</f>
        <v>370K 0 רפידת לילדים אנטי ריח</v>
      </c>
    </row>
    <row r="421" customFormat="false" ht="15" hidden="false" customHeight="false" outlineLevel="0" collapsed="false">
      <c r="A421" s="6" t="s">
        <v>972</v>
      </c>
      <c r="B421" s="6" t="n">
        <v>4420001</v>
      </c>
      <c r="C421" s="6" t="s">
        <v>973</v>
      </c>
      <c r="D421" s="6" t="str">
        <f aca="false">TRIM(SUBSTITUTE($A421,CHAR(160)," "))</f>
        <v>371 0</v>
      </c>
      <c r="E421" s="6" t="str">
        <f aca="false">TRIM(SUBSTITUTE($C421,CHAR(160)," "))</f>
        <v>371 רפידת מגבת כותנה-זוג</v>
      </c>
    </row>
    <row r="422" customFormat="false" ht="15" hidden="false" customHeight="false" outlineLevel="0" collapsed="false">
      <c r="A422" s="6" t="s">
        <v>974</v>
      </c>
      <c r="B422" s="6" t="n">
        <v>4420002</v>
      </c>
      <c r="C422" s="6" t="s">
        <v>975</v>
      </c>
      <c r="D422" s="6" t="str">
        <f aca="false">TRIM(SUBSTITUTE($A422,CHAR(160)," "))</f>
        <v>372 0</v>
      </c>
      <c r="E422" s="6" t="str">
        <f aca="false">TRIM(SUBSTITUTE($C422,CHAR(160)," "))</f>
        <v>372 רפידת אנטי ריח -זוג</v>
      </c>
    </row>
    <row r="423" customFormat="false" ht="15" hidden="false" customHeight="false" outlineLevel="0" collapsed="false">
      <c r="A423" s="6" t="s">
        <v>976</v>
      </c>
      <c r="B423" s="6" t="n">
        <v>4420003</v>
      </c>
      <c r="C423" s="6" t="s">
        <v>977</v>
      </c>
      <c r="D423" s="6" t="str">
        <f aca="false">TRIM(SUBSTITUTE($A423,CHAR(160)," "))</f>
        <v>374 0</v>
      </c>
      <c r="E423" s="6" t="str">
        <f aca="false">TRIM(SUBSTITUTE($C423,CHAR(160)," "))</f>
        <v>374 רפידת בולמת זעזועים -זוג</v>
      </c>
    </row>
    <row r="424" customFormat="false" ht="15" hidden="false" customHeight="false" outlineLevel="0" collapsed="false">
      <c r="A424" s="6" t="s">
        <v>978</v>
      </c>
      <c r="B424" s="6" t="n">
        <v>4420004</v>
      </c>
      <c r="C424" s="6" t="s">
        <v>979</v>
      </c>
      <c r="D424" s="6" t="str">
        <f aca="false">TRIM(SUBSTITUTE($A424,CHAR(160)," "))</f>
        <v>377-35</v>
      </c>
      <c r="E424" s="6" t="str">
        <f aca="false">TRIM(SUBSTITUTE($C424,CHAR(160)," "))</f>
        <v>377 רפ.אורטופדית ספורט זוג35</v>
      </c>
    </row>
    <row r="425" customFormat="false" ht="15" hidden="false" customHeight="false" outlineLevel="0" collapsed="false">
      <c r="A425" s="6" t="s">
        <v>980</v>
      </c>
      <c r="B425" s="6" t="n">
        <v>4420032</v>
      </c>
      <c r="C425" s="6" t="s">
        <v>981</v>
      </c>
      <c r="D425" s="6" t="str">
        <f aca="false">TRIM(SUBSTITUTE($A425,CHAR(160)," "))</f>
        <v>376-46-47</v>
      </c>
      <c r="E425" s="6" t="str">
        <f aca="false">TRIM(SUBSTITUTE($C425,CHAR(160)," "))</f>
        <v>46-47 רפידת ספורט 376 מידה</v>
      </c>
    </row>
    <row r="426" customFormat="false" ht="15" hidden="false" customHeight="false" outlineLevel="0" collapsed="false">
      <c r="A426" s="6" t="s">
        <v>982</v>
      </c>
      <c r="B426" s="6" t="n">
        <v>4413112</v>
      </c>
      <c r="C426" s="6" t="s">
        <v>983</v>
      </c>
      <c r="D426" s="6" t="str">
        <f aca="false">TRIM(SUBSTITUTE($A426,CHAR(160)," "))</f>
        <v>49 L</v>
      </c>
      <c r="E426" s="6" t="str">
        <f aca="false">TRIM(SUBSTITUTE($C426,CHAR(160)," "))</f>
        <v>49 L מגן ירך</v>
      </c>
    </row>
    <row r="427" customFormat="false" ht="15" hidden="false" customHeight="false" outlineLevel="0" collapsed="false">
      <c r="A427" s="6" t="s">
        <v>984</v>
      </c>
      <c r="B427" s="6" t="n">
        <v>4413113</v>
      </c>
      <c r="C427" s="6" t="s">
        <v>985</v>
      </c>
      <c r="D427" s="6" t="str">
        <f aca="false">TRIM(SUBSTITUTE($A427,CHAR(160)," "))</f>
        <v>49 M</v>
      </c>
      <c r="E427" s="6" t="str">
        <f aca="false">TRIM(SUBSTITUTE($C427,CHAR(160)," "))</f>
        <v>49 M מגן ירך</v>
      </c>
    </row>
    <row r="428" customFormat="false" ht="15" hidden="false" customHeight="false" outlineLevel="0" collapsed="false">
      <c r="A428" s="6" t="s">
        <v>986</v>
      </c>
      <c r="B428" s="6" t="n">
        <v>4413111</v>
      </c>
      <c r="C428" s="6" t="s">
        <v>987</v>
      </c>
      <c r="D428" s="6" t="str">
        <f aca="false">TRIM(SUBSTITUTE($A428,CHAR(160)," "))</f>
        <v>49 S</v>
      </c>
      <c r="E428" s="6" t="str">
        <f aca="false">TRIM(SUBSTITUTE($C428,CHAR(160)," "))</f>
        <v>49 S מגן ירך</v>
      </c>
    </row>
    <row r="429" customFormat="false" ht="15" hidden="false" customHeight="false" outlineLevel="0" collapsed="false">
      <c r="A429" s="6" t="s">
        <v>988</v>
      </c>
      <c r="B429" s="6" t="n">
        <v>4413114</v>
      </c>
      <c r="C429" s="6" t="s">
        <v>989</v>
      </c>
      <c r="D429" s="6" t="str">
        <f aca="false">TRIM(SUBSTITUTE($A429,CHAR(160)," "))</f>
        <v>49 XL</v>
      </c>
      <c r="E429" s="6" t="str">
        <f aca="false">TRIM(SUBSTITUTE($C429,CHAR(160)," "))</f>
        <v>49 XL מגן ירך</v>
      </c>
    </row>
    <row r="430" customFormat="false" ht="15" hidden="false" customHeight="false" outlineLevel="0" collapsed="false">
      <c r="A430" s="6" t="s">
        <v>990</v>
      </c>
      <c r="B430" s="6" t="n">
        <v>4413115</v>
      </c>
      <c r="C430" s="6" t="s">
        <v>991</v>
      </c>
      <c r="D430" s="6" t="str">
        <f aca="false">TRIM(SUBSTITUTE($A430,CHAR(160)," "))</f>
        <v>49 XXL</v>
      </c>
      <c r="E430" s="6" t="str">
        <f aca="false">TRIM(SUBSTITUTE($C430,CHAR(160)," "))</f>
        <v>49 XXL מגן ירך</v>
      </c>
    </row>
    <row r="431" customFormat="false" ht="15" hidden="false" customHeight="false" outlineLevel="0" collapsed="false">
      <c r="A431" s="6" t="s">
        <v>992</v>
      </c>
      <c r="B431" s="6" t="n">
        <v>4413330</v>
      </c>
      <c r="C431" s="6" t="s">
        <v>993</v>
      </c>
      <c r="D431" s="6" t="str">
        <f aca="false">TRIM(SUBSTITUTE($A431,CHAR(160)," "))</f>
        <v>AC49 0</v>
      </c>
      <c r="E431" s="6" t="str">
        <f aca="false">TRIM(SUBSTITUTE($C431,CHAR(160)," "))</f>
        <v>AC49 מגן ירך</v>
      </c>
    </row>
    <row r="432" customFormat="false" ht="15" hidden="false" customHeight="false" outlineLevel="0" collapsed="false">
      <c r="A432" s="6" t="s">
        <v>994</v>
      </c>
      <c r="B432" s="6" t="n">
        <v>4413533</v>
      </c>
      <c r="C432" s="6" t="s">
        <v>995</v>
      </c>
      <c r="D432" s="6" t="str">
        <f aca="false">TRIM(SUBSTITUTE($A432,CHAR(160)," "))</f>
        <v>ST49 0</v>
      </c>
      <c r="E432" s="6" t="str">
        <f aca="false">TRIM(SUBSTITUTE($C432,CHAR(160)," "))</f>
        <v>ST49 מגן ירך</v>
      </c>
    </row>
    <row r="433" customFormat="false" ht="15" hidden="false" customHeight="false" outlineLevel="0" collapsed="false">
      <c r="A433" s="6" t="s">
        <v>996</v>
      </c>
      <c r="B433" s="6" t="n">
        <v>4413180</v>
      </c>
      <c r="C433" s="6" t="s">
        <v>997</v>
      </c>
      <c r="D433" s="6" t="str">
        <f aca="false">TRIM(SUBSTITUTE($A433,CHAR(160)," "))</f>
        <v>T39 S</v>
      </c>
      <c r="E433" s="6" t="str">
        <f aca="false">TRIM(SUBSTITUTE($C433,CHAR(160)," "))</f>
        <v>T39 S מגן שוק</v>
      </c>
    </row>
    <row r="434" customFormat="false" ht="15" hidden="false" customHeight="false" outlineLevel="0" collapsed="false">
      <c r="A434" s="6" t="s">
        <v>998</v>
      </c>
      <c r="B434" s="6" t="n">
        <v>4408207</v>
      </c>
      <c r="C434" s="6" t="s">
        <v>999</v>
      </c>
      <c r="D434" s="6" t="str">
        <f aca="false">TRIM(SUBSTITUTE($A434,CHAR(160)," "))</f>
        <v>AC25 0</v>
      </c>
      <c r="E434" s="6" t="str">
        <f aca="false">TRIM(SUBSTITUTE($C434,CHAR(160)," "))</f>
        <v>AC-25 חבק לשורש כף היד</v>
      </c>
    </row>
    <row r="435" customFormat="false" ht="15" hidden="false" customHeight="false" outlineLevel="0" collapsed="false">
      <c r="A435" s="6" t="s">
        <v>1000</v>
      </c>
      <c r="B435" s="6" t="n">
        <v>4415026</v>
      </c>
      <c r="C435" s="6" t="s">
        <v>1001</v>
      </c>
      <c r="D435" s="6" t="str">
        <f aca="false">TRIM(SUBSTITUTE($A435,CHAR(160)," "))</f>
        <v>AC27L 0</v>
      </c>
      <c r="E435" s="6" t="str">
        <f aca="false">TRIM(SUBSTITUTE($C435,CHAR(160)," "))</f>
        <v>AC-27L סד לש.כף יד שמאל</v>
      </c>
    </row>
    <row r="436" customFormat="false" ht="15" hidden="false" customHeight="false" outlineLevel="0" collapsed="false">
      <c r="A436" s="6" t="s">
        <v>1002</v>
      </c>
      <c r="B436" s="6" t="n">
        <v>4415027</v>
      </c>
      <c r="C436" s="6" t="s">
        <v>1003</v>
      </c>
      <c r="D436" s="6" t="str">
        <f aca="false">TRIM(SUBSTITUTE($A436,CHAR(160)," "))</f>
        <v>AC27R 0</v>
      </c>
      <c r="E436" s="6" t="str">
        <f aca="false">TRIM(SUBSTITUTE($C436,CHAR(160)," "))</f>
        <v>AC-27R סד לש.כף יד ימין</v>
      </c>
    </row>
    <row r="437" customFormat="false" ht="15" hidden="false" customHeight="false" outlineLevel="0" collapsed="false">
      <c r="A437" s="6" t="s">
        <v>1004</v>
      </c>
      <c r="B437" s="6" t="n">
        <v>4408249</v>
      </c>
      <c r="C437" s="6" t="s">
        <v>1005</v>
      </c>
      <c r="D437" s="6" t="str">
        <f aca="false">TRIM(SUBSTITUTE($A437,CHAR(160)," "))</f>
        <v>SC25 L</v>
      </c>
      <c r="E437" s="6" t="str">
        <f aca="false">TRIM(SUBSTITUTE($C437,CHAR(160)," "))</f>
        <v>SC25 L חבק יד</v>
      </c>
    </row>
    <row r="438" customFormat="false" ht="15" hidden="false" customHeight="false" outlineLevel="0" collapsed="false">
      <c r="A438" s="6" t="s">
        <v>1006</v>
      </c>
      <c r="B438" s="6" t="n">
        <v>4408248</v>
      </c>
      <c r="C438" s="6" t="s">
        <v>1007</v>
      </c>
      <c r="D438" s="6" t="str">
        <f aca="false">TRIM(SUBSTITUTE($A438,CHAR(160)," "))</f>
        <v>SC25 M</v>
      </c>
      <c r="E438" s="6" t="str">
        <f aca="false">TRIM(SUBSTITUTE($C438,CHAR(160)," "))</f>
        <v>SC25 M חבק יד</v>
      </c>
    </row>
    <row r="439" customFormat="false" ht="15" hidden="false" customHeight="false" outlineLevel="0" collapsed="false">
      <c r="A439" s="6" t="s">
        <v>1008</v>
      </c>
      <c r="B439" s="6" t="n">
        <v>4408247</v>
      </c>
      <c r="C439" s="6" t="s">
        <v>1009</v>
      </c>
      <c r="D439" s="6" t="str">
        <f aca="false">TRIM(SUBSTITUTE($A439,CHAR(160)," "))</f>
        <v>SC25 S</v>
      </c>
      <c r="E439" s="6" t="str">
        <f aca="false">TRIM(SUBSTITUTE($C439,CHAR(160)," "))</f>
        <v>SC25 S חבק יד</v>
      </c>
    </row>
    <row r="440" customFormat="false" ht="15" hidden="false" customHeight="false" outlineLevel="0" collapsed="false">
      <c r="A440" s="6" t="s">
        <v>1010</v>
      </c>
      <c r="B440" s="6" t="n">
        <v>4408250</v>
      </c>
      <c r="C440" s="6" t="s">
        <v>1011</v>
      </c>
      <c r="D440" s="6" t="str">
        <f aca="false">TRIM(SUBSTITUTE($A440,CHAR(160)," "))</f>
        <v>SC25 XL</v>
      </c>
      <c r="E440" s="6" t="str">
        <f aca="false">TRIM(SUBSTITUTE($C440,CHAR(160)," "))</f>
        <v>SC25 XL חבק יד</v>
      </c>
    </row>
    <row r="441" customFormat="false" ht="15" hidden="false" customHeight="false" outlineLevel="0" collapsed="false">
      <c r="A441" s="6" t="s">
        <v>1012</v>
      </c>
      <c r="B441" s="6" t="n">
        <v>4413422</v>
      </c>
      <c r="C441" s="6" t="s">
        <v>1013</v>
      </c>
      <c r="D441" s="6" t="str">
        <f aca="false">TRIM(SUBSTITUTE($A441,CHAR(160)," "))</f>
        <v>SC35L L</v>
      </c>
      <c r="E441" s="6" t="str">
        <f aca="false">TRIM(SUBSTITUTE($C441,CHAR(160)," "))</f>
        <v>SC35L L מגן קרסול שמאל</v>
      </c>
    </row>
    <row r="442" customFormat="false" ht="15" hidden="false" customHeight="false" outlineLevel="0" collapsed="false">
      <c r="A442" s="6" t="s">
        <v>1014</v>
      </c>
      <c r="B442" s="6" t="n">
        <v>4413421</v>
      </c>
      <c r="C442" s="6" t="s">
        <v>1015</v>
      </c>
      <c r="D442" s="6" t="str">
        <f aca="false">TRIM(SUBSTITUTE($A442,CHAR(160)," "))</f>
        <v>SC35L M</v>
      </c>
      <c r="E442" s="6" t="str">
        <f aca="false">TRIM(SUBSTITUTE($C442,CHAR(160)," "))</f>
        <v>SC35L M מגן קרסול שמאל</v>
      </c>
    </row>
    <row r="443" customFormat="false" ht="15" hidden="false" customHeight="false" outlineLevel="0" collapsed="false">
      <c r="A443" s="6" t="s">
        <v>1016</v>
      </c>
      <c r="B443" s="6" t="n">
        <v>4413420</v>
      </c>
      <c r="C443" s="6" t="s">
        <v>1017</v>
      </c>
      <c r="D443" s="6" t="str">
        <f aca="false">TRIM(SUBSTITUTE($A443,CHAR(160)," "))</f>
        <v>SC35L S</v>
      </c>
      <c r="E443" s="6" t="str">
        <f aca="false">TRIM(SUBSTITUTE($C443,CHAR(160)," "))</f>
        <v>SC35L S מגן קרסול שמאל</v>
      </c>
    </row>
    <row r="444" customFormat="false" ht="15" hidden="false" customHeight="false" outlineLevel="0" collapsed="false">
      <c r="A444" s="6" t="s">
        <v>1018</v>
      </c>
      <c r="B444" s="6" t="n">
        <v>4413423</v>
      </c>
      <c r="C444" s="6" t="s">
        <v>1019</v>
      </c>
      <c r="D444" s="6" t="str">
        <f aca="false">TRIM(SUBSTITUTE($A444,CHAR(160)," "))</f>
        <v>SC35L XL</v>
      </c>
      <c r="E444" s="6" t="str">
        <f aca="false">TRIM(SUBSTITUTE($C444,CHAR(160)," "))</f>
        <v>SC35L XL מגן קרסול שמאל</v>
      </c>
    </row>
    <row r="445" customFormat="false" ht="15" hidden="false" customHeight="false" outlineLevel="0" collapsed="false">
      <c r="A445" s="6" t="s">
        <v>1020</v>
      </c>
      <c r="B445" s="6" t="n">
        <v>4413426</v>
      </c>
      <c r="C445" s="6" t="s">
        <v>1021</v>
      </c>
      <c r="D445" s="6" t="str">
        <f aca="false">TRIM(SUBSTITUTE($A445,CHAR(160)," "))</f>
        <v>SC35R L</v>
      </c>
      <c r="E445" s="6" t="str">
        <f aca="false">TRIM(SUBSTITUTE($C445,CHAR(160)," "))</f>
        <v>SC35R L מגן קרסול ימין</v>
      </c>
    </row>
    <row r="446" customFormat="false" ht="15" hidden="false" customHeight="false" outlineLevel="0" collapsed="false">
      <c r="A446" s="6" t="s">
        <v>1022</v>
      </c>
      <c r="B446" s="6" t="n">
        <v>4413425</v>
      </c>
      <c r="C446" s="6" t="s">
        <v>1023</v>
      </c>
      <c r="D446" s="6" t="str">
        <f aca="false">TRIM(SUBSTITUTE($A446,CHAR(160)," "))</f>
        <v>SC35R M</v>
      </c>
      <c r="E446" s="6" t="str">
        <f aca="false">TRIM(SUBSTITUTE($C446,CHAR(160)," "))</f>
        <v>SC35R M מגן קרסול ימין</v>
      </c>
    </row>
    <row r="447" customFormat="false" ht="15" hidden="false" customHeight="false" outlineLevel="0" collapsed="false">
      <c r="A447" s="6" t="s">
        <v>1024</v>
      </c>
      <c r="B447" s="6" t="n">
        <v>4413424</v>
      </c>
      <c r="C447" s="6" t="s">
        <v>1025</v>
      </c>
      <c r="D447" s="6" t="str">
        <f aca="false">TRIM(SUBSTITUTE($A447,CHAR(160)," "))</f>
        <v>SC35R S</v>
      </c>
      <c r="E447" s="6" t="str">
        <f aca="false">TRIM(SUBSTITUTE($C447,CHAR(160)," "))</f>
        <v>SC35R S מגן קרסול ימין</v>
      </c>
    </row>
    <row r="448" customFormat="false" ht="15" hidden="false" customHeight="false" outlineLevel="0" collapsed="false">
      <c r="A448" s="6" t="s">
        <v>1026</v>
      </c>
      <c r="B448" s="6" t="n">
        <v>4413427</v>
      </c>
      <c r="C448" s="6" t="s">
        <v>1027</v>
      </c>
      <c r="D448" s="6" t="str">
        <f aca="false">TRIM(SUBSTITUTE($A448,CHAR(160)," "))</f>
        <v>SC35R XL</v>
      </c>
      <c r="E448" s="6" t="str">
        <f aca="false">TRIM(SUBSTITUTE($C448,CHAR(160)," "))</f>
        <v>SC35R XLמגן קרסול ימין</v>
      </c>
    </row>
    <row r="449" customFormat="false" ht="15" hidden="false" customHeight="false" outlineLevel="0" collapsed="false">
      <c r="A449" s="6" t="s">
        <v>1028</v>
      </c>
      <c r="B449" s="6" t="n">
        <v>4413417</v>
      </c>
      <c r="C449" s="6" t="s">
        <v>1029</v>
      </c>
      <c r="D449" s="6" t="str">
        <f aca="false">TRIM(SUBSTITUTE($A449,CHAR(160)," "))</f>
        <v>SC39 L</v>
      </c>
      <c r="E449" s="6" t="str">
        <f aca="false">TRIM(SUBSTITUTE($C449,CHAR(160)," "))</f>
        <v>SC39 L מגן שוק</v>
      </c>
    </row>
    <row r="450" customFormat="false" ht="15" hidden="false" customHeight="false" outlineLevel="0" collapsed="false">
      <c r="A450" s="6" t="s">
        <v>1030</v>
      </c>
      <c r="B450" s="6" t="n">
        <v>4413416</v>
      </c>
      <c r="C450" s="6" t="s">
        <v>1031</v>
      </c>
      <c r="D450" s="6" t="str">
        <f aca="false">TRIM(SUBSTITUTE($A450,CHAR(160)," "))</f>
        <v>SC39 M</v>
      </c>
      <c r="E450" s="6" t="str">
        <f aca="false">TRIM(SUBSTITUTE($C450,CHAR(160)," "))</f>
        <v>SC39 M מגן שוק</v>
      </c>
    </row>
    <row r="451" customFormat="false" ht="15" hidden="false" customHeight="false" outlineLevel="0" collapsed="false">
      <c r="A451" s="6" t="s">
        <v>1032</v>
      </c>
      <c r="B451" s="6" t="n">
        <v>4413415</v>
      </c>
      <c r="C451" s="6" t="s">
        <v>1033</v>
      </c>
      <c r="D451" s="6" t="str">
        <f aca="false">TRIM(SUBSTITUTE($A451,CHAR(160)," "))</f>
        <v>SC39 S</v>
      </c>
      <c r="E451" s="6" t="str">
        <f aca="false">TRIM(SUBSTITUTE($C451,CHAR(160)," "))</f>
        <v>SC39 S מגן שוק</v>
      </c>
    </row>
    <row r="452" customFormat="false" ht="15" hidden="false" customHeight="false" outlineLevel="0" collapsed="false">
      <c r="A452" s="6" t="s">
        <v>1034</v>
      </c>
      <c r="B452" s="6" t="n">
        <v>4413418</v>
      </c>
      <c r="C452" s="6" t="s">
        <v>1035</v>
      </c>
      <c r="D452" s="6" t="str">
        <f aca="false">TRIM(SUBSTITUTE($A452,CHAR(160)," "))</f>
        <v>SC39 XL</v>
      </c>
      <c r="E452" s="6" t="str">
        <f aca="false">TRIM(SUBSTITUTE($C452,CHAR(160)," "))</f>
        <v>SC39 XL מגן שוק</v>
      </c>
    </row>
    <row r="453" customFormat="false" ht="15" hidden="false" customHeight="false" outlineLevel="0" collapsed="false">
      <c r="A453" s="6" t="s">
        <v>1036</v>
      </c>
      <c r="B453" s="6" t="n">
        <v>4413419</v>
      </c>
      <c r="C453" s="6" t="s">
        <v>1037</v>
      </c>
      <c r="D453" s="6" t="str">
        <f aca="false">TRIM(SUBSTITUTE($A453,CHAR(160)," "))</f>
        <v>SC39 XXL</v>
      </c>
      <c r="E453" s="6" t="str">
        <f aca="false">TRIM(SUBSTITUTE($C453,CHAR(160)," "))</f>
        <v>SC39 XXLמגן שוק</v>
      </c>
    </row>
    <row r="454" customFormat="false" ht="15" hidden="false" customHeight="false" outlineLevel="0" collapsed="false">
      <c r="A454" s="6" t="s">
        <v>1038</v>
      </c>
      <c r="B454" s="6" t="n">
        <v>4413440</v>
      </c>
      <c r="C454" s="6" t="s">
        <v>1039</v>
      </c>
      <c r="D454" s="6" t="str">
        <f aca="false">TRIM(SUBSTITUTE($A454,CHAR(160)," "))</f>
        <v>SC422 L</v>
      </c>
      <c r="E454" s="6" t="str">
        <f aca="false">TRIM(SUBSTITUTE($C454,CHAR(160)," "))</f>
        <v>SC422 L מגן ברך</v>
      </c>
    </row>
    <row r="455" customFormat="false" ht="15" hidden="false" customHeight="false" outlineLevel="0" collapsed="false">
      <c r="A455" s="6" t="s">
        <v>1040</v>
      </c>
      <c r="B455" s="6" t="n">
        <v>4413439</v>
      </c>
      <c r="C455" s="6" t="s">
        <v>1041</v>
      </c>
      <c r="D455" s="6" t="str">
        <f aca="false">TRIM(SUBSTITUTE($A455,CHAR(160)," "))</f>
        <v>SC422 M</v>
      </c>
      <c r="E455" s="6" t="str">
        <f aca="false">TRIM(SUBSTITUTE($C455,CHAR(160)," "))</f>
        <v>SC422 M מגן ברך</v>
      </c>
    </row>
    <row r="456" customFormat="false" ht="15" hidden="false" customHeight="false" outlineLevel="0" collapsed="false">
      <c r="A456" s="6" t="s">
        <v>1042</v>
      </c>
      <c r="B456" s="6" t="n">
        <v>4413441</v>
      </c>
      <c r="C456" s="6" t="s">
        <v>1043</v>
      </c>
      <c r="D456" s="6" t="str">
        <f aca="false">TRIM(SUBSTITUTE($A456,CHAR(160)," "))</f>
        <v>SC422 XL</v>
      </c>
      <c r="E456" s="6" t="str">
        <f aca="false">TRIM(SUBSTITUTE($C456,CHAR(160)," "))</f>
        <v>SC422 XL מגן ברך</v>
      </c>
    </row>
    <row r="457" customFormat="false" ht="15" hidden="false" customHeight="false" outlineLevel="0" collapsed="false">
      <c r="A457" s="6" t="s">
        <v>1044</v>
      </c>
      <c r="B457" s="6" t="n">
        <v>4413407</v>
      </c>
      <c r="C457" s="6" t="s">
        <v>1045</v>
      </c>
      <c r="D457" s="6" t="str">
        <f aca="false">TRIM(SUBSTITUTE($A457,CHAR(160)," "))</f>
        <v>SC95 L</v>
      </c>
      <c r="E457" s="6" t="str">
        <f aca="false">TRIM(SUBSTITUTE($C457,CHAR(160)," "))</f>
        <v>SC95 L מגן מרפק</v>
      </c>
    </row>
    <row r="458" customFormat="false" ht="15" hidden="false" customHeight="false" outlineLevel="0" collapsed="false">
      <c r="A458" s="6" t="s">
        <v>1046</v>
      </c>
      <c r="B458" s="6" t="n">
        <v>4413406</v>
      </c>
      <c r="C458" s="6" t="s">
        <v>1047</v>
      </c>
      <c r="D458" s="6" t="str">
        <f aca="false">TRIM(SUBSTITUTE($A458,CHAR(160)," "))</f>
        <v>SC95 M</v>
      </c>
      <c r="E458" s="6" t="str">
        <f aca="false">TRIM(SUBSTITUTE($C458,CHAR(160)," "))</f>
        <v>SC95 M מגן מרפק</v>
      </c>
    </row>
    <row r="459" customFormat="false" ht="15" hidden="false" customHeight="false" outlineLevel="0" collapsed="false">
      <c r="A459" s="6" t="s">
        <v>1048</v>
      </c>
      <c r="B459" s="6" t="n">
        <v>4413408</v>
      </c>
      <c r="C459" s="6" t="s">
        <v>1049</v>
      </c>
      <c r="D459" s="6" t="str">
        <f aca="false">TRIM(SUBSTITUTE($A459,CHAR(160)," "))</f>
        <v>SC95 XL</v>
      </c>
      <c r="E459" s="6" t="str">
        <f aca="false">TRIM(SUBSTITUTE($C459,CHAR(160)," "))</f>
        <v>SC95 XLמגן מרפק</v>
      </c>
    </row>
    <row r="460" customFormat="false" ht="15" hidden="false" customHeight="false" outlineLevel="0" collapsed="false">
      <c r="A460" s="6" t="s">
        <v>1050</v>
      </c>
      <c r="B460" s="6" t="n">
        <v>4420034</v>
      </c>
      <c r="C460" s="6" t="s">
        <v>1051</v>
      </c>
      <c r="D460" s="6" t="str">
        <f aca="false">TRIM(SUBSTITUTE($A460,CHAR(160)," "))</f>
        <v>381 0</v>
      </c>
      <c r="E460" s="6" t="str">
        <f aca="false">TRIM(SUBSTITUTE($C460,CHAR(160)," "))</f>
        <v>381 HV רצועה אלסטית</v>
      </c>
    </row>
    <row r="461" customFormat="false" ht="15" hidden="false" customHeight="false" outlineLevel="0" collapsed="false">
      <c r="A461" s="6" t="s">
        <v>1052</v>
      </c>
      <c r="B461" s="6" t="n">
        <v>4415299</v>
      </c>
      <c r="C461" s="6" t="s">
        <v>1053</v>
      </c>
      <c r="D461" s="6" t="str">
        <f aca="false">TRIM(SUBSTITUTE($A461,CHAR(160)," "))</f>
        <v>388BR 0</v>
      </c>
      <c r="E461" s="6" t="str">
        <f aca="false">TRIM(SUBSTITUTE($C461,CHAR(160)," "))</f>
        <v>388B L סד לילה שחור לבוהן ימין</v>
      </c>
    </row>
    <row r="462" customFormat="false" ht="15" hidden="false" customHeight="false" outlineLevel="0" collapsed="false">
      <c r="A462" s="6" t="s">
        <v>1054</v>
      </c>
      <c r="B462" s="6" t="n">
        <v>4415298</v>
      </c>
      <c r="C462" s="6" t="s">
        <v>1055</v>
      </c>
      <c r="D462" s="6" t="str">
        <f aca="false">TRIM(SUBSTITUTE($A462,CHAR(160)," "))</f>
        <v>388BL 0</v>
      </c>
      <c r="E462" s="6" t="str">
        <f aca="false">TRIM(SUBSTITUTE($C462,CHAR(160)," "))</f>
        <v>388B L סד לילה שחור לבוהן שמאל</v>
      </c>
    </row>
    <row r="463" customFormat="false" ht="15" hidden="false" customHeight="false" outlineLevel="0" collapsed="false">
      <c r="A463" s="6" t="s">
        <v>1056</v>
      </c>
      <c r="B463" s="6" t="n">
        <v>4422000</v>
      </c>
      <c r="C463" s="6" t="s">
        <v>1057</v>
      </c>
      <c r="D463" s="6" t="str">
        <f aca="false">TRIM(SUBSTITUTE($A463,CHAR(160)," "))</f>
        <v>801 0</v>
      </c>
      <c r="E463" s="6" t="str">
        <f aca="false">TRIM(SUBSTITUTE($C463,CHAR(160)," "))</f>
        <v>801 תחבושת אלסטית מקררת</v>
      </c>
    </row>
    <row r="464" customFormat="false" ht="15" hidden="false" customHeight="false" outlineLevel="0" collapsed="false">
      <c r="A464" s="6" t="s">
        <v>1058</v>
      </c>
      <c r="B464" s="6" t="n">
        <v>4422023</v>
      </c>
      <c r="C464" s="6" t="s">
        <v>1059</v>
      </c>
      <c r="D464" s="6" t="str">
        <f aca="false">TRIM(SUBSTITUTE($A464,CHAR(160)," "))</f>
        <v>806CB-C</v>
      </c>
      <c r="E464" s="6" t="str">
        <f aca="false">TRIM(SUBSTITUTE($C464,CHAR(160)," "))</f>
        <v>806CB-BEIGE תחבושת א.נצמ</v>
      </c>
    </row>
    <row r="465" customFormat="false" ht="15" hidden="false" customHeight="false" outlineLevel="0" collapsed="false">
      <c r="A465" s="6" t="s">
        <v>1060</v>
      </c>
      <c r="B465" s="6" t="n">
        <v>4422024</v>
      </c>
      <c r="C465" s="6" t="s">
        <v>1061</v>
      </c>
      <c r="D465" s="6" t="str">
        <f aca="false">TRIM(SUBSTITUTE($A465,CHAR(160)," "))</f>
        <v>806CB-B</v>
      </c>
      <c r="E465" s="6" t="str">
        <f aca="false">TRIM(SUBSTITUTE($C465,CHAR(160)," "))</f>
        <v>806CB-BLACK תחבושת א.נצמ</v>
      </c>
    </row>
    <row r="466" customFormat="false" ht="15" hidden="false" customHeight="false" outlineLevel="0" collapsed="false">
      <c r="A466" s="6" t="s">
        <v>1062</v>
      </c>
      <c r="B466" s="6" t="n">
        <v>4422025</v>
      </c>
      <c r="C466" s="6" t="s">
        <v>1063</v>
      </c>
      <c r="D466" s="6" t="str">
        <f aca="false">TRIM(SUBSTITUTE($A466,CHAR(160)," "))</f>
        <v>806CB-GR</v>
      </c>
      <c r="E466" s="6" t="str">
        <f aca="false">TRIM(SUBSTITUTE($C466,CHAR(160)," "))</f>
        <v>806CB-GREEN תחבושת א.נצמ</v>
      </c>
    </row>
    <row r="467" customFormat="false" ht="15" hidden="false" customHeight="false" outlineLevel="0" collapsed="false">
      <c r="A467" s="6" t="s">
        <v>1064</v>
      </c>
      <c r="B467" s="6" t="n">
        <v>4422026</v>
      </c>
      <c r="C467" s="6" t="s">
        <v>1065</v>
      </c>
      <c r="D467" s="6" t="str">
        <f aca="false">TRIM(SUBSTITUTE($A467,CHAR(160)," "))</f>
        <v>806CB-P</v>
      </c>
      <c r="E467" s="6" t="str">
        <f aca="false">TRIM(SUBSTITUTE($C467,CHAR(160)," "))</f>
        <v>806CB-PINK תחבושת א.נצמ</v>
      </c>
    </row>
    <row r="468" customFormat="false" ht="15" hidden="false" customHeight="false" outlineLevel="0" collapsed="false">
      <c r="A468" s="6" t="s">
        <v>1066</v>
      </c>
      <c r="B468" s="6" t="n">
        <v>4422032</v>
      </c>
      <c r="C468" s="6" t="s">
        <v>1067</v>
      </c>
      <c r="D468" s="6" t="str">
        <f aca="false">TRIM(SUBSTITUTE($A468,CHAR(160)," "))</f>
        <v>807CB-B</v>
      </c>
      <c r="E468" s="6" t="str">
        <f aca="false">TRIM(SUBSTITUTE($C468,CHAR(160)," "))</f>
        <v>807B-Bתחבושת נצמדת שחור 20 מ""""מ</v>
      </c>
    </row>
    <row r="469" customFormat="false" ht="15" hidden="false" customHeight="false" outlineLevel="0" collapsed="false">
      <c r="A469" s="6" t="s">
        <v>1068</v>
      </c>
      <c r="B469" s="6" t="n">
        <v>4422033</v>
      </c>
      <c r="C469" s="6" t="s">
        <v>1069</v>
      </c>
      <c r="D469" s="6" t="str">
        <f aca="false">TRIM(SUBSTITUTE($A469,CHAR(160)," "))</f>
        <v>807CB-BL</v>
      </c>
      <c r="E469" s="6" t="str">
        <f aca="false">TRIM(SUBSTITUTE($C469,CHAR(160)," "))</f>
        <v>807CB-BLתחבושת נצמדת כחול20מ""""מ</v>
      </c>
    </row>
    <row r="470" customFormat="false" ht="15" hidden="false" customHeight="false" outlineLevel="0" collapsed="false">
      <c r="A470" s="6" t="s">
        <v>1070</v>
      </c>
      <c r="B470" s="6" t="n">
        <v>4422031</v>
      </c>
      <c r="C470" s="6" t="s">
        <v>1071</v>
      </c>
      <c r="D470" s="6" t="str">
        <f aca="false">TRIM(SUBSTITUTE($A470,CHAR(160)," "))</f>
        <v>807CB-C</v>
      </c>
      <c r="E470" s="6" t="str">
        <f aca="false">TRIM(SUBSTITUTE($C470,CHAR(160)," "))</f>
        <v>807CB-Cתחבושת נצמדת בז' 20 מ""""מ</v>
      </c>
    </row>
    <row r="471" customFormat="false" ht="15" hidden="false" customHeight="false" outlineLevel="0" collapsed="false">
      <c r="A471" s="6" t="s">
        <v>1072</v>
      </c>
      <c r="B471" s="6" t="n">
        <v>4422034</v>
      </c>
      <c r="C471" s="6" t="s">
        <v>1073</v>
      </c>
      <c r="D471" s="6" t="str">
        <f aca="false">TRIM(SUBSTITUTE($A471,CHAR(160)," "))</f>
        <v>807CB-P</v>
      </c>
      <c r="E471" s="6" t="str">
        <f aca="false">TRIM(SUBSTITUTE($C471,CHAR(160)," "))</f>
        <v>807CB-P תחבושת נצמדת ורוד 20ממ</v>
      </c>
    </row>
  </sheetData>
  <mergeCells count="1">
    <mergeCell ref="A3:O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2"/>
    <col collapsed="false" customWidth="true" hidden="false" outlineLevel="0" max="2" min="2" style="0" width="8"/>
    <col collapsed="false" customWidth="true" hidden="false" outlineLevel="0" max="3" min="3" style="0" width="12"/>
    <col collapsed="false" customWidth="true" hidden="false" outlineLevel="0" max="5" min="4" style="0" width="14"/>
    <col collapsed="false" customWidth="true" hidden="false" outlineLevel="0" max="6" min="6" style="0" width="13"/>
  </cols>
  <sheetData>
    <row r="1" customFormat="false" ht="17.15" hidden="false" customHeight="false" outlineLevel="0" collapsed="false">
      <c r="A1" s="1" t="s">
        <v>1074</v>
      </c>
    </row>
    <row r="2" customFormat="false" ht="15" hidden="false" customHeight="false" outlineLevel="0" collapsed="false">
      <c r="A2" s="2" t="s">
        <v>1</v>
      </c>
      <c r="B2" s="3" t="n">
        <v>46289</v>
      </c>
    </row>
    <row r="3" customFormat="false" ht="32.8" hidden="false" customHeight="true" outlineLevel="0" collapsed="false">
      <c r="A3" s="4" t="s">
        <v>1075</v>
      </c>
      <c r="B3" s="4"/>
      <c r="C3" s="4"/>
      <c r="D3" s="4"/>
      <c r="E3" s="4"/>
      <c r="F3" s="4"/>
      <c r="G3" s="4"/>
      <c r="H3" s="4"/>
      <c r="I3" s="4"/>
      <c r="J3" s="4"/>
      <c r="K3" s="4"/>
      <c r="L3" s="4"/>
      <c r="M3" s="4"/>
      <c r="N3" s="4"/>
      <c r="O3" s="4"/>
    </row>
    <row r="5" customFormat="false" ht="39.55" hidden="false" customHeight="false" outlineLevel="0" collapsed="false">
      <c r="A5" s="5" t="s">
        <v>65</v>
      </c>
      <c r="B5" s="5" t="s">
        <v>66</v>
      </c>
      <c r="C5" s="5" t="s">
        <v>27</v>
      </c>
      <c r="D5" s="5" t="s">
        <v>28</v>
      </c>
      <c r="E5" s="5" t="s">
        <v>1076</v>
      </c>
      <c r="F5" s="5" t="s">
        <v>1077</v>
      </c>
    </row>
    <row r="6" customFormat="false" ht="15" hidden="false" customHeight="false" outlineLevel="0" collapsed="false">
      <c r="A6" s="6" t="s">
        <v>751</v>
      </c>
      <c r="B6" s="6" t="n">
        <v>2026</v>
      </c>
      <c r="C6" s="16" t="n">
        <v>61</v>
      </c>
      <c r="D6" s="17" t="n">
        <v>870.8</v>
      </c>
      <c r="E6" s="6" t="n">
        <f aca="false">IFERROR(INDEX('TRANS'!$B:$B,MATCH($A6,'TRANS'!$C:$C,0)),IFERROR(INDEX('TRANS'!$B:$B,MATCH(TRIM(SUBSTITUTE($A6,CHAR(160)," ")),'TRANS'!$E:$E,0)),IFERROR(INDEX('Manual Matches'!$C:$C,MATCH($A6,'Manual Matches'!$B:$B,0)),"")))</f>
        <v>4401000</v>
      </c>
      <c r="F6" s="6" t="str">
        <f aca="false">IF($E6="","Unmatched",IF(COUNTIF('Manual Matches'!$B:$B,$A6)&gt;0,"Matched (manual)","Matched"))</f>
        <v>Matched</v>
      </c>
    </row>
    <row r="7" customFormat="false" ht="15" hidden="false" customHeight="false" outlineLevel="0" collapsed="false">
      <c r="A7" s="6" t="s">
        <v>749</v>
      </c>
      <c r="B7" s="6" t="n">
        <v>2026</v>
      </c>
      <c r="C7" s="16" t="n">
        <v>86</v>
      </c>
      <c r="D7" s="17" t="n">
        <v>1492.4</v>
      </c>
      <c r="E7" s="6" t="n">
        <f aca="false">IFERROR(INDEX('TRANS'!$B:$B,MATCH($A7,'TRANS'!$C:$C,0)),IFERROR(INDEX('TRANS'!$B:$B,MATCH(TRIM(SUBSTITUTE($A7,CHAR(160)," ")),'TRANS'!$E:$E,0)),IFERROR(INDEX('Manual Matches'!$C:$C,MATCH($A7,'Manual Matches'!$B:$B,0)),"")))</f>
        <v>4401001</v>
      </c>
      <c r="F7" s="6" t="str">
        <f aca="false">IF($E7="","Unmatched",IF(COUNTIF('Manual Matches'!$B:$B,$A7)&gt;0,"Matched (manual)","Matched"))</f>
        <v>Matched</v>
      </c>
    </row>
    <row r="8" customFormat="false" ht="15" hidden="false" customHeight="false" outlineLevel="0" collapsed="false">
      <c r="A8" s="6" t="s">
        <v>763</v>
      </c>
      <c r="B8" s="6" t="n">
        <v>2026</v>
      </c>
      <c r="C8" s="16" t="n">
        <v>138</v>
      </c>
      <c r="D8" s="17" t="n">
        <v>771.2</v>
      </c>
      <c r="E8" s="6" t="n">
        <f aca="false">IFERROR(INDEX('TRANS'!$B:$B,MATCH($A8,'TRANS'!$C:$C,0)),IFERROR(INDEX('TRANS'!$B:$B,MATCH(TRIM(SUBSTITUTE($A8,CHAR(160)," ")),'TRANS'!$E:$E,0)),IFERROR(INDEX('Manual Matches'!$C:$C,MATCH($A8,'Manual Matches'!$B:$B,0)),"")))</f>
        <v>4401002</v>
      </c>
      <c r="F8" s="6" t="str">
        <f aca="false">IF($E8="","Unmatched",IF(COUNTIF('Manual Matches'!$B:$B,$A8)&gt;0,"Matched (manual)","Matched"))</f>
        <v>Matched</v>
      </c>
    </row>
    <row r="9" customFormat="false" ht="15" hidden="false" customHeight="false" outlineLevel="0" collapsed="false">
      <c r="A9" s="6" t="s">
        <v>723</v>
      </c>
      <c r="B9" s="6" t="n">
        <v>2026</v>
      </c>
      <c r="C9" s="16" t="n">
        <v>41</v>
      </c>
      <c r="D9" s="17" t="n">
        <v>668</v>
      </c>
      <c r="E9" s="6" t="n">
        <f aca="false">IFERROR(INDEX('TRANS'!$B:$B,MATCH($A9,'TRANS'!$C:$C,0)),IFERROR(INDEX('TRANS'!$B:$B,MATCH(TRIM(SUBSTITUTE($A9,CHAR(160)," ")),'TRANS'!$E:$E,0)),IFERROR(INDEX('Manual Matches'!$C:$C,MATCH($A9,'Manual Matches'!$B:$B,0)),"")))</f>
        <v>4402000</v>
      </c>
      <c r="F9" s="6" t="str">
        <f aca="false">IF($E9="","Unmatched",IF(COUNTIF('Manual Matches'!$B:$B,$A9)&gt;0,"Matched (manual)","Matched"))</f>
        <v>Matched</v>
      </c>
    </row>
    <row r="10" customFormat="false" ht="15" hidden="false" customHeight="false" outlineLevel="0" collapsed="false">
      <c r="A10" s="6" t="s">
        <v>715</v>
      </c>
      <c r="B10" s="6" t="n">
        <v>2026</v>
      </c>
      <c r="C10" s="16" t="n">
        <v>78</v>
      </c>
      <c r="D10" s="17" t="n">
        <v>939.1</v>
      </c>
      <c r="E10" s="6" t="n">
        <f aca="false">IFERROR(INDEX('TRANS'!$B:$B,MATCH($A10,'TRANS'!$C:$C,0)),IFERROR(INDEX('TRANS'!$B:$B,MATCH(TRIM(SUBSTITUTE($A10,CHAR(160)," ")),'TRANS'!$E:$E,0)),IFERROR(INDEX('Manual Matches'!$C:$C,MATCH($A10,'Manual Matches'!$B:$B,0)),"")))</f>
        <v>4402007</v>
      </c>
      <c r="F10" s="6" t="str">
        <f aca="false">IF($E10="","Unmatched",IF(COUNTIF('Manual Matches'!$B:$B,$A10)&gt;0,"Matched (manual)","Matched"))</f>
        <v>Matched</v>
      </c>
    </row>
    <row r="11" customFormat="false" ht="15" hidden="false" customHeight="false" outlineLevel="0" collapsed="false">
      <c r="A11" s="6" t="s">
        <v>223</v>
      </c>
      <c r="B11" s="6" t="n">
        <v>2026</v>
      </c>
      <c r="C11" s="16" t="n">
        <v>56</v>
      </c>
      <c r="D11" s="17" t="n">
        <v>2875.6</v>
      </c>
      <c r="E11" s="6" t="n">
        <f aca="false">IFERROR(INDEX('TRANS'!$B:$B,MATCH($A11,'TRANS'!$C:$C,0)),IFERROR(INDEX('TRANS'!$B:$B,MATCH(TRIM(SUBSTITUTE($A11,CHAR(160)," ")),'TRANS'!$E:$E,0)),IFERROR(INDEX('Manual Matches'!$C:$C,MATCH($A11,'Manual Matches'!$B:$B,0)),"")))</f>
        <v>4402011</v>
      </c>
      <c r="F11" s="6" t="str">
        <f aca="false">IF($E11="","Unmatched",IF(COUNTIF('Manual Matches'!$B:$B,$A11)&gt;0,"Matched (manual)","Matched"))</f>
        <v>Matched</v>
      </c>
    </row>
    <row r="12" customFormat="false" ht="15" hidden="false" customHeight="false" outlineLevel="0" collapsed="false">
      <c r="A12" s="6" t="s">
        <v>263</v>
      </c>
      <c r="B12" s="6" t="n">
        <v>2026</v>
      </c>
      <c r="C12" s="16" t="n">
        <v>2</v>
      </c>
      <c r="D12" s="17" t="n">
        <v>41.3</v>
      </c>
      <c r="E12" s="6" t="n">
        <f aca="false">IFERROR(INDEX('TRANS'!$B:$B,MATCH($A12,'TRANS'!$C:$C,0)),IFERROR(INDEX('TRANS'!$B:$B,MATCH(TRIM(SUBSTITUTE($A12,CHAR(160)," ")),'TRANS'!$E:$E,0)),IFERROR(INDEX('Manual Matches'!$C:$C,MATCH($A12,'Manual Matches'!$B:$B,0)),"")))</f>
        <v>4403000</v>
      </c>
      <c r="F12" s="6" t="str">
        <f aca="false">IF($E12="","Unmatched",IF(COUNTIF('Manual Matches'!$B:$B,$A12)&gt;0,"Matched (manual)","Matched"))</f>
        <v>Matched</v>
      </c>
    </row>
    <row r="13" customFormat="false" ht="15" hidden="false" customHeight="false" outlineLevel="0" collapsed="false">
      <c r="A13" s="6" t="s">
        <v>259</v>
      </c>
      <c r="B13" s="6" t="n">
        <v>2026</v>
      </c>
      <c r="C13" s="16" t="n">
        <v>6</v>
      </c>
      <c r="D13" s="17" t="n">
        <v>112.1</v>
      </c>
      <c r="E13" s="6" t="n">
        <f aca="false">IFERROR(INDEX('TRANS'!$B:$B,MATCH($A13,'TRANS'!$C:$C,0)),IFERROR(INDEX('TRANS'!$B:$B,MATCH(TRIM(SUBSTITUTE($A13,CHAR(160)," ")),'TRANS'!$E:$E,0)),IFERROR(INDEX('Manual Matches'!$C:$C,MATCH($A13,'Manual Matches'!$B:$B,0)),"")))</f>
        <v>4403001</v>
      </c>
      <c r="F13" s="6" t="str">
        <f aca="false">IF($E13="","Unmatched",IF(COUNTIF('Manual Matches'!$B:$B,$A13)&gt;0,"Matched (manual)","Matched"))</f>
        <v>Matched</v>
      </c>
    </row>
    <row r="14" customFormat="false" ht="15" hidden="false" customHeight="false" outlineLevel="0" collapsed="false">
      <c r="A14" s="6" t="s">
        <v>261</v>
      </c>
      <c r="B14" s="6" t="n">
        <v>2026</v>
      </c>
      <c r="C14" s="16" t="n">
        <v>18</v>
      </c>
      <c r="D14" s="17" t="n">
        <v>424.8</v>
      </c>
      <c r="E14" s="6" t="n">
        <f aca="false">IFERROR(INDEX('TRANS'!$B:$B,MATCH($A14,'TRANS'!$C:$C,0)),IFERROR(INDEX('TRANS'!$B:$B,MATCH(TRIM(SUBSTITUTE($A14,CHAR(160)," ")),'TRANS'!$E:$E,0)),IFERROR(INDEX('Manual Matches'!$C:$C,MATCH($A14,'Manual Matches'!$B:$B,0)),"")))</f>
        <v>4403002</v>
      </c>
      <c r="F14" s="6" t="str">
        <f aca="false">IF($E14="","Unmatched",IF(COUNTIF('Manual Matches'!$B:$B,$A14)&gt;0,"Matched (manual)","Matched"))</f>
        <v>Matched</v>
      </c>
    </row>
    <row r="15" customFormat="false" ht="15" hidden="false" customHeight="false" outlineLevel="0" collapsed="false">
      <c r="A15" s="6" t="s">
        <v>265</v>
      </c>
      <c r="B15" s="6" t="n">
        <v>2026</v>
      </c>
      <c r="C15" s="16" t="n">
        <v>5</v>
      </c>
      <c r="D15" s="17" t="n">
        <v>118</v>
      </c>
      <c r="E15" s="6" t="n">
        <f aca="false">IFERROR(INDEX('TRANS'!$B:$B,MATCH($A15,'TRANS'!$C:$C,0)),IFERROR(INDEX('TRANS'!$B:$B,MATCH(TRIM(SUBSTITUTE($A15,CHAR(160)," ")),'TRANS'!$E:$E,0)),IFERROR(INDEX('Manual Matches'!$C:$C,MATCH($A15,'Manual Matches'!$B:$B,0)),"")))</f>
        <v>4403003</v>
      </c>
      <c r="F15" s="6" t="str">
        <f aca="false">IF($E15="","Unmatched",IF(COUNTIF('Manual Matches'!$B:$B,$A15)&gt;0,"Matched (manual)","Matched"))</f>
        <v>Matched</v>
      </c>
    </row>
    <row r="16" customFormat="false" ht="15" hidden="false" customHeight="false" outlineLevel="0" collapsed="false">
      <c r="A16" s="6" t="s">
        <v>297</v>
      </c>
      <c r="B16" s="6" t="n">
        <v>2026</v>
      </c>
      <c r="C16" s="16" t="n">
        <v>3</v>
      </c>
      <c r="D16" s="17" t="n">
        <v>53.1</v>
      </c>
      <c r="E16" s="6" t="n">
        <f aca="false">IFERROR(INDEX('TRANS'!$B:$B,MATCH($A16,'TRANS'!$C:$C,0)),IFERROR(INDEX('TRANS'!$B:$B,MATCH(TRIM(SUBSTITUTE($A16,CHAR(160)," ")),'TRANS'!$E:$E,0)),IFERROR(INDEX('Manual Matches'!$C:$C,MATCH($A16,'Manual Matches'!$B:$B,0)),"")))</f>
        <v>4403005</v>
      </c>
      <c r="F16" s="6" t="str">
        <f aca="false">IF($E16="","Unmatched",IF(COUNTIF('Manual Matches'!$B:$B,$A16)&gt;0,"Matched (manual)","Matched"))</f>
        <v>Matched</v>
      </c>
    </row>
    <row r="17" customFormat="false" ht="15" hidden="false" customHeight="false" outlineLevel="0" collapsed="false">
      <c r="A17" s="6" t="s">
        <v>273</v>
      </c>
      <c r="B17" s="6" t="n">
        <v>2026</v>
      </c>
      <c r="C17" s="16" t="n">
        <v>7</v>
      </c>
      <c r="D17" s="17" t="n">
        <v>128.8</v>
      </c>
      <c r="E17" s="6" t="n">
        <f aca="false">IFERROR(INDEX('TRANS'!$B:$B,MATCH($A17,'TRANS'!$C:$C,0)),IFERROR(INDEX('TRANS'!$B:$B,MATCH(TRIM(SUBSTITUTE($A17,CHAR(160)," ")),'TRANS'!$E:$E,0)),IFERROR(INDEX('Manual Matches'!$C:$C,MATCH($A17,'Manual Matches'!$B:$B,0)),"")))</f>
        <v>4403017</v>
      </c>
      <c r="F17" s="6" t="str">
        <f aca="false">IF($E17="","Unmatched",IF(COUNTIF('Manual Matches'!$B:$B,$A17)&gt;0,"Matched (manual)","Matched"))</f>
        <v>Matched</v>
      </c>
    </row>
    <row r="18" customFormat="false" ht="15" hidden="false" customHeight="false" outlineLevel="0" collapsed="false">
      <c r="A18" s="6" t="s">
        <v>277</v>
      </c>
      <c r="B18" s="6" t="n">
        <v>2026</v>
      </c>
      <c r="C18" s="16" t="n">
        <v>18</v>
      </c>
      <c r="D18" s="17" t="n">
        <v>331.2</v>
      </c>
      <c r="E18" s="6" t="n">
        <f aca="false">IFERROR(INDEX('TRANS'!$B:$B,MATCH($A18,'TRANS'!$C:$C,0)),IFERROR(INDEX('TRANS'!$B:$B,MATCH(TRIM(SUBSTITUTE($A18,CHAR(160)," ")),'TRANS'!$E:$E,0)),IFERROR(INDEX('Manual Matches'!$C:$C,MATCH($A18,'Manual Matches'!$B:$B,0)),"")))</f>
        <v>4403019</v>
      </c>
      <c r="F18" s="6" t="str">
        <f aca="false">IF($E18="","Unmatched",IF(COUNTIF('Manual Matches'!$B:$B,$A18)&gt;0,"Matched (manual)","Matched"))</f>
        <v>Matched</v>
      </c>
    </row>
    <row r="19" customFormat="false" ht="15" hidden="false" customHeight="false" outlineLevel="0" collapsed="false">
      <c r="A19" s="6" t="s">
        <v>279</v>
      </c>
      <c r="B19" s="6" t="n">
        <v>2026</v>
      </c>
      <c r="C19" s="16" t="n">
        <v>7</v>
      </c>
      <c r="D19" s="17" t="n">
        <v>128.8</v>
      </c>
      <c r="E19" s="6" t="n">
        <f aca="false">IFERROR(INDEX('TRANS'!$B:$B,MATCH($A19,'TRANS'!$C:$C,0)),IFERROR(INDEX('TRANS'!$B:$B,MATCH(TRIM(SUBSTITUTE($A19,CHAR(160)," ")),'TRANS'!$E:$E,0)),IFERROR(INDEX('Manual Matches'!$C:$C,MATCH($A19,'Manual Matches'!$B:$B,0)),"")))</f>
        <v>4403023</v>
      </c>
      <c r="F19" s="6" t="str">
        <f aca="false">IF($E19="","Unmatched",IF(COUNTIF('Manual Matches'!$B:$B,$A19)&gt;0,"Matched (manual)","Matched"))</f>
        <v>Matched</v>
      </c>
    </row>
    <row r="20" customFormat="false" ht="15" hidden="false" customHeight="false" outlineLevel="0" collapsed="false">
      <c r="A20" s="6" t="s">
        <v>281</v>
      </c>
      <c r="B20" s="6" t="n">
        <v>2026</v>
      </c>
      <c r="C20" s="16" t="n">
        <v>15</v>
      </c>
      <c r="D20" s="17" t="n">
        <v>276</v>
      </c>
      <c r="E20" s="6" t="n">
        <f aca="false">IFERROR(INDEX('TRANS'!$B:$B,MATCH($A20,'TRANS'!$C:$C,0)),IFERROR(INDEX('TRANS'!$B:$B,MATCH(TRIM(SUBSTITUTE($A20,CHAR(160)," ")),'TRANS'!$E:$E,0)),IFERROR(INDEX('Manual Matches'!$C:$C,MATCH($A20,'Manual Matches'!$B:$B,0)),"")))</f>
        <v>4403024</v>
      </c>
      <c r="F20" s="6" t="str">
        <f aca="false">IF($E20="","Unmatched",IF(COUNTIF('Manual Matches'!$B:$B,$A20)&gt;0,"Matched (manual)","Matched"))</f>
        <v>Matched</v>
      </c>
    </row>
    <row r="21" customFormat="false" ht="15" hidden="false" customHeight="false" outlineLevel="0" collapsed="false">
      <c r="A21" s="6" t="s">
        <v>283</v>
      </c>
      <c r="B21" s="6" t="n">
        <v>2026</v>
      </c>
      <c r="C21" s="16" t="n">
        <v>19</v>
      </c>
      <c r="D21" s="17" t="n">
        <v>349.6</v>
      </c>
      <c r="E21" s="6" t="n">
        <f aca="false">IFERROR(INDEX('TRANS'!$B:$B,MATCH($A21,'TRANS'!$C:$C,0)),IFERROR(INDEX('TRANS'!$B:$B,MATCH(TRIM(SUBSTITUTE($A21,CHAR(160)," ")),'TRANS'!$E:$E,0)),IFERROR(INDEX('Manual Matches'!$C:$C,MATCH($A21,'Manual Matches'!$B:$B,0)),"")))</f>
        <v>4403025</v>
      </c>
      <c r="F21" s="6" t="str">
        <f aca="false">IF($E21="","Unmatched",IF(COUNTIF('Manual Matches'!$B:$B,$A21)&gt;0,"Matched (manual)","Matched"))</f>
        <v>Matched</v>
      </c>
    </row>
    <row r="22" customFormat="false" ht="15" hidden="false" customHeight="false" outlineLevel="0" collapsed="false">
      <c r="A22" s="6" t="s">
        <v>67</v>
      </c>
      <c r="B22" s="6" t="n">
        <v>2026</v>
      </c>
      <c r="C22" s="16" t="n">
        <v>7</v>
      </c>
      <c r="D22" s="17" t="n">
        <v>1096.9</v>
      </c>
      <c r="E22" s="6" t="str">
        <f aca="false">IFERROR(INDEX('TRANS'!$B:$B,MATCH($A22,'TRANS'!$C:$C,0)),IFERROR(INDEX('TRANS'!$B:$B,MATCH(TRIM(SUBSTITUTE($A22,CHAR(160)," ")),'TRANS'!$E:$E,0)),IFERROR(INDEX('Manual Matches'!$C:$C,MATCH($A22,'Manual Matches'!$B:$B,0)),"")))</f>
        <v/>
      </c>
      <c r="F22" s="6" t="str">
        <f aca="false">IF($E22="","Unmatched",IF(COUNTIF('Manual Matches'!$B:$B,$A22)&gt;0,"Matched (manual)","Matched"))</f>
        <v>Unmatched</v>
      </c>
    </row>
    <row r="23" customFormat="false" ht="15" hidden="false" customHeight="false" outlineLevel="0" collapsed="false">
      <c r="A23" s="6" t="s">
        <v>68</v>
      </c>
      <c r="B23" s="6" t="n">
        <v>2026</v>
      </c>
      <c r="C23" s="16" t="n">
        <v>2</v>
      </c>
      <c r="D23" s="17" t="n">
        <v>351</v>
      </c>
      <c r="E23" s="6" t="str">
        <f aca="false">IFERROR(INDEX('TRANS'!$B:$B,MATCH($A23,'TRANS'!$C:$C,0)),IFERROR(INDEX('TRANS'!$B:$B,MATCH(TRIM(SUBSTITUTE($A23,CHAR(160)," ")),'TRANS'!$E:$E,0)),IFERROR(INDEX('Manual Matches'!$C:$C,MATCH($A23,'Manual Matches'!$B:$B,0)),"")))</f>
        <v/>
      </c>
      <c r="F23" s="6" t="str">
        <f aca="false">IF($E23="","Unmatched",IF(COUNTIF('Manual Matches'!$B:$B,$A23)&gt;0,"Matched (manual)","Matched"))</f>
        <v>Unmatched</v>
      </c>
    </row>
    <row r="24" customFormat="false" ht="15" hidden="false" customHeight="false" outlineLevel="0" collapsed="false">
      <c r="A24" s="6" t="s">
        <v>69</v>
      </c>
      <c r="B24" s="6" t="n">
        <v>2026</v>
      </c>
      <c r="C24" s="16" t="n">
        <v>5</v>
      </c>
      <c r="D24" s="17" t="n">
        <v>745.9</v>
      </c>
      <c r="E24" s="6" t="str">
        <f aca="false">IFERROR(INDEX('TRANS'!$B:$B,MATCH($A24,'TRANS'!$C:$C,0)),IFERROR(INDEX('TRANS'!$B:$B,MATCH(TRIM(SUBSTITUTE($A24,CHAR(160)," ")),'TRANS'!$E:$E,0)),IFERROR(INDEX('Manual Matches'!$C:$C,MATCH($A24,'Manual Matches'!$B:$B,0)),"")))</f>
        <v/>
      </c>
      <c r="F24" s="6" t="str">
        <f aca="false">IF($E24="","Unmatched",IF(COUNTIF('Manual Matches'!$B:$B,$A24)&gt;0,"Matched (manual)","Matched"))</f>
        <v>Unmatched</v>
      </c>
    </row>
    <row r="25" customFormat="false" ht="15" hidden="false" customHeight="false" outlineLevel="0" collapsed="false">
      <c r="A25" s="6" t="s">
        <v>70</v>
      </c>
      <c r="B25" s="6" t="n">
        <v>2026</v>
      </c>
      <c r="C25" s="16" t="n">
        <v>7</v>
      </c>
      <c r="D25" s="17" t="n">
        <v>1009.1</v>
      </c>
      <c r="E25" s="6" t="str">
        <f aca="false">IFERROR(INDEX('TRANS'!$B:$B,MATCH($A25,'TRANS'!$C:$C,0)),IFERROR(INDEX('TRANS'!$B:$B,MATCH(TRIM(SUBSTITUTE($A25,CHAR(160)," ")),'TRANS'!$E:$E,0)),IFERROR(INDEX('Manual Matches'!$C:$C,MATCH($A25,'Manual Matches'!$B:$B,0)),"")))</f>
        <v/>
      </c>
      <c r="F25" s="6" t="str">
        <f aca="false">IF($E25="","Unmatched",IF(COUNTIF('Manual Matches'!$B:$B,$A25)&gt;0,"Matched (manual)","Matched"))</f>
        <v>Unmatched</v>
      </c>
    </row>
    <row r="26" customFormat="false" ht="15" hidden="false" customHeight="false" outlineLevel="0" collapsed="false">
      <c r="A26" s="6" t="s">
        <v>73</v>
      </c>
      <c r="B26" s="6" t="n">
        <v>2026</v>
      </c>
      <c r="C26" s="16" t="n">
        <v>2</v>
      </c>
      <c r="D26" s="17" t="n">
        <v>144.7</v>
      </c>
      <c r="E26" s="6" t="str">
        <f aca="false">IFERROR(INDEX('TRANS'!$B:$B,MATCH($A26,'TRANS'!$C:$C,0)),IFERROR(INDEX('TRANS'!$B:$B,MATCH(TRIM(SUBSTITUTE($A26,CHAR(160)," ")),'TRANS'!$E:$E,0)),IFERROR(INDEX('Manual Matches'!$C:$C,MATCH($A26,'Manual Matches'!$B:$B,0)),"")))</f>
        <v/>
      </c>
      <c r="F26" s="6" t="str">
        <f aca="false">IF($E26="","Unmatched",IF(COUNTIF('Manual Matches'!$B:$B,$A26)&gt;0,"Matched (manual)","Matched"))</f>
        <v>Unmatched</v>
      </c>
    </row>
    <row r="27" customFormat="false" ht="15" hidden="false" customHeight="false" outlineLevel="0" collapsed="false">
      <c r="A27" s="6" t="s">
        <v>71</v>
      </c>
      <c r="B27" s="6" t="n">
        <v>2026</v>
      </c>
      <c r="C27" s="16" t="n">
        <v>29</v>
      </c>
      <c r="D27" s="17" t="n">
        <v>2043.6</v>
      </c>
      <c r="E27" s="6" t="str">
        <f aca="false">IFERROR(INDEX('TRANS'!$B:$B,MATCH($A27,'TRANS'!$C:$C,0)),IFERROR(INDEX('TRANS'!$B:$B,MATCH(TRIM(SUBSTITUTE($A27,CHAR(160)," ")),'TRANS'!$E:$E,0)),IFERROR(INDEX('Manual Matches'!$C:$C,MATCH($A27,'Manual Matches'!$B:$B,0)),"")))</f>
        <v/>
      </c>
      <c r="F27" s="6" t="str">
        <f aca="false">IF($E27="","Unmatched",IF(COUNTIF('Manual Matches'!$B:$B,$A27)&gt;0,"Matched (manual)","Matched"))</f>
        <v>Unmatched</v>
      </c>
    </row>
    <row r="28" customFormat="false" ht="15" hidden="false" customHeight="false" outlineLevel="0" collapsed="false">
      <c r="A28" s="6" t="s">
        <v>72</v>
      </c>
      <c r="B28" s="6" t="n">
        <v>2026</v>
      </c>
      <c r="C28" s="16" t="n">
        <v>20</v>
      </c>
      <c r="D28" s="17" t="n">
        <v>1446.8</v>
      </c>
      <c r="E28" s="6" t="str">
        <f aca="false">IFERROR(INDEX('TRANS'!$B:$B,MATCH($A28,'TRANS'!$C:$C,0)),IFERROR(INDEX('TRANS'!$B:$B,MATCH(TRIM(SUBSTITUTE($A28,CHAR(160)," ")),'TRANS'!$E:$E,0)),IFERROR(INDEX('Manual Matches'!$C:$C,MATCH($A28,'Manual Matches'!$B:$B,0)),"")))</f>
        <v/>
      </c>
      <c r="F28" s="6" t="str">
        <f aca="false">IF($E28="","Unmatched",IF(COUNTIF('Manual Matches'!$B:$B,$A28)&gt;0,"Matched (manual)","Matched"))</f>
        <v>Unmatched</v>
      </c>
    </row>
    <row r="29" customFormat="false" ht="15" hidden="false" customHeight="false" outlineLevel="0" collapsed="false">
      <c r="A29" s="6" t="s">
        <v>74</v>
      </c>
      <c r="B29" s="6" t="n">
        <v>2026</v>
      </c>
      <c r="C29" s="16" t="n">
        <v>36</v>
      </c>
      <c r="D29" s="17" t="n">
        <v>2531.9</v>
      </c>
      <c r="E29" s="6" t="str">
        <f aca="false">IFERROR(INDEX('TRANS'!$B:$B,MATCH($A29,'TRANS'!$C:$C,0)),IFERROR(INDEX('TRANS'!$B:$B,MATCH(TRIM(SUBSTITUTE($A29,CHAR(160)," ")),'TRANS'!$E:$E,0)),IFERROR(INDEX('Manual Matches'!$C:$C,MATCH($A29,'Manual Matches'!$B:$B,0)),"")))</f>
        <v/>
      </c>
      <c r="F29" s="6" t="str">
        <f aca="false">IF($E29="","Unmatched",IF(COUNTIF('Manual Matches'!$B:$B,$A29)&gt;0,"Matched (manual)","Matched"))</f>
        <v>Unmatched</v>
      </c>
    </row>
    <row r="30" customFormat="false" ht="15" hidden="false" customHeight="false" outlineLevel="0" collapsed="false">
      <c r="A30" s="6" t="s">
        <v>75</v>
      </c>
      <c r="B30" s="6" t="n">
        <v>2026</v>
      </c>
      <c r="C30" s="16" t="n">
        <v>20</v>
      </c>
      <c r="D30" s="17" t="n">
        <v>1410.6</v>
      </c>
      <c r="E30" s="6" t="str">
        <f aca="false">IFERROR(INDEX('TRANS'!$B:$B,MATCH($A30,'TRANS'!$C:$C,0)),IFERROR(INDEX('TRANS'!$B:$B,MATCH(TRIM(SUBSTITUTE($A30,CHAR(160)," ")),'TRANS'!$E:$E,0)),IFERROR(INDEX('Manual Matches'!$C:$C,MATCH($A30,'Manual Matches'!$B:$B,0)),"")))</f>
        <v/>
      </c>
      <c r="F30" s="6" t="str">
        <f aca="false">IF($E30="","Unmatched",IF(COUNTIF('Manual Matches'!$B:$B,$A30)&gt;0,"Matched (manual)","Matched"))</f>
        <v>Unmatched</v>
      </c>
    </row>
    <row r="31" customFormat="false" ht="15" hidden="false" customHeight="false" outlineLevel="0" collapsed="false">
      <c r="A31" s="6" t="s">
        <v>791</v>
      </c>
      <c r="B31" s="6" t="n">
        <v>2026</v>
      </c>
      <c r="C31" s="16" t="n">
        <v>62</v>
      </c>
      <c r="D31" s="17" t="n">
        <v>1447.5</v>
      </c>
      <c r="E31" s="6" t="n">
        <f aca="false">IFERROR(INDEX('TRANS'!$B:$B,MATCH($A31,'TRANS'!$C:$C,0)),IFERROR(INDEX('TRANS'!$B:$B,MATCH(TRIM(SUBSTITUTE($A31,CHAR(160)," ")),'TRANS'!$E:$E,0)),IFERROR(INDEX('Manual Matches'!$C:$C,MATCH($A31,'Manual Matches'!$B:$B,0)),"")))</f>
        <v>4408051</v>
      </c>
      <c r="F31" s="6" t="str">
        <f aca="false">IF($E31="","Unmatched",IF(COUNTIF('Manual Matches'!$B:$B,$A31)&gt;0,"Matched (manual)","Matched"))</f>
        <v>Matched</v>
      </c>
    </row>
    <row r="32" customFormat="false" ht="15" hidden="false" customHeight="false" outlineLevel="0" collapsed="false">
      <c r="A32" s="6" t="s">
        <v>787</v>
      </c>
      <c r="B32" s="6" t="n">
        <v>2026</v>
      </c>
      <c r="C32" s="16" t="n">
        <v>120</v>
      </c>
      <c r="D32" s="17" t="n">
        <v>2766.6</v>
      </c>
      <c r="E32" s="6" t="n">
        <f aca="false">IFERROR(INDEX('TRANS'!$B:$B,MATCH($A32,'TRANS'!$C:$C,0)),IFERROR(INDEX('TRANS'!$B:$B,MATCH(TRIM(SUBSTITUTE($A32,CHAR(160)," ")),'TRANS'!$E:$E,0)),IFERROR(INDEX('Manual Matches'!$C:$C,MATCH($A32,'Manual Matches'!$B:$B,0)),"")))</f>
        <v>4408052</v>
      </c>
      <c r="F32" s="6" t="str">
        <f aca="false">IF($E32="","Unmatched",IF(COUNTIF('Manual Matches'!$B:$B,$A32)&gt;0,"Matched (manual)","Matched"))</f>
        <v>Matched</v>
      </c>
    </row>
    <row r="33" customFormat="false" ht="15" hidden="false" customHeight="false" outlineLevel="0" collapsed="false">
      <c r="A33" s="6" t="s">
        <v>789</v>
      </c>
      <c r="B33" s="6" t="n">
        <v>2026</v>
      </c>
      <c r="C33" s="16" t="n">
        <v>154</v>
      </c>
      <c r="D33" s="17" t="n">
        <v>3505.6</v>
      </c>
      <c r="E33" s="6" t="n">
        <f aca="false">IFERROR(INDEX('TRANS'!$B:$B,MATCH($A33,'TRANS'!$C:$C,0)),IFERROR(INDEX('TRANS'!$B:$B,MATCH(TRIM(SUBSTITUTE($A33,CHAR(160)," ")),'TRANS'!$E:$E,0)),IFERROR(INDEX('Manual Matches'!$C:$C,MATCH($A33,'Manual Matches'!$B:$B,0)),"")))</f>
        <v>4408053</v>
      </c>
      <c r="F33" s="6" t="str">
        <f aca="false">IF($E33="","Unmatched",IF(COUNTIF('Manual Matches'!$B:$B,$A33)&gt;0,"Matched (manual)","Matched"))</f>
        <v>Matched</v>
      </c>
    </row>
    <row r="34" customFormat="false" ht="15" hidden="false" customHeight="false" outlineLevel="0" collapsed="false">
      <c r="A34" s="6" t="s">
        <v>793</v>
      </c>
      <c r="B34" s="6" t="n">
        <v>2026</v>
      </c>
      <c r="C34" s="16" t="n">
        <v>46</v>
      </c>
      <c r="D34" s="17" t="n">
        <v>1093.2</v>
      </c>
      <c r="E34" s="6" t="n">
        <f aca="false">IFERROR(INDEX('TRANS'!$B:$B,MATCH($A34,'TRANS'!$C:$C,0)),IFERROR(INDEX('TRANS'!$B:$B,MATCH(TRIM(SUBSTITUTE($A34,CHAR(160)," ")),'TRANS'!$E:$E,0)),IFERROR(INDEX('Manual Matches'!$C:$C,MATCH($A34,'Manual Matches'!$B:$B,0)),"")))</f>
        <v>4408054</v>
      </c>
      <c r="F34" s="6" t="str">
        <f aca="false">IF($E34="","Unmatched",IF(COUNTIF('Manual Matches'!$B:$B,$A34)&gt;0,"Matched (manual)","Matched"))</f>
        <v>Matched</v>
      </c>
    </row>
    <row r="35" customFormat="false" ht="15" hidden="false" customHeight="false" outlineLevel="0" collapsed="false">
      <c r="A35" s="6" t="s">
        <v>597</v>
      </c>
      <c r="B35" s="6" t="n">
        <v>2026</v>
      </c>
      <c r="C35" s="16" t="n">
        <v>2</v>
      </c>
      <c r="D35" s="17" t="n">
        <v>342.5</v>
      </c>
      <c r="E35" s="6" t="n">
        <f aca="false">IFERROR(INDEX('TRANS'!$B:$B,MATCH($A35,'TRANS'!$C:$C,0)),IFERROR(INDEX('TRANS'!$B:$B,MATCH(TRIM(SUBSTITUTE($A35,CHAR(160)," ")),'TRANS'!$E:$E,0)),IFERROR(INDEX('Manual Matches'!$C:$C,MATCH($A35,'Manual Matches'!$B:$B,0)),"")))</f>
        <v>4408071</v>
      </c>
      <c r="F35" s="6" t="str">
        <f aca="false">IF($E35="","Unmatched",IF(COUNTIF('Manual Matches'!$B:$B,$A35)&gt;0,"Matched (manual)","Matched"))</f>
        <v>Matched</v>
      </c>
    </row>
    <row r="36" customFormat="false" ht="15" hidden="false" customHeight="false" outlineLevel="0" collapsed="false">
      <c r="A36" s="6" t="s">
        <v>599</v>
      </c>
      <c r="B36" s="6" t="n">
        <v>2026</v>
      </c>
      <c r="C36" s="16" t="n">
        <v>3</v>
      </c>
      <c r="D36" s="17" t="n">
        <v>587.2</v>
      </c>
      <c r="E36" s="6" t="n">
        <f aca="false">IFERROR(INDEX('TRANS'!$B:$B,MATCH($A36,'TRANS'!$C:$C,0)),IFERROR(INDEX('TRANS'!$B:$B,MATCH(TRIM(SUBSTITUTE($A36,CHAR(160)," ")),'TRANS'!$E:$E,0)),IFERROR(INDEX('Manual Matches'!$C:$C,MATCH($A36,'Manual Matches'!$B:$B,0)),"")))</f>
        <v>4408072</v>
      </c>
      <c r="F36" s="6" t="str">
        <f aca="false">IF($E36="","Unmatched",IF(COUNTIF('Manual Matches'!$B:$B,$A36)&gt;0,"Matched (manual)","Matched"))</f>
        <v>Matched</v>
      </c>
    </row>
    <row r="37" customFormat="false" ht="15" hidden="false" customHeight="false" outlineLevel="0" collapsed="false">
      <c r="A37" s="6" t="s">
        <v>603</v>
      </c>
      <c r="B37" s="6" t="n">
        <v>2026</v>
      </c>
      <c r="C37" s="16" t="n">
        <v>2</v>
      </c>
      <c r="D37" s="17" t="n">
        <v>342.5</v>
      </c>
      <c r="E37" s="6" t="n">
        <f aca="false">IFERROR(INDEX('TRANS'!$B:$B,MATCH($A37,'TRANS'!$C:$C,0)),IFERROR(INDEX('TRANS'!$B:$B,MATCH(TRIM(SUBSTITUTE($A37,CHAR(160)," ")),'TRANS'!$E:$E,0)),IFERROR(INDEX('Manual Matches'!$C:$C,MATCH($A37,'Manual Matches'!$B:$B,0)),"")))</f>
        <v>4408073</v>
      </c>
      <c r="F37" s="6" t="str">
        <f aca="false">IF($E37="","Unmatched",IF(COUNTIF('Manual Matches'!$B:$B,$A37)&gt;0,"Matched (manual)","Matched"))</f>
        <v>Matched</v>
      </c>
    </row>
    <row r="38" customFormat="false" ht="15" hidden="false" customHeight="false" outlineLevel="0" collapsed="false">
      <c r="A38" s="6" t="s">
        <v>609</v>
      </c>
      <c r="B38" s="6" t="n">
        <v>2026</v>
      </c>
      <c r="C38" s="16" t="n">
        <v>2</v>
      </c>
      <c r="D38" s="17" t="n">
        <v>253.1</v>
      </c>
      <c r="E38" s="6" t="n">
        <f aca="false">IFERROR(INDEX('TRANS'!$B:$B,MATCH($A38,'TRANS'!$C:$C,0)),IFERROR(INDEX('TRANS'!$B:$B,MATCH(TRIM(SUBSTITUTE($A38,CHAR(160)," ")),'TRANS'!$E:$E,0)),IFERROR(INDEX('Manual Matches'!$C:$C,MATCH($A38,'Manual Matches'!$B:$B,0)),"")))</f>
        <v>4408075</v>
      </c>
      <c r="F38" s="6" t="str">
        <f aca="false">IF($E38="","Unmatched",IF(COUNTIF('Manual Matches'!$B:$B,$A38)&gt;0,"Matched (manual)","Matched"))</f>
        <v>Matched</v>
      </c>
    </row>
    <row r="39" customFormat="false" ht="15" hidden="false" customHeight="false" outlineLevel="0" collapsed="false">
      <c r="A39" s="6" t="s">
        <v>605</v>
      </c>
      <c r="B39" s="6" t="n">
        <v>2026</v>
      </c>
      <c r="C39" s="16" t="n">
        <v>7</v>
      </c>
      <c r="D39" s="17" t="n">
        <v>822.7</v>
      </c>
      <c r="E39" s="6" t="n">
        <f aca="false">IFERROR(INDEX('TRANS'!$B:$B,MATCH($A39,'TRANS'!$C:$C,0)),IFERROR(INDEX('TRANS'!$B:$B,MATCH(TRIM(SUBSTITUTE($A39,CHAR(160)," ")),'TRANS'!$E:$E,0)),IFERROR(INDEX('Manual Matches'!$C:$C,MATCH($A39,'Manual Matches'!$B:$B,0)),"")))</f>
        <v>4408076</v>
      </c>
      <c r="F39" s="6" t="str">
        <f aca="false">IF($E39="","Unmatched",IF(COUNTIF('Manual Matches'!$B:$B,$A39)&gt;0,"Matched (manual)","Matched"))</f>
        <v>Matched</v>
      </c>
    </row>
    <row r="40" customFormat="false" ht="15" hidden="false" customHeight="false" outlineLevel="0" collapsed="false">
      <c r="A40" s="6" t="s">
        <v>607</v>
      </c>
      <c r="B40" s="6" t="n">
        <v>2026</v>
      </c>
      <c r="C40" s="16" t="n">
        <v>1</v>
      </c>
      <c r="D40" s="17" t="n">
        <v>126.6</v>
      </c>
      <c r="E40" s="6" t="n">
        <f aca="false">IFERROR(INDEX('TRANS'!$B:$B,MATCH($A40,'TRANS'!$C:$C,0)),IFERROR(INDEX('TRANS'!$B:$B,MATCH(TRIM(SUBSTITUTE($A40,CHAR(160)," ")),'TRANS'!$E:$E,0)),IFERROR(INDEX('Manual Matches'!$C:$C,MATCH($A40,'Manual Matches'!$B:$B,0)),"")))</f>
        <v>4408077</v>
      </c>
      <c r="F40" s="6" t="str">
        <f aca="false">IF($E40="","Unmatched",IF(COUNTIF('Manual Matches'!$B:$B,$A40)&gt;0,"Matched (manual)","Matched"))</f>
        <v>Matched</v>
      </c>
    </row>
    <row r="41" customFormat="false" ht="15" hidden="false" customHeight="false" outlineLevel="0" collapsed="false">
      <c r="A41" s="6" t="s">
        <v>613</v>
      </c>
      <c r="B41" s="6" t="n">
        <v>2026</v>
      </c>
      <c r="C41" s="16" t="n">
        <v>3</v>
      </c>
      <c r="D41" s="17" t="n">
        <v>348.1</v>
      </c>
      <c r="E41" s="6" t="n">
        <f aca="false">IFERROR(INDEX('TRANS'!$B:$B,MATCH($A41,'TRANS'!$C:$C,0)),IFERROR(INDEX('TRANS'!$B:$B,MATCH(TRIM(SUBSTITUTE($A41,CHAR(160)," ")),'TRANS'!$E:$E,0)),IFERROR(INDEX('Manual Matches'!$C:$C,MATCH($A41,'Manual Matches'!$B:$B,0)),"")))</f>
        <v>4408080</v>
      </c>
      <c r="F41" s="6" t="str">
        <f aca="false">IF($E41="","Unmatched",IF(COUNTIF('Manual Matches'!$B:$B,$A41)&gt;0,"Matched (manual)","Matched"))</f>
        <v>Matched</v>
      </c>
    </row>
    <row r="42" customFormat="false" ht="15" hidden="false" customHeight="false" outlineLevel="0" collapsed="false">
      <c r="A42" s="6" t="s">
        <v>615</v>
      </c>
      <c r="B42" s="6" t="n">
        <v>2026</v>
      </c>
      <c r="C42" s="16" t="n">
        <v>10</v>
      </c>
      <c r="D42" s="17" t="n">
        <v>1139.1</v>
      </c>
      <c r="E42" s="6" t="n">
        <f aca="false">IFERROR(INDEX('TRANS'!$B:$B,MATCH($A42,'TRANS'!$C:$C,0)),IFERROR(INDEX('TRANS'!$B:$B,MATCH(TRIM(SUBSTITUTE($A42,CHAR(160)," ")),'TRANS'!$E:$E,0)),IFERROR(INDEX('Manual Matches'!$C:$C,MATCH($A42,'Manual Matches'!$B:$B,0)),"")))</f>
        <v>4408081</v>
      </c>
      <c r="F42" s="6" t="str">
        <f aca="false">IF($E42="","Unmatched",IF(COUNTIF('Manual Matches'!$B:$B,$A42)&gt;0,"Matched (manual)","Matched"))</f>
        <v>Matched</v>
      </c>
    </row>
    <row r="43" customFormat="false" ht="15" hidden="false" customHeight="false" outlineLevel="0" collapsed="false">
      <c r="A43" s="6" t="s">
        <v>383</v>
      </c>
      <c r="B43" s="6" t="n">
        <v>2026</v>
      </c>
      <c r="C43" s="16" t="n">
        <v>1</v>
      </c>
      <c r="D43" s="17" t="n">
        <v>107.1</v>
      </c>
      <c r="E43" s="6" t="n">
        <f aca="false">IFERROR(INDEX('TRANS'!$B:$B,MATCH($A43,'TRANS'!$C:$C,0)),IFERROR(INDEX('TRANS'!$B:$B,MATCH(TRIM(SUBSTITUTE($A43,CHAR(160)," ")),'TRANS'!$E:$E,0)),IFERROR(INDEX('Manual Matches'!$C:$C,MATCH($A43,'Manual Matches'!$B:$B,0)),"")))</f>
        <v>4408151</v>
      </c>
      <c r="F43" s="6" t="str">
        <f aca="false">IF($E43="","Unmatched",IF(COUNTIF('Manual Matches'!$B:$B,$A43)&gt;0,"Matched (manual)","Matched"))</f>
        <v>Matched</v>
      </c>
    </row>
    <row r="44" customFormat="false" ht="15" hidden="false" customHeight="false" outlineLevel="0" collapsed="false">
      <c r="A44" s="6" t="s">
        <v>381</v>
      </c>
      <c r="B44" s="6" t="n">
        <v>2026</v>
      </c>
      <c r="C44" s="16" t="n">
        <v>10</v>
      </c>
      <c r="D44" s="17" t="n">
        <v>1017.3</v>
      </c>
      <c r="E44" s="6" t="n">
        <f aca="false">IFERROR(INDEX('TRANS'!$B:$B,MATCH($A44,'TRANS'!$C:$C,0)),IFERROR(INDEX('TRANS'!$B:$B,MATCH(TRIM(SUBSTITUTE($A44,CHAR(160)," ")),'TRANS'!$E:$E,0)),IFERROR(INDEX('Manual Matches'!$C:$C,MATCH($A44,'Manual Matches'!$B:$B,0)),"")))</f>
        <v>4408152</v>
      </c>
      <c r="F44" s="6" t="str">
        <f aca="false">IF($E44="","Unmatched",IF(COUNTIF('Manual Matches'!$B:$B,$A44)&gt;0,"Matched (manual)","Matched"))</f>
        <v>Matched</v>
      </c>
    </row>
    <row r="45" customFormat="false" ht="15" hidden="false" customHeight="false" outlineLevel="0" collapsed="false">
      <c r="A45" s="6" t="s">
        <v>387</v>
      </c>
      <c r="B45" s="6" t="n">
        <v>2026</v>
      </c>
      <c r="C45" s="16" t="n">
        <v>4</v>
      </c>
      <c r="D45" s="17" t="n">
        <v>401.6</v>
      </c>
      <c r="E45" s="6" t="n">
        <f aca="false">IFERROR(INDEX('TRANS'!$B:$B,MATCH($A45,'TRANS'!$C:$C,0)),IFERROR(INDEX('TRANS'!$B:$B,MATCH(TRIM(SUBSTITUTE($A45,CHAR(160)," ")),'TRANS'!$E:$E,0)),IFERROR(INDEX('Manual Matches'!$C:$C,MATCH($A45,'Manual Matches'!$B:$B,0)),"")))</f>
        <v>4408153</v>
      </c>
      <c r="F45" s="6" t="str">
        <f aca="false">IF($E45="","Unmatched",IF(COUNTIF('Manual Matches'!$B:$B,$A45)&gt;0,"Matched (manual)","Matched"))</f>
        <v>Matched</v>
      </c>
    </row>
    <row r="46" customFormat="false" ht="15" hidden="false" customHeight="false" outlineLevel="0" collapsed="false">
      <c r="A46" s="6" t="s">
        <v>389</v>
      </c>
      <c r="B46" s="6" t="n">
        <v>2026</v>
      </c>
      <c r="C46" s="16" t="n">
        <v>7</v>
      </c>
      <c r="D46" s="17" t="n">
        <v>642.5</v>
      </c>
      <c r="E46" s="6" t="n">
        <f aca="false">IFERROR(INDEX('TRANS'!$B:$B,MATCH($A46,'TRANS'!$C:$C,0)),IFERROR(INDEX('TRANS'!$B:$B,MATCH(TRIM(SUBSTITUTE($A46,CHAR(160)," ")),'TRANS'!$E:$E,0)),IFERROR(INDEX('Manual Matches'!$C:$C,MATCH($A46,'Manual Matches'!$B:$B,0)),"")))</f>
        <v>4408154</v>
      </c>
      <c r="F46" s="6" t="str">
        <f aca="false">IF($E46="","Unmatched",IF(COUNTIF('Manual Matches'!$B:$B,$A46)&gt;0,"Matched (manual)","Matched"))</f>
        <v>Matched</v>
      </c>
    </row>
    <row r="47" customFormat="false" ht="15" hidden="false" customHeight="false" outlineLevel="0" collapsed="false">
      <c r="A47" s="6" t="s">
        <v>419</v>
      </c>
      <c r="B47" s="6" t="n">
        <v>2026</v>
      </c>
      <c r="C47" s="16" t="n">
        <v>35</v>
      </c>
      <c r="D47" s="17" t="n">
        <v>2193.8</v>
      </c>
      <c r="E47" s="6" t="n">
        <f aca="false">IFERROR(INDEX('TRANS'!$B:$B,MATCH($A47,'TRANS'!$C:$C,0)),IFERROR(INDEX('TRANS'!$B:$B,MATCH(TRIM(SUBSTITUTE($A47,CHAR(160)," ")),'TRANS'!$E:$E,0)),IFERROR(INDEX('Manual Matches'!$C:$C,MATCH($A47,'Manual Matches'!$B:$B,0)),"")))</f>
        <v>4408190</v>
      </c>
      <c r="F47" s="6" t="str">
        <f aca="false">IF($E47="","Unmatched",IF(COUNTIF('Manual Matches'!$B:$B,$A47)&gt;0,"Matched (manual)","Matched"))</f>
        <v>Matched</v>
      </c>
    </row>
    <row r="48" customFormat="false" ht="15" hidden="false" customHeight="false" outlineLevel="0" collapsed="false">
      <c r="A48" s="6" t="s">
        <v>313</v>
      </c>
      <c r="B48" s="6" t="n">
        <v>2026</v>
      </c>
      <c r="C48" s="16" t="n">
        <v>69</v>
      </c>
      <c r="D48" s="17" t="n">
        <v>4241.3</v>
      </c>
      <c r="E48" s="6" t="n">
        <f aca="false">IFERROR(INDEX('TRANS'!$B:$B,MATCH($A48,'TRANS'!$C:$C,0)),IFERROR(INDEX('TRANS'!$B:$B,MATCH(TRIM(SUBSTITUTE($A48,CHAR(160)," ")),'TRANS'!$E:$E,0)),IFERROR(INDEX('Manual Matches'!$C:$C,MATCH($A48,'Manual Matches'!$B:$B,0)),"")))</f>
        <v>4408192</v>
      </c>
      <c r="F48" s="6" t="str">
        <f aca="false">IF($E48="","Unmatched",IF(COUNTIF('Manual Matches'!$B:$B,$A48)&gt;0,"Matched (manual)","Matched"))</f>
        <v>Matched</v>
      </c>
    </row>
    <row r="49" customFormat="false" ht="15" hidden="false" customHeight="false" outlineLevel="0" collapsed="false">
      <c r="A49" s="6" t="s">
        <v>395</v>
      </c>
      <c r="B49" s="6" t="n">
        <v>2026</v>
      </c>
      <c r="C49" s="16" t="n">
        <v>3</v>
      </c>
      <c r="D49" s="17" t="n">
        <v>480</v>
      </c>
      <c r="E49" s="6" t="n">
        <f aca="false">IFERROR(INDEX('TRANS'!$B:$B,MATCH($A49,'TRANS'!$C:$C,0)),IFERROR(INDEX('TRANS'!$B:$B,MATCH(TRIM(SUBSTITUTE($A49,CHAR(160)," ")),'TRANS'!$E:$E,0)),IFERROR(INDEX('Manual Matches'!$C:$C,MATCH($A49,'Manual Matches'!$B:$B,0)),"")))</f>
        <v>4408203</v>
      </c>
      <c r="F49" s="6" t="str">
        <f aca="false">IF($E49="","Unmatched",IF(COUNTIF('Manual Matches'!$B:$B,$A49)&gt;0,"Matched (manual)","Matched"))</f>
        <v>Matched</v>
      </c>
    </row>
    <row r="50" customFormat="false" ht="15" hidden="false" customHeight="false" outlineLevel="0" collapsed="false">
      <c r="A50" s="6" t="s">
        <v>421</v>
      </c>
      <c r="B50" s="6" t="n">
        <v>2026</v>
      </c>
      <c r="C50" s="16" t="n">
        <v>4</v>
      </c>
      <c r="D50" s="17" t="n">
        <v>260</v>
      </c>
      <c r="E50" s="6" t="n">
        <f aca="false">IFERROR(INDEX('TRANS'!$B:$B,MATCH($A50,'TRANS'!$C:$C,0)),IFERROR(INDEX('TRANS'!$B:$B,MATCH(TRIM(SUBSTITUTE($A50,CHAR(160)," ")),'TRANS'!$E:$E,0)),IFERROR(INDEX('Manual Matches'!$C:$C,MATCH($A50,'Manual Matches'!$B:$B,0)),"")))</f>
        <v>4408217</v>
      </c>
      <c r="F50" s="6" t="str">
        <f aca="false">IF($E50="","Unmatched",IF(COUNTIF('Manual Matches'!$B:$B,$A50)&gt;0,"Matched (manual)","Matched"))</f>
        <v>Matched</v>
      </c>
    </row>
    <row r="51" customFormat="false" ht="15" hidden="false" customHeight="false" outlineLevel="0" collapsed="false">
      <c r="A51" s="6" t="s">
        <v>325</v>
      </c>
      <c r="B51" s="6" t="n">
        <v>2026</v>
      </c>
      <c r="C51" s="16" t="n">
        <v>54</v>
      </c>
      <c r="D51" s="17" t="n">
        <v>3510</v>
      </c>
      <c r="E51" s="6" t="n">
        <f aca="false">IFERROR(INDEX('TRANS'!$B:$B,MATCH($A51,'TRANS'!$C:$C,0)),IFERROR(INDEX('TRANS'!$B:$B,MATCH(TRIM(SUBSTITUTE($A51,CHAR(160)," ")),'TRANS'!$E:$E,0)),IFERROR(INDEX('Manual Matches'!$C:$C,MATCH($A51,'Manual Matches'!$B:$B,0)),"")))</f>
        <v>4408218</v>
      </c>
      <c r="F51" s="6" t="str">
        <f aca="false">IF($E51="","Unmatched",IF(COUNTIF('Manual Matches'!$B:$B,$A51)&gt;0,"Matched (manual)","Matched"))</f>
        <v>Matched</v>
      </c>
    </row>
    <row r="52" customFormat="false" ht="15" hidden="false" customHeight="false" outlineLevel="0" collapsed="false">
      <c r="A52" s="6" t="s">
        <v>733</v>
      </c>
      <c r="B52" s="6" t="n">
        <v>2026</v>
      </c>
      <c r="C52" s="16" t="n">
        <v>138</v>
      </c>
      <c r="D52" s="17" t="n">
        <v>1250.1</v>
      </c>
      <c r="E52" s="6" t="n">
        <f aca="false">IFERROR(INDEX('TRANS'!$B:$B,MATCH($A52,'TRANS'!$C:$C,0)),IFERROR(INDEX('TRANS'!$B:$B,MATCH(TRIM(SUBSTITUTE($A52,CHAR(160)," ")),'TRANS'!$E:$E,0)),IFERROR(INDEX('Manual Matches'!$C:$C,MATCH($A52,'Manual Matches'!$B:$B,0)),"")))</f>
        <v>4409000</v>
      </c>
      <c r="F52" s="6" t="str">
        <f aca="false">IF($E52="","Unmatched",IF(COUNTIF('Manual Matches'!$B:$B,$A52)&gt;0,"Matched (manual)","Matched"))</f>
        <v>Matched</v>
      </c>
    </row>
    <row r="53" customFormat="false" ht="15" hidden="false" customHeight="false" outlineLevel="0" collapsed="false">
      <c r="A53" s="6" t="s">
        <v>731</v>
      </c>
      <c r="B53" s="6" t="n">
        <v>2026</v>
      </c>
      <c r="C53" s="16" t="n">
        <v>26</v>
      </c>
      <c r="D53" s="17" t="n">
        <v>200</v>
      </c>
      <c r="E53" s="6" t="n">
        <f aca="false">IFERROR(INDEX('TRANS'!$B:$B,MATCH($A53,'TRANS'!$C:$C,0)),IFERROR(INDEX('TRANS'!$B:$B,MATCH(TRIM(SUBSTITUTE($A53,CHAR(160)," ")),'TRANS'!$E:$E,0)),IFERROR(INDEX('Manual Matches'!$C:$C,MATCH($A53,'Manual Matches'!$B:$B,0)),"")))</f>
        <v>4409001</v>
      </c>
      <c r="F53" s="6" t="str">
        <f aca="false">IF($E53="","Unmatched",IF(COUNTIF('Manual Matches'!$B:$B,$A53)&gt;0,"Matched (manual)","Matched"))</f>
        <v>Matched</v>
      </c>
    </row>
    <row r="54" customFormat="false" ht="15" hidden="false" customHeight="false" outlineLevel="0" collapsed="false">
      <c r="A54" s="6" t="s">
        <v>475</v>
      </c>
      <c r="B54" s="6" t="n">
        <v>2026</v>
      </c>
      <c r="C54" s="16" t="n">
        <v>276</v>
      </c>
      <c r="D54" s="17" t="n">
        <v>3534.3</v>
      </c>
      <c r="E54" s="6" t="n">
        <f aca="false">IFERROR(INDEX('TRANS'!$B:$B,MATCH($A54,'TRANS'!$C:$C,0)),IFERROR(INDEX('TRANS'!$B:$B,MATCH(TRIM(SUBSTITUTE($A54,CHAR(160)," ")),'TRANS'!$E:$E,0)),IFERROR(INDEX('Manual Matches'!$C:$C,MATCH($A54,'Manual Matches'!$B:$B,0)),"")))</f>
        <v>4409004</v>
      </c>
      <c r="F54" s="6" t="str">
        <f aca="false">IF($E54="","Unmatched",IF(COUNTIF('Manual Matches'!$B:$B,$A54)&gt;0,"Matched (manual)","Matched"))</f>
        <v>Matched</v>
      </c>
    </row>
    <row r="55" customFormat="false" ht="15" hidden="false" customHeight="false" outlineLevel="0" collapsed="false">
      <c r="A55" s="6" t="s">
        <v>761</v>
      </c>
      <c r="B55" s="6" t="n">
        <v>2026</v>
      </c>
      <c r="C55" s="16" t="n">
        <v>76</v>
      </c>
      <c r="D55" s="17" t="n">
        <v>1300.7</v>
      </c>
      <c r="E55" s="6" t="n">
        <f aca="false">IFERROR(INDEX('TRANS'!$B:$B,MATCH($A55,'TRANS'!$C:$C,0)),IFERROR(INDEX('TRANS'!$B:$B,MATCH(TRIM(SUBSTITUTE($A55,CHAR(160)," ")),'TRANS'!$E:$E,0)),IFERROR(INDEX('Manual Matches'!$C:$C,MATCH($A55,'Manual Matches'!$B:$B,0)),"")))</f>
        <v>4411000</v>
      </c>
      <c r="F55" s="6" t="str">
        <f aca="false">IF($E55="","Unmatched",IF(COUNTIF('Manual Matches'!$B:$B,$A55)&gt;0,"Matched (manual)","Matched"))</f>
        <v>Matched</v>
      </c>
    </row>
    <row r="56" customFormat="false" ht="15" hidden="false" customHeight="false" outlineLevel="0" collapsed="false">
      <c r="A56" s="6" t="s">
        <v>721</v>
      </c>
      <c r="B56" s="6" t="n">
        <v>2026</v>
      </c>
      <c r="C56" s="16" t="n">
        <v>57</v>
      </c>
      <c r="D56" s="17" t="n">
        <v>1095.6</v>
      </c>
      <c r="E56" s="6" t="n">
        <f aca="false">IFERROR(INDEX('TRANS'!$B:$B,MATCH($A56,'TRANS'!$C:$C,0)),IFERROR(INDEX('TRANS'!$B:$B,MATCH(TRIM(SUBSTITUTE($A56,CHAR(160)," ")),'TRANS'!$E:$E,0)),IFERROR(INDEX('Manual Matches'!$C:$C,MATCH($A56,'Manual Matches'!$B:$B,0)),"")))</f>
        <v>4411001</v>
      </c>
      <c r="F56" s="6" t="str">
        <f aca="false">IF($E56="","Unmatched",IF(COUNTIF('Manual Matches'!$B:$B,$A56)&gt;0,"Matched (manual)","Matched"))</f>
        <v>Matched</v>
      </c>
    </row>
    <row r="57" customFormat="false" ht="15" hidden="false" customHeight="false" outlineLevel="0" collapsed="false">
      <c r="A57" s="6" t="s">
        <v>757</v>
      </c>
      <c r="B57" s="6" t="n">
        <v>2026</v>
      </c>
      <c r="C57" s="16" t="n">
        <v>18</v>
      </c>
      <c r="D57" s="17" t="n">
        <v>583.7</v>
      </c>
      <c r="E57" s="6" t="n">
        <f aca="false">IFERROR(INDEX('TRANS'!$B:$B,MATCH($A57,'TRANS'!$C:$C,0)),IFERROR(INDEX('TRANS'!$B:$B,MATCH(TRIM(SUBSTITUTE($A57,CHAR(160)," ")),'TRANS'!$E:$E,0)),IFERROR(INDEX('Manual Matches'!$C:$C,MATCH($A57,'Manual Matches'!$B:$B,0)),"")))</f>
        <v>4411015</v>
      </c>
      <c r="F57" s="6" t="str">
        <f aca="false">IF($E57="","Unmatched",IF(COUNTIF('Manual Matches'!$B:$B,$A57)&gt;0,"Matched (manual)","Matched"))</f>
        <v>Matched</v>
      </c>
    </row>
    <row r="58" customFormat="false" ht="15" hidden="false" customHeight="false" outlineLevel="0" collapsed="false">
      <c r="A58" s="6" t="s">
        <v>709</v>
      </c>
      <c r="B58" s="6" t="n">
        <v>2026</v>
      </c>
      <c r="C58" s="16" t="n">
        <v>90</v>
      </c>
      <c r="D58" s="17" t="n">
        <v>837.1</v>
      </c>
      <c r="E58" s="6" t="n">
        <f aca="false">IFERROR(INDEX('TRANS'!$B:$B,MATCH($A58,'TRANS'!$C:$C,0)),IFERROR(INDEX('TRANS'!$B:$B,MATCH(TRIM(SUBSTITUTE($A58,CHAR(160)," ")),'TRANS'!$E:$E,0)),IFERROR(INDEX('Manual Matches'!$C:$C,MATCH($A58,'Manual Matches'!$B:$B,0)),"")))</f>
        <v>4413033</v>
      </c>
      <c r="F58" s="6" t="str">
        <f aca="false">IF($E58="","Unmatched",IF(COUNTIF('Manual Matches'!$B:$B,$A58)&gt;0,"Matched (manual)","Matched"))</f>
        <v>Matched</v>
      </c>
    </row>
    <row r="59" customFormat="false" ht="15" hidden="false" customHeight="false" outlineLevel="0" collapsed="false">
      <c r="A59" s="6" t="s">
        <v>76</v>
      </c>
      <c r="B59" s="6" t="n">
        <v>2026</v>
      </c>
      <c r="C59" s="16" t="n">
        <v>43</v>
      </c>
      <c r="D59" s="17" t="n">
        <v>556.9</v>
      </c>
      <c r="E59" s="6" t="str">
        <f aca="false">IFERROR(INDEX('TRANS'!$B:$B,MATCH($A59,'TRANS'!$C:$C,0)),IFERROR(INDEX('TRANS'!$B:$B,MATCH(TRIM(SUBSTITUTE($A59,CHAR(160)," ")),'TRANS'!$E:$E,0)),IFERROR(INDEX('Manual Matches'!$C:$C,MATCH($A59,'Manual Matches'!$B:$B,0)),"")))</f>
        <v/>
      </c>
      <c r="F59" s="6" t="str">
        <f aca="false">IF($E59="","Unmatched",IF(COUNTIF('Manual Matches'!$B:$B,$A59)&gt;0,"Matched (manual)","Matched"))</f>
        <v>Unmatched</v>
      </c>
    </row>
    <row r="60" customFormat="false" ht="15" hidden="false" customHeight="false" outlineLevel="0" collapsed="false">
      <c r="A60" s="6" t="s">
        <v>911</v>
      </c>
      <c r="B60" s="6" t="n">
        <v>2026</v>
      </c>
      <c r="C60" s="16" t="n">
        <v>124</v>
      </c>
      <c r="D60" s="17" t="n">
        <v>3457.1</v>
      </c>
      <c r="E60" s="6" t="n">
        <f aca="false">IFERROR(INDEX('TRANS'!$B:$B,MATCH($A60,'TRANS'!$C:$C,0)),IFERROR(INDEX('TRANS'!$B:$B,MATCH(TRIM(SUBSTITUTE($A60,CHAR(160)," ")),'TRANS'!$E:$E,0)),IFERROR(INDEX('Manual Matches'!$C:$C,MATCH($A60,'Manual Matches'!$B:$B,0)),"")))</f>
        <v>4413041</v>
      </c>
      <c r="F60" s="6" t="str">
        <f aca="false">IF($E60="","Unmatched",IF(COUNTIF('Manual Matches'!$B:$B,$A60)&gt;0,"Matched (manual)","Matched"))</f>
        <v>Matched</v>
      </c>
    </row>
    <row r="61" customFormat="false" ht="15" hidden="false" customHeight="false" outlineLevel="0" collapsed="false">
      <c r="A61" s="6" t="s">
        <v>913</v>
      </c>
      <c r="B61" s="6" t="n">
        <v>2026</v>
      </c>
      <c r="C61" s="16" t="n">
        <v>47</v>
      </c>
      <c r="D61" s="17" t="n">
        <v>1309.1</v>
      </c>
      <c r="E61" s="6" t="n">
        <f aca="false">IFERROR(INDEX('TRANS'!$B:$B,MATCH($A61,'TRANS'!$C:$C,0)),IFERROR(INDEX('TRANS'!$B:$B,MATCH(TRIM(SUBSTITUTE($A61,CHAR(160)," ")),'TRANS'!$E:$E,0)),IFERROR(INDEX('Manual Matches'!$C:$C,MATCH($A61,'Manual Matches'!$B:$B,0)),"")))</f>
        <v>4413042</v>
      </c>
      <c r="F61" s="6" t="str">
        <f aca="false">IF($E61="","Unmatched",IF(COUNTIF('Manual Matches'!$B:$B,$A61)&gt;0,"Matched (manual)","Matched"))</f>
        <v>Matched</v>
      </c>
    </row>
    <row r="62" customFormat="false" ht="15" hidden="false" customHeight="false" outlineLevel="0" collapsed="false">
      <c r="A62" s="6" t="s">
        <v>909</v>
      </c>
      <c r="B62" s="6" t="n">
        <v>2026</v>
      </c>
      <c r="C62" s="16" t="n">
        <v>106</v>
      </c>
      <c r="D62" s="17" t="n">
        <v>2958.1</v>
      </c>
      <c r="E62" s="6" t="n">
        <f aca="false">IFERROR(INDEX('TRANS'!$B:$B,MATCH($A62,'TRANS'!$C:$C,0)),IFERROR(INDEX('TRANS'!$B:$B,MATCH(TRIM(SUBSTITUTE($A62,CHAR(160)," ")),'TRANS'!$E:$E,0)),IFERROR(INDEX('Manual Matches'!$C:$C,MATCH($A62,'Manual Matches'!$B:$B,0)),"")))</f>
        <v>4413043</v>
      </c>
      <c r="F62" s="6" t="str">
        <f aca="false">IF($E62="","Unmatched",IF(COUNTIF('Manual Matches'!$B:$B,$A62)&gt;0,"Matched (manual)","Matched"))</f>
        <v>Matched</v>
      </c>
    </row>
    <row r="63" customFormat="false" ht="15" hidden="false" customHeight="false" outlineLevel="0" collapsed="false">
      <c r="A63" s="6" t="s">
        <v>915</v>
      </c>
      <c r="B63" s="6" t="n">
        <v>2026</v>
      </c>
      <c r="C63" s="16" t="n">
        <v>87</v>
      </c>
      <c r="D63" s="17" t="n">
        <v>2401.1</v>
      </c>
      <c r="E63" s="6" t="n">
        <f aca="false">IFERROR(INDEX('TRANS'!$B:$B,MATCH($A63,'TRANS'!$C:$C,0)),IFERROR(INDEX('TRANS'!$B:$B,MATCH(TRIM(SUBSTITUTE($A63,CHAR(160)," ")),'TRANS'!$E:$E,0)),IFERROR(INDEX('Manual Matches'!$C:$C,MATCH($A63,'Manual Matches'!$B:$B,0)),"")))</f>
        <v>4413044</v>
      </c>
      <c r="F63" s="6" t="str">
        <f aca="false">IF($E63="","Unmatched",IF(COUNTIF('Manual Matches'!$B:$B,$A63)&gt;0,"Matched (manual)","Matched"))</f>
        <v>Matched</v>
      </c>
    </row>
    <row r="64" customFormat="false" ht="15" hidden="false" customHeight="false" outlineLevel="0" collapsed="false">
      <c r="A64" s="6" t="s">
        <v>917</v>
      </c>
      <c r="B64" s="6" t="n">
        <v>2026</v>
      </c>
      <c r="C64" s="16" t="n">
        <v>27</v>
      </c>
      <c r="D64" s="17" t="n">
        <v>759.4</v>
      </c>
      <c r="E64" s="6" t="n">
        <f aca="false">IFERROR(INDEX('TRANS'!$B:$B,MATCH($A64,'TRANS'!$C:$C,0)),IFERROR(INDEX('TRANS'!$B:$B,MATCH(TRIM(SUBSTITUTE($A64,CHAR(160)," ")),'TRANS'!$E:$E,0)),IFERROR(INDEX('Manual Matches'!$C:$C,MATCH($A64,'Manual Matches'!$B:$B,0)),"")))</f>
        <v>4413046</v>
      </c>
      <c r="F64" s="6" t="str">
        <f aca="false">IF($E64="","Unmatched",IF(COUNTIF('Manual Matches'!$B:$B,$A64)&gt;0,"Matched (manual)","Matched"))</f>
        <v>Matched</v>
      </c>
    </row>
    <row r="65" customFormat="false" ht="15" hidden="false" customHeight="false" outlineLevel="0" collapsed="false">
      <c r="A65" s="6" t="s">
        <v>933</v>
      </c>
      <c r="B65" s="6" t="n">
        <v>2026</v>
      </c>
      <c r="C65" s="16" t="n">
        <v>36</v>
      </c>
      <c r="D65" s="17" t="n">
        <v>578</v>
      </c>
      <c r="E65" s="6" t="n">
        <f aca="false">IFERROR(INDEX('TRANS'!$B:$B,MATCH($A65,'TRANS'!$C:$C,0)),IFERROR(INDEX('TRANS'!$B:$B,MATCH(TRIM(SUBSTITUTE($A65,CHAR(160)," ")),'TRANS'!$E:$E,0)),IFERROR(INDEX('Manual Matches'!$C:$C,MATCH($A65,'Manual Matches'!$B:$B,0)),"")))</f>
        <v>4413047</v>
      </c>
      <c r="F65" s="6" t="str">
        <f aca="false">IF($E65="","Unmatched",IF(COUNTIF('Manual Matches'!$B:$B,$A65)&gt;0,"Matched (manual)","Matched"))</f>
        <v>Matched</v>
      </c>
    </row>
    <row r="66" customFormat="false" ht="15" hidden="false" customHeight="false" outlineLevel="0" collapsed="false">
      <c r="A66" s="6" t="s">
        <v>929</v>
      </c>
      <c r="B66" s="6" t="n">
        <v>2026</v>
      </c>
      <c r="C66" s="16" t="n">
        <v>89</v>
      </c>
      <c r="D66" s="17" t="n">
        <v>1445</v>
      </c>
      <c r="E66" s="6" t="n">
        <f aca="false">IFERROR(INDEX('TRANS'!$B:$B,MATCH($A66,'TRANS'!$C:$C,0)),IFERROR(INDEX('TRANS'!$B:$B,MATCH(TRIM(SUBSTITUTE($A66,CHAR(160)," ")),'TRANS'!$E:$E,0)),IFERROR(INDEX('Manual Matches'!$C:$C,MATCH($A66,'Manual Matches'!$B:$B,0)),"")))</f>
        <v>4413048</v>
      </c>
      <c r="F66" s="6" t="str">
        <f aca="false">IF($E66="","Unmatched",IF(COUNTIF('Manual Matches'!$B:$B,$A66)&gt;0,"Matched (manual)","Matched"))</f>
        <v>Matched</v>
      </c>
    </row>
    <row r="67" customFormat="false" ht="15" hidden="false" customHeight="false" outlineLevel="0" collapsed="false">
      <c r="A67" s="6" t="s">
        <v>931</v>
      </c>
      <c r="B67" s="6" t="n">
        <v>2026</v>
      </c>
      <c r="C67" s="16" t="n">
        <v>92</v>
      </c>
      <c r="D67" s="17" t="n">
        <v>1500.3</v>
      </c>
      <c r="E67" s="6" t="n">
        <f aca="false">IFERROR(INDEX('TRANS'!$B:$B,MATCH($A67,'TRANS'!$C:$C,0)),IFERROR(INDEX('TRANS'!$B:$B,MATCH(TRIM(SUBSTITUTE($A67,CHAR(160)," ")),'TRANS'!$E:$E,0)),IFERROR(INDEX('Manual Matches'!$C:$C,MATCH($A67,'Manual Matches'!$B:$B,0)),"")))</f>
        <v>4413049</v>
      </c>
      <c r="F67" s="6" t="str">
        <f aca="false">IF($E67="","Unmatched",IF(COUNTIF('Manual Matches'!$B:$B,$A67)&gt;0,"Matched (manual)","Matched"))</f>
        <v>Matched</v>
      </c>
    </row>
    <row r="68" customFormat="false" ht="15" hidden="false" customHeight="false" outlineLevel="0" collapsed="false">
      <c r="A68" s="6" t="s">
        <v>935</v>
      </c>
      <c r="B68" s="6" t="n">
        <v>2026</v>
      </c>
      <c r="C68" s="16" t="n">
        <v>93</v>
      </c>
      <c r="D68" s="17" t="n">
        <v>1500.3</v>
      </c>
      <c r="E68" s="6" t="n">
        <f aca="false">IFERROR(INDEX('TRANS'!$B:$B,MATCH($A68,'TRANS'!$C:$C,0)),IFERROR(INDEX('TRANS'!$B:$B,MATCH(TRIM(SUBSTITUTE($A68,CHAR(160)," ")),'TRANS'!$E:$E,0)),IFERROR(INDEX('Manual Matches'!$C:$C,MATCH($A68,'Manual Matches'!$B:$B,0)),"")))</f>
        <v>4413050</v>
      </c>
      <c r="F68" s="6" t="str">
        <f aca="false">IF($E68="","Unmatched",IF(COUNTIF('Manual Matches'!$B:$B,$A68)&gt;0,"Matched (manual)","Matched"))</f>
        <v>Matched</v>
      </c>
    </row>
    <row r="69" customFormat="false" ht="15" hidden="false" customHeight="false" outlineLevel="0" collapsed="false">
      <c r="A69" s="6" t="s">
        <v>937</v>
      </c>
      <c r="B69" s="6" t="n">
        <v>2026</v>
      </c>
      <c r="C69" s="16" t="n">
        <v>11</v>
      </c>
      <c r="D69" s="17" t="n">
        <v>178.5</v>
      </c>
      <c r="E69" s="6" t="n">
        <f aca="false">IFERROR(INDEX('TRANS'!$B:$B,MATCH($A69,'TRANS'!$C:$C,0)),IFERROR(INDEX('TRANS'!$B:$B,MATCH(TRIM(SUBSTITUTE($A69,CHAR(160)," ")),'TRANS'!$E:$E,0)),IFERROR(INDEX('Manual Matches'!$C:$C,MATCH($A69,'Manual Matches'!$B:$B,0)),"")))</f>
        <v>4413051</v>
      </c>
      <c r="F69" s="6" t="str">
        <f aca="false">IF($E69="","Unmatched",IF(COUNTIF('Manual Matches'!$B:$B,$A69)&gt;0,"Matched (manual)","Matched"))</f>
        <v>Matched</v>
      </c>
    </row>
    <row r="70" customFormat="false" ht="15" hidden="false" customHeight="false" outlineLevel="0" collapsed="false">
      <c r="A70" s="6" t="s">
        <v>527</v>
      </c>
      <c r="B70" s="6" t="n">
        <v>2026</v>
      </c>
      <c r="C70" s="16" t="n">
        <v>17</v>
      </c>
      <c r="D70" s="17" t="n">
        <v>275.4</v>
      </c>
      <c r="E70" s="6" t="n">
        <f aca="false">IFERROR(INDEX('TRANS'!$B:$B,MATCH($A70,'TRANS'!$C:$C,0)),IFERROR(INDEX('TRANS'!$B:$B,MATCH(TRIM(SUBSTITUTE($A70,CHAR(160)," ")),'TRANS'!$E:$E,0)),IFERROR(INDEX('Manual Matches'!$C:$C,MATCH($A70,'Manual Matches'!$B:$B,0)),"")))</f>
        <v>4413056</v>
      </c>
      <c r="F70" s="6" t="str">
        <f aca="false">IF($E70="","Unmatched",IF(COUNTIF('Manual Matches'!$B:$B,$A70)&gt;0,"Matched (manual)","Matched"))</f>
        <v>Matched</v>
      </c>
    </row>
    <row r="71" customFormat="false" ht="15" hidden="false" customHeight="false" outlineLevel="0" collapsed="false">
      <c r="A71" s="6" t="s">
        <v>719</v>
      </c>
      <c r="B71" s="6" t="n">
        <v>2026</v>
      </c>
      <c r="C71" s="16" t="n">
        <v>36</v>
      </c>
      <c r="D71" s="17" t="n">
        <v>795.6</v>
      </c>
      <c r="E71" s="6" t="n">
        <f aca="false">IFERROR(INDEX('TRANS'!$B:$B,MATCH($A71,'TRANS'!$C:$C,0)),IFERROR(INDEX('TRANS'!$B:$B,MATCH(TRIM(SUBSTITUTE($A71,CHAR(160)," ")),'TRANS'!$E:$E,0)),IFERROR(INDEX('Manual Matches'!$C:$C,MATCH($A71,'Manual Matches'!$B:$B,0)),"")))</f>
        <v>4413058</v>
      </c>
      <c r="F71" s="6" t="str">
        <f aca="false">IF($E71="","Unmatched",IF(COUNTIF('Manual Matches'!$B:$B,$A71)&gt;0,"Matched (manual)","Matched"))</f>
        <v>Matched</v>
      </c>
    </row>
    <row r="72" customFormat="false" ht="15" hidden="false" customHeight="false" outlineLevel="0" collapsed="false">
      <c r="A72" s="6" t="s">
        <v>729</v>
      </c>
      <c r="B72" s="6" t="n">
        <v>2026</v>
      </c>
      <c r="C72" s="16" t="n">
        <v>183</v>
      </c>
      <c r="D72" s="17" t="n">
        <v>1582.1</v>
      </c>
      <c r="E72" s="6" t="n">
        <f aca="false">IFERROR(INDEX('TRANS'!$B:$B,MATCH($A72,'TRANS'!$C:$C,0)),IFERROR(INDEX('TRANS'!$B:$B,MATCH(TRIM(SUBSTITUTE($A72,CHAR(160)," ")),'TRANS'!$E:$E,0)),IFERROR(INDEX('Manual Matches'!$C:$C,MATCH($A72,'Manual Matches'!$B:$B,0)),"")))</f>
        <v>4413059</v>
      </c>
      <c r="F72" s="6" t="str">
        <f aca="false">IF($E72="","Unmatched",IF(COUNTIF('Manual Matches'!$B:$B,$A72)&gt;0,"Matched (manual)","Matched"))</f>
        <v>Matched</v>
      </c>
    </row>
    <row r="73" customFormat="false" ht="15" hidden="false" customHeight="false" outlineLevel="0" collapsed="false">
      <c r="A73" s="6" t="s">
        <v>725</v>
      </c>
      <c r="B73" s="6" t="n">
        <v>2026</v>
      </c>
      <c r="C73" s="16" t="n">
        <v>136</v>
      </c>
      <c r="D73" s="17" t="n">
        <v>1201.7</v>
      </c>
      <c r="E73" s="6" t="n">
        <f aca="false">IFERROR(INDEX('TRANS'!$B:$B,MATCH($A73,'TRANS'!$C:$C,0)),IFERROR(INDEX('TRANS'!$B:$B,MATCH(TRIM(SUBSTITUTE($A73,CHAR(160)," ")),'TRANS'!$E:$E,0)),IFERROR(INDEX('Manual Matches'!$C:$C,MATCH($A73,'Manual Matches'!$B:$B,0)),"")))</f>
        <v>4413060</v>
      </c>
      <c r="F73" s="6" t="str">
        <f aca="false">IF($E73="","Unmatched",IF(COUNTIF('Manual Matches'!$B:$B,$A73)&gt;0,"Matched (manual)","Matched"))</f>
        <v>Matched</v>
      </c>
    </row>
    <row r="74" customFormat="false" ht="15" hidden="false" customHeight="false" outlineLevel="0" collapsed="false">
      <c r="A74" s="6" t="s">
        <v>739</v>
      </c>
      <c r="B74" s="6" t="n">
        <v>2026</v>
      </c>
      <c r="C74" s="16" t="n">
        <v>75</v>
      </c>
      <c r="D74" s="17" t="n">
        <v>801.6</v>
      </c>
      <c r="E74" s="6" t="n">
        <f aca="false">IFERROR(INDEX('TRANS'!$B:$B,MATCH($A74,'TRANS'!$C:$C,0)),IFERROR(INDEX('TRANS'!$B:$B,MATCH(TRIM(SUBSTITUTE($A74,CHAR(160)," ")),'TRANS'!$E:$E,0)),IFERROR(INDEX('Manual Matches'!$C:$C,MATCH($A74,'Manual Matches'!$B:$B,0)),"")))</f>
        <v>4413063</v>
      </c>
      <c r="F74" s="6" t="str">
        <f aca="false">IF($E74="","Unmatched",IF(COUNTIF('Manual Matches'!$B:$B,$A74)&gt;0,"Matched (manual)","Matched"))</f>
        <v>Matched</v>
      </c>
    </row>
    <row r="75" customFormat="false" ht="15" hidden="false" customHeight="false" outlineLevel="0" collapsed="false">
      <c r="A75" s="6" t="s">
        <v>747</v>
      </c>
      <c r="B75" s="6" t="n">
        <v>2026</v>
      </c>
      <c r="C75" s="16" t="n">
        <v>31</v>
      </c>
      <c r="D75" s="17" t="n">
        <v>404.8</v>
      </c>
      <c r="E75" s="6" t="n">
        <f aca="false">IFERROR(INDEX('TRANS'!$B:$B,MATCH($A75,'TRANS'!$C:$C,0)),IFERROR(INDEX('TRANS'!$B:$B,MATCH(TRIM(SUBSTITUTE($A75,CHAR(160)," ")),'TRANS'!$E:$E,0)),IFERROR(INDEX('Manual Matches'!$C:$C,MATCH($A75,'Manual Matches'!$B:$B,0)),"")))</f>
        <v>4413066</v>
      </c>
      <c r="F75" s="6" t="str">
        <f aca="false">IF($E75="","Unmatched",IF(COUNTIF('Manual Matches'!$B:$B,$A75)&gt;0,"Matched (manual)","Matched"))</f>
        <v>Matched</v>
      </c>
    </row>
    <row r="76" customFormat="false" ht="15" hidden="false" customHeight="false" outlineLevel="0" collapsed="false">
      <c r="A76" s="6" t="s">
        <v>153</v>
      </c>
      <c r="B76" s="6" t="n">
        <v>2026</v>
      </c>
      <c r="C76" s="16" t="n">
        <v>4</v>
      </c>
      <c r="D76" s="17" t="n">
        <v>309</v>
      </c>
      <c r="E76" s="6" t="n">
        <f aca="false">IFERROR(INDEX('TRANS'!$B:$B,MATCH($A76,'TRANS'!$C:$C,0)),IFERROR(INDEX('TRANS'!$B:$B,MATCH(TRIM(SUBSTITUTE($A76,CHAR(160)," ")),'TRANS'!$E:$E,0)),IFERROR(INDEX('Manual Matches'!$C:$C,MATCH($A76,'Manual Matches'!$B:$B,0)),"")))</f>
        <v>4413071</v>
      </c>
      <c r="F76" s="6" t="str">
        <f aca="false">IF($E76="","Unmatched",IF(COUNTIF('Manual Matches'!$B:$B,$A76)&gt;0,"Matched (manual)","Matched"))</f>
        <v>Matched</v>
      </c>
    </row>
    <row r="77" customFormat="false" ht="15" hidden="false" customHeight="false" outlineLevel="0" collapsed="false">
      <c r="A77" s="6" t="s">
        <v>165</v>
      </c>
      <c r="B77" s="6" t="n">
        <v>2026</v>
      </c>
      <c r="C77" s="16" t="n">
        <v>212</v>
      </c>
      <c r="D77" s="17" t="n">
        <v>3498</v>
      </c>
      <c r="E77" s="6" t="n">
        <f aca="false">IFERROR(INDEX('TRANS'!$B:$B,MATCH($A77,'TRANS'!$C:$C,0)),IFERROR(INDEX('TRANS'!$B:$B,MATCH(TRIM(SUBSTITUTE($A77,CHAR(160)," ")),'TRANS'!$E:$E,0)),IFERROR(INDEX('Manual Matches'!$C:$C,MATCH($A77,'Manual Matches'!$B:$B,0)),"")))</f>
        <v>4413092</v>
      </c>
      <c r="F77" s="6" t="str">
        <f aca="false">IF($E77="","Unmatched",IF(COUNTIF('Manual Matches'!$B:$B,$A77)&gt;0,"Matched (manual)","Matched"))</f>
        <v>Matched</v>
      </c>
    </row>
    <row r="78" customFormat="false" ht="15" hidden="false" customHeight="false" outlineLevel="0" collapsed="false">
      <c r="A78" s="6" t="s">
        <v>167</v>
      </c>
      <c r="B78" s="6" t="n">
        <v>2026</v>
      </c>
      <c r="C78" s="16" t="n">
        <v>180</v>
      </c>
      <c r="D78" s="17" t="n">
        <v>2970</v>
      </c>
      <c r="E78" s="6" t="n">
        <f aca="false">IFERROR(INDEX('TRANS'!$B:$B,MATCH($A78,'TRANS'!$C:$C,0)),IFERROR(INDEX('TRANS'!$B:$B,MATCH(TRIM(SUBSTITUTE($A78,CHAR(160)," ")),'TRANS'!$E:$E,0)),IFERROR(INDEX('Manual Matches'!$C:$C,MATCH($A78,'Manual Matches'!$B:$B,0)),"")))</f>
        <v>4413093</v>
      </c>
      <c r="F78" s="6" t="str">
        <f aca="false">IF($E78="","Unmatched",IF(COUNTIF('Manual Matches'!$B:$B,$A78)&gt;0,"Matched (manual)","Matched"))</f>
        <v>Matched</v>
      </c>
    </row>
    <row r="79" customFormat="false" ht="15" hidden="false" customHeight="false" outlineLevel="0" collapsed="false">
      <c r="A79" s="6" t="s">
        <v>169</v>
      </c>
      <c r="B79" s="6" t="n">
        <v>2026</v>
      </c>
      <c r="C79" s="16" t="n">
        <v>47</v>
      </c>
      <c r="D79" s="17" t="n">
        <v>775.5</v>
      </c>
      <c r="E79" s="6" t="n">
        <f aca="false">IFERROR(INDEX('TRANS'!$B:$B,MATCH($A79,'TRANS'!$C:$C,0)),IFERROR(INDEX('TRANS'!$B:$B,MATCH(TRIM(SUBSTITUTE($A79,CHAR(160)," ")),'TRANS'!$E:$E,0)),IFERROR(INDEX('Manual Matches'!$C:$C,MATCH($A79,'Manual Matches'!$B:$B,0)),"")))</f>
        <v>4413094</v>
      </c>
      <c r="F79" s="6" t="str">
        <f aca="false">IF($E79="","Unmatched",IF(COUNTIF('Manual Matches'!$B:$B,$A79)&gt;0,"Matched (manual)","Matched"))</f>
        <v>Matched</v>
      </c>
    </row>
    <row r="80" customFormat="false" ht="15" hidden="false" customHeight="false" outlineLevel="0" collapsed="false">
      <c r="A80" s="6" t="s">
        <v>171</v>
      </c>
      <c r="B80" s="6" t="n">
        <v>2026</v>
      </c>
      <c r="C80" s="16" t="n">
        <v>131</v>
      </c>
      <c r="D80" s="17" t="n">
        <v>2033.6</v>
      </c>
      <c r="E80" s="6" t="n">
        <f aca="false">IFERROR(INDEX('TRANS'!$B:$B,MATCH($A80,'TRANS'!$C:$C,0)),IFERROR(INDEX('TRANS'!$B:$B,MATCH(TRIM(SUBSTITUTE($A80,CHAR(160)," ")),'TRANS'!$E:$E,0)),IFERROR(INDEX('Manual Matches'!$C:$C,MATCH($A80,'Manual Matches'!$B:$B,0)),"")))</f>
        <v>4413095</v>
      </c>
      <c r="F80" s="6" t="str">
        <f aca="false">IF($E80="","Unmatched",IF(COUNTIF('Manual Matches'!$B:$B,$A80)&gt;0,"Matched (manual)","Matched"))</f>
        <v>Matched</v>
      </c>
    </row>
    <row r="81" customFormat="false" ht="15" hidden="false" customHeight="false" outlineLevel="0" collapsed="false">
      <c r="A81" s="6" t="s">
        <v>173</v>
      </c>
      <c r="B81" s="6" t="n">
        <v>2026</v>
      </c>
      <c r="C81" s="16" t="n">
        <v>47</v>
      </c>
      <c r="D81" s="17" t="n">
        <v>730.1</v>
      </c>
      <c r="E81" s="6" t="n">
        <f aca="false">IFERROR(INDEX('TRANS'!$B:$B,MATCH($A81,'TRANS'!$C:$C,0)),IFERROR(INDEX('TRANS'!$B:$B,MATCH(TRIM(SUBSTITUTE($A81,CHAR(160)," ")),'TRANS'!$E:$E,0)),IFERROR(INDEX('Manual Matches'!$C:$C,MATCH($A81,'Manual Matches'!$B:$B,0)),"")))</f>
        <v>4413096</v>
      </c>
      <c r="F81" s="6" t="str">
        <f aca="false">IF($E81="","Unmatched",IF(COUNTIF('Manual Matches'!$B:$B,$A81)&gt;0,"Matched (manual)","Matched"))</f>
        <v>Matched</v>
      </c>
    </row>
    <row r="82" customFormat="false" ht="15" hidden="false" customHeight="false" outlineLevel="0" collapsed="false">
      <c r="A82" s="6" t="s">
        <v>197</v>
      </c>
      <c r="B82" s="6" t="n">
        <v>2026</v>
      </c>
      <c r="C82" s="16" t="n">
        <v>39</v>
      </c>
      <c r="D82" s="17" t="n">
        <v>768.8</v>
      </c>
      <c r="E82" s="6" t="n">
        <f aca="false">IFERROR(INDEX('TRANS'!$B:$B,MATCH($A82,'TRANS'!$C:$C,0)),IFERROR(INDEX('TRANS'!$B:$B,MATCH(TRIM(SUBSTITUTE($A82,CHAR(160)," ")),'TRANS'!$E:$E,0)),IFERROR(INDEX('Manual Matches'!$C:$C,MATCH($A82,'Manual Matches'!$B:$B,0)),"")))</f>
        <v>4413101</v>
      </c>
      <c r="F82" s="6" t="str">
        <f aca="false">IF($E82="","Unmatched",IF(COUNTIF('Manual Matches'!$B:$B,$A82)&gt;0,"Matched (manual)","Matched"))</f>
        <v>Matched</v>
      </c>
    </row>
    <row r="83" customFormat="false" ht="15" hidden="false" customHeight="false" outlineLevel="0" collapsed="false">
      <c r="A83" s="6" t="s">
        <v>193</v>
      </c>
      <c r="B83" s="6" t="n">
        <v>2026</v>
      </c>
      <c r="C83" s="16" t="n">
        <v>104</v>
      </c>
      <c r="D83" s="17" t="n">
        <v>2029.5</v>
      </c>
      <c r="E83" s="6" t="n">
        <f aca="false">IFERROR(INDEX('TRANS'!$B:$B,MATCH($A83,'TRANS'!$C:$C,0)),IFERROR(INDEX('TRANS'!$B:$B,MATCH(TRIM(SUBSTITUTE($A83,CHAR(160)," ")),'TRANS'!$E:$E,0)),IFERROR(INDEX('Manual Matches'!$C:$C,MATCH($A83,'Manual Matches'!$B:$B,0)),"")))</f>
        <v>4413102</v>
      </c>
      <c r="F83" s="6" t="str">
        <f aca="false">IF($E83="","Unmatched",IF(COUNTIF('Manual Matches'!$B:$B,$A83)&gt;0,"Matched (manual)","Matched"))</f>
        <v>Matched</v>
      </c>
    </row>
    <row r="84" customFormat="false" ht="15" hidden="false" customHeight="false" outlineLevel="0" collapsed="false">
      <c r="A84" s="6" t="s">
        <v>195</v>
      </c>
      <c r="B84" s="6" t="n">
        <v>2026</v>
      </c>
      <c r="C84" s="16" t="n">
        <v>140</v>
      </c>
      <c r="D84" s="17" t="n">
        <v>2777.7</v>
      </c>
      <c r="E84" s="6" t="n">
        <f aca="false">IFERROR(INDEX('TRANS'!$B:$B,MATCH($A84,'TRANS'!$C:$C,0)),IFERROR(INDEX('TRANS'!$B:$B,MATCH(TRIM(SUBSTITUTE($A84,CHAR(160)," ")),'TRANS'!$E:$E,0)),IFERROR(INDEX('Manual Matches'!$C:$C,MATCH($A84,'Manual Matches'!$B:$B,0)),"")))</f>
        <v>4413103</v>
      </c>
      <c r="F84" s="6" t="str">
        <f aca="false">IF($E84="","Unmatched",IF(COUNTIF('Manual Matches'!$B:$B,$A84)&gt;0,"Matched (manual)","Matched"))</f>
        <v>Matched</v>
      </c>
    </row>
    <row r="85" customFormat="false" ht="15" hidden="false" customHeight="false" outlineLevel="0" collapsed="false">
      <c r="A85" s="6" t="s">
        <v>199</v>
      </c>
      <c r="B85" s="6" t="n">
        <v>2026</v>
      </c>
      <c r="C85" s="16" t="n">
        <v>118</v>
      </c>
      <c r="D85" s="17" t="n">
        <v>2326.7</v>
      </c>
      <c r="E85" s="6" t="n">
        <f aca="false">IFERROR(INDEX('TRANS'!$B:$B,MATCH($A85,'TRANS'!$C:$C,0)),IFERROR(INDEX('TRANS'!$B:$B,MATCH(TRIM(SUBSTITUTE($A85,CHAR(160)," ")),'TRANS'!$E:$E,0)),IFERROR(INDEX('Manual Matches'!$C:$C,MATCH($A85,'Manual Matches'!$B:$B,0)),"")))</f>
        <v>4413104</v>
      </c>
      <c r="F85" s="6" t="str">
        <f aca="false">IF($E85="","Unmatched",IF(COUNTIF('Manual Matches'!$B:$B,$A85)&gt;0,"Matched (manual)","Matched"))</f>
        <v>Matched</v>
      </c>
    </row>
    <row r="86" customFormat="false" ht="15" hidden="false" customHeight="false" outlineLevel="0" collapsed="false">
      <c r="A86" s="6" t="s">
        <v>201</v>
      </c>
      <c r="B86" s="6" t="n">
        <v>2026</v>
      </c>
      <c r="C86" s="16" t="n">
        <v>41</v>
      </c>
      <c r="D86" s="17" t="n">
        <v>825.1</v>
      </c>
      <c r="E86" s="6" t="n">
        <f aca="false">IFERROR(INDEX('TRANS'!$B:$B,MATCH($A86,'TRANS'!$C:$C,0)),IFERROR(INDEX('TRANS'!$B:$B,MATCH(TRIM(SUBSTITUTE($A86,CHAR(160)," ")),'TRANS'!$E:$E,0)),IFERROR(INDEX('Manual Matches'!$C:$C,MATCH($A86,'Manual Matches'!$B:$B,0)),"")))</f>
        <v>4413105</v>
      </c>
      <c r="F86" s="6" t="str">
        <f aca="false">IF($E86="","Unmatched",IF(COUNTIF('Manual Matches'!$B:$B,$A86)&gt;0,"Matched (manual)","Matched"))</f>
        <v>Matched</v>
      </c>
    </row>
    <row r="87" customFormat="false" ht="15" hidden="false" customHeight="false" outlineLevel="0" collapsed="false">
      <c r="A87" s="6" t="s">
        <v>987</v>
      </c>
      <c r="B87" s="6" t="n">
        <v>2026</v>
      </c>
      <c r="C87" s="16" t="n">
        <v>1</v>
      </c>
      <c r="D87" s="17" t="n">
        <v>21</v>
      </c>
      <c r="E87" s="6" t="n">
        <f aca="false">IFERROR(INDEX('TRANS'!$B:$B,MATCH($A87,'TRANS'!$C:$C,0)),IFERROR(INDEX('TRANS'!$B:$B,MATCH(TRIM(SUBSTITUTE($A87,CHAR(160)," ")),'TRANS'!$E:$E,0)),IFERROR(INDEX('Manual Matches'!$C:$C,MATCH($A87,'Manual Matches'!$B:$B,0)),"")))</f>
        <v>4413111</v>
      </c>
      <c r="F87" s="6" t="str">
        <f aca="false">IF($E87="","Unmatched",IF(COUNTIF('Manual Matches'!$B:$B,$A87)&gt;0,"Matched (manual)","Matched"))</f>
        <v>Matched</v>
      </c>
    </row>
    <row r="88" customFormat="false" ht="15" hidden="false" customHeight="false" outlineLevel="0" collapsed="false">
      <c r="A88" s="6" t="s">
        <v>983</v>
      </c>
      <c r="B88" s="6" t="n">
        <v>2026</v>
      </c>
      <c r="C88" s="16" t="n">
        <v>9</v>
      </c>
      <c r="D88" s="17" t="n">
        <v>162.8</v>
      </c>
      <c r="E88" s="6" t="n">
        <f aca="false">IFERROR(INDEX('TRANS'!$B:$B,MATCH($A88,'TRANS'!$C:$C,0)),IFERROR(INDEX('TRANS'!$B:$B,MATCH(TRIM(SUBSTITUTE($A88,CHAR(160)," ")),'TRANS'!$E:$E,0)),IFERROR(INDEX('Manual Matches'!$C:$C,MATCH($A88,'Manual Matches'!$B:$B,0)),"")))</f>
        <v>4413112</v>
      </c>
      <c r="F88" s="6" t="str">
        <f aca="false">IF($E88="","Unmatched",IF(COUNTIF('Manual Matches'!$B:$B,$A88)&gt;0,"Matched (manual)","Matched"))</f>
        <v>Matched</v>
      </c>
    </row>
    <row r="89" customFormat="false" ht="15" hidden="false" customHeight="false" outlineLevel="0" collapsed="false">
      <c r="A89" s="6" t="s">
        <v>989</v>
      </c>
      <c r="B89" s="6" t="n">
        <v>2026</v>
      </c>
      <c r="C89" s="16" t="n">
        <v>11</v>
      </c>
      <c r="D89" s="17" t="n">
        <v>204.8</v>
      </c>
      <c r="E89" s="6" t="n">
        <f aca="false">IFERROR(INDEX('TRANS'!$B:$B,MATCH($A89,'TRANS'!$C:$C,0)),IFERROR(INDEX('TRANS'!$B:$B,MATCH(TRIM(SUBSTITUTE($A89,CHAR(160)," ")),'TRANS'!$E:$E,0)),IFERROR(INDEX('Manual Matches'!$C:$C,MATCH($A89,'Manual Matches'!$B:$B,0)),"")))</f>
        <v>4413114</v>
      </c>
      <c r="F89" s="6" t="str">
        <f aca="false">IF($E89="","Unmatched",IF(COUNTIF('Manual Matches'!$B:$B,$A89)&gt;0,"Matched (manual)","Matched"))</f>
        <v>Matched</v>
      </c>
    </row>
    <row r="90" customFormat="false" ht="15" hidden="false" customHeight="false" outlineLevel="0" collapsed="false">
      <c r="A90" s="6" t="s">
        <v>499</v>
      </c>
      <c r="B90" s="6" t="n">
        <v>2026</v>
      </c>
      <c r="C90" s="16" t="n">
        <v>4</v>
      </c>
      <c r="D90" s="17" t="n">
        <v>545.2</v>
      </c>
      <c r="E90" s="6" t="n">
        <f aca="false">IFERROR(INDEX('TRANS'!$B:$B,MATCH($A90,'TRANS'!$C:$C,0)),IFERROR(INDEX('TRANS'!$B:$B,MATCH(TRIM(SUBSTITUTE($A90,CHAR(160)," ")),'TRANS'!$E:$E,0)),IFERROR(INDEX('Manual Matches'!$C:$C,MATCH($A90,'Manual Matches'!$B:$B,0)),"")))</f>
        <v>4413131</v>
      </c>
      <c r="F90" s="6" t="str">
        <f aca="false">IF($E90="","Unmatched",IF(COUNTIF('Manual Matches'!$B:$B,$A90)&gt;0,"Matched (manual)","Matched"))</f>
        <v>Matched</v>
      </c>
    </row>
    <row r="91" customFormat="false" ht="15" hidden="false" customHeight="false" outlineLevel="0" collapsed="false">
      <c r="A91" s="6" t="s">
        <v>495</v>
      </c>
      <c r="B91" s="6" t="n">
        <v>2026</v>
      </c>
      <c r="C91" s="16" t="n">
        <v>2</v>
      </c>
      <c r="D91" s="17" t="n">
        <v>272.6</v>
      </c>
      <c r="E91" s="6" t="n">
        <f aca="false">IFERROR(INDEX('TRANS'!$B:$B,MATCH($A91,'TRANS'!$C:$C,0)),IFERROR(INDEX('TRANS'!$B:$B,MATCH(TRIM(SUBSTITUTE($A91,CHAR(160)," ")),'TRANS'!$E:$E,0)),IFERROR(INDEX('Manual Matches'!$C:$C,MATCH($A91,'Manual Matches'!$B:$B,0)),"")))</f>
        <v>4413132</v>
      </c>
      <c r="F91" s="6" t="str">
        <f aca="false">IF($E91="","Unmatched",IF(COUNTIF('Manual Matches'!$B:$B,$A91)&gt;0,"Matched (manual)","Matched"))</f>
        <v>Matched</v>
      </c>
    </row>
    <row r="92" customFormat="false" ht="15" hidden="false" customHeight="false" outlineLevel="0" collapsed="false">
      <c r="A92" s="6" t="s">
        <v>497</v>
      </c>
      <c r="B92" s="6" t="n">
        <v>2026</v>
      </c>
      <c r="C92" s="16" t="n">
        <v>6</v>
      </c>
      <c r="D92" s="17" t="n">
        <v>817.8</v>
      </c>
      <c r="E92" s="6" t="n">
        <f aca="false">IFERROR(INDEX('TRANS'!$B:$B,MATCH($A92,'TRANS'!$C:$C,0)),IFERROR(INDEX('TRANS'!$B:$B,MATCH(TRIM(SUBSTITUTE($A92,CHAR(160)," ")),'TRANS'!$E:$E,0)),IFERROR(INDEX('Manual Matches'!$C:$C,MATCH($A92,'Manual Matches'!$B:$B,0)),"")))</f>
        <v>4413133</v>
      </c>
      <c r="F92" s="6" t="str">
        <f aca="false">IF($E92="","Unmatched",IF(COUNTIF('Manual Matches'!$B:$B,$A92)&gt;0,"Matched (manual)","Matched"))</f>
        <v>Matched</v>
      </c>
    </row>
    <row r="93" customFormat="false" ht="15" hidden="false" customHeight="false" outlineLevel="0" collapsed="false">
      <c r="A93" s="6" t="s">
        <v>501</v>
      </c>
      <c r="B93" s="6" t="n">
        <v>2026</v>
      </c>
      <c r="C93" s="16" t="n">
        <v>7</v>
      </c>
      <c r="D93" s="17" t="n">
        <v>954.1</v>
      </c>
      <c r="E93" s="6" t="n">
        <f aca="false">IFERROR(INDEX('TRANS'!$B:$B,MATCH($A93,'TRANS'!$C:$C,0)),IFERROR(INDEX('TRANS'!$B:$B,MATCH(TRIM(SUBSTITUTE($A93,CHAR(160)," ")),'TRANS'!$E:$E,0)),IFERROR(INDEX('Manual Matches'!$C:$C,MATCH($A93,'Manual Matches'!$B:$B,0)),"")))</f>
        <v>4413134</v>
      </c>
      <c r="F93" s="6" t="str">
        <f aca="false">IF($E93="","Unmatched",IF(COUNTIF('Manual Matches'!$B:$B,$A93)&gt;0,"Matched (manual)","Matched"))</f>
        <v>Matched</v>
      </c>
    </row>
    <row r="94" customFormat="false" ht="15" hidden="false" customHeight="false" outlineLevel="0" collapsed="false">
      <c r="A94" s="6" t="s">
        <v>673</v>
      </c>
      <c r="B94" s="6" t="n">
        <v>2026</v>
      </c>
      <c r="C94" s="16" t="n">
        <v>126</v>
      </c>
      <c r="D94" s="17" t="n">
        <v>4208.8</v>
      </c>
      <c r="E94" s="6" t="n">
        <f aca="false">IFERROR(INDEX('TRANS'!$B:$B,MATCH($A94,'TRANS'!$C:$C,0)),IFERROR(INDEX('TRANS'!$B:$B,MATCH(TRIM(SUBSTITUTE($A94,CHAR(160)," ")),'TRANS'!$E:$E,0)),IFERROR(INDEX('Manual Matches'!$C:$C,MATCH($A94,'Manual Matches'!$B:$B,0)),"")))</f>
        <v>4413135</v>
      </c>
      <c r="F94" s="6" t="str">
        <f aca="false">IF($E94="","Unmatched",IF(COUNTIF('Manual Matches'!$B:$B,$A94)&gt;0,"Matched (manual)","Matched"))</f>
        <v>Matched</v>
      </c>
    </row>
    <row r="95" customFormat="false" ht="15" hidden="false" customHeight="false" outlineLevel="0" collapsed="false">
      <c r="A95" s="6" t="s">
        <v>675</v>
      </c>
      <c r="B95" s="6" t="n">
        <v>2026</v>
      </c>
      <c r="C95" s="16" t="n">
        <v>88</v>
      </c>
      <c r="D95" s="17" t="n">
        <v>2983.8</v>
      </c>
      <c r="E95" s="6" t="n">
        <f aca="false">IFERROR(INDEX('TRANS'!$B:$B,MATCH($A95,'TRANS'!$C:$C,0)),IFERROR(INDEX('TRANS'!$B:$B,MATCH(TRIM(SUBSTITUTE($A95,CHAR(160)," ")),'TRANS'!$E:$E,0)),IFERROR(INDEX('Manual Matches'!$C:$C,MATCH($A95,'Manual Matches'!$B:$B,0)),"")))</f>
        <v>4413136</v>
      </c>
      <c r="F95" s="6" t="str">
        <f aca="false">IF($E95="","Unmatched",IF(COUNTIF('Manual Matches'!$B:$B,$A95)&gt;0,"Matched (manual)","Matched"))</f>
        <v>Matched</v>
      </c>
    </row>
    <row r="96" customFormat="false" ht="15" hidden="false" customHeight="false" outlineLevel="0" collapsed="false">
      <c r="A96" s="6" t="s">
        <v>677</v>
      </c>
      <c r="B96" s="6" t="n">
        <v>2026</v>
      </c>
      <c r="C96" s="16" t="n">
        <v>55</v>
      </c>
      <c r="D96" s="17" t="n">
        <v>1872.5</v>
      </c>
      <c r="E96" s="6" t="n">
        <f aca="false">IFERROR(INDEX('TRANS'!$B:$B,MATCH($A96,'TRANS'!$C:$C,0)),IFERROR(INDEX('TRANS'!$B:$B,MATCH(TRIM(SUBSTITUTE($A96,CHAR(160)," ")),'TRANS'!$E:$E,0)),IFERROR(INDEX('Manual Matches'!$C:$C,MATCH($A96,'Manual Matches'!$B:$B,0)),"")))</f>
        <v>4413137</v>
      </c>
      <c r="F96" s="6" t="str">
        <f aca="false">IF($E96="","Unmatched",IF(COUNTIF('Manual Matches'!$B:$B,$A96)&gt;0,"Matched (manual)","Matched"))</f>
        <v>Matched</v>
      </c>
    </row>
    <row r="97" customFormat="false" ht="15" hidden="false" customHeight="false" outlineLevel="0" collapsed="false">
      <c r="A97" s="6" t="s">
        <v>679</v>
      </c>
      <c r="B97" s="6" t="n">
        <v>2026</v>
      </c>
      <c r="C97" s="16" t="n">
        <v>54</v>
      </c>
      <c r="D97" s="17" t="n">
        <v>1741.3</v>
      </c>
      <c r="E97" s="6" t="n">
        <f aca="false">IFERROR(INDEX('TRANS'!$B:$B,MATCH($A97,'TRANS'!$C:$C,0)),IFERROR(INDEX('TRANS'!$B:$B,MATCH(TRIM(SUBSTITUTE($A97,CHAR(160)," ")),'TRANS'!$E:$E,0)),IFERROR(INDEX('Manual Matches'!$C:$C,MATCH($A97,'Manual Matches'!$B:$B,0)),"")))</f>
        <v>4413138</v>
      </c>
      <c r="F97" s="6" t="str">
        <f aca="false">IF($E97="","Unmatched",IF(COUNTIF('Manual Matches'!$B:$B,$A97)&gt;0,"Matched (manual)","Matched"))</f>
        <v>Matched</v>
      </c>
    </row>
    <row r="98" customFormat="false" ht="15" hidden="false" customHeight="false" outlineLevel="0" collapsed="false">
      <c r="A98" s="6" t="s">
        <v>627</v>
      </c>
      <c r="B98" s="6" t="n">
        <v>2026</v>
      </c>
      <c r="C98" s="16" t="n">
        <v>58</v>
      </c>
      <c r="D98" s="17" t="n">
        <v>956.3</v>
      </c>
      <c r="E98" s="6" t="n">
        <f aca="false">IFERROR(INDEX('TRANS'!$B:$B,MATCH($A98,'TRANS'!$C:$C,0)),IFERROR(INDEX('TRANS'!$B:$B,MATCH(TRIM(SUBSTITUTE($A98,CHAR(160)," ")),'TRANS'!$E:$E,0)),IFERROR(INDEX('Manual Matches'!$C:$C,MATCH($A98,'Manual Matches'!$B:$B,0)),"")))</f>
        <v>4413139</v>
      </c>
      <c r="F98" s="6" t="str">
        <f aca="false">IF($E98="","Unmatched",IF(COUNTIF('Manual Matches'!$B:$B,$A98)&gt;0,"Matched (manual)","Matched"))</f>
        <v>Matched</v>
      </c>
    </row>
    <row r="99" customFormat="false" ht="15" hidden="false" customHeight="false" outlineLevel="0" collapsed="false">
      <c r="A99" s="6" t="s">
        <v>629</v>
      </c>
      <c r="B99" s="6" t="n">
        <v>2026</v>
      </c>
      <c r="C99" s="16" t="n">
        <v>82</v>
      </c>
      <c r="D99" s="17" t="n">
        <v>1330.3</v>
      </c>
      <c r="E99" s="6" t="n">
        <f aca="false">IFERROR(INDEX('TRANS'!$B:$B,MATCH($A99,'TRANS'!$C:$C,0)),IFERROR(INDEX('TRANS'!$B:$B,MATCH(TRIM(SUBSTITUTE($A99,CHAR(160)," ")),'TRANS'!$E:$E,0)),IFERROR(INDEX('Manual Matches'!$C:$C,MATCH($A99,'Manual Matches'!$B:$B,0)),"")))</f>
        <v>4413140</v>
      </c>
      <c r="F99" s="6" t="str">
        <f aca="false">IF($E99="","Unmatched",IF(COUNTIF('Manual Matches'!$B:$B,$A99)&gt;0,"Matched (manual)","Matched"))</f>
        <v>Matched</v>
      </c>
    </row>
    <row r="100" customFormat="false" ht="15" hidden="false" customHeight="false" outlineLevel="0" collapsed="false">
      <c r="A100" s="6" t="s">
        <v>631</v>
      </c>
      <c r="B100" s="6" t="n">
        <v>2026</v>
      </c>
      <c r="C100" s="16" t="n">
        <v>98</v>
      </c>
      <c r="D100" s="17" t="n">
        <v>1593.8</v>
      </c>
      <c r="E100" s="6" t="n">
        <f aca="false">IFERROR(INDEX('TRANS'!$B:$B,MATCH($A100,'TRANS'!$C:$C,0)),IFERROR(INDEX('TRANS'!$B:$B,MATCH(TRIM(SUBSTITUTE($A100,CHAR(160)," ")),'TRANS'!$E:$E,0)),IFERROR(INDEX('Manual Matches'!$C:$C,MATCH($A100,'Manual Matches'!$B:$B,0)),"")))</f>
        <v>4413141</v>
      </c>
      <c r="F100" s="6" t="str">
        <f aca="false">IF($E100="","Unmatched",IF(COUNTIF('Manual Matches'!$B:$B,$A100)&gt;0,"Matched (manual)","Matched"))</f>
        <v>Matched</v>
      </c>
    </row>
    <row r="101" customFormat="false" ht="15" hidden="false" customHeight="false" outlineLevel="0" collapsed="false">
      <c r="A101" s="6" t="s">
        <v>633</v>
      </c>
      <c r="B101" s="6" t="n">
        <v>2026</v>
      </c>
      <c r="C101" s="16" t="n">
        <v>30</v>
      </c>
      <c r="D101" s="17" t="n">
        <v>497.3</v>
      </c>
      <c r="E101" s="6" t="n">
        <f aca="false">IFERROR(INDEX('TRANS'!$B:$B,MATCH($A101,'TRANS'!$C:$C,0)),IFERROR(INDEX('TRANS'!$B:$B,MATCH(TRIM(SUBSTITUTE($A101,CHAR(160)," ")),'TRANS'!$E:$E,0)),IFERROR(INDEX('Manual Matches'!$C:$C,MATCH($A101,'Manual Matches'!$B:$B,0)),"")))</f>
        <v>4413142</v>
      </c>
      <c r="F101" s="6" t="str">
        <f aca="false">IF($E101="","Unmatched",IF(COUNTIF('Manual Matches'!$B:$B,$A101)&gt;0,"Matched (manual)","Matched"))</f>
        <v>Matched</v>
      </c>
    </row>
    <row r="102" customFormat="false" ht="15" hidden="false" customHeight="false" outlineLevel="0" collapsed="false">
      <c r="A102" s="6" t="s">
        <v>635</v>
      </c>
      <c r="B102" s="6" t="n">
        <v>2026</v>
      </c>
      <c r="C102" s="16" t="n">
        <v>4</v>
      </c>
      <c r="D102" s="17" t="n">
        <v>68</v>
      </c>
      <c r="E102" s="6" t="n">
        <f aca="false">IFERROR(INDEX('TRANS'!$B:$B,MATCH($A102,'TRANS'!$C:$C,0)),IFERROR(INDEX('TRANS'!$B:$B,MATCH(TRIM(SUBSTITUTE($A102,CHAR(160)," ")),'TRANS'!$E:$E,0)),IFERROR(INDEX('Manual Matches'!$C:$C,MATCH($A102,'Manual Matches'!$B:$B,0)),"")))</f>
        <v>4413143</v>
      </c>
      <c r="F102" s="6" t="str">
        <f aca="false">IF($E102="","Unmatched",IF(COUNTIF('Manual Matches'!$B:$B,$A102)&gt;0,"Matched (manual)","Matched"))</f>
        <v>Matched</v>
      </c>
    </row>
    <row r="103" customFormat="false" ht="15" hidden="false" customHeight="false" outlineLevel="0" collapsed="false">
      <c r="A103" s="6" t="s">
        <v>637</v>
      </c>
      <c r="B103" s="6" t="n">
        <v>2026</v>
      </c>
      <c r="C103" s="16" t="n">
        <v>1</v>
      </c>
      <c r="D103" s="17" t="n">
        <v>17</v>
      </c>
      <c r="E103" s="6" t="n">
        <f aca="false">IFERROR(INDEX('TRANS'!$B:$B,MATCH($A103,'TRANS'!$C:$C,0)),IFERROR(INDEX('TRANS'!$B:$B,MATCH(TRIM(SUBSTITUTE($A103,CHAR(160)," ")),'TRANS'!$E:$E,0)),IFERROR(INDEX('Manual Matches'!$C:$C,MATCH($A103,'Manual Matches'!$B:$B,0)),"")))</f>
        <v>4413144</v>
      </c>
      <c r="F103" s="6" t="str">
        <f aca="false">IF($E103="","Unmatched",IF(COUNTIF('Manual Matches'!$B:$B,$A103)&gt;0,"Matched (manual)","Matched"))</f>
        <v>Matched</v>
      </c>
    </row>
    <row r="104" customFormat="false" ht="15" hidden="false" customHeight="false" outlineLevel="0" collapsed="false">
      <c r="A104" s="6" t="s">
        <v>471</v>
      </c>
      <c r="B104" s="6" t="n">
        <v>2026</v>
      </c>
      <c r="C104" s="16" t="n">
        <v>33</v>
      </c>
      <c r="D104" s="17" t="n">
        <v>270.6</v>
      </c>
      <c r="E104" s="6" t="n">
        <f aca="false">IFERROR(INDEX('TRANS'!$B:$B,MATCH($A104,'TRANS'!$C:$C,0)),IFERROR(INDEX('TRANS'!$B:$B,MATCH(TRIM(SUBSTITUTE($A104,CHAR(160)," ")),'TRANS'!$E:$E,0)),IFERROR(INDEX('Manual Matches'!$C:$C,MATCH($A104,'Manual Matches'!$B:$B,0)),"")))</f>
        <v>4413149</v>
      </c>
      <c r="F104" s="6" t="str">
        <f aca="false">IF($E104="","Unmatched",IF(COUNTIF('Manual Matches'!$B:$B,$A104)&gt;0,"Matched (manual)","Matched"))</f>
        <v>Matched</v>
      </c>
    </row>
    <row r="105" customFormat="false" ht="15" hidden="false" customHeight="false" outlineLevel="0" collapsed="false">
      <c r="A105" s="6" t="s">
        <v>767</v>
      </c>
      <c r="B105" s="6" t="n">
        <v>2026</v>
      </c>
      <c r="C105" s="16" t="n">
        <v>48</v>
      </c>
      <c r="D105" s="17" t="n">
        <v>1004.4</v>
      </c>
      <c r="E105" s="6" t="n">
        <f aca="false">IFERROR(INDEX('TRANS'!$B:$B,MATCH($A105,'TRANS'!$C:$C,0)),IFERROR(INDEX('TRANS'!$B:$B,MATCH(TRIM(SUBSTITUTE($A105,CHAR(160)," ")),'TRANS'!$E:$E,0)),IFERROR(INDEX('Manual Matches'!$C:$C,MATCH($A105,'Manual Matches'!$B:$B,0)),"")))</f>
        <v>4413150</v>
      </c>
      <c r="F105" s="6" t="str">
        <f aca="false">IF($E105="","Unmatched",IF(COUNTIF('Manual Matches'!$B:$B,$A105)&gt;0,"Matched (manual)","Matched"))</f>
        <v>Matched</v>
      </c>
    </row>
    <row r="106" customFormat="false" ht="15" hidden="false" customHeight="false" outlineLevel="0" collapsed="false">
      <c r="A106" s="6" t="s">
        <v>923</v>
      </c>
      <c r="B106" s="6" t="n">
        <v>2026</v>
      </c>
      <c r="C106" s="16" t="n">
        <v>23</v>
      </c>
      <c r="D106" s="17" t="n">
        <v>875</v>
      </c>
      <c r="E106" s="6" t="n">
        <f aca="false">IFERROR(INDEX('TRANS'!$B:$B,MATCH($A106,'TRANS'!$C:$C,0)),IFERROR(INDEX('TRANS'!$B:$B,MATCH(TRIM(SUBSTITUTE($A106,CHAR(160)," ")),'TRANS'!$E:$E,0)),IFERROR(INDEX('Manual Matches'!$C:$C,MATCH($A106,'Manual Matches'!$B:$B,0)),"")))</f>
        <v>4413159</v>
      </c>
      <c r="F106" s="6" t="str">
        <f aca="false">IF($E106="","Unmatched",IF(COUNTIF('Manual Matches'!$B:$B,$A106)&gt;0,"Matched (manual)","Matched"))</f>
        <v>Matched</v>
      </c>
    </row>
    <row r="107" customFormat="false" ht="15" hidden="false" customHeight="false" outlineLevel="0" collapsed="false">
      <c r="A107" s="6" t="s">
        <v>921</v>
      </c>
      <c r="B107" s="6" t="n">
        <v>2026</v>
      </c>
      <c r="C107" s="16" t="n">
        <v>43</v>
      </c>
      <c r="D107" s="17" t="n">
        <v>1686.8</v>
      </c>
      <c r="E107" s="6" t="n">
        <f aca="false">IFERROR(INDEX('TRANS'!$B:$B,MATCH($A107,'TRANS'!$C:$C,0)),IFERROR(INDEX('TRANS'!$B:$B,MATCH(TRIM(SUBSTITUTE($A107,CHAR(160)," ")),'TRANS'!$E:$E,0)),IFERROR(INDEX('Manual Matches'!$C:$C,MATCH($A107,'Manual Matches'!$B:$B,0)),"")))</f>
        <v>4413160</v>
      </c>
      <c r="F107" s="6" t="str">
        <f aca="false">IF($E107="","Unmatched",IF(COUNTIF('Manual Matches'!$B:$B,$A107)&gt;0,"Matched (manual)","Matched"))</f>
        <v>Matched</v>
      </c>
    </row>
    <row r="108" customFormat="false" ht="15" hidden="false" customHeight="false" outlineLevel="0" collapsed="false">
      <c r="A108" s="6" t="s">
        <v>919</v>
      </c>
      <c r="B108" s="6" t="n">
        <v>2026</v>
      </c>
      <c r="C108" s="16" t="n">
        <v>53</v>
      </c>
      <c r="D108" s="17" t="n">
        <v>2161.2</v>
      </c>
      <c r="E108" s="6" t="n">
        <f aca="false">IFERROR(INDEX('TRANS'!$B:$B,MATCH($A108,'TRANS'!$C:$C,0)),IFERROR(INDEX('TRANS'!$B:$B,MATCH(TRIM(SUBSTITUTE($A108,CHAR(160)," ")),'TRANS'!$E:$E,0)),IFERROR(INDEX('Manual Matches'!$C:$C,MATCH($A108,'Manual Matches'!$B:$B,0)),"")))</f>
        <v>4413161</v>
      </c>
      <c r="F108" s="6" t="str">
        <f aca="false">IF($E108="","Unmatched",IF(COUNTIF('Manual Matches'!$B:$B,$A108)&gt;0,"Matched (manual)","Matched"))</f>
        <v>Matched</v>
      </c>
    </row>
    <row r="109" customFormat="false" ht="15" hidden="false" customHeight="false" outlineLevel="0" collapsed="false">
      <c r="A109" s="6" t="s">
        <v>925</v>
      </c>
      <c r="B109" s="6" t="n">
        <v>2026</v>
      </c>
      <c r="C109" s="16" t="n">
        <v>23</v>
      </c>
      <c r="D109" s="17" t="n">
        <v>906.6</v>
      </c>
      <c r="E109" s="6" t="n">
        <f aca="false">IFERROR(INDEX('TRANS'!$B:$B,MATCH($A109,'TRANS'!$C:$C,0)),IFERROR(INDEX('TRANS'!$B:$B,MATCH(TRIM(SUBSTITUTE($A109,CHAR(160)," ")),'TRANS'!$E:$E,0)),IFERROR(INDEX('Manual Matches'!$C:$C,MATCH($A109,'Manual Matches'!$B:$B,0)),"")))</f>
        <v>4413162</v>
      </c>
      <c r="F109" s="6" t="str">
        <f aca="false">IF($E109="","Unmatched",IF(COUNTIF('Manual Matches'!$B:$B,$A109)&gt;0,"Matched (manual)","Matched"))</f>
        <v>Matched</v>
      </c>
    </row>
    <row r="110" customFormat="false" ht="15" hidden="false" customHeight="false" outlineLevel="0" collapsed="false">
      <c r="A110" s="6" t="s">
        <v>507</v>
      </c>
      <c r="B110" s="6" t="n">
        <v>2026</v>
      </c>
      <c r="C110" s="16" t="n">
        <v>4</v>
      </c>
      <c r="D110" s="17" t="n">
        <v>506</v>
      </c>
      <c r="E110" s="6" t="n">
        <f aca="false">IFERROR(INDEX('TRANS'!$B:$B,MATCH($A110,'TRANS'!$C:$C,0)),IFERROR(INDEX('TRANS'!$B:$B,MATCH(TRIM(SUBSTITUTE($A110,CHAR(160)," ")),'TRANS'!$E:$E,0)),IFERROR(INDEX('Manual Matches'!$C:$C,MATCH($A110,'Manual Matches'!$B:$B,0)),"")))</f>
        <v>4413195</v>
      </c>
      <c r="F110" s="6" t="str">
        <f aca="false">IF($E110="","Unmatched",IF(COUNTIF('Manual Matches'!$B:$B,$A110)&gt;0,"Matched (manual)","Matched"))</f>
        <v>Matched</v>
      </c>
    </row>
    <row r="111" customFormat="false" ht="15" hidden="false" customHeight="false" outlineLevel="0" collapsed="false">
      <c r="A111" s="6" t="s">
        <v>505</v>
      </c>
      <c r="B111" s="6" t="n">
        <v>2026</v>
      </c>
      <c r="C111" s="16" t="n">
        <v>21</v>
      </c>
      <c r="D111" s="17" t="n">
        <v>2498.4</v>
      </c>
      <c r="E111" s="6" t="n">
        <f aca="false">IFERROR(INDEX('TRANS'!$B:$B,MATCH($A111,'TRANS'!$C:$C,0)),IFERROR(INDEX('TRANS'!$B:$B,MATCH(TRIM(SUBSTITUTE($A111,CHAR(160)," ")),'TRANS'!$E:$E,0)),IFERROR(INDEX('Manual Matches'!$C:$C,MATCH($A111,'Manual Matches'!$B:$B,0)),"")))</f>
        <v>4413196</v>
      </c>
      <c r="F111" s="6" t="str">
        <f aca="false">IF($E111="","Unmatched",IF(COUNTIF('Manual Matches'!$B:$B,$A111)&gt;0,"Matched (manual)","Matched"))</f>
        <v>Matched</v>
      </c>
    </row>
    <row r="112" customFormat="false" ht="15" hidden="false" customHeight="false" outlineLevel="0" collapsed="false">
      <c r="A112" s="6" t="s">
        <v>503</v>
      </c>
      <c r="B112" s="6" t="n">
        <v>2026</v>
      </c>
      <c r="C112" s="16" t="n">
        <v>19</v>
      </c>
      <c r="D112" s="17" t="n">
        <v>2340.3</v>
      </c>
      <c r="E112" s="6" t="n">
        <f aca="false">IFERROR(INDEX('TRANS'!$B:$B,MATCH($A112,'TRANS'!$C:$C,0)),IFERROR(INDEX('TRANS'!$B:$B,MATCH(TRIM(SUBSTITUTE($A112,CHAR(160)," ")),'TRANS'!$E:$E,0)),IFERROR(INDEX('Manual Matches'!$C:$C,MATCH($A112,'Manual Matches'!$B:$B,0)),"")))</f>
        <v>4413197</v>
      </c>
      <c r="F112" s="6" t="str">
        <f aca="false">IF($E112="","Unmatched",IF(COUNTIF('Manual Matches'!$B:$B,$A112)&gt;0,"Matched (manual)","Matched"))</f>
        <v>Matched</v>
      </c>
    </row>
    <row r="113" customFormat="false" ht="15" hidden="false" customHeight="false" outlineLevel="0" collapsed="false">
      <c r="A113" s="6" t="s">
        <v>509</v>
      </c>
      <c r="B113" s="6" t="n">
        <v>2026</v>
      </c>
      <c r="C113" s="16" t="n">
        <v>14</v>
      </c>
      <c r="D113" s="17" t="n">
        <v>1771</v>
      </c>
      <c r="E113" s="6" t="n">
        <f aca="false">IFERROR(INDEX('TRANS'!$B:$B,MATCH($A113,'TRANS'!$C:$C,0)),IFERROR(INDEX('TRANS'!$B:$B,MATCH(TRIM(SUBSTITUTE($A113,CHAR(160)," ")),'TRANS'!$E:$E,0)),IFERROR(INDEX('Manual Matches'!$C:$C,MATCH($A113,'Manual Matches'!$B:$B,0)),"")))</f>
        <v>4413198</v>
      </c>
      <c r="F113" s="6" t="str">
        <f aca="false">IF($E113="","Unmatched",IF(COUNTIF('Manual Matches'!$B:$B,$A113)&gt;0,"Matched (manual)","Matched"))</f>
        <v>Matched</v>
      </c>
    </row>
    <row r="114" customFormat="false" ht="15" hidden="false" customHeight="false" outlineLevel="0" collapsed="false">
      <c r="A114" s="6" t="s">
        <v>511</v>
      </c>
      <c r="B114" s="6" t="n">
        <v>2026</v>
      </c>
      <c r="C114" s="16" t="n">
        <v>7</v>
      </c>
      <c r="D114" s="17" t="n">
        <v>885.5</v>
      </c>
      <c r="E114" s="6" t="n">
        <f aca="false">IFERROR(INDEX('TRANS'!$B:$B,MATCH($A114,'TRANS'!$C:$C,0)),IFERROR(INDEX('TRANS'!$B:$B,MATCH(TRIM(SUBSTITUTE($A114,CHAR(160)," ")),'TRANS'!$E:$E,0)),IFERROR(INDEX('Manual Matches'!$C:$C,MATCH($A114,'Manual Matches'!$B:$B,0)),"")))</f>
        <v>4413204</v>
      </c>
      <c r="F114" s="6" t="str">
        <f aca="false">IF($E114="","Unmatched",IF(COUNTIF('Manual Matches'!$B:$B,$A114)&gt;0,"Matched (manual)","Matched"))</f>
        <v>Matched</v>
      </c>
    </row>
    <row r="115" customFormat="false" ht="15" hidden="false" customHeight="false" outlineLevel="0" collapsed="false">
      <c r="A115" s="6" t="s">
        <v>537</v>
      </c>
      <c r="B115" s="6" t="n">
        <v>2026</v>
      </c>
      <c r="C115" s="16" t="n">
        <v>1</v>
      </c>
      <c r="D115" s="17" t="n">
        <v>32.1</v>
      </c>
      <c r="E115" s="6" t="n">
        <f aca="false">IFERROR(INDEX('TRANS'!$B:$B,MATCH($A115,'TRANS'!$C:$C,0)),IFERROR(INDEX('TRANS'!$B:$B,MATCH(TRIM(SUBSTITUTE($A115,CHAR(160)," ")),'TRANS'!$E:$E,0)),IFERROR(INDEX('Manual Matches'!$C:$C,MATCH($A115,'Manual Matches'!$B:$B,0)),"")))</f>
        <v>4413277</v>
      </c>
      <c r="F115" s="6" t="str">
        <f aca="false">IF($E115="","Unmatched",IF(COUNTIF('Manual Matches'!$B:$B,$A115)&gt;0,"Matched (manual)","Matched"))</f>
        <v>Matched</v>
      </c>
    </row>
    <row r="116" customFormat="false" ht="15" hidden="false" customHeight="false" outlineLevel="0" collapsed="false">
      <c r="A116" s="6" t="s">
        <v>927</v>
      </c>
      <c r="B116" s="6" t="n">
        <v>2026</v>
      </c>
      <c r="C116" s="16" t="n">
        <v>4</v>
      </c>
      <c r="D116" s="17" t="n">
        <v>158.1</v>
      </c>
      <c r="E116" s="6" t="n">
        <f aca="false">IFERROR(INDEX('TRANS'!$B:$B,MATCH($A116,'TRANS'!$C:$C,0)),IFERROR(INDEX('TRANS'!$B:$B,MATCH(TRIM(SUBSTITUTE($A116,CHAR(160)," ")),'TRANS'!$E:$E,0)),IFERROR(INDEX('Manual Matches'!$C:$C,MATCH($A116,'Manual Matches'!$B:$B,0)),"")))</f>
        <v>4413303</v>
      </c>
      <c r="F116" s="6" t="str">
        <f aca="false">IF($E116="","Unmatched",IF(COUNTIF('Manual Matches'!$B:$B,$A116)&gt;0,"Matched (manual)","Matched"))</f>
        <v>Matched</v>
      </c>
    </row>
    <row r="117" customFormat="false" ht="15" hidden="false" customHeight="false" outlineLevel="0" collapsed="false">
      <c r="A117" s="6" t="s">
        <v>759</v>
      </c>
      <c r="B117" s="6" t="n">
        <v>2026</v>
      </c>
      <c r="C117" s="16" t="n">
        <v>62</v>
      </c>
      <c r="D117" s="17" t="n">
        <v>1262</v>
      </c>
      <c r="E117" s="6" t="n">
        <f aca="false">IFERROR(INDEX('TRANS'!$B:$B,MATCH($A117,'TRANS'!$C:$C,0)),IFERROR(INDEX('TRANS'!$B:$B,MATCH(TRIM(SUBSTITUTE($A117,CHAR(160)," ")),'TRANS'!$E:$E,0)),IFERROR(INDEX('Manual Matches'!$C:$C,MATCH($A117,'Manual Matches'!$B:$B,0)),"")))</f>
        <v>4413307</v>
      </c>
      <c r="F117" s="6" t="str">
        <f aca="false">IF($E117="","Unmatched",IF(COUNTIF('Manual Matches'!$B:$B,$A117)&gt;0,"Matched (manual)","Matched"))</f>
        <v>Matched</v>
      </c>
    </row>
    <row r="118" customFormat="false" ht="15" hidden="false" customHeight="false" outlineLevel="0" collapsed="false">
      <c r="A118" s="6" t="s">
        <v>737</v>
      </c>
      <c r="B118" s="6" t="n">
        <v>2026</v>
      </c>
      <c r="C118" s="16" t="n">
        <v>16</v>
      </c>
      <c r="D118" s="17" t="n">
        <v>619.2</v>
      </c>
      <c r="E118" s="6" t="n">
        <f aca="false">IFERROR(INDEX('TRANS'!$B:$B,MATCH($A118,'TRANS'!$C:$C,0)),IFERROR(INDEX('TRANS'!$B:$B,MATCH(TRIM(SUBSTITUTE($A118,CHAR(160)," ")),'TRANS'!$E:$E,0)),IFERROR(INDEX('Manual Matches'!$C:$C,MATCH($A118,'Manual Matches'!$B:$B,0)),"")))</f>
        <v>4413340</v>
      </c>
      <c r="F118" s="6" t="str">
        <f aca="false">IF($E118="","Unmatched",IF(COUNTIF('Manual Matches'!$B:$B,$A118)&gt;0,"Matched (manual)","Matched"))</f>
        <v>Matched</v>
      </c>
    </row>
    <row r="119" customFormat="false" ht="15" hidden="false" customHeight="false" outlineLevel="0" collapsed="false">
      <c r="A119" s="6" t="s">
        <v>907</v>
      </c>
      <c r="B119" s="6" t="n">
        <v>2026</v>
      </c>
      <c r="C119" s="16" t="n">
        <v>7</v>
      </c>
      <c r="D119" s="17" t="n">
        <v>632.8</v>
      </c>
      <c r="E119" s="6" t="n">
        <f aca="false">IFERROR(INDEX('TRANS'!$B:$B,MATCH($A119,'TRANS'!$C:$C,0)),IFERROR(INDEX('TRANS'!$B:$B,MATCH(TRIM(SUBSTITUTE($A119,CHAR(160)," ")),'TRANS'!$E:$E,0)),IFERROR(INDEX('Manual Matches'!$C:$C,MATCH($A119,'Manual Matches'!$B:$B,0)),"")))</f>
        <v>4415019</v>
      </c>
      <c r="F119" s="6" t="str">
        <f aca="false">IF($E119="","Unmatched",IF(COUNTIF('Manual Matches'!$B:$B,$A119)&gt;0,"Matched (manual)","Matched"))</f>
        <v>Matched</v>
      </c>
    </row>
    <row r="120" customFormat="false" ht="15" hidden="false" customHeight="false" outlineLevel="0" collapsed="false">
      <c r="A120" s="6" t="s">
        <v>855</v>
      </c>
      <c r="B120" s="6" t="n">
        <v>2026</v>
      </c>
      <c r="C120" s="16" t="n">
        <v>167</v>
      </c>
      <c r="D120" s="17" t="n">
        <v>3340</v>
      </c>
      <c r="E120" s="6" t="n">
        <f aca="false">IFERROR(INDEX('TRANS'!$B:$B,MATCH($A120,'TRANS'!$C:$C,0)),IFERROR(INDEX('TRANS'!$B:$B,MATCH(TRIM(SUBSTITUTE($A120,CHAR(160)," ")),'TRANS'!$E:$E,0)),IFERROR(INDEX('Manual Matches'!$C:$C,MATCH($A120,'Manual Matches'!$B:$B,0)),"")))</f>
        <v>4415028</v>
      </c>
      <c r="F120" s="6" t="str">
        <f aca="false">IF($E120="","Unmatched",IF(COUNTIF('Manual Matches'!$B:$B,$A120)&gt;0,"Matched (manual)","Matched"))</f>
        <v>Matched</v>
      </c>
    </row>
    <row r="121" customFormat="false" ht="15" hidden="false" customHeight="false" outlineLevel="0" collapsed="false">
      <c r="A121" s="6" t="s">
        <v>771</v>
      </c>
      <c r="B121" s="6" t="n">
        <v>2026</v>
      </c>
      <c r="C121" s="16" t="n">
        <v>17</v>
      </c>
      <c r="D121" s="17" t="n">
        <v>115.6</v>
      </c>
      <c r="E121" s="6" t="n">
        <f aca="false">IFERROR(INDEX('TRANS'!$B:$B,MATCH($A121,'TRANS'!$C:$C,0)),IFERROR(INDEX('TRANS'!$B:$B,MATCH(TRIM(SUBSTITUTE($A121,CHAR(160)," ")),'TRANS'!$E:$E,0)),IFERROR(INDEX('Manual Matches'!$C:$C,MATCH($A121,'Manual Matches'!$B:$B,0)),"")))</f>
        <v>4415080</v>
      </c>
      <c r="F121" s="6" t="str">
        <f aca="false">IF($E121="","Unmatched",IF(COUNTIF('Manual Matches'!$B:$B,$A121)&gt;0,"Matched (manual)","Matched"))</f>
        <v>Matched</v>
      </c>
    </row>
    <row r="122" customFormat="false" ht="15" hidden="false" customHeight="false" outlineLevel="0" collapsed="false">
      <c r="A122" s="6" t="s">
        <v>697</v>
      </c>
      <c r="B122" s="6" t="n">
        <v>2026</v>
      </c>
      <c r="C122" s="16" t="n">
        <v>85</v>
      </c>
      <c r="D122" s="17" t="n">
        <v>5251.4</v>
      </c>
      <c r="E122" s="6" t="n">
        <f aca="false">IFERROR(INDEX('TRANS'!$B:$B,MATCH($A122,'TRANS'!$C:$C,0)),IFERROR(INDEX('TRANS'!$B:$B,MATCH(TRIM(SUBSTITUTE($A122,CHAR(160)," ")),'TRANS'!$E:$E,0)),IFERROR(INDEX('Manual Matches'!$C:$C,MATCH($A122,'Manual Matches'!$B:$B,0)),"")))</f>
        <v>4416000</v>
      </c>
      <c r="F122" s="6" t="str">
        <f aca="false">IF($E122="","Unmatched",IF(COUNTIF('Manual Matches'!$B:$B,$A122)&gt;0,"Matched (manual)","Matched"))</f>
        <v>Matched</v>
      </c>
    </row>
    <row r="123" customFormat="false" ht="15" hidden="false" customHeight="false" outlineLevel="0" collapsed="false">
      <c r="A123" s="6" t="s">
        <v>699</v>
      </c>
      <c r="B123" s="6" t="n">
        <v>2026</v>
      </c>
      <c r="C123" s="16" t="n">
        <v>87</v>
      </c>
      <c r="D123" s="17" t="n">
        <v>5393.8</v>
      </c>
      <c r="E123" s="6" t="n">
        <f aca="false">IFERROR(INDEX('TRANS'!$B:$B,MATCH($A123,'TRANS'!$C:$C,0)),IFERROR(INDEX('TRANS'!$B:$B,MATCH(TRIM(SUBSTITUTE($A123,CHAR(160)," ")),'TRANS'!$E:$E,0)),IFERROR(INDEX('Manual Matches'!$C:$C,MATCH($A123,'Manual Matches'!$B:$B,0)),"")))</f>
        <v>4416001</v>
      </c>
      <c r="F123" s="6" t="str">
        <f aca="false">IF($E123="","Unmatched",IF(COUNTIF('Manual Matches'!$B:$B,$A123)&gt;0,"Matched (manual)","Matched"))</f>
        <v>Matched</v>
      </c>
    </row>
    <row r="124" customFormat="false" ht="15" hidden="false" customHeight="false" outlineLevel="0" collapsed="false">
      <c r="A124" s="6" t="s">
        <v>701</v>
      </c>
      <c r="B124" s="6" t="n">
        <v>2026</v>
      </c>
      <c r="C124" s="16" t="n">
        <v>23</v>
      </c>
      <c r="D124" s="17" t="n">
        <v>1455.2</v>
      </c>
      <c r="E124" s="6" t="n">
        <f aca="false">IFERROR(INDEX('TRANS'!$B:$B,MATCH($A124,'TRANS'!$C:$C,0)),IFERROR(INDEX('TRANS'!$B:$B,MATCH(TRIM(SUBSTITUTE($A124,CHAR(160)," ")),'TRANS'!$E:$E,0)),IFERROR(INDEX('Manual Matches'!$C:$C,MATCH($A124,'Manual Matches'!$B:$B,0)),"")))</f>
        <v>4416002</v>
      </c>
      <c r="F124" s="6" t="str">
        <f aca="false">IF($E124="","Unmatched",IF(COUNTIF('Manual Matches'!$B:$B,$A124)&gt;0,"Matched (manual)","Matched"))</f>
        <v>Matched</v>
      </c>
    </row>
    <row r="125" customFormat="false" ht="15" hidden="false" customHeight="false" outlineLevel="0" collapsed="false">
      <c r="A125" s="6" t="s">
        <v>769</v>
      </c>
      <c r="B125" s="6" t="n">
        <v>2026</v>
      </c>
      <c r="C125" s="16" t="n">
        <v>46</v>
      </c>
      <c r="D125" s="17" t="n">
        <v>821.2</v>
      </c>
      <c r="E125" s="6" t="n">
        <f aca="false">IFERROR(INDEX('TRANS'!$B:$B,MATCH($A125,'TRANS'!$C:$C,0)),IFERROR(INDEX('TRANS'!$B:$B,MATCH(TRIM(SUBSTITUTE($A125,CHAR(160)," ")),'TRANS'!$E:$E,0)),IFERROR(INDEX('Manual Matches'!$C:$C,MATCH($A125,'Manual Matches'!$B:$B,0)),"")))</f>
        <v>4417000</v>
      </c>
      <c r="F125" s="6" t="str">
        <f aca="false">IF($E125="","Unmatched",IF(COUNTIF('Manual Matches'!$B:$B,$A125)&gt;0,"Matched (manual)","Matched"))</f>
        <v>Matched</v>
      </c>
    </row>
    <row r="126" customFormat="false" ht="15" hidden="false" customHeight="false" outlineLevel="0" collapsed="false">
      <c r="A126" s="6" t="s">
        <v>765</v>
      </c>
      <c r="B126" s="6" t="n">
        <v>2026</v>
      </c>
      <c r="C126" s="16" t="n">
        <v>290</v>
      </c>
      <c r="D126" s="17" t="n">
        <v>2925</v>
      </c>
      <c r="E126" s="6" t="n">
        <f aca="false">IFERROR(INDEX('TRANS'!$B:$B,MATCH($A126,'TRANS'!$C:$C,0)),IFERROR(INDEX('TRANS'!$B:$B,MATCH(TRIM(SUBSTITUTE($A126,CHAR(160)," ")),'TRANS'!$E:$E,0)),IFERROR(INDEX('Manual Matches'!$C:$C,MATCH($A126,'Manual Matches'!$B:$B,0)),"")))</f>
        <v>4419006</v>
      </c>
      <c r="F126" s="6" t="str">
        <f aca="false">IF($E126="","Unmatched",IF(COUNTIF('Manual Matches'!$B:$B,$A126)&gt;0,"Matched (manual)","Matched"))</f>
        <v>Matched</v>
      </c>
    </row>
    <row r="127" customFormat="false" ht="15" hidden="false" customHeight="false" outlineLevel="0" collapsed="false">
      <c r="A127" s="6" t="s">
        <v>969</v>
      </c>
      <c r="B127" s="6" t="n">
        <v>2026</v>
      </c>
      <c r="C127" s="16" t="n">
        <v>100</v>
      </c>
      <c r="D127" s="17" t="n">
        <v>752.4</v>
      </c>
      <c r="E127" s="6" t="n">
        <f aca="false">IFERROR(INDEX('TRANS'!$B:$B,MATCH($A127,'TRANS'!$C:$C,0)),IFERROR(INDEX('TRANS'!$B:$B,MATCH(TRIM(SUBSTITUTE($A127,CHAR(160)," ")),'TRANS'!$E:$E,0)),IFERROR(INDEX('Manual Matches'!$C:$C,MATCH($A127,'Manual Matches'!$B:$B,0)),"")))</f>
        <v>4420000</v>
      </c>
      <c r="F127" s="6" t="str">
        <f aca="false">IF($E127="","Unmatched",IF(COUNTIF('Manual Matches'!$B:$B,$A127)&gt;0,"Matched (manual)","Matched"))</f>
        <v>Matched</v>
      </c>
    </row>
    <row r="128" customFormat="false" ht="15" hidden="false" customHeight="false" outlineLevel="0" collapsed="false">
      <c r="A128" s="6" t="s">
        <v>975</v>
      </c>
      <c r="B128" s="6" t="n">
        <v>2026</v>
      </c>
      <c r="C128" s="16" t="n">
        <v>188</v>
      </c>
      <c r="D128" s="17" t="n">
        <v>1755.3</v>
      </c>
      <c r="E128" s="6" t="n">
        <f aca="false">IFERROR(INDEX('TRANS'!$B:$B,MATCH($A128,'TRANS'!$C:$C,0)),IFERROR(INDEX('TRANS'!$B:$B,MATCH(TRIM(SUBSTITUTE($A128,CHAR(160)," ")),'TRANS'!$E:$E,0)),IFERROR(INDEX('Manual Matches'!$C:$C,MATCH($A128,'Manual Matches'!$B:$B,0)),"")))</f>
        <v>4420002</v>
      </c>
      <c r="F128" s="6" t="str">
        <f aca="false">IF($E128="","Unmatched",IF(COUNTIF('Manual Matches'!$B:$B,$A128)&gt;0,"Matched (manual)","Matched"))</f>
        <v>Matched</v>
      </c>
    </row>
    <row r="129" customFormat="false" ht="15" hidden="false" customHeight="false" outlineLevel="0" collapsed="false">
      <c r="A129" s="6" t="s">
        <v>977</v>
      </c>
      <c r="B129" s="6" t="n">
        <v>2026</v>
      </c>
      <c r="C129" s="16" t="n">
        <v>44</v>
      </c>
      <c r="D129" s="17" t="n">
        <v>400.2</v>
      </c>
      <c r="E129" s="6" t="n">
        <f aca="false">IFERROR(INDEX('TRANS'!$B:$B,MATCH($A129,'TRANS'!$C:$C,0)),IFERROR(INDEX('TRANS'!$B:$B,MATCH(TRIM(SUBSTITUTE($A129,CHAR(160)," ")),'TRANS'!$E:$E,0)),IFERROR(INDEX('Manual Matches'!$C:$C,MATCH($A129,'Manual Matches'!$B:$B,0)),"")))</f>
        <v>4420003</v>
      </c>
      <c r="F129" s="6" t="str">
        <f aca="false">IF($E129="","Unmatched",IF(COUNTIF('Manual Matches'!$B:$B,$A129)&gt;0,"Matched (manual)","Matched"))</f>
        <v>Matched</v>
      </c>
    </row>
    <row r="130" customFormat="false" ht="15" hidden="false" customHeight="false" outlineLevel="0" collapsed="false">
      <c r="A130" s="6" t="s">
        <v>143</v>
      </c>
      <c r="B130" s="6" t="n">
        <v>2026</v>
      </c>
      <c r="C130" s="16" t="n">
        <v>21</v>
      </c>
      <c r="D130" s="17" t="n">
        <v>749.1</v>
      </c>
      <c r="E130" s="6" t="n">
        <f aca="false">IFERROR(INDEX('TRANS'!$B:$B,MATCH($A130,'TRANS'!$C:$C,0)),IFERROR(INDEX('TRANS'!$B:$B,MATCH(TRIM(SUBSTITUTE($A130,CHAR(160)," ")),'TRANS'!$E:$E,0)),IFERROR(INDEX('Manual Matches'!$C:$C,MATCH($A130,'Manual Matches'!$B:$B,0)),"")))</f>
        <v>4420016</v>
      </c>
      <c r="F130" s="6" t="str">
        <f aca="false">IF($E130="","Unmatched",IF(COUNTIF('Manual Matches'!$B:$B,$A130)&gt;0,"Matched (manual)","Matched"))</f>
        <v>Matched</v>
      </c>
    </row>
    <row r="131" customFormat="false" ht="15" hidden="false" customHeight="false" outlineLevel="0" collapsed="false">
      <c r="A131" s="6" t="s">
        <v>77</v>
      </c>
      <c r="B131" s="6" t="n">
        <v>2026</v>
      </c>
      <c r="C131" s="16" t="n">
        <v>16</v>
      </c>
      <c r="D131" s="17" t="n">
        <v>957.1</v>
      </c>
      <c r="E131" s="6" t="str">
        <f aca="false">IFERROR(INDEX('TRANS'!$B:$B,MATCH($A131,'TRANS'!$C:$C,0)),IFERROR(INDEX('TRANS'!$B:$B,MATCH(TRIM(SUBSTITUTE($A131,CHAR(160)," ")),'TRANS'!$E:$E,0)),IFERROR(INDEX('Manual Matches'!$C:$C,MATCH($A131,'Manual Matches'!$B:$B,0)),"")))</f>
        <v/>
      </c>
      <c r="F131" s="6" t="str">
        <f aca="false">IF($E131="","Unmatched",IF(COUNTIF('Manual Matches'!$B:$B,$A131)&gt;0,"Matched (manual)","Matched"))</f>
        <v>Unmatched</v>
      </c>
    </row>
    <row r="132" customFormat="false" ht="15" hidden="false" customHeight="false" outlineLevel="0" collapsed="false">
      <c r="A132" s="6" t="s">
        <v>669</v>
      </c>
      <c r="B132" s="6" t="n">
        <v>2026</v>
      </c>
      <c r="C132" s="16" t="n">
        <v>2</v>
      </c>
      <c r="D132" s="17" t="n">
        <v>115.9</v>
      </c>
      <c r="E132" s="6" t="n">
        <f aca="false">IFERROR(INDEX('TRANS'!$B:$B,MATCH($A132,'TRANS'!$C:$C,0)),IFERROR(INDEX('TRANS'!$B:$B,MATCH(TRIM(SUBSTITUTE($A132,CHAR(160)," ")),'TRANS'!$E:$E,0)),IFERROR(INDEX('Manual Matches'!$C:$C,MATCH($A132,'Manual Matches'!$B:$B,0)),"")))</f>
        <v>4420018</v>
      </c>
      <c r="F132" s="6" t="str">
        <f aca="false">IF($E132="","Unmatched",IF(COUNTIF('Manual Matches'!$B:$B,$A132)&gt;0,"Matched (manual)","Matched"))</f>
        <v>Matched</v>
      </c>
    </row>
    <row r="133" customFormat="false" ht="15" hidden="false" customHeight="false" outlineLevel="0" collapsed="false">
      <c r="A133" s="6" t="s">
        <v>529</v>
      </c>
      <c r="B133" s="6" t="n">
        <v>2026</v>
      </c>
      <c r="C133" s="16" t="n">
        <v>9</v>
      </c>
      <c r="D133" s="17" t="n">
        <v>135.2</v>
      </c>
      <c r="E133" s="6" t="n">
        <f aca="false">IFERROR(INDEX('TRANS'!$B:$B,MATCH($A133,'TRANS'!$C:$C,0)),IFERROR(INDEX('TRANS'!$B:$B,MATCH(TRIM(SUBSTITUTE($A133,CHAR(160)," ")),'TRANS'!$E:$E,0)),IFERROR(INDEX('Manual Matches'!$C:$C,MATCH($A133,'Manual Matches'!$B:$B,0)),"")))</f>
        <v>4420022</v>
      </c>
      <c r="F133" s="6" t="str">
        <f aca="false">IF($E133="","Unmatched",IF(COUNTIF('Manual Matches'!$B:$B,$A133)&gt;0,"Matched (manual)","Matched"))</f>
        <v>Matched</v>
      </c>
    </row>
    <row r="134" customFormat="false" ht="15" hidden="false" customHeight="false" outlineLevel="0" collapsed="false">
      <c r="A134" s="6" t="s">
        <v>543</v>
      </c>
      <c r="B134" s="6" t="n">
        <v>2026</v>
      </c>
      <c r="C134" s="16" t="n">
        <v>15</v>
      </c>
      <c r="D134" s="17" t="n">
        <v>205.9</v>
      </c>
      <c r="E134" s="6" t="n">
        <f aca="false">IFERROR(INDEX('TRANS'!$B:$B,MATCH($A134,'TRANS'!$C:$C,0)),IFERROR(INDEX('TRANS'!$B:$B,MATCH(TRIM(SUBSTITUTE($A134,CHAR(160)," ")),'TRANS'!$E:$E,0)),IFERROR(INDEX('Manual Matches'!$C:$C,MATCH($A134,'Manual Matches'!$B:$B,0)),"")))</f>
        <v>4420024</v>
      </c>
      <c r="F134" s="6" t="str">
        <f aca="false">IF($E134="","Unmatched",IF(COUNTIF('Manual Matches'!$B:$B,$A134)&gt;0,"Matched (manual)","Matched"))</f>
        <v>Matched</v>
      </c>
    </row>
    <row r="135" customFormat="false" ht="15" hidden="false" customHeight="false" outlineLevel="0" collapsed="false">
      <c r="A135" s="6" t="s">
        <v>533</v>
      </c>
      <c r="B135" s="6" t="n">
        <v>2026</v>
      </c>
      <c r="C135" s="16" t="n">
        <v>11</v>
      </c>
      <c r="D135" s="17" t="n">
        <v>171</v>
      </c>
      <c r="E135" s="6" t="n">
        <f aca="false">IFERROR(INDEX('TRANS'!$B:$B,MATCH($A135,'TRANS'!$C:$C,0)),IFERROR(INDEX('TRANS'!$B:$B,MATCH(TRIM(SUBSTITUTE($A135,CHAR(160)," ")),'TRANS'!$E:$E,0)),IFERROR(INDEX('Manual Matches'!$C:$C,MATCH($A135,'Manual Matches'!$B:$B,0)),"")))</f>
        <v>4420025</v>
      </c>
      <c r="F135" s="6" t="str">
        <f aca="false">IF($E135="","Unmatched",IF(COUNTIF('Manual Matches'!$B:$B,$A135)&gt;0,"Matched (manual)","Matched"))</f>
        <v>Matched</v>
      </c>
    </row>
    <row r="136" customFormat="false" ht="15" hidden="false" customHeight="false" outlineLevel="0" collapsed="false">
      <c r="A136" s="6" t="s">
        <v>735</v>
      </c>
      <c r="B136" s="6" t="n">
        <v>2026</v>
      </c>
      <c r="C136" s="16" t="n">
        <v>298</v>
      </c>
      <c r="D136" s="17" t="n">
        <v>3483.4</v>
      </c>
      <c r="E136" s="6" t="n">
        <f aca="false">IFERROR(INDEX('TRANS'!$B:$B,MATCH($A136,'TRANS'!$C:$C,0)),IFERROR(INDEX('TRANS'!$B:$B,MATCH(TRIM(SUBSTITUTE($A136,CHAR(160)," ")),'TRANS'!$E:$E,0)),IFERROR(INDEX('Manual Matches'!$C:$C,MATCH($A136,'Manual Matches'!$B:$B,0)),"")))</f>
        <v>4421000</v>
      </c>
      <c r="F136" s="6" t="str">
        <f aca="false">IF($E136="","Unmatched",IF(COUNTIF('Manual Matches'!$B:$B,$A136)&gt;0,"Matched (manual)","Matched"))</f>
        <v>Matched</v>
      </c>
    </row>
    <row r="137" customFormat="false" ht="15" hidden="false" customHeight="false" outlineLevel="0" collapsed="false">
      <c r="A137" s="6" t="s">
        <v>717</v>
      </c>
      <c r="B137" s="6" t="n">
        <v>2026</v>
      </c>
      <c r="C137" s="16" t="n">
        <v>47</v>
      </c>
      <c r="D137" s="17" t="n">
        <v>1823.1</v>
      </c>
      <c r="E137" s="6" t="n">
        <f aca="false">IFERROR(INDEX('TRANS'!$B:$B,MATCH($A137,'TRANS'!$C:$C,0)),IFERROR(INDEX('TRANS'!$B:$B,MATCH(TRIM(SUBSTITUTE($A137,CHAR(160)," ")),'TRANS'!$E:$E,0)),IFERROR(INDEX('Manual Matches'!$C:$C,MATCH($A137,'Manual Matches'!$B:$B,0)),"")))</f>
        <v>4421001</v>
      </c>
      <c r="F137" s="6" t="str">
        <f aca="false">IF($E137="","Unmatched",IF(COUNTIF('Manual Matches'!$B:$B,$A137)&gt;0,"Matched (manual)","Matched"))</f>
        <v>Matched</v>
      </c>
    </row>
    <row r="138" customFormat="false" ht="15" hidden="false" customHeight="false" outlineLevel="0" collapsed="false">
      <c r="A138" s="6" t="s">
        <v>1057</v>
      </c>
      <c r="B138" s="6" t="n">
        <v>2026</v>
      </c>
      <c r="C138" s="16" t="n">
        <v>65</v>
      </c>
      <c r="D138" s="17" t="n">
        <v>879.9</v>
      </c>
      <c r="E138" s="6" t="n">
        <f aca="false">IFERROR(INDEX('TRANS'!$B:$B,MATCH($A138,'TRANS'!$C:$C,0)),IFERROR(INDEX('TRANS'!$B:$B,MATCH(TRIM(SUBSTITUTE($A138,CHAR(160)," ")),'TRANS'!$E:$E,0)),IFERROR(INDEX('Manual Matches'!$C:$C,MATCH($A138,'Manual Matches'!$B:$B,0)),"")))</f>
        <v>4422000</v>
      </c>
      <c r="F138" s="6" t="str">
        <f aca="false">IF($E138="","Unmatched",IF(COUNTIF('Manual Matches'!$B:$B,$A138)&gt;0,"Matched (manual)","Matched"))</f>
        <v>Matched</v>
      </c>
    </row>
    <row r="139" customFormat="false" ht="15" hidden="false" customHeight="false" outlineLevel="0" collapsed="false">
      <c r="A139" s="6" t="s">
        <v>519</v>
      </c>
      <c r="B139" s="6" t="n">
        <v>2026</v>
      </c>
      <c r="C139" s="16" t="n">
        <v>6</v>
      </c>
      <c r="D139" s="17" t="n">
        <v>740.1</v>
      </c>
      <c r="E139" s="6" t="n">
        <f aca="false">IFERROR(INDEX('TRANS'!$B:$B,MATCH($A139,'TRANS'!$C:$C,0)),IFERROR(INDEX('TRANS'!$B:$B,MATCH(TRIM(SUBSTITUTE($A139,CHAR(160)," ")),'TRANS'!$E:$E,0)),IFERROR(INDEX('Manual Matches'!$C:$C,MATCH($A139,'Manual Matches'!$B:$B,0)),"")))</f>
        <v>4422005</v>
      </c>
      <c r="F139" s="6" t="str">
        <f aca="false">IF($E139="","Unmatched",IF(COUNTIF('Manual Matches'!$B:$B,$A139)&gt;0,"Matched (manual)","Matched"))</f>
        <v>Matched</v>
      </c>
    </row>
    <row r="140" customFormat="false" ht="15" hidden="false" customHeight="false" outlineLevel="0" collapsed="false">
      <c r="A140" s="6" t="s">
        <v>517</v>
      </c>
      <c r="B140" s="6" t="n">
        <v>2026</v>
      </c>
      <c r="C140" s="16" t="n">
        <v>8</v>
      </c>
      <c r="D140" s="17" t="n">
        <v>1029.7</v>
      </c>
      <c r="E140" s="6" t="n">
        <f aca="false">IFERROR(INDEX('TRANS'!$B:$B,MATCH($A140,'TRANS'!$C:$C,0)),IFERROR(INDEX('TRANS'!$B:$B,MATCH(TRIM(SUBSTITUTE($A140,CHAR(160)," ")),'TRANS'!$E:$E,0)),IFERROR(INDEX('Manual Matches'!$C:$C,MATCH($A140,'Manual Matches'!$B:$B,0)),"")))</f>
        <v>4422006</v>
      </c>
      <c r="F140" s="6" t="str">
        <f aca="false">IF($E140="","Unmatched",IF(COUNTIF('Manual Matches'!$B:$B,$A140)&gt;0,"Matched (manual)","Matched"))</f>
        <v>Matched</v>
      </c>
    </row>
    <row r="141" customFormat="false" ht="15" hidden="false" customHeight="false" outlineLevel="0" collapsed="false">
      <c r="A141" s="6" t="s">
        <v>523</v>
      </c>
      <c r="B141" s="6" t="n">
        <v>2026</v>
      </c>
      <c r="C141" s="16" t="n">
        <v>2</v>
      </c>
      <c r="D141" s="17" t="n">
        <v>257.4</v>
      </c>
      <c r="E141" s="6" t="n">
        <f aca="false">IFERROR(INDEX('TRANS'!$B:$B,MATCH($A141,'TRANS'!$C:$C,0)),IFERROR(INDEX('TRANS'!$B:$B,MATCH(TRIM(SUBSTITUTE($A141,CHAR(160)," ")),'TRANS'!$E:$E,0)),IFERROR(INDEX('Manual Matches'!$C:$C,MATCH($A141,'Manual Matches'!$B:$B,0)),"")))</f>
        <v>4422007</v>
      </c>
      <c r="F141" s="6" t="str">
        <f aca="false">IF($E141="","Unmatched",IF(COUNTIF('Manual Matches'!$B:$B,$A141)&gt;0,"Matched (manual)","Matched"))</f>
        <v>Matched</v>
      </c>
    </row>
    <row r="142" customFormat="false" ht="15" hidden="false" customHeight="false" outlineLevel="0" collapsed="false">
      <c r="A142" s="6" t="s">
        <v>841</v>
      </c>
      <c r="B142" s="6" t="n">
        <v>2026</v>
      </c>
      <c r="C142" s="16" t="n">
        <v>648</v>
      </c>
      <c r="D142" s="17" t="n">
        <v>29484</v>
      </c>
      <c r="E142" s="6" t="n">
        <f aca="false">IFERROR(INDEX('TRANS'!$B:$B,MATCH($A142,'TRANS'!$C:$C,0)),IFERROR(INDEX('TRANS'!$B:$B,MATCH(TRIM(SUBSTITUTE($A142,CHAR(160)," ")),'TRANS'!$E:$E,0)),IFERROR(INDEX('Manual Matches'!$C:$C,MATCH($A142,'Manual Matches'!$B:$B,0)),"")))</f>
        <v>4415158</v>
      </c>
      <c r="F142" s="6" t="str">
        <f aca="false">IF($E142="","Unmatched",IF(COUNTIF('Manual Matches'!$B:$B,$A142)&gt;0,"Matched (manual)","Matched"))</f>
        <v>Matched</v>
      </c>
    </row>
    <row r="143" customFormat="false" ht="15" hidden="false" customHeight="false" outlineLevel="0" collapsed="false">
      <c r="A143" s="6" t="s">
        <v>843</v>
      </c>
      <c r="B143" s="6" t="n">
        <v>2026</v>
      </c>
      <c r="C143" s="16" t="n">
        <v>274</v>
      </c>
      <c r="D143" s="17" t="n">
        <v>21317.2</v>
      </c>
      <c r="E143" s="6" t="n">
        <f aca="false">IFERROR(INDEX('TRANS'!$B:$B,MATCH($A143,'TRANS'!$C:$C,0)),IFERROR(INDEX('TRANS'!$B:$B,MATCH(TRIM(SUBSTITUTE($A143,CHAR(160)," ")),'TRANS'!$E:$E,0)),IFERROR(INDEX('Manual Matches'!$C:$C,MATCH($A143,'Manual Matches'!$B:$B,0)),"")))</f>
        <v>4415159</v>
      </c>
      <c r="F143" s="6" t="str">
        <f aca="false">IF($E143="","Unmatched",IF(COUNTIF('Manual Matches'!$B:$B,$A143)&gt;0,"Matched (manual)","Matched"))</f>
        <v>Matched</v>
      </c>
    </row>
    <row r="144" customFormat="false" ht="15" hidden="false" customHeight="false" outlineLevel="0" collapsed="false">
      <c r="A144" s="6" t="s">
        <v>319</v>
      </c>
      <c r="B144" s="6" t="n">
        <v>2026</v>
      </c>
      <c r="C144" s="16" t="n">
        <v>5</v>
      </c>
      <c r="D144" s="17" t="n">
        <v>325</v>
      </c>
      <c r="E144" s="6" t="n">
        <f aca="false">IFERROR(INDEX('TRANS'!$B:$B,MATCH($A144,'TRANS'!$C:$C,0)),IFERROR(INDEX('TRANS'!$B:$B,MATCH(TRIM(SUBSTITUTE($A144,CHAR(160)," ")),'TRANS'!$E:$E,0)),IFERROR(INDEX('Manual Matches'!$C:$C,MATCH($A144,'Manual Matches'!$B:$B,0)),"")))</f>
        <v>4408219</v>
      </c>
      <c r="F144" s="6" t="str">
        <f aca="false">IF($E144="","Unmatched",IF(COUNTIF('Manual Matches'!$B:$B,$A144)&gt;0,"Matched (manual)","Matched"))</f>
        <v>Matched</v>
      </c>
    </row>
    <row r="145" customFormat="false" ht="15" hidden="false" customHeight="false" outlineLevel="0" collapsed="false">
      <c r="A145" s="6" t="s">
        <v>317</v>
      </c>
      <c r="B145" s="6" t="n">
        <v>2026</v>
      </c>
      <c r="C145" s="16" t="n">
        <v>30</v>
      </c>
      <c r="D145" s="17" t="n">
        <v>1950</v>
      </c>
      <c r="E145" s="6" t="n">
        <f aca="false">IFERROR(INDEX('TRANS'!$B:$B,MATCH($A145,'TRANS'!$C:$C,0)),IFERROR(INDEX('TRANS'!$B:$B,MATCH(TRIM(SUBSTITUTE($A145,CHAR(160)," ")),'TRANS'!$E:$E,0)),IFERROR(INDEX('Manual Matches'!$C:$C,MATCH($A145,'Manual Matches'!$B:$B,0)),"")))</f>
        <v>4408220</v>
      </c>
      <c r="F145" s="6" t="str">
        <f aca="false">IF($E145="","Unmatched",IF(COUNTIF('Manual Matches'!$B:$B,$A145)&gt;0,"Matched (manual)","Matched"))</f>
        <v>Matched</v>
      </c>
    </row>
    <row r="146" customFormat="false" ht="15" hidden="false" customHeight="false" outlineLevel="0" collapsed="false">
      <c r="A146" s="6" t="s">
        <v>315</v>
      </c>
      <c r="B146" s="6" t="n">
        <v>2026</v>
      </c>
      <c r="C146" s="16" t="n">
        <v>102</v>
      </c>
      <c r="D146" s="17" t="n">
        <v>6630</v>
      </c>
      <c r="E146" s="6" t="n">
        <f aca="false">IFERROR(INDEX('TRANS'!$B:$B,MATCH($A146,'TRANS'!$C:$C,0)),IFERROR(INDEX('TRANS'!$B:$B,MATCH(TRIM(SUBSTITUTE($A146,CHAR(160)," ")),'TRANS'!$E:$E,0)),IFERROR(INDEX('Manual Matches'!$C:$C,MATCH($A146,'Manual Matches'!$B:$B,0)),"")))</f>
        <v>4408221</v>
      </c>
      <c r="F146" s="6" t="str">
        <f aca="false">IF($E146="","Unmatched",IF(COUNTIF('Manual Matches'!$B:$B,$A146)&gt;0,"Matched (manual)","Matched"))</f>
        <v>Matched</v>
      </c>
    </row>
    <row r="147" customFormat="false" ht="15" hidden="false" customHeight="false" outlineLevel="0" collapsed="false">
      <c r="A147" s="6" t="s">
        <v>321</v>
      </c>
      <c r="B147" s="6" t="n">
        <v>2026</v>
      </c>
      <c r="C147" s="16" t="n">
        <v>54</v>
      </c>
      <c r="D147" s="17" t="n">
        <v>3510</v>
      </c>
      <c r="E147" s="6" t="n">
        <f aca="false">IFERROR(INDEX('TRANS'!$B:$B,MATCH($A147,'TRANS'!$C:$C,0)),IFERROR(INDEX('TRANS'!$B:$B,MATCH(TRIM(SUBSTITUTE($A147,CHAR(160)," ")),'TRANS'!$E:$E,0)),IFERROR(INDEX('Manual Matches'!$C:$C,MATCH($A147,'Manual Matches'!$B:$B,0)),"")))</f>
        <v>4408222</v>
      </c>
      <c r="F147" s="6" t="str">
        <f aca="false">IF($E147="","Unmatched",IF(COUNTIF('Manual Matches'!$B:$B,$A147)&gt;0,"Matched (manual)","Matched"))</f>
        <v>Matched</v>
      </c>
    </row>
    <row r="148" customFormat="false" ht="15" hidden="false" customHeight="false" outlineLevel="0" collapsed="false">
      <c r="A148" s="6" t="s">
        <v>323</v>
      </c>
      <c r="B148" s="6" t="n">
        <v>2026</v>
      </c>
      <c r="C148" s="16" t="n">
        <v>39</v>
      </c>
      <c r="D148" s="17" t="n">
        <v>2535</v>
      </c>
      <c r="E148" s="6" t="n">
        <f aca="false">IFERROR(INDEX('TRANS'!$B:$B,MATCH($A148,'TRANS'!$C:$C,0)),IFERROR(INDEX('TRANS'!$B:$B,MATCH(TRIM(SUBSTITUTE($A148,CHAR(160)," ")),'TRANS'!$E:$E,0)),IFERROR(INDEX('Manual Matches'!$C:$C,MATCH($A148,'Manual Matches'!$B:$B,0)),"")))</f>
        <v>4408223</v>
      </c>
      <c r="F148" s="6" t="str">
        <f aca="false">IF($E148="","Unmatched",IF(COUNTIF('Manual Matches'!$B:$B,$A148)&gt;0,"Matched (manual)","Matched"))</f>
        <v>Matched</v>
      </c>
    </row>
    <row r="149" customFormat="false" ht="15" hidden="false" customHeight="false" outlineLevel="0" collapsed="false">
      <c r="A149" s="6" t="s">
        <v>399</v>
      </c>
      <c r="B149" s="6" t="n">
        <v>2026</v>
      </c>
      <c r="C149" s="16" t="n">
        <v>31</v>
      </c>
      <c r="D149" s="17" t="n">
        <v>2411.8</v>
      </c>
      <c r="E149" s="6" t="n">
        <f aca="false">IFERROR(INDEX('TRANS'!$B:$B,MATCH($A149,'TRANS'!$C:$C,0)),IFERROR(INDEX('TRANS'!$B:$B,MATCH(TRIM(SUBSTITUTE($A149,CHAR(160)," ")),'TRANS'!$E:$E,0)),IFERROR(INDEX('Manual Matches'!$C:$C,MATCH($A149,'Manual Matches'!$B:$B,0)),"")))</f>
        <v>4408230</v>
      </c>
      <c r="F149" s="6" t="str">
        <f aca="false">IF($E149="","Unmatched",IF(COUNTIF('Manual Matches'!$B:$B,$A149)&gt;0,"Matched (manual)","Matched"))</f>
        <v>Matched</v>
      </c>
    </row>
    <row r="150" customFormat="false" ht="15" hidden="false" customHeight="false" outlineLevel="0" collapsed="false">
      <c r="A150" s="6" t="s">
        <v>401</v>
      </c>
      <c r="B150" s="6" t="n">
        <v>2026</v>
      </c>
      <c r="C150" s="16" t="n">
        <v>17</v>
      </c>
      <c r="D150" s="17" t="n">
        <v>1322.6</v>
      </c>
      <c r="E150" s="6" t="n">
        <f aca="false">IFERROR(INDEX('TRANS'!$B:$B,MATCH($A150,'TRANS'!$C:$C,0)),IFERROR(INDEX('TRANS'!$B:$B,MATCH(TRIM(SUBSTITUTE($A150,CHAR(160)," ")),'TRANS'!$E:$E,0)),IFERROR(INDEX('Manual Matches'!$C:$C,MATCH($A150,'Manual Matches'!$B:$B,0)),"")))</f>
        <v>4408231</v>
      </c>
      <c r="F150" s="6" t="str">
        <f aca="false">IF($E150="","Unmatched",IF(COUNTIF('Manual Matches'!$B:$B,$A150)&gt;0,"Matched (manual)","Matched"))</f>
        <v>Matched</v>
      </c>
    </row>
    <row r="151" customFormat="false" ht="15" hidden="false" customHeight="false" outlineLevel="0" collapsed="false">
      <c r="A151" s="6" t="s">
        <v>403</v>
      </c>
      <c r="B151" s="6" t="n">
        <v>2026</v>
      </c>
      <c r="C151" s="16" t="n">
        <v>2</v>
      </c>
      <c r="D151" s="17" t="n">
        <v>155.6</v>
      </c>
      <c r="E151" s="6" t="n">
        <f aca="false">IFERROR(INDEX('TRANS'!$B:$B,MATCH($A151,'TRANS'!$C:$C,0)),IFERROR(INDEX('TRANS'!$B:$B,MATCH(TRIM(SUBSTITUTE($A151,CHAR(160)," ")),'TRANS'!$E:$E,0)),IFERROR(INDEX('Manual Matches'!$C:$C,MATCH($A151,'Manual Matches'!$B:$B,0)),"")))</f>
        <v>4408232</v>
      </c>
      <c r="F151" s="6" t="str">
        <f aca="false">IF($E151="","Unmatched",IF(COUNTIF('Manual Matches'!$B:$B,$A151)&gt;0,"Matched (manual)","Matched"))</f>
        <v>Matched</v>
      </c>
    </row>
    <row r="152" customFormat="false" ht="15" hidden="false" customHeight="false" outlineLevel="0" collapsed="false">
      <c r="A152" s="6" t="s">
        <v>457</v>
      </c>
      <c r="B152" s="6" t="n">
        <v>2026</v>
      </c>
      <c r="C152" s="16" t="n">
        <v>31</v>
      </c>
      <c r="D152" s="17" t="n">
        <v>775</v>
      </c>
      <c r="E152" s="6" t="n">
        <f aca="false">IFERROR(INDEX('TRANS'!$B:$B,MATCH($A152,'TRANS'!$C:$C,0)),IFERROR(INDEX('TRANS'!$B:$B,MATCH(TRIM(SUBSTITUTE($A152,CHAR(160)," ")),'TRANS'!$E:$E,0)),IFERROR(INDEX('Manual Matches'!$C:$C,MATCH($A152,'Manual Matches'!$B:$B,0)),"")))</f>
        <v>4409014</v>
      </c>
      <c r="F152" s="6" t="str">
        <f aca="false">IF($E152="","Unmatched",IF(COUNTIF('Manual Matches'!$B:$B,$A152)&gt;0,"Matched (manual)","Matched"))</f>
        <v>Matched</v>
      </c>
    </row>
    <row r="153" customFormat="false" ht="15" hidden="false" customHeight="false" outlineLevel="0" collapsed="false">
      <c r="A153" s="6" t="s">
        <v>453</v>
      </c>
      <c r="B153" s="6" t="n">
        <v>2026</v>
      </c>
      <c r="C153" s="16" t="n">
        <v>35</v>
      </c>
      <c r="D153" s="17" t="n">
        <v>875</v>
      </c>
      <c r="E153" s="6" t="n">
        <f aca="false">IFERROR(INDEX('TRANS'!$B:$B,MATCH($A153,'TRANS'!$C:$C,0)),IFERROR(INDEX('TRANS'!$B:$B,MATCH(TRIM(SUBSTITUTE($A153,CHAR(160)," ")),'TRANS'!$E:$E,0)),IFERROR(INDEX('Manual Matches'!$C:$C,MATCH($A153,'Manual Matches'!$B:$B,0)),"")))</f>
        <v>4409015</v>
      </c>
      <c r="F153" s="6" t="str">
        <f aca="false">IF($E153="","Unmatched",IF(COUNTIF('Manual Matches'!$B:$B,$A153)&gt;0,"Matched (manual)","Matched"))</f>
        <v>Matched</v>
      </c>
    </row>
    <row r="154" customFormat="false" ht="15" hidden="false" customHeight="false" outlineLevel="0" collapsed="false">
      <c r="A154" s="6" t="s">
        <v>455</v>
      </c>
      <c r="B154" s="6" t="n">
        <v>2026</v>
      </c>
      <c r="C154" s="16" t="n">
        <v>57</v>
      </c>
      <c r="D154" s="17" t="n">
        <v>1425</v>
      </c>
      <c r="E154" s="6" t="n">
        <f aca="false">IFERROR(INDEX('TRANS'!$B:$B,MATCH($A154,'TRANS'!$C:$C,0)),IFERROR(INDEX('TRANS'!$B:$B,MATCH(TRIM(SUBSTITUTE($A154,CHAR(160)," ")),'TRANS'!$E:$E,0)),IFERROR(INDEX('Manual Matches'!$C:$C,MATCH($A154,'Manual Matches'!$B:$B,0)),"")))</f>
        <v>4409016</v>
      </c>
      <c r="F154" s="6" t="str">
        <f aca="false">IF($E154="","Unmatched",IF(COUNTIF('Manual Matches'!$B:$B,$A154)&gt;0,"Matched (manual)","Matched"))</f>
        <v>Matched</v>
      </c>
    </row>
    <row r="155" customFormat="false" ht="15" hidden="false" customHeight="false" outlineLevel="0" collapsed="false">
      <c r="A155" s="6" t="s">
        <v>451</v>
      </c>
      <c r="B155" s="6" t="n">
        <v>2026</v>
      </c>
      <c r="C155" s="16" t="n">
        <v>60</v>
      </c>
      <c r="D155" s="17" t="n">
        <v>1500</v>
      </c>
      <c r="E155" s="6" t="n">
        <f aca="false">IFERROR(INDEX('TRANS'!$B:$B,MATCH($A155,'TRANS'!$C:$C,0)),IFERROR(INDEX('TRANS'!$B:$B,MATCH(TRIM(SUBSTITUTE($A155,CHAR(160)," ")),'TRANS'!$E:$E,0)),IFERROR(INDEX('Manual Matches'!$C:$C,MATCH($A155,'Manual Matches'!$B:$B,0)),"")))</f>
        <v>4409017</v>
      </c>
      <c r="F155" s="6" t="str">
        <f aca="false">IF($E155="","Unmatched",IF(COUNTIF('Manual Matches'!$B:$B,$A155)&gt;0,"Matched (manual)","Matched"))</f>
        <v>Matched</v>
      </c>
    </row>
    <row r="156" customFormat="false" ht="15" hidden="false" customHeight="false" outlineLevel="0" collapsed="false">
      <c r="A156" s="6" t="s">
        <v>703</v>
      </c>
      <c r="B156" s="6" t="n">
        <v>2026</v>
      </c>
      <c r="C156" s="16" t="n">
        <v>38</v>
      </c>
      <c r="D156" s="17" t="n">
        <v>2404.3</v>
      </c>
      <c r="E156" s="6" t="n">
        <f aca="false">IFERROR(INDEX('TRANS'!$B:$B,MATCH($A156,'TRANS'!$C:$C,0)),IFERROR(INDEX('TRANS'!$B:$B,MATCH(TRIM(SUBSTITUTE($A156,CHAR(160)," ")),'TRANS'!$E:$E,0)),IFERROR(INDEX('Manual Matches'!$C:$C,MATCH($A156,'Manual Matches'!$B:$B,0)),"")))</f>
        <v>4411016</v>
      </c>
      <c r="F156" s="6" t="str">
        <f aca="false">IF($E156="","Unmatched",IF(COUNTIF('Manual Matches'!$B:$B,$A156)&gt;0,"Matched (manual)","Matched"))</f>
        <v>Matched</v>
      </c>
    </row>
    <row r="157" customFormat="false" ht="15" hidden="false" customHeight="false" outlineLevel="0" collapsed="false">
      <c r="A157" s="6" t="s">
        <v>547</v>
      </c>
      <c r="B157" s="6" t="n">
        <v>2026</v>
      </c>
      <c r="C157" s="16" t="n">
        <v>77</v>
      </c>
      <c r="D157" s="17" t="n">
        <v>3636.7</v>
      </c>
      <c r="E157" s="6" t="n">
        <f aca="false">IFERROR(INDEX('TRANS'!$B:$B,MATCH($A157,'TRANS'!$C:$C,0)),IFERROR(INDEX('TRANS'!$B:$B,MATCH(TRIM(SUBSTITUTE($A157,CHAR(160)," ")),'TRANS'!$E:$E,0)),IFERROR(INDEX('Manual Matches'!$C:$C,MATCH($A157,'Manual Matches'!$B:$B,0)),"")))</f>
        <v>4413348</v>
      </c>
      <c r="F157" s="6" t="str">
        <f aca="false">IF($E157="","Unmatched",IF(COUNTIF('Manual Matches'!$B:$B,$A157)&gt;0,"Matched (manual)","Matched"))</f>
        <v>Matched</v>
      </c>
    </row>
    <row r="158" customFormat="false" ht="15" hidden="false" customHeight="false" outlineLevel="0" collapsed="false">
      <c r="A158" s="6" t="s">
        <v>743</v>
      </c>
      <c r="B158" s="6" t="n">
        <v>2026</v>
      </c>
      <c r="C158" s="16" t="n">
        <v>81</v>
      </c>
      <c r="D158" s="17" t="n">
        <v>2231.6</v>
      </c>
      <c r="E158" s="6" t="n">
        <f aca="false">IFERROR(INDEX('TRANS'!$B:$B,MATCH($A158,'TRANS'!$C:$C,0)),IFERROR(INDEX('TRANS'!$B:$B,MATCH(TRIM(SUBSTITUTE($A158,CHAR(160)," ")),'TRANS'!$E:$E,0)),IFERROR(INDEX('Manual Matches'!$C:$C,MATCH($A158,'Manual Matches'!$B:$B,0)),"")))</f>
        <v>4413370</v>
      </c>
      <c r="F158" s="6" t="str">
        <f aca="false">IF($E158="","Unmatched",IF(COUNTIF('Manual Matches'!$B:$B,$A158)&gt;0,"Matched (manual)","Matched"))</f>
        <v>Matched</v>
      </c>
    </row>
    <row r="159" customFormat="false" ht="15" hidden="false" customHeight="false" outlineLevel="0" collapsed="false">
      <c r="A159" s="6" t="s">
        <v>745</v>
      </c>
      <c r="B159" s="6" t="n">
        <v>2026</v>
      </c>
      <c r="C159" s="16" t="n">
        <v>41</v>
      </c>
      <c r="D159" s="17" t="n">
        <v>829.8</v>
      </c>
      <c r="E159" s="6" t="n">
        <f aca="false">IFERROR(INDEX('TRANS'!$B:$B,MATCH($A159,'TRANS'!$C:$C,0)),IFERROR(INDEX('TRANS'!$B:$B,MATCH(TRIM(SUBSTITUTE($A159,CHAR(160)," ")),'TRANS'!$E:$E,0)),IFERROR(INDEX('Manual Matches'!$C:$C,MATCH($A159,'Manual Matches'!$B:$B,0)),"")))</f>
        <v>4413371</v>
      </c>
      <c r="F159" s="6" t="str">
        <f aca="false">IF($E159="","Unmatched",IF(COUNTIF('Manual Matches'!$B:$B,$A159)&gt;0,"Matched (manual)","Matched"))</f>
        <v>Matched</v>
      </c>
    </row>
    <row r="160" customFormat="false" ht="15" hidden="false" customHeight="false" outlineLevel="0" collapsed="false">
      <c r="A160" s="6" t="s">
        <v>545</v>
      </c>
      <c r="B160" s="6" t="n">
        <v>2026</v>
      </c>
      <c r="C160" s="16" t="n">
        <v>65</v>
      </c>
      <c r="D160" s="17" t="n">
        <v>3070</v>
      </c>
      <c r="E160" s="6" t="n">
        <f aca="false">IFERROR(INDEX('TRANS'!$B:$B,MATCH($A160,'TRANS'!$C:$C,0)),IFERROR(INDEX('TRANS'!$B:$B,MATCH(TRIM(SUBSTITUTE($A160,CHAR(160)," ")),'TRANS'!$E:$E,0)),IFERROR(INDEX('Manual Matches'!$C:$C,MATCH($A160,'Manual Matches'!$B:$B,0)),"")))</f>
        <v>4413372</v>
      </c>
      <c r="F160" s="6" t="str">
        <f aca="false">IF($E160="","Unmatched",IF(COUNTIF('Manual Matches'!$B:$B,$A160)&gt;0,"Matched (manual)","Matched"))</f>
        <v>Matched</v>
      </c>
    </row>
    <row r="161" customFormat="false" ht="15" hidden="false" customHeight="false" outlineLevel="0" collapsed="false">
      <c r="A161" s="6" t="s">
        <v>375</v>
      </c>
      <c r="B161" s="6" t="n">
        <v>2026</v>
      </c>
      <c r="C161" s="16" t="n">
        <v>2</v>
      </c>
      <c r="D161" s="17" t="n">
        <v>227.2</v>
      </c>
      <c r="E161" s="6" t="n">
        <f aca="false">IFERROR(INDEX('TRANS'!$B:$B,MATCH($A161,'TRANS'!$C:$C,0)),IFERROR(INDEX('TRANS'!$B:$B,MATCH(TRIM(SUBSTITUTE($A161,CHAR(160)," ")),'TRANS'!$E:$E,0)),IFERROR(INDEX('Manual Matches'!$C:$C,MATCH($A161,'Manual Matches'!$B:$B,0)),"")))</f>
        <v>4408259</v>
      </c>
      <c r="F161" s="6" t="str">
        <f aca="false">IF($E161="","Unmatched",IF(COUNTIF('Manual Matches'!$B:$B,$A161)&gt;0,"Matched (manual)","Matched"))</f>
        <v>Matched</v>
      </c>
    </row>
    <row r="162" customFormat="false" ht="15" hidden="false" customHeight="false" outlineLevel="0" collapsed="false">
      <c r="A162" s="6" t="s">
        <v>373</v>
      </c>
      <c r="B162" s="6" t="n">
        <v>2026</v>
      </c>
      <c r="C162" s="16" t="n">
        <v>1</v>
      </c>
      <c r="D162" s="17" t="n">
        <v>113.6</v>
      </c>
      <c r="E162" s="6" t="n">
        <f aca="false">IFERROR(INDEX('TRANS'!$B:$B,MATCH($A162,'TRANS'!$C:$C,0)),IFERROR(INDEX('TRANS'!$B:$B,MATCH(TRIM(SUBSTITUTE($A162,CHAR(160)," ")),'TRANS'!$E:$E,0)),IFERROR(INDEX('Manual Matches'!$C:$C,MATCH($A162,'Manual Matches'!$B:$B,0)),"")))</f>
        <v>4408260</v>
      </c>
      <c r="F162" s="6" t="str">
        <f aca="false">IF($E162="","Unmatched",IF(COUNTIF('Manual Matches'!$B:$B,$A162)&gt;0,"Matched (manual)","Matched"))</f>
        <v>Matched</v>
      </c>
    </row>
    <row r="163" customFormat="false" ht="15" hidden="false" customHeight="false" outlineLevel="0" collapsed="false">
      <c r="A163" s="6" t="s">
        <v>371</v>
      </c>
      <c r="B163" s="6" t="n">
        <v>2026</v>
      </c>
      <c r="C163" s="16" t="n">
        <v>1</v>
      </c>
      <c r="D163" s="17" t="n">
        <v>113.6</v>
      </c>
      <c r="E163" s="6" t="n">
        <f aca="false">IFERROR(INDEX('TRANS'!$B:$B,MATCH($A163,'TRANS'!$C:$C,0)),IFERROR(INDEX('TRANS'!$B:$B,MATCH(TRIM(SUBSTITUTE($A163,CHAR(160)," ")),'TRANS'!$E:$E,0)),IFERROR(INDEX('Manual Matches'!$C:$C,MATCH($A163,'Manual Matches'!$B:$B,0)),"")))</f>
        <v>4408261</v>
      </c>
      <c r="F163" s="6" t="str">
        <f aca="false">IF($E163="","Unmatched",IF(COUNTIF('Manual Matches'!$B:$B,$A163)&gt;0,"Matched (manual)","Matched"))</f>
        <v>Matched</v>
      </c>
    </row>
    <row r="164" customFormat="false" ht="15" hidden="false" customHeight="false" outlineLevel="0" collapsed="false">
      <c r="A164" s="6" t="s">
        <v>377</v>
      </c>
      <c r="B164" s="6" t="n">
        <v>2026</v>
      </c>
      <c r="C164" s="16" t="n">
        <v>4</v>
      </c>
      <c r="D164" s="17" t="n">
        <v>454.3</v>
      </c>
      <c r="E164" s="6" t="n">
        <f aca="false">IFERROR(INDEX('TRANS'!$B:$B,MATCH($A164,'TRANS'!$C:$C,0)),IFERROR(INDEX('TRANS'!$B:$B,MATCH(TRIM(SUBSTITUTE($A164,CHAR(160)," ")),'TRANS'!$E:$E,0)),IFERROR(INDEX('Manual Matches'!$C:$C,MATCH($A164,'Manual Matches'!$B:$B,0)),"")))</f>
        <v>4408262</v>
      </c>
      <c r="F164" s="6" t="str">
        <f aca="false">IF($E164="","Unmatched",IF(COUNTIF('Manual Matches'!$B:$B,$A164)&gt;0,"Matched (manual)","Matched"))</f>
        <v>Matched</v>
      </c>
    </row>
    <row r="165" customFormat="false" ht="15" hidden="false" customHeight="false" outlineLevel="0" collapsed="false">
      <c r="A165" s="6" t="s">
        <v>379</v>
      </c>
      <c r="B165" s="6" t="n">
        <v>2026</v>
      </c>
      <c r="C165" s="16" t="n">
        <v>1</v>
      </c>
      <c r="D165" s="17" t="n">
        <v>113.6</v>
      </c>
      <c r="E165" s="6" t="n">
        <f aca="false">IFERROR(INDEX('TRANS'!$B:$B,MATCH($A165,'TRANS'!$C:$C,0)),IFERROR(INDEX('TRANS'!$B:$B,MATCH(TRIM(SUBSTITUTE($A165,CHAR(160)," ")),'TRANS'!$E:$E,0)),IFERROR(INDEX('Manual Matches'!$C:$C,MATCH($A165,'Manual Matches'!$B:$B,0)),"")))</f>
        <v>4408263</v>
      </c>
      <c r="F165" s="6" t="str">
        <f aca="false">IF($E165="","Unmatched",IF(COUNTIF('Manual Matches'!$B:$B,$A165)&gt;0,"Matched (manual)","Matched"))</f>
        <v>Matched</v>
      </c>
    </row>
    <row r="166" customFormat="false" ht="15" hidden="false" customHeight="false" outlineLevel="0" collapsed="false">
      <c r="A166" s="6" t="s">
        <v>463</v>
      </c>
      <c r="B166" s="6" t="n">
        <v>2026</v>
      </c>
      <c r="C166" s="16" t="n">
        <v>6</v>
      </c>
      <c r="D166" s="17" t="n">
        <v>66</v>
      </c>
      <c r="E166" s="6" t="n">
        <f aca="false">IFERROR(INDEX('TRANS'!$B:$B,MATCH($A166,'TRANS'!$C:$C,0)),IFERROR(INDEX('TRANS'!$B:$B,MATCH(TRIM(SUBSTITUTE($A166,CHAR(160)," ")),'TRANS'!$E:$E,0)),IFERROR(INDEX('Manual Matches'!$C:$C,MATCH($A166,'Manual Matches'!$B:$B,0)),"")))</f>
        <v>4419014</v>
      </c>
      <c r="F166" s="6" t="str">
        <f aca="false">IF($E166="","Unmatched",IF(COUNTIF('Manual Matches'!$B:$B,$A166)&gt;0,"Matched (manual)","Matched"))</f>
        <v>Matched</v>
      </c>
    </row>
    <row r="167" customFormat="false" ht="15" hidden="false" customHeight="false" outlineLevel="0" collapsed="false">
      <c r="A167" s="6" t="s">
        <v>477</v>
      </c>
      <c r="B167" s="6" t="n">
        <v>2026</v>
      </c>
      <c r="C167" s="16" t="n">
        <v>156</v>
      </c>
      <c r="D167" s="17" t="n">
        <v>2308.8</v>
      </c>
      <c r="E167" s="6" t="n">
        <f aca="false">IFERROR(INDEX('TRANS'!$B:$B,MATCH($A167,'TRANS'!$C:$C,0)),IFERROR(INDEX('TRANS'!$B:$B,MATCH(TRIM(SUBSTITUTE($A167,CHAR(160)," ")),'TRANS'!$E:$E,0)),IFERROR(INDEX('Manual Matches'!$C:$C,MATCH($A167,'Manual Matches'!$B:$B,0)),"")))</f>
        <v>4422035</v>
      </c>
      <c r="F167" s="6" t="str">
        <f aca="false">IF($E167="","Unmatched",IF(COUNTIF('Manual Matches'!$B:$B,$A167)&gt;0,"Matched (manual)","Matched"))</f>
        <v>Matched</v>
      </c>
    </row>
    <row r="168" customFormat="false" ht="15" hidden="false" customHeight="false" outlineLevel="0" collapsed="false">
      <c r="A168" s="6" t="s">
        <v>291</v>
      </c>
      <c r="B168" s="6" t="n">
        <v>2026</v>
      </c>
      <c r="C168" s="16" t="n">
        <v>102</v>
      </c>
      <c r="D168" s="17" t="n">
        <v>4264.6</v>
      </c>
      <c r="E168" s="6" t="n">
        <f aca="false">IFERROR(INDEX('TRANS'!$B:$B,MATCH($A168,'TRANS'!$C:$C,0)),IFERROR(INDEX('TRANS'!$B:$B,MATCH(TRIM(SUBSTITUTE($A168,CHAR(160)," ")),'TRANS'!$E:$E,0)),IFERROR(INDEX('Manual Matches'!$C:$C,MATCH($A168,'Manual Matches'!$B:$B,0)),"")))</f>
        <v>4403041</v>
      </c>
      <c r="F168" s="6" t="str">
        <f aca="false">IF($E168="","Unmatched",IF(COUNTIF('Manual Matches'!$B:$B,$A168)&gt;0,"Matched (manual)","Matched"))</f>
        <v>Matched</v>
      </c>
    </row>
    <row r="169" customFormat="false" ht="15" hidden="false" customHeight="false" outlineLevel="0" collapsed="false">
      <c r="A169" s="6" t="s">
        <v>293</v>
      </c>
      <c r="B169" s="6" t="n">
        <v>2026</v>
      </c>
      <c r="C169" s="16" t="n">
        <v>147</v>
      </c>
      <c r="D169" s="17" t="n">
        <v>6146.1</v>
      </c>
      <c r="E169" s="6" t="n">
        <f aca="false">IFERROR(INDEX('TRANS'!$B:$B,MATCH($A169,'TRANS'!$C:$C,0)),IFERROR(INDEX('TRANS'!$B:$B,MATCH(TRIM(SUBSTITUTE($A169,CHAR(160)," ")),'TRANS'!$E:$E,0)),IFERROR(INDEX('Manual Matches'!$C:$C,MATCH($A169,'Manual Matches'!$B:$B,0)),"")))</f>
        <v>4403042</v>
      </c>
      <c r="F169" s="6" t="str">
        <f aca="false">IF($E169="","Unmatched",IF(COUNTIF('Manual Matches'!$B:$B,$A169)&gt;0,"Matched (manual)","Matched"))</f>
        <v>Matched</v>
      </c>
    </row>
    <row r="170" customFormat="false" ht="15" hidden="false" customHeight="false" outlineLevel="0" collapsed="false">
      <c r="A170" s="6" t="s">
        <v>295</v>
      </c>
      <c r="B170" s="6" t="n">
        <v>2026</v>
      </c>
      <c r="C170" s="16" t="n">
        <v>167</v>
      </c>
      <c r="D170" s="17" t="n">
        <v>6605.9</v>
      </c>
      <c r="E170" s="6" t="n">
        <f aca="false">IFERROR(INDEX('TRANS'!$B:$B,MATCH($A170,'TRANS'!$C:$C,0)),IFERROR(INDEX('TRANS'!$B:$B,MATCH(TRIM(SUBSTITUTE($A170,CHAR(160)," ")),'TRANS'!$E:$E,0)),IFERROR(INDEX('Manual Matches'!$C:$C,MATCH($A170,'Manual Matches'!$B:$B,0)),"")))</f>
        <v>4403043</v>
      </c>
      <c r="F170" s="6" t="str">
        <f aca="false">IF($E170="","Unmatched",IF(COUNTIF('Manual Matches'!$B:$B,$A170)&gt;0,"Matched (manual)","Matched"))</f>
        <v>Matched</v>
      </c>
    </row>
    <row r="171" customFormat="false" ht="15" hidden="false" customHeight="false" outlineLevel="0" collapsed="false">
      <c r="A171" s="6" t="s">
        <v>859</v>
      </c>
      <c r="B171" s="6" t="n">
        <v>2026</v>
      </c>
      <c r="C171" s="16" t="n">
        <v>327</v>
      </c>
      <c r="D171" s="17" t="n">
        <v>5739.6</v>
      </c>
      <c r="E171" s="6" t="n">
        <f aca="false">IFERROR(INDEX('TRANS'!$B:$B,MATCH($A171,'TRANS'!$C:$C,0)),IFERROR(INDEX('TRANS'!$B:$B,MATCH(TRIM(SUBSTITUTE($A171,CHAR(160)," ")),'TRANS'!$E:$E,0)),IFERROR(INDEX('Manual Matches'!$C:$C,MATCH($A171,'Manual Matches'!$B:$B,0)),"")))</f>
        <v>4408267</v>
      </c>
      <c r="F171" s="6" t="str">
        <f aca="false">IF($E171="","Unmatched",IF(COUNTIF('Manual Matches'!$B:$B,$A171)&gt;0,"Matched (manual)","Matched"))</f>
        <v>Matched</v>
      </c>
    </row>
    <row r="172" customFormat="false" ht="15" hidden="false" customHeight="false" outlineLevel="0" collapsed="false">
      <c r="A172" s="6" t="s">
        <v>857</v>
      </c>
      <c r="B172" s="6" t="n">
        <v>2026</v>
      </c>
      <c r="C172" s="16" t="n">
        <v>72</v>
      </c>
      <c r="D172" s="17" t="n">
        <v>1133</v>
      </c>
      <c r="E172" s="6" t="n">
        <f aca="false">IFERROR(INDEX('TRANS'!$B:$B,MATCH($A172,'TRANS'!$C:$C,0)),IFERROR(INDEX('TRANS'!$B:$B,MATCH(TRIM(SUBSTITUTE($A172,CHAR(160)," ")),'TRANS'!$E:$E,0)),IFERROR(INDEX('Manual Matches'!$C:$C,MATCH($A172,'Manual Matches'!$B:$B,0)),"")))</f>
        <v>4408268</v>
      </c>
      <c r="F172" s="6" t="str">
        <f aca="false">IF($E172="","Unmatched",IF(COUNTIF('Manual Matches'!$B:$B,$A172)&gt;0,"Matched (manual)","Matched"))</f>
        <v>Matched</v>
      </c>
    </row>
    <row r="173" customFormat="false" ht="15" hidden="false" customHeight="false" outlineLevel="0" collapsed="false">
      <c r="A173" s="6" t="s">
        <v>961</v>
      </c>
      <c r="B173" s="6" t="n">
        <v>2026</v>
      </c>
      <c r="C173" s="16" t="n">
        <v>97</v>
      </c>
      <c r="D173" s="17" t="n">
        <v>1989.8</v>
      </c>
      <c r="E173" s="6" t="n">
        <f aca="false">IFERROR(INDEX('TRANS'!$B:$B,MATCH($A173,'TRANS'!$C:$C,0)),IFERROR(INDEX('TRANS'!$B:$B,MATCH(TRIM(SUBSTITUTE($A173,CHAR(160)," ")),'TRANS'!$E:$E,0)),IFERROR(INDEX('Manual Matches'!$C:$C,MATCH($A173,'Manual Matches'!$B:$B,0)),"")))</f>
        <v>4408269</v>
      </c>
      <c r="F173" s="6" t="str">
        <f aca="false">IF($E173="","Unmatched",IF(COUNTIF('Manual Matches'!$B:$B,$A173)&gt;0,"Matched (manual)","Matched"))</f>
        <v>Matched</v>
      </c>
    </row>
    <row r="174" customFormat="false" ht="15" hidden="false" customHeight="false" outlineLevel="0" collapsed="false">
      <c r="A174" s="6" t="s">
        <v>423</v>
      </c>
      <c r="B174" s="6" t="n">
        <v>2026</v>
      </c>
      <c r="C174" s="16" t="n">
        <v>5</v>
      </c>
      <c r="D174" s="17" t="n">
        <v>171</v>
      </c>
      <c r="E174" s="6" t="n">
        <f aca="false">IFERROR(INDEX('TRANS'!$B:$B,MATCH($A174,'TRANS'!$C:$C,0)),IFERROR(INDEX('TRANS'!$B:$B,MATCH(TRIM(SUBSTITUTE($A174,CHAR(160)," ")),'TRANS'!$E:$E,0)),IFERROR(INDEX('Manual Matches'!$C:$C,MATCH($A174,'Manual Matches'!$B:$B,0)),"")))</f>
        <v>4408270</v>
      </c>
      <c r="F174" s="6" t="str">
        <f aca="false">IF($E174="","Unmatched",IF(COUNTIF('Manual Matches'!$B:$B,$A174)&gt;0,"Matched (manual)","Matched"))</f>
        <v>Matched</v>
      </c>
    </row>
    <row r="175" customFormat="false" ht="15" hidden="false" customHeight="false" outlineLevel="0" collapsed="false">
      <c r="A175" s="6" t="s">
        <v>411</v>
      </c>
      <c r="B175" s="6" t="n">
        <v>2026</v>
      </c>
      <c r="C175" s="16" t="n">
        <v>8</v>
      </c>
      <c r="D175" s="17" t="n">
        <v>1672</v>
      </c>
      <c r="E175" s="6" t="n">
        <f aca="false">IFERROR(INDEX('TRANS'!$B:$B,MATCH($A175,'TRANS'!$C:$C,0)),IFERROR(INDEX('TRANS'!$B:$B,MATCH(TRIM(SUBSTITUTE($A175,CHAR(160)," ")),'TRANS'!$E:$E,0)),IFERROR(INDEX('Manual Matches'!$C:$C,MATCH($A175,'Manual Matches'!$B:$B,0)),"")))</f>
        <v>4408271</v>
      </c>
      <c r="F175" s="6" t="str">
        <f aca="false">IF($E175="","Unmatched",IF(COUNTIF('Manual Matches'!$B:$B,$A175)&gt;0,"Matched (manual)","Matched"))</f>
        <v>Matched</v>
      </c>
    </row>
    <row r="176" customFormat="false" ht="15" hidden="false" customHeight="false" outlineLevel="0" collapsed="false">
      <c r="A176" s="6" t="s">
        <v>409</v>
      </c>
      <c r="B176" s="6" t="n">
        <v>2026</v>
      </c>
      <c r="C176" s="16" t="n">
        <v>2</v>
      </c>
      <c r="D176" s="17" t="n">
        <v>431</v>
      </c>
      <c r="E176" s="6" t="n">
        <f aca="false">IFERROR(INDEX('TRANS'!$B:$B,MATCH($A176,'TRANS'!$C:$C,0)),IFERROR(INDEX('TRANS'!$B:$B,MATCH(TRIM(SUBSTITUTE($A176,CHAR(160)," ")),'TRANS'!$E:$E,0)),IFERROR(INDEX('Manual Matches'!$C:$C,MATCH($A176,'Manual Matches'!$B:$B,0)),"")))</f>
        <v>4408272</v>
      </c>
      <c r="F176" s="6" t="str">
        <f aca="false">IF($E176="","Unmatched",IF(COUNTIF('Manual Matches'!$B:$B,$A176)&gt;0,"Matched (manual)","Matched"))</f>
        <v>Matched</v>
      </c>
    </row>
    <row r="177" customFormat="false" ht="15" hidden="false" customHeight="false" outlineLevel="0" collapsed="false">
      <c r="A177" s="6" t="s">
        <v>407</v>
      </c>
      <c r="B177" s="6" t="n">
        <v>2026</v>
      </c>
      <c r="C177" s="16" t="n">
        <v>1</v>
      </c>
      <c r="D177" s="17" t="n">
        <v>222</v>
      </c>
      <c r="E177" s="6" t="n">
        <f aca="false">IFERROR(INDEX('TRANS'!$B:$B,MATCH($A177,'TRANS'!$C:$C,0)),IFERROR(INDEX('TRANS'!$B:$B,MATCH(TRIM(SUBSTITUTE($A177,CHAR(160)," ")),'TRANS'!$E:$E,0)),IFERROR(INDEX('Manual Matches'!$C:$C,MATCH($A177,'Manual Matches'!$B:$B,0)),"")))</f>
        <v>4408273</v>
      </c>
      <c r="F177" s="6" t="str">
        <f aca="false">IF($E177="","Unmatched",IF(COUNTIF('Manual Matches'!$B:$B,$A177)&gt;0,"Matched (manual)","Matched"))</f>
        <v>Matched</v>
      </c>
    </row>
    <row r="178" customFormat="false" ht="15" hidden="false" customHeight="false" outlineLevel="0" collapsed="false">
      <c r="A178" s="6" t="s">
        <v>405</v>
      </c>
      <c r="B178" s="6" t="n">
        <v>2026</v>
      </c>
      <c r="C178" s="16" t="n">
        <v>1</v>
      </c>
      <c r="D178" s="17" t="n">
        <v>222</v>
      </c>
      <c r="E178" s="6" t="n">
        <f aca="false">IFERROR(INDEX('TRANS'!$B:$B,MATCH($A178,'TRANS'!$C:$C,0)),IFERROR(INDEX('TRANS'!$B:$B,MATCH(TRIM(SUBSTITUTE($A178,CHAR(160)," ")),'TRANS'!$E:$E,0)),IFERROR(INDEX('Manual Matches'!$C:$C,MATCH($A178,'Manual Matches'!$B:$B,0)),"")))</f>
        <v>4408274</v>
      </c>
      <c r="F178" s="6" t="str">
        <f aca="false">IF($E178="","Unmatched",IF(COUNTIF('Manual Matches'!$B:$B,$A178)&gt;0,"Matched (manual)","Matched"))</f>
        <v>Matched</v>
      </c>
    </row>
    <row r="179" customFormat="false" ht="15" hidden="false" customHeight="false" outlineLevel="0" collapsed="false">
      <c r="A179" s="6" t="s">
        <v>815</v>
      </c>
      <c r="B179" s="6" t="n">
        <v>2026</v>
      </c>
      <c r="C179" s="16" t="n">
        <v>6</v>
      </c>
      <c r="D179" s="17" t="n">
        <v>426</v>
      </c>
      <c r="E179" s="6" t="n">
        <f aca="false">IFERROR(INDEX('TRANS'!$B:$B,MATCH($A179,'TRANS'!$C:$C,0)),IFERROR(INDEX('TRANS'!$B:$B,MATCH(TRIM(SUBSTITUTE($A179,CHAR(160)," ")),'TRANS'!$E:$E,0)),IFERROR(INDEX('Manual Matches'!$C:$C,MATCH($A179,'Manual Matches'!$B:$B,0)),"")))</f>
        <v>4411026</v>
      </c>
      <c r="F179" s="6" t="str">
        <f aca="false">IF($E179="","Unmatched",IF(COUNTIF('Manual Matches'!$B:$B,$A179)&gt;0,"Matched (manual)","Matched"))</f>
        <v>Matched</v>
      </c>
    </row>
    <row r="180" customFormat="false" ht="15" hidden="false" customHeight="false" outlineLevel="0" collapsed="false">
      <c r="A180" s="6" t="s">
        <v>817</v>
      </c>
      <c r="B180" s="6" t="n">
        <v>2026</v>
      </c>
      <c r="C180" s="16" t="n">
        <v>11</v>
      </c>
      <c r="D180" s="17" t="n">
        <v>781</v>
      </c>
      <c r="E180" s="6" t="n">
        <f aca="false">IFERROR(INDEX('TRANS'!$B:$B,MATCH($A180,'TRANS'!$C:$C,0)),IFERROR(INDEX('TRANS'!$B:$B,MATCH(TRIM(SUBSTITUTE($A180,CHAR(160)," ")),'TRANS'!$E:$E,0)),IFERROR(INDEX('Manual Matches'!$C:$C,MATCH($A180,'Manual Matches'!$B:$B,0)),"")))</f>
        <v>4411027</v>
      </c>
      <c r="F180" s="6" t="str">
        <f aca="false">IF($E180="","Unmatched",IF(COUNTIF('Manual Matches'!$B:$B,$A180)&gt;0,"Matched (manual)","Matched"))</f>
        <v>Matched</v>
      </c>
    </row>
    <row r="181" customFormat="false" ht="15" hidden="false" customHeight="false" outlineLevel="0" collapsed="false">
      <c r="A181" s="6" t="s">
        <v>819</v>
      </c>
      <c r="B181" s="6" t="n">
        <v>2026</v>
      </c>
      <c r="C181" s="16" t="n">
        <v>5</v>
      </c>
      <c r="D181" s="17" t="n">
        <v>355</v>
      </c>
      <c r="E181" s="6" t="n">
        <f aca="false">IFERROR(INDEX('TRANS'!$B:$B,MATCH($A181,'TRANS'!$C:$C,0)),IFERROR(INDEX('TRANS'!$B:$B,MATCH(TRIM(SUBSTITUTE($A181,CHAR(160)," ")),'TRANS'!$E:$E,0)),IFERROR(INDEX('Manual Matches'!$C:$C,MATCH($A181,'Manual Matches'!$B:$B,0)),"")))</f>
        <v>4411028</v>
      </c>
      <c r="F181" s="6" t="str">
        <f aca="false">IF($E181="","Unmatched",IF(COUNTIF('Manual Matches'!$B:$B,$A181)&gt;0,"Matched (manual)","Matched"))</f>
        <v>Matched</v>
      </c>
    </row>
    <row r="182" customFormat="false" ht="15" hidden="false" customHeight="false" outlineLevel="0" collapsed="false">
      <c r="A182" s="6" t="s">
        <v>773</v>
      </c>
      <c r="B182" s="6" t="n">
        <v>2026</v>
      </c>
      <c r="C182" s="16" t="n">
        <v>9</v>
      </c>
      <c r="D182" s="17" t="n">
        <v>639</v>
      </c>
      <c r="E182" s="6" t="n">
        <f aca="false">IFERROR(INDEX('TRANS'!$B:$B,MATCH($A182,'TRANS'!$C:$C,0)),IFERROR(INDEX('TRANS'!$B:$B,MATCH(TRIM(SUBSTITUTE($A182,CHAR(160)," ")),'TRANS'!$E:$E,0)),IFERROR(INDEX('Manual Matches'!$C:$C,MATCH($A182,'Manual Matches'!$B:$B,0)),"")))</f>
        <v>4411029</v>
      </c>
      <c r="F182" s="6" t="str">
        <f aca="false">IF($E182="","Unmatched",IF(COUNTIF('Manual Matches'!$B:$B,$A182)&gt;0,"Matched (manual)","Matched"))</f>
        <v>Matched</v>
      </c>
    </row>
    <row r="183" customFormat="false" ht="15" hidden="false" customHeight="false" outlineLevel="0" collapsed="false">
      <c r="A183" s="6" t="s">
        <v>821</v>
      </c>
      <c r="B183" s="6" t="n">
        <v>2026</v>
      </c>
      <c r="C183" s="16" t="n">
        <v>14</v>
      </c>
      <c r="D183" s="17" t="n">
        <v>994</v>
      </c>
      <c r="E183" s="6" t="n">
        <f aca="false">IFERROR(INDEX('TRANS'!$B:$B,MATCH($A183,'TRANS'!$C:$C,0)),IFERROR(INDEX('TRANS'!$B:$B,MATCH(TRIM(SUBSTITUTE($A183,CHAR(160)," ")),'TRANS'!$E:$E,0)),IFERROR(INDEX('Manual Matches'!$C:$C,MATCH($A183,'Manual Matches'!$B:$B,0)),"")))</f>
        <v>4411030</v>
      </c>
      <c r="F183" s="6" t="str">
        <f aca="false">IF($E183="","Unmatched",IF(COUNTIF('Manual Matches'!$B:$B,$A183)&gt;0,"Matched (manual)","Matched"))</f>
        <v>Matched</v>
      </c>
    </row>
    <row r="184" customFormat="false" ht="15" hidden="false" customHeight="false" outlineLevel="0" collapsed="false">
      <c r="A184" s="6" t="s">
        <v>813</v>
      </c>
      <c r="B184" s="6" t="n">
        <v>2026</v>
      </c>
      <c r="C184" s="16" t="n">
        <v>8</v>
      </c>
      <c r="D184" s="17" t="n">
        <v>568</v>
      </c>
      <c r="E184" s="6" t="n">
        <f aca="false">IFERROR(INDEX('TRANS'!$B:$B,MATCH($A184,'TRANS'!$C:$C,0)),IFERROR(INDEX('TRANS'!$B:$B,MATCH(TRIM(SUBSTITUTE($A184,CHAR(160)," ")),'TRANS'!$E:$E,0)),IFERROR(INDEX('Manual Matches'!$C:$C,MATCH($A184,'Manual Matches'!$B:$B,0)),"")))</f>
        <v>4411031</v>
      </c>
      <c r="F184" s="6" t="str">
        <f aca="false">IF($E184="","Unmatched",IF(COUNTIF('Manual Matches'!$B:$B,$A184)&gt;0,"Matched (manual)","Matched"))</f>
        <v>Matched</v>
      </c>
    </row>
    <row r="185" customFormat="false" ht="15" hidden="false" customHeight="false" outlineLevel="0" collapsed="false">
      <c r="A185" s="6" t="s">
        <v>667</v>
      </c>
      <c r="B185" s="6" t="n">
        <v>2026</v>
      </c>
      <c r="C185" s="16" t="n">
        <v>131</v>
      </c>
      <c r="D185" s="17" t="n">
        <v>2563.6</v>
      </c>
      <c r="E185" s="6" t="n">
        <f aca="false">IFERROR(INDEX('TRANS'!$B:$B,MATCH($A185,'TRANS'!$C:$C,0)),IFERROR(INDEX('TRANS'!$B:$B,MATCH(TRIM(SUBSTITUTE($A185,CHAR(160)," ")),'TRANS'!$E:$E,0)),IFERROR(INDEX('Manual Matches'!$C:$C,MATCH($A185,'Manual Matches'!$B:$B,0)),"")))</f>
        <v>4413531</v>
      </c>
      <c r="F185" s="6" t="str">
        <f aca="false">IF($E185="","Unmatched",IF(COUNTIF('Manual Matches'!$B:$B,$A185)&gt;0,"Matched (manual)","Matched"))</f>
        <v>Matched</v>
      </c>
    </row>
    <row r="186" customFormat="false" ht="15" hidden="false" customHeight="false" outlineLevel="0" collapsed="false">
      <c r="A186" s="6" t="s">
        <v>241</v>
      </c>
      <c r="B186" s="6" t="n">
        <v>2026</v>
      </c>
      <c r="C186" s="16" t="n">
        <v>16</v>
      </c>
      <c r="D186" s="17" t="n">
        <v>1496</v>
      </c>
      <c r="E186" s="6" t="n">
        <f aca="false">IFERROR(INDEX('TRANS'!$B:$B,MATCH($A186,'TRANS'!$C:$C,0)),IFERROR(INDEX('TRANS'!$B:$B,MATCH(TRIM(SUBSTITUTE($A186,CHAR(160)," ")),'TRANS'!$E:$E,0)),IFERROR(INDEX('Manual Matches'!$C:$C,MATCH($A186,'Manual Matches'!$B:$B,0)),"")))</f>
        <v>4413532</v>
      </c>
      <c r="F186" s="6" t="str">
        <f aca="false">IF($E186="","Unmatched",IF(COUNTIF('Manual Matches'!$B:$B,$A186)&gt;0,"Matched (manual)","Matched"))</f>
        <v>Matched</v>
      </c>
    </row>
    <row r="187" customFormat="false" ht="15" hidden="false" customHeight="false" outlineLevel="0" collapsed="false">
      <c r="A187" s="6" t="s">
        <v>995</v>
      </c>
      <c r="B187" s="6" t="n">
        <v>2026</v>
      </c>
      <c r="C187" s="16" t="n">
        <v>3</v>
      </c>
      <c r="D187" s="17" t="n">
        <v>61.5</v>
      </c>
      <c r="E187" s="6" t="n">
        <f aca="false">IFERROR(INDEX('TRANS'!$B:$B,MATCH($A187,'TRANS'!$C:$C,0)),IFERROR(INDEX('TRANS'!$B:$B,MATCH(TRIM(SUBSTITUTE($A187,CHAR(160)," ")),'TRANS'!$E:$E,0)),IFERROR(INDEX('Manual Matches'!$C:$C,MATCH($A187,'Manual Matches'!$B:$B,0)),"")))</f>
        <v>4413533</v>
      </c>
      <c r="F187" s="6" t="str">
        <f aca="false">IF($E187="","Unmatched",IF(COUNTIF('Manual Matches'!$B:$B,$A187)&gt;0,"Matched (manual)","Matched"))</f>
        <v>Matched</v>
      </c>
    </row>
    <row r="188" customFormat="false" ht="15" hidden="false" customHeight="false" outlineLevel="0" collapsed="false">
      <c r="A188" s="6" t="s">
        <v>959</v>
      </c>
      <c r="B188" s="6" t="n">
        <v>2026</v>
      </c>
      <c r="C188" s="16" t="n">
        <v>21</v>
      </c>
      <c r="D188" s="17" t="n">
        <v>1932</v>
      </c>
      <c r="E188" s="6" t="n">
        <f aca="false">IFERROR(INDEX('TRANS'!$B:$B,MATCH($A188,'TRANS'!$C:$C,0)),IFERROR(INDEX('TRANS'!$B:$B,MATCH(TRIM(SUBSTITUTE($A188,CHAR(160)," ")),'TRANS'!$E:$E,0)),IFERROR(INDEX('Manual Matches'!$C:$C,MATCH($A188,'Manual Matches'!$B:$B,0)),"")))</f>
        <v>4413534</v>
      </c>
      <c r="F188" s="6" t="str">
        <f aca="false">IF($E188="","Unmatched",IF(COUNTIF('Manual Matches'!$B:$B,$A188)&gt;0,"Matched (manual)","Matched"))</f>
        <v>Matched</v>
      </c>
    </row>
    <row r="189" customFormat="false" ht="15" hidden="false" customHeight="false" outlineLevel="0" collapsed="false">
      <c r="A189" s="6" t="s">
        <v>861</v>
      </c>
      <c r="B189" s="6" t="n">
        <v>2026</v>
      </c>
      <c r="C189" s="16" t="n">
        <v>32</v>
      </c>
      <c r="D189" s="17" t="n">
        <v>800</v>
      </c>
      <c r="E189" s="6" t="n">
        <f aca="false">IFERROR(INDEX('TRANS'!$B:$B,MATCH($A189,'TRANS'!$C:$C,0)),IFERROR(INDEX('TRANS'!$B:$B,MATCH(TRIM(SUBSTITUTE($A189,CHAR(160)," ")),'TRANS'!$E:$E,0)),IFERROR(INDEX('Manual Matches'!$C:$C,MATCH($A189,'Manual Matches'!$B:$B,0)),"")))</f>
        <v>4415177</v>
      </c>
      <c r="F189" s="6" t="str">
        <f aca="false">IF($E189="","Unmatched",IF(COUNTIF('Manual Matches'!$B:$B,$A189)&gt;0,"Matched (manual)","Matched"))</f>
        <v>Matched</v>
      </c>
    </row>
    <row r="190" customFormat="false" ht="15" hidden="false" customHeight="false" outlineLevel="0" collapsed="false">
      <c r="A190" s="6" t="s">
        <v>1055</v>
      </c>
      <c r="B190" s="6" t="n">
        <v>2026</v>
      </c>
      <c r="C190" s="16" t="n">
        <v>16</v>
      </c>
      <c r="D190" s="17" t="n">
        <v>672</v>
      </c>
      <c r="E190" s="6" t="n">
        <f aca="false">IFERROR(INDEX('TRANS'!$B:$B,MATCH($A190,'TRANS'!$C:$C,0)),IFERROR(INDEX('TRANS'!$B:$B,MATCH(TRIM(SUBSTITUTE($A190,CHAR(160)," ")),'TRANS'!$E:$E,0)),IFERROR(INDEX('Manual Matches'!$C:$C,MATCH($A190,'Manual Matches'!$B:$B,0)),"")))</f>
        <v>4415298</v>
      </c>
      <c r="F190" s="6" t="str">
        <f aca="false">IF($E190="","Unmatched",IF(COUNTIF('Manual Matches'!$B:$B,$A190)&gt;0,"Matched (manual)","Matched"))</f>
        <v>Matched</v>
      </c>
    </row>
    <row r="191" customFormat="false" ht="15" hidden="false" customHeight="false" outlineLevel="0" collapsed="false">
      <c r="A191" s="6" t="s">
        <v>1053</v>
      </c>
      <c r="B191" s="6" t="n">
        <v>2026</v>
      </c>
      <c r="C191" s="16" t="n">
        <v>27</v>
      </c>
      <c r="D191" s="17" t="n">
        <v>1134</v>
      </c>
      <c r="E191" s="6" t="n">
        <f aca="false">IFERROR(INDEX('TRANS'!$B:$B,MATCH($A191,'TRANS'!$C:$C,0)),IFERROR(INDEX('TRANS'!$B:$B,MATCH(TRIM(SUBSTITUTE($A191,CHAR(160)," ")),'TRANS'!$E:$E,0)),IFERROR(INDEX('Manual Matches'!$C:$C,MATCH($A191,'Manual Matches'!$B:$B,0)),"")))</f>
        <v>4415299</v>
      </c>
      <c r="F191" s="6" t="str">
        <f aca="false">IF($E191="","Unmatched",IF(COUNTIF('Manual Matches'!$B:$B,$A191)&gt;0,"Matched (manual)","Matched"))</f>
        <v>Matched</v>
      </c>
    </row>
    <row r="192" customFormat="false" ht="15" hidden="false" customHeight="false" outlineLevel="0" collapsed="false">
      <c r="A192" s="6" t="s">
        <v>473</v>
      </c>
      <c r="B192" s="6" t="n">
        <v>2026</v>
      </c>
      <c r="C192" s="16" t="n">
        <v>29</v>
      </c>
      <c r="D192" s="17" t="n">
        <v>429.2</v>
      </c>
      <c r="E192" s="6" t="n">
        <f aca="false">IFERROR(INDEX('TRANS'!$B:$B,MATCH($A192,'TRANS'!$C:$C,0)),IFERROR(INDEX('TRANS'!$B:$B,MATCH(TRIM(SUBSTITUTE($A192,CHAR(160)," ")),'TRANS'!$E:$E,0)),IFERROR(INDEX('Manual Matches'!$C:$C,MATCH($A192,'Manual Matches'!$B:$B,0)),"")))</f>
        <v>4422036</v>
      </c>
      <c r="F192" s="6" t="str">
        <f aca="false">IF($E192="","Unmatched",IF(COUNTIF('Manual Matches'!$B:$B,$A192)&gt;0,"Matched (manual)","Matched"))</f>
        <v>Matched</v>
      </c>
    </row>
    <row r="193" customFormat="false" ht="15" hidden="false" customHeight="false" outlineLevel="0" collapsed="false">
      <c r="A193" s="6" t="s">
        <v>229</v>
      </c>
      <c r="B193" s="6" t="n">
        <v>2026</v>
      </c>
      <c r="C193" s="16" t="n">
        <v>12</v>
      </c>
      <c r="D193" s="17" t="n">
        <v>1500</v>
      </c>
      <c r="E193" s="6" t="n">
        <f aca="false">IFERROR(INDEX('TRANS'!$B:$B,MATCH($A193,'TRANS'!$C:$C,0)),IFERROR(INDEX('TRANS'!$B:$B,MATCH(TRIM(SUBSTITUTE($A193,CHAR(160)," ")),'TRANS'!$E:$E,0)),IFERROR(INDEX('Manual Matches'!$C:$C,MATCH($A193,'Manual Matches'!$B:$B,0)),"")))</f>
        <v>4422037</v>
      </c>
      <c r="F193" s="6" t="str">
        <f aca="false">IF($E193="","Unmatched",IF(COUNTIF('Manual Matches'!$B:$B,$A193)&gt;0,"Matched (manual)","Matched"))</f>
        <v>Matched</v>
      </c>
    </row>
    <row r="194" customFormat="false" ht="15" hidden="false" customHeight="false" outlineLevel="0" collapsed="false">
      <c r="A194" s="6" t="s">
        <v>233</v>
      </c>
      <c r="B194" s="6" t="n">
        <v>2026</v>
      </c>
      <c r="C194" s="16" t="n">
        <v>17</v>
      </c>
      <c r="D194" s="17" t="n">
        <v>2125</v>
      </c>
      <c r="E194" s="6" t="n">
        <f aca="false">IFERROR(INDEX('TRANS'!$B:$B,MATCH($A194,'TRANS'!$C:$C,0)),IFERROR(INDEX('TRANS'!$B:$B,MATCH(TRIM(SUBSTITUTE($A194,CHAR(160)," ")),'TRANS'!$E:$E,0)),IFERROR(INDEX('Manual Matches'!$C:$C,MATCH($A194,'Manual Matches'!$B:$B,0)),"")))</f>
        <v>4422039</v>
      </c>
      <c r="F194" s="6" t="str">
        <f aca="false">IF($E194="","Unmatched",IF(COUNTIF('Manual Matches'!$B:$B,$A194)&gt;0,"Matched (manual)","Matched"))</f>
        <v>Matched</v>
      </c>
    </row>
    <row r="195" customFormat="false" ht="15" hidden="false" customHeight="false" outlineLevel="0" collapsed="false">
      <c r="A195" s="6" t="s">
        <v>235</v>
      </c>
      <c r="B195" s="6" t="n">
        <v>2026</v>
      </c>
      <c r="C195" s="16" t="n">
        <v>25</v>
      </c>
      <c r="D195" s="17" t="n">
        <v>3125</v>
      </c>
      <c r="E195" s="6" t="n">
        <f aca="false">IFERROR(INDEX('TRANS'!$B:$B,MATCH($A195,'TRANS'!$C:$C,0)),IFERROR(INDEX('TRANS'!$B:$B,MATCH(TRIM(SUBSTITUTE($A195,CHAR(160)," ")),'TRANS'!$E:$E,0)),IFERROR(INDEX('Manual Matches'!$C:$C,MATCH($A195,'Manual Matches'!$B:$B,0)),"")))</f>
        <v>4422040</v>
      </c>
      <c r="F195" s="6" t="str">
        <f aca="false">IF($E195="","Unmatched",IF(COUNTIF('Manual Matches'!$B:$B,$A195)&gt;0,"Matched (manual)","Matched"))</f>
        <v>Matched</v>
      </c>
    </row>
    <row r="196" customFormat="false" ht="15" hidden="false" customHeight="false" outlineLevel="0" collapsed="false">
      <c r="A196" s="6" t="s">
        <v>237</v>
      </c>
      <c r="B196" s="6" t="n">
        <v>2026</v>
      </c>
      <c r="C196" s="16" t="n">
        <v>26</v>
      </c>
      <c r="D196" s="17" t="n">
        <v>3250</v>
      </c>
      <c r="E196" s="6" t="n">
        <f aca="false">IFERROR(INDEX('TRANS'!$B:$B,MATCH($A196,'TRANS'!$C:$C,0)),IFERROR(INDEX('TRANS'!$B:$B,MATCH(TRIM(SUBSTITUTE($A196,CHAR(160)," ")),'TRANS'!$E:$E,0)),IFERROR(INDEX('Manual Matches'!$C:$C,MATCH($A196,'Manual Matches'!$B:$B,0)),"")))</f>
        <v>4422041</v>
      </c>
      <c r="F196" s="6" t="str">
        <f aca="false">IF($E196="","Unmatched",IF(COUNTIF('Manual Matches'!$B:$B,$A196)&gt;0,"Matched (manual)","Matched"))</f>
        <v>Matched</v>
      </c>
    </row>
    <row r="197" customFormat="false" ht="15" hidden="false" customHeight="false" outlineLevel="0" collapsed="false">
      <c r="A197" s="6" t="s">
        <v>239</v>
      </c>
      <c r="B197" s="6" t="n">
        <v>2026</v>
      </c>
      <c r="C197" s="16" t="n">
        <v>17</v>
      </c>
      <c r="D197" s="17" t="n">
        <v>2125</v>
      </c>
      <c r="E197" s="6" t="n">
        <f aca="false">IFERROR(INDEX('TRANS'!$B:$B,MATCH($A197,'TRANS'!$C:$C,0)),IFERROR(INDEX('TRANS'!$B:$B,MATCH(TRIM(SUBSTITUTE($A197,CHAR(160)," ")),'TRANS'!$E:$E,0)),IFERROR(INDEX('Manual Matches'!$C:$C,MATCH($A197,'Manual Matches'!$B:$B,0)),"")))</f>
        <v>4422042</v>
      </c>
      <c r="F197" s="6" t="str">
        <f aca="false">IF($E197="","Unmatched",IF(COUNTIF('Manual Matches'!$B:$B,$A197)&gt;0,"Matched (manual)","Matched"))</f>
        <v>Matched</v>
      </c>
    </row>
  </sheetData>
  <mergeCells count="1">
    <mergeCell ref="A3:O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8"/>
    <col collapsed="false" customWidth="true" hidden="false" outlineLevel="0" max="3" min="3" style="0" width="12"/>
    <col collapsed="false" customWidth="true" hidden="false" outlineLevel="0" max="5" min="4" style="0" width="14"/>
    <col collapsed="false" customWidth="true" hidden="false" outlineLevel="0" max="6" min="6" style="0" width="13"/>
  </cols>
  <sheetData>
    <row r="1" customFormat="false" ht="17.35" hidden="false" customHeight="false" outlineLevel="0" collapsed="false">
      <c r="A1" s="1" t="s">
        <v>1078</v>
      </c>
    </row>
    <row r="2" customFormat="false" ht="15" hidden="false" customHeight="false" outlineLevel="0" collapsed="false">
      <c r="A2" s="2" t="s">
        <v>1</v>
      </c>
      <c r="B2" s="3" t="n">
        <v>46289</v>
      </c>
    </row>
    <row r="3" customFormat="false" ht="22.35" hidden="false" customHeight="true" outlineLevel="0" collapsed="false">
      <c r="A3" s="4" t="s">
        <v>1079</v>
      </c>
      <c r="B3" s="4"/>
      <c r="C3" s="4"/>
      <c r="D3" s="4"/>
      <c r="E3" s="4"/>
      <c r="F3" s="4"/>
      <c r="G3" s="4"/>
      <c r="H3" s="4"/>
      <c r="I3" s="4"/>
      <c r="J3" s="4"/>
      <c r="K3" s="4"/>
      <c r="L3" s="4"/>
      <c r="M3" s="4"/>
      <c r="N3" s="4"/>
      <c r="O3" s="4"/>
    </row>
    <row r="5" customFormat="false" ht="39.55" hidden="false" customHeight="false" outlineLevel="0" collapsed="false">
      <c r="A5" s="5" t="s">
        <v>80</v>
      </c>
      <c r="B5" s="5" t="s">
        <v>66</v>
      </c>
      <c r="C5" s="5" t="s">
        <v>27</v>
      </c>
      <c r="D5" s="5" t="s">
        <v>28</v>
      </c>
      <c r="E5" s="5" t="s">
        <v>1076</v>
      </c>
      <c r="F5" s="5" t="s">
        <v>1077</v>
      </c>
    </row>
    <row r="6" customFormat="false" ht="15" hidden="false" customHeight="false" outlineLevel="0" collapsed="false">
      <c r="A6" s="6" t="s">
        <v>85</v>
      </c>
      <c r="B6" s="6" t="n">
        <v>2025</v>
      </c>
      <c r="C6" s="16" t="n">
        <v>0</v>
      </c>
      <c r="D6" s="17" t="n">
        <v>-921.56</v>
      </c>
      <c r="E6" s="6" t="str">
        <f aca="false">IFERROR(INDEX('TRANS'!$B:$B,MATCH($A6,'TRANS'!$A:$A,0)),IFERROR(INDEX('TRANS'!$B:$B,MATCH(TRIM(SUBSTITUTE($A6,CHAR(160)," ")),'TRANS'!$D:$D,0)),IFERROR(INDEX('Manual Matches'!$C:$C,MATCH($A6,'Manual Matches'!$B:$B,0)),"")))</f>
        <v/>
      </c>
      <c r="F6" s="6" t="str">
        <f aca="false">IF($E6="","Unmatched",IF(COUNTIF('Manual Matches'!$B:$B,$A6)&gt;0,"Matched (manual)","Matched"))</f>
        <v>Unmatched</v>
      </c>
    </row>
    <row r="7" customFormat="false" ht="15" hidden="false" customHeight="false" outlineLevel="0" collapsed="false">
      <c r="A7" s="6" t="s">
        <v>119</v>
      </c>
      <c r="B7" s="6" t="n">
        <v>2025</v>
      </c>
      <c r="C7" s="16" t="n">
        <v>-1</v>
      </c>
      <c r="D7" s="17" t="n">
        <v>-31945.47</v>
      </c>
      <c r="E7" s="6" t="str">
        <f aca="false">IFERROR(INDEX('TRANS'!$B:$B,MATCH($A7,'TRANS'!$A:$A,0)),IFERROR(INDEX('TRANS'!$B:$B,MATCH(TRIM(SUBSTITUTE($A7,CHAR(160)," ")),'TRANS'!$D:$D,0)),IFERROR(INDEX('Manual Matches'!$C:$C,MATCH($A7,'Manual Matches'!$B:$B,0)),"")))</f>
        <v/>
      </c>
      <c r="F7" s="6" t="str">
        <f aca="false">IF($E7="","Unmatched",IF(COUNTIF('Manual Matches'!$B:$B,$A7)&gt;0,"Matched (manual)","Matched"))</f>
        <v>Unmatched</v>
      </c>
    </row>
    <row r="8" customFormat="false" ht="15" hidden="false" customHeight="false" outlineLevel="0" collapsed="false">
      <c r="A8" s="6" t="s">
        <v>119</v>
      </c>
      <c r="B8" s="6" t="n">
        <v>2026</v>
      </c>
      <c r="C8" s="16" t="n">
        <v>-1</v>
      </c>
      <c r="D8" s="17" t="n">
        <v>-35055</v>
      </c>
      <c r="E8" s="6" t="str">
        <f aca="false">IFERROR(INDEX('TRANS'!$B:$B,MATCH($A8,'TRANS'!$A:$A,0)),IFERROR(INDEX('TRANS'!$B:$B,MATCH(TRIM(SUBSTITUTE($A8,CHAR(160)," ")),'TRANS'!$D:$D,0)),IFERROR(INDEX('Manual Matches'!$C:$C,MATCH($A8,'Manual Matches'!$B:$B,0)),"")))</f>
        <v/>
      </c>
      <c r="F8" s="6" t="str">
        <f aca="false">IF($E8="","Unmatched",IF(COUNTIF('Manual Matches'!$B:$B,$A8)&gt;0,"Matched (manual)","Matched"))</f>
        <v>Unmatched</v>
      </c>
    </row>
    <row r="9" customFormat="false" ht="15" hidden="false" customHeight="false" outlineLevel="0" collapsed="false">
      <c r="A9" s="6" t="s">
        <v>840</v>
      </c>
      <c r="B9" s="6" t="n">
        <v>2025</v>
      </c>
      <c r="C9" s="16" t="n">
        <v>1741</v>
      </c>
      <c r="D9" s="17" t="n">
        <v>79215.5</v>
      </c>
      <c r="E9" s="6" t="n">
        <f aca="false">IFERROR(INDEX('TRANS'!$B:$B,MATCH($A9,'TRANS'!$A:$A,0)),IFERROR(INDEX('TRANS'!$B:$B,MATCH(TRIM(SUBSTITUTE($A9,CHAR(160)," ")),'TRANS'!$D:$D,0)),IFERROR(INDEX('Manual Matches'!$C:$C,MATCH($A9,'Manual Matches'!$B:$B,0)),"")))</f>
        <v>4415158</v>
      </c>
      <c r="F9" s="6" t="str">
        <f aca="false">IF($E9="","Unmatched",IF(COUNTIF('Manual Matches'!$B:$B,$A9)&gt;0,"Matched (manual)","Matched"))</f>
        <v>Matched</v>
      </c>
    </row>
    <row r="10" customFormat="false" ht="15" hidden="false" customHeight="false" outlineLevel="0" collapsed="false">
      <c r="A10" s="6" t="s">
        <v>840</v>
      </c>
      <c r="B10" s="6" t="n">
        <v>2026</v>
      </c>
      <c r="C10" s="16" t="n">
        <v>471</v>
      </c>
      <c r="D10" s="17" t="n">
        <v>21430.5</v>
      </c>
      <c r="E10" s="6" t="n">
        <f aca="false">IFERROR(INDEX('TRANS'!$B:$B,MATCH($A10,'TRANS'!$A:$A,0)),IFERROR(INDEX('TRANS'!$B:$B,MATCH(TRIM(SUBSTITUTE($A10,CHAR(160)," ")),'TRANS'!$D:$D,0)),IFERROR(INDEX('Manual Matches'!$C:$C,MATCH($A10,'Manual Matches'!$B:$B,0)),"")))</f>
        <v>4415158</v>
      </c>
      <c r="F10" s="6" t="str">
        <f aca="false">IF($E10="","Unmatched",IF(COUNTIF('Manual Matches'!$B:$B,$A10)&gt;0,"Matched (manual)","Matched"))</f>
        <v>Matched</v>
      </c>
    </row>
    <row r="11" customFormat="false" ht="15" hidden="false" customHeight="false" outlineLevel="0" collapsed="false">
      <c r="A11" s="6" t="s">
        <v>842</v>
      </c>
      <c r="B11" s="6" t="n">
        <v>2025</v>
      </c>
      <c r="C11" s="16" t="n">
        <v>671</v>
      </c>
      <c r="D11" s="17" t="n">
        <v>52203.8</v>
      </c>
      <c r="E11" s="6" t="n">
        <f aca="false">IFERROR(INDEX('TRANS'!$B:$B,MATCH($A11,'TRANS'!$A:$A,0)),IFERROR(INDEX('TRANS'!$B:$B,MATCH(TRIM(SUBSTITUTE($A11,CHAR(160)," ")),'TRANS'!$D:$D,0)),IFERROR(INDEX('Manual Matches'!$C:$C,MATCH($A11,'Manual Matches'!$B:$B,0)),"")))</f>
        <v>4415159</v>
      </c>
      <c r="F11" s="6" t="str">
        <f aca="false">IF($E11="","Unmatched",IF(COUNTIF('Manual Matches'!$B:$B,$A11)&gt;0,"Matched (manual)","Matched"))</f>
        <v>Matched</v>
      </c>
    </row>
    <row r="12" customFormat="false" ht="15" hidden="false" customHeight="false" outlineLevel="0" collapsed="false">
      <c r="A12" s="6" t="s">
        <v>842</v>
      </c>
      <c r="B12" s="6" t="n">
        <v>2026</v>
      </c>
      <c r="C12" s="16" t="n">
        <v>218</v>
      </c>
      <c r="D12" s="17" t="n">
        <v>16960.4</v>
      </c>
      <c r="E12" s="6" t="n">
        <f aca="false">IFERROR(INDEX('TRANS'!$B:$B,MATCH($A12,'TRANS'!$A:$A,0)),IFERROR(INDEX('TRANS'!$B:$B,MATCH(TRIM(SUBSTITUTE($A12,CHAR(160)," ")),'TRANS'!$D:$D,0)),IFERROR(INDEX('Manual Matches'!$C:$C,MATCH($A12,'Manual Matches'!$B:$B,0)),"")))</f>
        <v>4415159</v>
      </c>
      <c r="F12" s="6" t="str">
        <f aca="false">IF($E12="","Unmatched",IF(COUNTIF('Manual Matches'!$B:$B,$A12)&gt;0,"Matched (manual)","Matched"))</f>
        <v>Matched</v>
      </c>
    </row>
    <row r="13" customFormat="false" ht="15" hidden="false" customHeight="false" outlineLevel="0" collapsed="false">
      <c r="A13" s="6" t="s">
        <v>546</v>
      </c>
      <c r="B13" s="6" t="n">
        <v>2025</v>
      </c>
      <c r="C13" s="16" t="n">
        <v>306</v>
      </c>
      <c r="D13" s="17" t="n">
        <v>14452.38</v>
      </c>
      <c r="E13" s="6" t="n">
        <f aca="false">IFERROR(INDEX('TRANS'!$B:$B,MATCH($A13,'TRANS'!$A:$A,0)),IFERROR(INDEX('TRANS'!$B:$B,MATCH(TRIM(SUBSTITUTE($A13,CHAR(160)," ")),'TRANS'!$D:$D,0)),IFERROR(INDEX('Manual Matches'!$C:$C,MATCH($A13,'Manual Matches'!$B:$B,0)),"")))</f>
        <v>4413348</v>
      </c>
      <c r="F13" s="6" t="str">
        <f aca="false">IF($E13="","Unmatched",IF(COUNTIF('Manual Matches'!$B:$B,$A13)&gt;0,"Matched (manual)","Matched"))</f>
        <v>Matched</v>
      </c>
    </row>
    <row r="14" customFormat="false" ht="15" hidden="false" customHeight="false" outlineLevel="0" collapsed="false">
      <c r="A14" s="6" t="s">
        <v>546</v>
      </c>
      <c r="B14" s="6" t="n">
        <v>2026</v>
      </c>
      <c r="C14" s="16" t="n">
        <v>76</v>
      </c>
      <c r="D14" s="17" t="n">
        <v>3589.48</v>
      </c>
      <c r="E14" s="6" t="n">
        <f aca="false">IFERROR(INDEX('TRANS'!$B:$B,MATCH($A14,'TRANS'!$A:$A,0)),IFERROR(INDEX('TRANS'!$B:$B,MATCH(TRIM(SUBSTITUTE($A14,CHAR(160)," ")),'TRANS'!$D:$D,0)),IFERROR(INDEX('Manual Matches'!$C:$C,MATCH($A14,'Manual Matches'!$B:$B,0)),"")))</f>
        <v>4413348</v>
      </c>
      <c r="F14" s="6" t="str">
        <f aca="false">IF($E14="","Unmatched",IF(COUNTIF('Manual Matches'!$B:$B,$A14)&gt;0,"Matched (manual)","Matched"))</f>
        <v>Matched</v>
      </c>
    </row>
    <row r="15" customFormat="false" ht="15" hidden="false" customHeight="false" outlineLevel="0" collapsed="false">
      <c r="A15" s="6" t="s">
        <v>544</v>
      </c>
      <c r="B15" s="6" t="n">
        <v>2025</v>
      </c>
      <c r="C15" s="16" t="n">
        <v>229</v>
      </c>
      <c r="D15" s="17" t="n">
        <v>10815.67</v>
      </c>
      <c r="E15" s="6" t="n">
        <f aca="false">IFERROR(INDEX('TRANS'!$B:$B,MATCH($A15,'TRANS'!$A:$A,0)),IFERROR(INDEX('TRANS'!$B:$B,MATCH(TRIM(SUBSTITUTE($A15,CHAR(160)," ")),'TRANS'!$D:$D,0)),IFERROR(INDEX('Manual Matches'!$C:$C,MATCH($A15,'Manual Matches'!$B:$B,0)),"")))</f>
        <v>4413372</v>
      </c>
      <c r="F15" s="6" t="str">
        <f aca="false">IF($E15="","Unmatched",IF(COUNTIF('Manual Matches'!$B:$B,$A15)&gt;0,"Matched (manual)","Matched"))</f>
        <v>Matched</v>
      </c>
    </row>
    <row r="16" customFormat="false" ht="15" hidden="false" customHeight="false" outlineLevel="0" collapsed="false">
      <c r="A16" s="6" t="s">
        <v>544</v>
      </c>
      <c r="B16" s="6" t="n">
        <v>2026</v>
      </c>
      <c r="C16" s="16" t="n">
        <v>33</v>
      </c>
      <c r="D16" s="17" t="n">
        <v>1558.59</v>
      </c>
      <c r="E16" s="6" t="n">
        <f aca="false">IFERROR(INDEX('TRANS'!$B:$B,MATCH($A16,'TRANS'!$A:$A,0)),IFERROR(INDEX('TRANS'!$B:$B,MATCH(TRIM(SUBSTITUTE($A16,CHAR(160)," ")),'TRANS'!$D:$D,0)),IFERROR(INDEX('Manual Matches'!$C:$C,MATCH($A16,'Manual Matches'!$B:$B,0)),"")))</f>
        <v>4413372</v>
      </c>
      <c r="F16" s="6" t="str">
        <f aca="false">IF($E16="","Unmatched",IF(COUNTIF('Manual Matches'!$B:$B,$A16)&gt;0,"Matched (manual)","Matched"))</f>
        <v>Matched</v>
      </c>
    </row>
    <row r="17" customFormat="false" ht="15" hidden="false" customHeight="false" outlineLevel="0" collapsed="false">
      <c r="A17" s="6" t="s">
        <v>696</v>
      </c>
      <c r="B17" s="6" t="n">
        <v>2025</v>
      </c>
      <c r="C17" s="16" t="n">
        <v>294</v>
      </c>
      <c r="D17" s="17" t="n">
        <v>18601.38</v>
      </c>
      <c r="E17" s="6" t="n">
        <f aca="false">IFERROR(INDEX('TRANS'!$B:$B,MATCH($A17,'TRANS'!$A:$A,0)),IFERROR(INDEX('TRANS'!$B:$B,MATCH(TRIM(SUBSTITUTE($A17,CHAR(160)," ")),'TRANS'!$D:$D,0)),IFERROR(INDEX('Manual Matches'!$C:$C,MATCH($A17,'Manual Matches'!$B:$B,0)),"")))</f>
        <v>4416000</v>
      </c>
      <c r="F17" s="6" t="str">
        <f aca="false">IF($E17="","Unmatched",IF(COUNTIF('Manual Matches'!$B:$B,$A17)&gt;0,"Matched (manual)","Matched"))</f>
        <v>Matched</v>
      </c>
    </row>
    <row r="18" customFormat="false" ht="15" hidden="false" customHeight="false" outlineLevel="0" collapsed="false">
      <c r="A18" s="6" t="s">
        <v>696</v>
      </c>
      <c r="B18" s="6" t="n">
        <v>2026</v>
      </c>
      <c r="C18" s="16" t="n">
        <v>68</v>
      </c>
      <c r="D18" s="17" t="n">
        <v>4421.94</v>
      </c>
      <c r="E18" s="6" t="n">
        <f aca="false">IFERROR(INDEX('TRANS'!$B:$B,MATCH($A18,'TRANS'!$A:$A,0)),IFERROR(INDEX('TRANS'!$B:$B,MATCH(TRIM(SUBSTITUTE($A18,CHAR(160)," ")),'TRANS'!$D:$D,0)),IFERROR(INDEX('Manual Matches'!$C:$C,MATCH($A18,'Manual Matches'!$B:$B,0)),"")))</f>
        <v>4416000</v>
      </c>
      <c r="F18" s="6" t="str">
        <f aca="false">IF($E18="","Unmatched",IF(COUNTIF('Manual Matches'!$B:$B,$A18)&gt;0,"Matched (manual)","Matched"))</f>
        <v>Matched</v>
      </c>
    </row>
    <row r="19" customFormat="false" ht="15" hidden="false" customHeight="false" outlineLevel="0" collapsed="false">
      <c r="A19" s="6" t="s">
        <v>698</v>
      </c>
      <c r="B19" s="6" t="n">
        <v>2025</v>
      </c>
      <c r="C19" s="16" t="n">
        <v>293</v>
      </c>
      <c r="D19" s="17" t="n">
        <v>18538.11</v>
      </c>
      <c r="E19" s="6" t="n">
        <f aca="false">IFERROR(INDEX('TRANS'!$B:$B,MATCH($A19,'TRANS'!$A:$A,0)),IFERROR(INDEX('TRANS'!$B:$B,MATCH(TRIM(SUBSTITUTE($A19,CHAR(160)," ")),'TRANS'!$D:$D,0)),IFERROR(INDEX('Manual Matches'!$C:$C,MATCH($A19,'Manual Matches'!$B:$B,0)),"")))</f>
        <v>4416001</v>
      </c>
      <c r="F19" s="6" t="str">
        <f aca="false">IF($E19="","Unmatched",IF(COUNTIF('Manual Matches'!$B:$B,$A19)&gt;0,"Matched (manual)","Matched"))</f>
        <v>Matched</v>
      </c>
    </row>
    <row r="20" customFormat="false" ht="15" hidden="false" customHeight="false" outlineLevel="0" collapsed="false">
      <c r="A20" s="6" t="s">
        <v>698</v>
      </c>
      <c r="B20" s="6" t="n">
        <v>2026</v>
      </c>
      <c r="C20" s="16" t="n">
        <v>62</v>
      </c>
      <c r="D20" s="17" t="n">
        <v>4042.32</v>
      </c>
      <c r="E20" s="6" t="n">
        <f aca="false">IFERROR(INDEX('TRANS'!$B:$B,MATCH($A20,'TRANS'!$A:$A,0)),IFERROR(INDEX('TRANS'!$B:$B,MATCH(TRIM(SUBSTITUTE($A20,CHAR(160)," ")),'TRANS'!$D:$D,0)),IFERROR(INDEX('Manual Matches'!$C:$C,MATCH($A20,'Manual Matches'!$B:$B,0)),"")))</f>
        <v>4416001</v>
      </c>
      <c r="F20" s="6" t="str">
        <f aca="false">IF($E20="","Unmatched",IF(COUNTIF('Manual Matches'!$B:$B,$A20)&gt;0,"Matched (manual)","Matched"))</f>
        <v>Matched</v>
      </c>
    </row>
    <row r="21" customFormat="false" ht="15" hidden="false" customHeight="false" outlineLevel="0" collapsed="false">
      <c r="A21" s="6" t="s">
        <v>700</v>
      </c>
      <c r="B21" s="6" t="n">
        <v>2025</v>
      </c>
      <c r="C21" s="16" t="n">
        <v>65</v>
      </c>
      <c r="D21" s="17" t="n">
        <v>4112.55</v>
      </c>
      <c r="E21" s="6" t="n">
        <f aca="false">IFERROR(INDEX('TRANS'!$B:$B,MATCH($A21,'TRANS'!$A:$A,0)),IFERROR(INDEX('TRANS'!$B:$B,MATCH(TRIM(SUBSTITUTE($A21,CHAR(160)," ")),'TRANS'!$D:$D,0)),IFERROR(INDEX('Manual Matches'!$C:$C,MATCH($A21,'Manual Matches'!$B:$B,0)),"")))</f>
        <v>4416002</v>
      </c>
      <c r="F21" s="6" t="str">
        <f aca="false">IF($E21="","Unmatched",IF(COUNTIF('Manual Matches'!$B:$B,$A21)&gt;0,"Matched (manual)","Matched"))</f>
        <v>Matched</v>
      </c>
    </row>
    <row r="22" customFormat="false" ht="15" hidden="false" customHeight="false" outlineLevel="0" collapsed="false">
      <c r="A22" s="6" t="s">
        <v>700</v>
      </c>
      <c r="B22" s="6" t="n">
        <v>2026</v>
      </c>
      <c r="C22" s="16" t="n">
        <v>12</v>
      </c>
      <c r="D22" s="17" t="n">
        <v>878.82</v>
      </c>
      <c r="E22" s="6" t="n">
        <f aca="false">IFERROR(INDEX('TRANS'!$B:$B,MATCH($A22,'TRANS'!$A:$A,0)),IFERROR(INDEX('TRANS'!$B:$B,MATCH(TRIM(SUBSTITUTE($A22,CHAR(160)," ")),'TRANS'!$D:$D,0)),IFERROR(INDEX('Manual Matches'!$C:$C,MATCH($A22,'Manual Matches'!$B:$B,0)),"")))</f>
        <v>4416002</v>
      </c>
      <c r="F22" s="6" t="str">
        <f aca="false">IF($E22="","Unmatched",IF(COUNTIF('Manual Matches'!$B:$B,$A22)&gt;0,"Matched (manual)","Matched"))</f>
        <v>Matched</v>
      </c>
    </row>
    <row r="23" customFormat="false" ht="15" hidden="false" customHeight="false" outlineLevel="0" collapsed="false">
      <c r="A23" s="6" t="s">
        <v>702</v>
      </c>
      <c r="B23" s="6" t="n">
        <v>2025</v>
      </c>
      <c r="C23" s="16" t="n">
        <v>135</v>
      </c>
      <c r="D23" s="17" t="n">
        <v>8541.45</v>
      </c>
      <c r="E23" s="6" t="n">
        <f aca="false">IFERROR(INDEX('TRANS'!$B:$B,MATCH($A23,'TRANS'!$A:$A,0)),IFERROR(INDEX('TRANS'!$B:$B,MATCH(TRIM(SUBSTITUTE($A23,CHAR(160)," ")),'TRANS'!$D:$D,0)),IFERROR(INDEX('Manual Matches'!$C:$C,MATCH($A23,'Manual Matches'!$B:$B,0)),"")))</f>
        <v>4411016</v>
      </c>
      <c r="F23" s="6" t="str">
        <f aca="false">IF($E23="","Unmatched",IF(COUNTIF('Manual Matches'!$B:$B,$A23)&gt;0,"Matched (manual)","Matched"))</f>
        <v>Matched</v>
      </c>
    </row>
    <row r="24" customFormat="false" ht="15" hidden="false" customHeight="false" outlineLevel="0" collapsed="false">
      <c r="A24" s="6" t="s">
        <v>702</v>
      </c>
      <c r="B24" s="6" t="n">
        <v>2026</v>
      </c>
      <c r="C24" s="16" t="n">
        <v>32</v>
      </c>
      <c r="D24" s="17" t="n">
        <v>2144.22</v>
      </c>
      <c r="E24" s="6" t="n">
        <f aca="false">IFERROR(INDEX('TRANS'!$B:$B,MATCH($A24,'TRANS'!$A:$A,0)),IFERROR(INDEX('TRANS'!$B:$B,MATCH(TRIM(SUBSTITUTE($A24,CHAR(160)," ")),'TRANS'!$D:$D,0)),IFERROR(INDEX('Manual Matches'!$C:$C,MATCH($A24,'Manual Matches'!$B:$B,0)),"")))</f>
        <v>4411016</v>
      </c>
      <c r="F24" s="6" t="str">
        <f aca="false">IF($E24="","Unmatched",IF(COUNTIF('Manual Matches'!$B:$B,$A24)&gt;0,"Matched (manual)","Matched"))</f>
        <v>Matched</v>
      </c>
    </row>
    <row r="25" customFormat="false" ht="15" hidden="false" customHeight="false" outlineLevel="0" collapsed="false">
      <c r="A25" s="6" t="s">
        <v>728</v>
      </c>
      <c r="B25" s="6" t="n">
        <v>2025</v>
      </c>
      <c r="C25" s="16" t="n">
        <v>669</v>
      </c>
      <c r="D25" s="17" t="n">
        <v>6355.5</v>
      </c>
      <c r="E25" s="6" t="n">
        <f aca="false">IFERROR(INDEX('TRANS'!$B:$B,MATCH($A25,'TRANS'!$A:$A,0)),IFERROR(INDEX('TRANS'!$B:$B,MATCH(TRIM(SUBSTITUTE($A25,CHAR(160)," ")),'TRANS'!$D:$D,0)),IFERROR(INDEX('Manual Matches'!$C:$C,MATCH($A25,'Manual Matches'!$B:$B,0)),"")))</f>
        <v>4413059</v>
      </c>
      <c r="F25" s="6" t="str">
        <f aca="false">IF($E25="","Unmatched",IF(COUNTIF('Manual Matches'!$B:$B,$A25)&gt;0,"Matched (manual)","Matched"))</f>
        <v>Matched</v>
      </c>
    </row>
    <row r="26" customFormat="false" ht="15" hidden="false" customHeight="false" outlineLevel="0" collapsed="false">
      <c r="A26" s="6" t="s">
        <v>728</v>
      </c>
      <c r="B26" s="6" t="n">
        <v>2026</v>
      </c>
      <c r="C26" s="16" t="n">
        <v>163</v>
      </c>
      <c r="D26" s="17" t="n">
        <v>1548.5</v>
      </c>
      <c r="E26" s="6" t="n">
        <f aca="false">IFERROR(INDEX('TRANS'!$B:$B,MATCH($A26,'TRANS'!$A:$A,0)),IFERROR(INDEX('TRANS'!$B:$B,MATCH(TRIM(SUBSTITUTE($A26,CHAR(160)," ")),'TRANS'!$D:$D,0)),IFERROR(INDEX('Manual Matches'!$C:$C,MATCH($A26,'Manual Matches'!$B:$B,0)),"")))</f>
        <v>4413059</v>
      </c>
      <c r="F26" s="6" t="str">
        <f aca="false">IF($E26="","Unmatched",IF(COUNTIF('Manual Matches'!$B:$B,$A26)&gt;0,"Matched (manual)","Matched"))</f>
        <v>Matched</v>
      </c>
    </row>
    <row r="27" customFormat="false" ht="15" hidden="false" customHeight="false" outlineLevel="0" collapsed="false">
      <c r="A27" s="6" t="s">
        <v>724</v>
      </c>
      <c r="B27" s="6" t="n">
        <v>2025</v>
      </c>
      <c r="C27" s="16" t="n">
        <v>327</v>
      </c>
      <c r="D27" s="17" t="n">
        <v>3106.5</v>
      </c>
      <c r="E27" s="6" t="n">
        <f aca="false">IFERROR(INDEX('TRANS'!$B:$B,MATCH($A27,'TRANS'!$A:$A,0)),IFERROR(INDEX('TRANS'!$B:$B,MATCH(TRIM(SUBSTITUTE($A27,CHAR(160)," ")),'TRANS'!$D:$D,0)),IFERROR(INDEX('Manual Matches'!$C:$C,MATCH($A27,'Manual Matches'!$B:$B,0)),"")))</f>
        <v>4413060</v>
      </c>
      <c r="F27" s="6" t="str">
        <f aca="false">IF($E27="","Unmatched",IF(COUNTIF('Manual Matches'!$B:$B,$A27)&gt;0,"Matched (manual)","Matched"))</f>
        <v>Matched</v>
      </c>
    </row>
    <row r="28" customFormat="false" ht="15" hidden="false" customHeight="false" outlineLevel="0" collapsed="false">
      <c r="A28" s="6" t="s">
        <v>724</v>
      </c>
      <c r="B28" s="6" t="n">
        <v>2026</v>
      </c>
      <c r="C28" s="16" t="n">
        <v>88</v>
      </c>
      <c r="D28" s="17" t="n">
        <v>836</v>
      </c>
      <c r="E28" s="6" t="n">
        <f aca="false">IFERROR(INDEX('TRANS'!$B:$B,MATCH($A28,'TRANS'!$A:$A,0)),IFERROR(INDEX('TRANS'!$B:$B,MATCH(TRIM(SUBSTITUTE($A28,CHAR(160)," ")),'TRANS'!$D:$D,0)),IFERROR(INDEX('Manual Matches'!$C:$C,MATCH($A28,'Manual Matches'!$B:$B,0)),"")))</f>
        <v>4413060</v>
      </c>
      <c r="F28" s="6" t="str">
        <f aca="false">IF($E28="","Unmatched",IF(COUNTIF('Manual Matches'!$B:$B,$A28)&gt;0,"Matched (manual)","Matched"))</f>
        <v>Matched</v>
      </c>
    </row>
    <row r="29" customFormat="false" ht="15" hidden="false" customHeight="false" outlineLevel="0" collapsed="false">
      <c r="A29" s="6" t="s">
        <v>734</v>
      </c>
      <c r="B29" s="6" t="n">
        <v>2025</v>
      </c>
      <c r="C29" s="16" t="n">
        <v>1110</v>
      </c>
      <c r="D29" s="17" t="n">
        <v>13519.8</v>
      </c>
      <c r="E29" s="6" t="n">
        <f aca="false">IFERROR(INDEX('TRANS'!$B:$B,MATCH($A29,'TRANS'!$A:$A,0)),IFERROR(INDEX('TRANS'!$B:$B,MATCH(TRIM(SUBSTITUTE($A29,CHAR(160)," ")),'TRANS'!$D:$D,0)),IFERROR(INDEX('Manual Matches'!$C:$C,MATCH($A29,'Manual Matches'!$B:$B,0)),"")))</f>
        <v>4421000</v>
      </c>
      <c r="F29" s="6" t="str">
        <f aca="false">IF($E29="","Unmatched",IF(COUNTIF('Manual Matches'!$B:$B,$A29)&gt;0,"Matched (manual)","Matched"))</f>
        <v>Matched</v>
      </c>
    </row>
    <row r="30" customFormat="false" ht="15" hidden="false" customHeight="false" outlineLevel="0" collapsed="false">
      <c r="A30" s="6" t="s">
        <v>734</v>
      </c>
      <c r="B30" s="6" t="n">
        <v>2026</v>
      </c>
      <c r="C30" s="16" t="n">
        <v>257</v>
      </c>
      <c r="D30" s="17" t="n">
        <v>3168.54</v>
      </c>
      <c r="E30" s="6" t="n">
        <f aca="false">IFERROR(INDEX('TRANS'!$B:$B,MATCH($A30,'TRANS'!$A:$A,0)),IFERROR(INDEX('TRANS'!$B:$B,MATCH(TRIM(SUBSTITUTE($A30,CHAR(160)," ")),'TRANS'!$D:$D,0)),IFERROR(INDEX('Manual Matches'!$C:$C,MATCH($A30,'Manual Matches'!$B:$B,0)),"")))</f>
        <v>4421000</v>
      </c>
      <c r="F30" s="6" t="str">
        <f aca="false">IF($E30="","Unmatched",IF(COUNTIF('Manual Matches'!$B:$B,$A30)&gt;0,"Matched (manual)","Matched"))</f>
        <v>Matched</v>
      </c>
    </row>
    <row r="31" customFormat="false" ht="15" hidden="false" customHeight="false" outlineLevel="0" collapsed="false">
      <c r="A31" s="6" t="s">
        <v>758</v>
      </c>
      <c r="B31" s="6" t="n">
        <v>2025</v>
      </c>
      <c r="C31" s="16" t="n">
        <v>127</v>
      </c>
      <c r="D31" s="17" t="n">
        <v>2693.67</v>
      </c>
      <c r="E31" s="6" t="n">
        <f aca="false">IFERROR(INDEX('TRANS'!$B:$B,MATCH($A31,'TRANS'!$A:$A,0)),IFERROR(INDEX('TRANS'!$B:$B,MATCH(TRIM(SUBSTITUTE($A31,CHAR(160)," ")),'TRANS'!$D:$D,0)),IFERROR(INDEX('Manual Matches'!$C:$C,MATCH($A31,'Manual Matches'!$B:$B,0)),"")))</f>
        <v>4413307</v>
      </c>
      <c r="F31" s="6" t="str">
        <f aca="false">IF($E31="","Unmatched",IF(COUNTIF('Manual Matches'!$B:$B,$A31)&gt;0,"Matched (manual)","Matched"))</f>
        <v>Matched</v>
      </c>
    </row>
    <row r="32" customFormat="false" ht="15" hidden="false" customHeight="false" outlineLevel="0" collapsed="false">
      <c r="A32" s="6" t="s">
        <v>758</v>
      </c>
      <c r="B32" s="6" t="n">
        <v>2026</v>
      </c>
      <c r="C32" s="16" t="n">
        <v>44</v>
      </c>
      <c r="D32" s="17" t="n">
        <v>933.24</v>
      </c>
      <c r="E32" s="6" t="n">
        <f aca="false">IFERROR(INDEX('TRANS'!$B:$B,MATCH($A32,'TRANS'!$A:$A,0)),IFERROR(INDEX('TRANS'!$B:$B,MATCH(TRIM(SUBSTITUTE($A32,CHAR(160)," ")),'TRANS'!$D:$D,0)),IFERROR(INDEX('Manual Matches'!$C:$C,MATCH($A32,'Manual Matches'!$B:$B,0)),"")))</f>
        <v>4413307</v>
      </c>
      <c r="F32" s="6" t="str">
        <f aca="false">IF($E32="","Unmatched",IF(COUNTIF('Manual Matches'!$B:$B,$A32)&gt;0,"Matched (manual)","Matched"))</f>
        <v>Matched</v>
      </c>
    </row>
    <row r="33" customFormat="false" ht="15" hidden="false" customHeight="false" outlineLevel="0" collapsed="false">
      <c r="A33" s="6" t="s">
        <v>164</v>
      </c>
      <c r="B33" s="6" t="n">
        <v>2025</v>
      </c>
      <c r="C33" s="16" t="n">
        <v>646</v>
      </c>
      <c r="D33" s="17" t="n">
        <v>10659</v>
      </c>
      <c r="E33" s="6" t="n">
        <f aca="false">IFERROR(INDEX('TRANS'!$B:$B,MATCH($A33,'TRANS'!$A:$A,0)),IFERROR(INDEX('TRANS'!$B:$B,MATCH(TRIM(SUBSTITUTE($A33,CHAR(160)," ")),'TRANS'!$D:$D,0)),IFERROR(INDEX('Manual Matches'!$C:$C,MATCH($A33,'Manual Matches'!$B:$B,0)),"")))</f>
        <v>4413092</v>
      </c>
      <c r="F33" s="6" t="str">
        <f aca="false">IF($E33="","Unmatched",IF(COUNTIF('Manual Matches'!$B:$B,$A33)&gt;0,"Matched (manual)","Matched"))</f>
        <v>Matched</v>
      </c>
    </row>
    <row r="34" customFormat="false" ht="15" hidden="false" customHeight="false" outlineLevel="0" collapsed="false">
      <c r="A34" s="6" t="s">
        <v>164</v>
      </c>
      <c r="B34" s="6" t="n">
        <v>2026</v>
      </c>
      <c r="C34" s="16" t="n">
        <v>161</v>
      </c>
      <c r="D34" s="17" t="n">
        <v>2656.5</v>
      </c>
      <c r="E34" s="6" t="n">
        <f aca="false">IFERROR(INDEX('TRANS'!$B:$B,MATCH($A34,'TRANS'!$A:$A,0)),IFERROR(INDEX('TRANS'!$B:$B,MATCH(TRIM(SUBSTITUTE($A34,CHAR(160)," ")),'TRANS'!$D:$D,0)),IFERROR(INDEX('Manual Matches'!$C:$C,MATCH($A34,'Manual Matches'!$B:$B,0)),"")))</f>
        <v>4413092</v>
      </c>
      <c r="F34" s="6" t="str">
        <f aca="false">IF($E34="","Unmatched",IF(COUNTIF('Manual Matches'!$B:$B,$A34)&gt;0,"Matched (manual)","Matched"))</f>
        <v>Matched</v>
      </c>
    </row>
    <row r="35" customFormat="false" ht="15" hidden="false" customHeight="false" outlineLevel="0" collapsed="false">
      <c r="A35" s="6" t="s">
        <v>166</v>
      </c>
      <c r="B35" s="6" t="n">
        <v>2025</v>
      </c>
      <c r="C35" s="16" t="n">
        <v>470</v>
      </c>
      <c r="D35" s="17" t="n">
        <v>7755</v>
      </c>
      <c r="E35" s="6" t="n">
        <f aca="false">IFERROR(INDEX('TRANS'!$B:$B,MATCH($A35,'TRANS'!$A:$A,0)),IFERROR(INDEX('TRANS'!$B:$B,MATCH(TRIM(SUBSTITUTE($A35,CHAR(160)," ")),'TRANS'!$D:$D,0)),IFERROR(INDEX('Manual Matches'!$C:$C,MATCH($A35,'Manual Matches'!$B:$B,0)),"")))</f>
        <v>4413093</v>
      </c>
      <c r="F35" s="6" t="str">
        <f aca="false">IF($E35="","Unmatched",IF(COUNTIF('Manual Matches'!$B:$B,$A35)&gt;0,"Matched (manual)","Matched"))</f>
        <v>Matched</v>
      </c>
    </row>
    <row r="36" customFormat="false" ht="15" hidden="false" customHeight="false" outlineLevel="0" collapsed="false">
      <c r="A36" s="6" t="s">
        <v>166</v>
      </c>
      <c r="B36" s="6" t="n">
        <v>2026</v>
      </c>
      <c r="C36" s="16" t="n">
        <v>121</v>
      </c>
      <c r="D36" s="17" t="n">
        <v>1996.5</v>
      </c>
      <c r="E36" s="6" t="n">
        <f aca="false">IFERROR(INDEX('TRANS'!$B:$B,MATCH($A36,'TRANS'!$A:$A,0)),IFERROR(INDEX('TRANS'!$B:$B,MATCH(TRIM(SUBSTITUTE($A36,CHAR(160)," ")),'TRANS'!$D:$D,0)),IFERROR(INDEX('Manual Matches'!$C:$C,MATCH($A36,'Manual Matches'!$B:$B,0)),"")))</f>
        <v>4413093</v>
      </c>
      <c r="F36" s="6" t="str">
        <f aca="false">IF($E36="","Unmatched",IF(COUNTIF('Manual Matches'!$B:$B,$A36)&gt;0,"Matched (manual)","Matched"))</f>
        <v>Matched</v>
      </c>
    </row>
    <row r="37" customFormat="false" ht="15" hidden="false" customHeight="false" outlineLevel="0" collapsed="false">
      <c r="A37" s="6" t="s">
        <v>192</v>
      </c>
      <c r="B37" s="6" t="n">
        <v>2025</v>
      </c>
      <c r="C37" s="16" t="n">
        <v>374</v>
      </c>
      <c r="D37" s="17" t="n">
        <v>7667</v>
      </c>
      <c r="E37" s="6" t="n">
        <f aca="false">IFERROR(INDEX('TRANS'!$B:$B,MATCH($A37,'TRANS'!$A:$A,0)),IFERROR(INDEX('TRANS'!$B:$B,MATCH(TRIM(SUBSTITUTE($A37,CHAR(160)," ")),'TRANS'!$D:$D,0)),IFERROR(INDEX('Manual Matches'!$C:$C,MATCH($A37,'Manual Matches'!$B:$B,0)),"")))</f>
        <v>4413102</v>
      </c>
      <c r="F37" s="6" t="str">
        <f aca="false">IF($E37="","Unmatched",IF(COUNTIF('Manual Matches'!$B:$B,$A37)&gt;0,"Matched (manual)","Matched"))</f>
        <v>Matched</v>
      </c>
    </row>
    <row r="38" customFormat="false" ht="15" hidden="false" customHeight="false" outlineLevel="0" collapsed="false">
      <c r="A38" s="6" t="s">
        <v>192</v>
      </c>
      <c r="B38" s="6" t="n">
        <v>2026</v>
      </c>
      <c r="C38" s="16" t="n">
        <v>132</v>
      </c>
      <c r="D38" s="17" t="n">
        <v>2706</v>
      </c>
      <c r="E38" s="6" t="n">
        <f aca="false">IFERROR(INDEX('TRANS'!$B:$B,MATCH($A38,'TRANS'!$A:$A,0)),IFERROR(INDEX('TRANS'!$B:$B,MATCH(TRIM(SUBSTITUTE($A38,CHAR(160)," ")),'TRANS'!$D:$D,0)),IFERROR(INDEX('Manual Matches'!$C:$C,MATCH($A38,'Manual Matches'!$B:$B,0)),"")))</f>
        <v>4413102</v>
      </c>
      <c r="F38" s="6" t="str">
        <f aca="false">IF($E38="","Unmatched",IF(COUNTIF('Manual Matches'!$B:$B,$A38)&gt;0,"Matched (manual)","Matched"))</f>
        <v>Matched</v>
      </c>
    </row>
    <row r="39" customFormat="false" ht="15" hidden="false" customHeight="false" outlineLevel="0" collapsed="false">
      <c r="A39" s="6" t="s">
        <v>194</v>
      </c>
      <c r="B39" s="6" t="n">
        <v>2025</v>
      </c>
      <c r="C39" s="16" t="n">
        <v>329</v>
      </c>
      <c r="D39" s="17" t="n">
        <v>6744.5</v>
      </c>
      <c r="E39" s="6" t="n">
        <f aca="false">IFERROR(INDEX('TRANS'!$B:$B,MATCH($A39,'TRANS'!$A:$A,0)),IFERROR(INDEX('TRANS'!$B:$B,MATCH(TRIM(SUBSTITUTE($A39,CHAR(160)," ")),'TRANS'!$D:$D,0)),IFERROR(INDEX('Manual Matches'!$C:$C,MATCH($A39,'Manual Matches'!$B:$B,0)),"")))</f>
        <v>4413103</v>
      </c>
      <c r="F39" s="6" t="str">
        <f aca="false">IF($E39="","Unmatched",IF(COUNTIF('Manual Matches'!$B:$B,$A39)&gt;0,"Matched (manual)","Matched"))</f>
        <v>Matched</v>
      </c>
    </row>
    <row r="40" customFormat="false" ht="15" hidden="false" customHeight="false" outlineLevel="0" collapsed="false">
      <c r="A40" s="6" t="s">
        <v>194</v>
      </c>
      <c r="B40" s="6" t="n">
        <v>2026</v>
      </c>
      <c r="C40" s="16" t="n">
        <v>70</v>
      </c>
      <c r="D40" s="17" t="n">
        <v>1435</v>
      </c>
      <c r="E40" s="6" t="n">
        <f aca="false">IFERROR(INDEX('TRANS'!$B:$B,MATCH($A40,'TRANS'!$A:$A,0)),IFERROR(INDEX('TRANS'!$B:$B,MATCH(TRIM(SUBSTITUTE($A40,CHAR(160)," ")),'TRANS'!$D:$D,0)),IFERROR(INDEX('Manual Matches'!$C:$C,MATCH($A40,'Manual Matches'!$B:$B,0)),"")))</f>
        <v>4413103</v>
      </c>
      <c r="F40" s="6" t="str">
        <f aca="false">IF($E40="","Unmatched",IF(COUNTIF('Manual Matches'!$B:$B,$A40)&gt;0,"Matched (manual)","Matched"))</f>
        <v>Matched</v>
      </c>
    </row>
    <row r="41" customFormat="false" ht="15" hidden="false" customHeight="false" outlineLevel="0" collapsed="false">
      <c r="A41" s="6" t="s">
        <v>196</v>
      </c>
      <c r="B41" s="6" t="n">
        <v>2025</v>
      </c>
      <c r="C41" s="16" t="n">
        <v>80</v>
      </c>
      <c r="D41" s="17" t="n">
        <v>1640</v>
      </c>
      <c r="E41" s="6" t="n">
        <f aca="false">IFERROR(INDEX('TRANS'!$B:$B,MATCH($A41,'TRANS'!$A:$A,0)),IFERROR(INDEX('TRANS'!$B:$B,MATCH(TRIM(SUBSTITUTE($A41,CHAR(160)," ")),'TRANS'!$D:$D,0)),IFERROR(INDEX('Manual Matches'!$C:$C,MATCH($A41,'Manual Matches'!$B:$B,0)),"")))</f>
        <v>4413101</v>
      </c>
      <c r="F41" s="6" t="str">
        <f aca="false">IF($E41="","Unmatched",IF(COUNTIF('Manual Matches'!$B:$B,$A41)&gt;0,"Matched (manual)","Matched"))</f>
        <v>Matched</v>
      </c>
    </row>
    <row r="42" customFormat="false" ht="15" hidden="false" customHeight="false" outlineLevel="0" collapsed="false">
      <c r="A42" s="6" t="s">
        <v>196</v>
      </c>
      <c r="B42" s="6" t="n">
        <v>2026</v>
      </c>
      <c r="C42" s="16" t="n">
        <v>39</v>
      </c>
      <c r="D42" s="17" t="n">
        <v>799.5</v>
      </c>
      <c r="E42" s="6" t="n">
        <f aca="false">IFERROR(INDEX('TRANS'!$B:$B,MATCH($A42,'TRANS'!$A:$A,0)),IFERROR(INDEX('TRANS'!$B:$B,MATCH(TRIM(SUBSTITUTE($A42,CHAR(160)," ")),'TRANS'!$D:$D,0)),IFERROR(INDEX('Manual Matches'!$C:$C,MATCH($A42,'Manual Matches'!$B:$B,0)),"")))</f>
        <v>4413101</v>
      </c>
      <c r="F42" s="6" t="str">
        <f aca="false">IF($E42="","Unmatched",IF(COUNTIF('Manual Matches'!$B:$B,$A42)&gt;0,"Matched (manual)","Matched"))</f>
        <v>Matched</v>
      </c>
    </row>
    <row r="43" customFormat="false" ht="15" hidden="false" customHeight="false" outlineLevel="0" collapsed="false">
      <c r="A43" s="6" t="s">
        <v>198</v>
      </c>
      <c r="B43" s="6" t="n">
        <v>2025</v>
      </c>
      <c r="C43" s="16" t="n">
        <v>290</v>
      </c>
      <c r="D43" s="17" t="n">
        <v>5945</v>
      </c>
      <c r="E43" s="6" t="n">
        <f aca="false">IFERROR(INDEX('TRANS'!$B:$B,MATCH($A43,'TRANS'!$A:$A,0)),IFERROR(INDEX('TRANS'!$B:$B,MATCH(TRIM(SUBSTITUTE($A43,CHAR(160)," ")),'TRANS'!$D:$D,0)),IFERROR(INDEX('Manual Matches'!$C:$C,MATCH($A43,'Manual Matches'!$B:$B,0)),"")))</f>
        <v>4413104</v>
      </c>
      <c r="F43" s="6" t="str">
        <f aca="false">IF($E43="","Unmatched",IF(COUNTIF('Manual Matches'!$B:$B,$A43)&gt;0,"Matched (manual)","Matched"))</f>
        <v>Matched</v>
      </c>
    </row>
    <row r="44" customFormat="false" ht="15" hidden="false" customHeight="false" outlineLevel="0" collapsed="false">
      <c r="A44" s="6" t="s">
        <v>198</v>
      </c>
      <c r="B44" s="6" t="n">
        <v>2026</v>
      </c>
      <c r="C44" s="16" t="n">
        <v>73</v>
      </c>
      <c r="D44" s="17" t="n">
        <v>1496.5</v>
      </c>
      <c r="E44" s="6" t="n">
        <f aca="false">IFERROR(INDEX('TRANS'!$B:$B,MATCH($A44,'TRANS'!$A:$A,0)),IFERROR(INDEX('TRANS'!$B:$B,MATCH(TRIM(SUBSTITUTE($A44,CHAR(160)," ")),'TRANS'!$D:$D,0)),IFERROR(INDEX('Manual Matches'!$C:$C,MATCH($A44,'Manual Matches'!$B:$B,0)),"")))</f>
        <v>4413104</v>
      </c>
      <c r="F44" s="6" t="str">
        <f aca="false">IF($E44="","Unmatched",IF(COUNTIF('Manual Matches'!$B:$B,$A44)&gt;0,"Matched (manual)","Matched"))</f>
        <v>Matched</v>
      </c>
    </row>
    <row r="45" customFormat="false" ht="15" hidden="false" customHeight="false" outlineLevel="0" collapsed="false">
      <c r="A45" s="6" t="s">
        <v>502</v>
      </c>
      <c r="B45" s="6" t="n">
        <v>2025</v>
      </c>
      <c r="C45" s="16" t="n">
        <v>83</v>
      </c>
      <c r="D45" s="17" t="n">
        <v>10499.5</v>
      </c>
      <c r="E45" s="6" t="n">
        <f aca="false">IFERROR(INDEX('TRANS'!$B:$B,MATCH($A45,'TRANS'!$A:$A,0)),IFERROR(INDEX('TRANS'!$B:$B,MATCH(TRIM(SUBSTITUTE($A45,CHAR(160)," ")),'TRANS'!$D:$D,0)),IFERROR(INDEX('Manual Matches'!$C:$C,MATCH($A45,'Manual Matches'!$B:$B,0)),"")))</f>
        <v>4413197</v>
      </c>
      <c r="F45" s="6" t="str">
        <f aca="false">IF($E45="","Unmatched",IF(COUNTIF('Manual Matches'!$B:$B,$A45)&gt;0,"Matched (manual)","Matched"))</f>
        <v>Matched</v>
      </c>
    </row>
    <row r="46" customFormat="false" ht="15" hidden="false" customHeight="false" outlineLevel="0" collapsed="false">
      <c r="A46" s="6" t="s">
        <v>502</v>
      </c>
      <c r="B46" s="6" t="n">
        <v>2026</v>
      </c>
      <c r="C46" s="16" t="n">
        <v>18</v>
      </c>
      <c r="D46" s="17" t="n">
        <v>2277</v>
      </c>
      <c r="E46" s="6" t="n">
        <f aca="false">IFERROR(INDEX('TRANS'!$B:$B,MATCH($A46,'TRANS'!$A:$A,0)),IFERROR(INDEX('TRANS'!$B:$B,MATCH(TRIM(SUBSTITUTE($A46,CHAR(160)," ")),'TRANS'!$D:$D,0)),IFERROR(INDEX('Manual Matches'!$C:$C,MATCH($A46,'Manual Matches'!$B:$B,0)),"")))</f>
        <v>4413197</v>
      </c>
      <c r="F46" s="6" t="str">
        <f aca="false">IF($E46="","Unmatched",IF(COUNTIF('Manual Matches'!$B:$B,$A46)&gt;0,"Matched (manual)","Matched"))</f>
        <v>Matched</v>
      </c>
    </row>
    <row r="47" customFormat="false" ht="15" hidden="false" customHeight="false" outlineLevel="0" collapsed="false">
      <c r="A47" s="6" t="s">
        <v>470</v>
      </c>
      <c r="B47" s="6" t="n">
        <v>2025</v>
      </c>
      <c r="C47" s="16" t="n">
        <v>225</v>
      </c>
      <c r="D47" s="17" t="n">
        <v>1964.25</v>
      </c>
      <c r="E47" s="6" t="n">
        <f aca="false">IFERROR(INDEX('TRANS'!$B:$B,MATCH($A47,'TRANS'!$A:$A,0)),IFERROR(INDEX('TRANS'!$B:$B,MATCH(TRIM(SUBSTITUTE($A47,CHAR(160)," ")),'TRANS'!$D:$D,0)),IFERROR(INDEX('Manual Matches'!$C:$C,MATCH($A47,'Manual Matches'!$B:$B,0)),"")))</f>
        <v>4413149</v>
      </c>
      <c r="F47" s="6" t="str">
        <f aca="false">IF($E47="","Unmatched",IF(COUNTIF('Manual Matches'!$B:$B,$A47)&gt;0,"Matched (manual)","Matched"))</f>
        <v>Matched</v>
      </c>
    </row>
    <row r="48" customFormat="false" ht="15" hidden="false" customHeight="false" outlineLevel="0" collapsed="false">
      <c r="A48" s="6" t="s">
        <v>470</v>
      </c>
      <c r="B48" s="6" t="n">
        <v>2026</v>
      </c>
      <c r="C48" s="16" t="n">
        <v>67</v>
      </c>
      <c r="D48" s="17" t="n">
        <v>584.91</v>
      </c>
      <c r="E48" s="6" t="n">
        <f aca="false">IFERROR(INDEX('TRANS'!$B:$B,MATCH($A48,'TRANS'!$A:$A,0)),IFERROR(INDEX('TRANS'!$B:$B,MATCH(TRIM(SUBSTITUTE($A48,CHAR(160)," ")),'TRANS'!$D:$D,0)),IFERROR(INDEX('Manual Matches'!$C:$C,MATCH($A48,'Manual Matches'!$B:$B,0)),"")))</f>
        <v>4413149</v>
      </c>
      <c r="F48" s="6" t="str">
        <f aca="false">IF($E48="","Unmatched",IF(COUNTIF('Manual Matches'!$B:$B,$A48)&gt;0,"Matched (manual)","Matched"))</f>
        <v>Matched</v>
      </c>
    </row>
    <row r="49" customFormat="false" ht="15" hidden="false" customHeight="false" outlineLevel="0" collapsed="false">
      <c r="A49" s="6" t="s">
        <v>476</v>
      </c>
      <c r="B49" s="6" t="n">
        <v>2025</v>
      </c>
      <c r="C49" s="16" t="n">
        <v>978</v>
      </c>
      <c r="D49" s="17" t="n">
        <v>14474.4</v>
      </c>
      <c r="E49" s="6" t="n">
        <f aca="false">IFERROR(INDEX('TRANS'!$B:$B,MATCH($A49,'TRANS'!$A:$A,0)),IFERROR(INDEX('TRANS'!$B:$B,MATCH(TRIM(SUBSTITUTE($A49,CHAR(160)," ")),'TRANS'!$D:$D,0)),IFERROR(INDEX('Manual Matches'!$C:$C,MATCH($A49,'Manual Matches'!$B:$B,0)),"")))</f>
        <v>4422035</v>
      </c>
      <c r="F49" s="6" t="str">
        <f aca="false">IF($E49="","Unmatched",IF(COUNTIF('Manual Matches'!$B:$B,$A49)&gt;0,"Matched (manual)","Matched"))</f>
        <v>Matched</v>
      </c>
    </row>
    <row r="50" customFormat="false" ht="15" hidden="false" customHeight="false" outlineLevel="0" collapsed="false">
      <c r="A50" s="6" t="s">
        <v>476</v>
      </c>
      <c r="B50" s="6" t="n">
        <v>2026</v>
      </c>
      <c r="C50" s="16" t="n">
        <v>168</v>
      </c>
      <c r="D50" s="17" t="n">
        <v>2569.74</v>
      </c>
      <c r="E50" s="6" t="n">
        <f aca="false">IFERROR(INDEX('TRANS'!$B:$B,MATCH($A50,'TRANS'!$A:$A,0)),IFERROR(INDEX('TRANS'!$B:$B,MATCH(TRIM(SUBSTITUTE($A50,CHAR(160)," ")),'TRANS'!$D:$D,0)),IFERROR(INDEX('Manual Matches'!$C:$C,MATCH($A50,'Manual Matches'!$B:$B,0)),"")))</f>
        <v>4422035</v>
      </c>
      <c r="F50" s="6" t="str">
        <f aca="false">IF($E50="","Unmatched",IF(COUNTIF('Manual Matches'!$B:$B,$A50)&gt;0,"Matched (manual)","Matched"))</f>
        <v>Matched</v>
      </c>
    </row>
    <row r="51" customFormat="false" ht="15" hidden="false" customHeight="false" outlineLevel="0" collapsed="false">
      <c r="A51" s="6" t="s">
        <v>762</v>
      </c>
      <c r="B51" s="6" t="n">
        <v>2025</v>
      </c>
      <c r="C51" s="16" t="n">
        <v>335</v>
      </c>
      <c r="D51" s="17" t="n">
        <v>1946.35</v>
      </c>
      <c r="E51" s="6" t="n">
        <f aca="false">IFERROR(INDEX('TRANS'!$B:$B,MATCH($A51,'TRANS'!$A:$A,0)),IFERROR(INDEX('TRANS'!$B:$B,MATCH(TRIM(SUBSTITUTE($A51,CHAR(160)," ")),'TRANS'!$D:$D,0)),IFERROR(INDEX('Manual Matches'!$C:$C,MATCH($A51,'Manual Matches'!$B:$B,0)),"")))</f>
        <v>4401002</v>
      </c>
      <c r="F51" s="6" t="str">
        <f aca="false">IF($E51="","Unmatched",IF(COUNTIF('Manual Matches'!$B:$B,$A51)&gt;0,"Matched (manual)","Matched"))</f>
        <v>Matched</v>
      </c>
    </row>
    <row r="52" customFormat="false" ht="15" hidden="false" customHeight="false" outlineLevel="0" collapsed="false">
      <c r="A52" s="6" t="s">
        <v>762</v>
      </c>
      <c r="B52" s="6" t="n">
        <v>2026</v>
      </c>
      <c r="C52" s="16" t="n">
        <v>59</v>
      </c>
      <c r="D52" s="17" t="n">
        <v>342.79</v>
      </c>
      <c r="E52" s="6" t="n">
        <f aca="false">IFERROR(INDEX('TRANS'!$B:$B,MATCH($A52,'TRANS'!$A:$A,0)),IFERROR(INDEX('TRANS'!$B:$B,MATCH(TRIM(SUBSTITUTE($A52,CHAR(160)," ")),'TRANS'!$D:$D,0)),IFERROR(INDEX('Manual Matches'!$C:$C,MATCH($A52,'Manual Matches'!$B:$B,0)),"")))</f>
        <v>4401002</v>
      </c>
      <c r="F52" s="6" t="str">
        <f aca="false">IF($E52="","Unmatched",IF(COUNTIF('Manual Matches'!$B:$B,$A52)&gt;0,"Matched (manual)","Matched"))</f>
        <v>Matched</v>
      </c>
    </row>
    <row r="53" customFormat="false" ht="15" hidden="false" customHeight="false" outlineLevel="0" collapsed="false">
      <c r="A53" s="6" t="s">
        <v>312</v>
      </c>
      <c r="B53" s="6" t="n">
        <v>2025</v>
      </c>
      <c r="C53" s="16" t="n">
        <v>139</v>
      </c>
      <c r="D53" s="17" t="n">
        <v>9035</v>
      </c>
      <c r="E53" s="6" t="n">
        <f aca="false">IFERROR(INDEX('TRANS'!$B:$B,MATCH($A53,'TRANS'!$A:$A,0)),IFERROR(INDEX('TRANS'!$B:$B,MATCH(TRIM(SUBSTITUTE($A53,CHAR(160)," ")),'TRANS'!$D:$D,0)),IFERROR(INDEX('Manual Matches'!$C:$C,MATCH($A53,'Manual Matches'!$B:$B,0)),"")))</f>
        <v>4408192</v>
      </c>
      <c r="F53" s="6" t="str">
        <f aca="false">IF($E53="","Unmatched",IF(COUNTIF('Manual Matches'!$B:$B,$A53)&gt;0,"Matched (manual)","Matched"))</f>
        <v>Matched</v>
      </c>
    </row>
    <row r="54" customFormat="false" ht="15" hidden="false" customHeight="false" outlineLevel="0" collapsed="false">
      <c r="A54" s="6" t="s">
        <v>312</v>
      </c>
      <c r="B54" s="6" t="n">
        <v>2026</v>
      </c>
      <c r="C54" s="16" t="n">
        <v>60</v>
      </c>
      <c r="D54" s="17" t="n">
        <v>3900</v>
      </c>
      <c r="E54" s="6" t="n">
        <f aca="false">IFERROR(INDEX('TRANS'!$B:$B,MATCH($A54,'TRANS'!$A:$A,0)),IFERROR(INDEX('TRANS'!$B:$B,MATCH(TRIM(SUBSTITUTE($A54,CHAR(160)," ")),'TRANS'!$D:$D,0)),IFERROR(INDEX('Manual Matches'!$C:$C,MATCH($A54,'Manual Matches'!$B:$B,0)),"")))</f>
        <v>4408192</v>
      </c>
      <c r="F54" s="6" t="str">
        <f aca="false">IF($E54="","Unmatched",IF(COUNTIF('Manual Matches'!$B:$B,$A54)&gt;0,"Matched (manual)","Matched"))</f>
        <v>Matched</v>
      </c>
    </row>
    <row r="55" customFormat="false" ht="15" hidden="false" customHeight="false" outlineLevel="0" collapsed="false">
      <c r="A55" s="6" t="s">
        <v>418</v>
      </c>
      <c r="B55" s="6" t="n">
        <v>2025</v>
      </c>
      <c r="C55" s="16" t="n">
        <v>59</v>
      </c>
      <c r="D55" s="17" t="n">
        <v>3835</v>
      </c>
      <c r="E55" s="6" t="n">
        <f aca="false">IFERROR(INDEX('TRANS'!$B:$B,MATCH($A55,'TRANS'!$A:$A,0)),IFERROR(INDEX('TRANS'!$B:$B,MATCH(TRIM(SUBSTITUTE($A55,CHAR(160)," ")),'TRANS'!$D:$D,0)),IFERROR(INDEX('Manual Matches'!$C:$C,MATCH($A55,'Manual Matches'!$B:$B,0)),"")))</f>
        <v>4408190</v>
      </c>
      <c r="F55" s="6" t="str">
        <f aca="false">IF($E55="","Unmatched",IF(COUNTIF('Manual Matches'!$B:$B,$A55)&gt;0,"Matched (manual)","Matched"))</f>
        <v>Matched</v>
      </c>
    </row>
    <row r="56" customFormat="false" ht="15" hidden="false" customHeight="false" outlineLevel="0" collapsed="false">
      <c r="A56" s="6" t="s">
        <v>418</v>
      </c>
      <c r="B56" s="6" t="n">
        <v>2026</v>
      </c>
      <c r="C56" s="16" t="n">
        <v>27</v>
      </c>
      <c r="D56" s="17" t="n">
        <v>1755</v>
      </c>
      <c r="E56" s="6" t="n">
        <f aca="false">IFERROR(INDEX('TRANS'!$B:$B,MATCH($A56,'TRANS'!$A:$A,0)),IFERROR(INDEX('TRANS'!$B:$B,MATCH(TRIM(SUBSTITUTE($A56,CHAR(160)," ")),'TRANS'!$D:$D,0)),IFERROR(INDEX('Manual Matches'!$C:$C,MATCH($A56,'Manual Matches'!$B:$B,0)),"")))</f>
        <v>4408190</v>
      </c>
      <c r="F56" s="6" t="str">
        <f aca="false">IF($E56="","Unmatched",IF(COUNTIF('Manual Matches'!$B:$B,$A56)&gt;0,"Matched (manual)","Matched"))</f>
        <v>Matched</v>
      </c>
    </row>
    <row r="57" customFormat="false" ht="15" hidden="false" customHeight="false" outlineLevel="0" collapsed="false">
      <c r="A57" s="6" t="s">
        <v>420</v>
      </c>
      <c r="B57" s="6" t="n">
        <v>2025</v>
      </c>
      <c r="C57" s="16" t="n">
        <v>3</v>
      </c>
      <c r="D57" s="17" t="n">
        <v>195</v>
      </c>
      <c r="E57" s="6" t="n">
        <f aca="false">IFERROR(INDEX('TRANS'!$B:$B,MATCH($A57,'TRANS'!$A:$A,0)),IFERROR(INDEX('TRANS'!$B:$B,MATCH(TRIM(SUBSTITUTE($A57,CHAR(160)," ")),'TRANS'!$D:$D,0)),IFERROR(INDEX('Manual Matches'!$C:$C,MATCH($A57,'Manual Matches'!$B:$B,0)),"")))</f>
        <v>4408217</v>
      </c>
      <c r="F57" s="6" t="str">
        <f aca="false">IF($E57="","Unmatched",IF(COUNTIF('Manual Matches'!$B:$B,$A57)&gt;0,"Matched (manual)","Matched"))</f>
        <v>Matched</v>
      </c>
    </row>
    <row r="58" customFormat="false" ht="15" hidden="false" customHeight="false" outlineLevel="0" collapsed="false">
      <c r="A58" s="6" t="s">
        <v>420</v>
      </c>
      <c r="B58" s="6" t="n">
        <v>2026</v>
      </c>
      <c r="C58" s="16" t="n">
        <v>3</v>
      </c>
      <c r="D58" s="17" t="n">
        <v>195</v>
      </c>
      <c r="E58" s="6" t="n">
        <f aca="false">IFERROR(INDEX('TRANS'!$B:$B,MATCH($A58,'TRANS'!$A:$A,0)),IFERROR(INDEX('TRANS'!$B:$B,MATCH(TRIM(SUBSTITUTE($A58,CHAR(160)," ")),'TRANS'!$D:$D,0)),IFERROR(INDEX('Manual Matches'!$C:$C,MATCH($A58,'Manual Matches'!$B:$B,0)),"")))</f>
        <v>4408217</v>
      </c>
      <c r="F58" s="6" t="str">
        <f aca="false">IF($E58="","Unmatched",IF(COUNTIF('Manual Matches'!$B:$B,$A58)&gt;0,"Matched (manual)","Matched"))</f>
        <v>Matched</v>
      </c>
    </row>
    <row r="59" customFormat="false" ht="15" hidden="false" customHeight="false" outlineLevel="0" collapsed="false">
      <c r="A59" s="6" t="s">
        <v>324</v>
      </c>
      <c r="B59" s="6" t="n">
        <v>2025</v>
      </c>
      <c r="C59" s="16" t="n">
        <v>115</v>
      </c>
      <c r="D59" s="17" t="n">
        <v>7475</v>
      </c>
      <c r="E59" s="6" t="n">
        <f aca="false">IFERROR(INDEX('TRANS'!$B:$B,MATCH($A59,'TRANS'!$A:$A,0)),IFERROR(INDEX('TRANS'!$B:$B,MATCH(TRIM(SUBSTITUTE($A59,CHAR(160)," ")),'TRANS'!$D:$D,0)),IFERROR(INDEX('Manual Matches'!$C:$C,MATCH($A59,'Manual Matches'!$B:$B,0)),"")))</f>
        <v>4408218</v>
      </c>
      <c r="F59" s="6" t="str">
        <f aca="false">IF($E59="","Unmatched",IF(COUNTIF('Manual Matches'!$B:$B,$A59)&gt;0,"Matched (manual)","Matched"))</f>
        <v>Matched</v>
      </c>
    </row>
    <row r="60" customFormat="false" ht="15" hidden="false" customHeight="false" outlineLevel="0" collapsed="false">
      <c r="A60" s="6" t="s">
        <v>324</v>
      </c>
      <c r="B60" s="6" t="n">
        <v>2026</v>
      </c>
      <c r="C60" s="16" t="n">
        <v>49</v>
      </c>
      <c r="D60" s="17" t="n">
        <v>3185</v>
      </c>
      <c r="E60" s="6" t="n">
        <f aca="false">IFERROR(INDEX('TRANS'!$B:$B,MATCH($A60,'TRANS'!$A:$A,0)),IFERROR(INDEX('TRANS'!$B:$B,MATCH(TRIM(SUBSTITUTE($A60,CHAR(160)," ")),'TRANS'!$D:$D,0)),IFERROR(INDEX('Manual Matches'!$C:$C,MATCH($A60,'Manual Matches'!$B:$B,0)),"")))</f>
        <v>4408218</v>
      </c>
      <c r="F60" s="6" t="str">
        <f aca="false">IF($E60="","Unmatched",IF(COUNTIF('Manual Matches'!$B:$B,$A60)&gt;0,"Matched (manual)","Matched"))</f>
        <v>Matched</v>
      </c>
    </row>
    <row r="61" customFormat="false" ht="15" hidden="false" customHeight="false" outlineLevel="0" collapsed="false">
      <c r="A61" s="6" t="s">
        <v>398</v>
      </c>
      <c r="B61" s="6" t="n">
        <v>2025</v>
      </c>
      <c r="C61" s="16" t="n">
        <v>70</v>
      </c>
      <c r="D61" s="17" t="n">
        <v>5446</v>
      </c>
      <c r="E61" s="6" t="n">
        <f aca="false">IFERROR(INDEX('TRANS'!$B:$B,MATCH($A61,'TRANS'!$A:$A,0)),IFERROR(INDEX('TRANS'!$B:$B,MATCH(TRIM(SUBSTITUTE($A61,CHAR(160)," ")),'TRANS'!$D:$D,0)),IFERROR(INDEX('Manual Matches'!$C:$C,MATCH($A61,'Manual Matches'!$B:$B,0)),"")))</f>
        <v>4408230</v>
      </c>
      <c r="F61" s="6" t="str">
        <f aca="false">IF($E61="","Unmatched",IF(COUNTIF('Manual Matches'!$B:$B,$A61)&gt;0,"Matched (manual)","Matched"))</f>
        <v>Matched</v>
      </c>
    </row>
    <row r="62" customFormat="false" ht="15" hidden="false" customHeight="false" outlineLevel="0" collapsed="false">
      <c r="A62" s="6" t="s">
        <v>398</v>
      </c>
      <c r="B62" s="6" t="n">
        <v>2026</v>
      </c>
      <c r="C62" s="16" t="n">
        <v>26</v>
      </c>
      <c r="D62" s="17" t="n">
        <v>2022.8</v>
      </c>
      <c r="E62" s="6" t="n">
        <f aca="false">IFERROR(INDEX('TRANS'!$B:$B,MATCH($A62,'TRANS'!$A:$A,0)),IFERROR(INDEX('TRANS'!$B:$B,MATCH(TRIM(SUBSTITUTE($A62,CHAR(160)," ")),'TRANS'!$D:$D,0)),IFERROR(INDEX('Manual Matches'!$C:$C,MATCH($A62,'Manual Matches'!$B:$B,0)),"")))</f>
        <v>4408230</v>
      </c>
      <c r="F62" s="6" t="str">
        <f aca="false">IF($E62="","Unmatched",IF(COUNTIF('Manual Matches'!$B:$B,$A62)&gt;0,"Matched (manual)","Matched"))</f>
        <v>Matched</v>
      </c>
    </row>
    <row r="63" customFormat="false" ht="15" hidden="false" customHeight="false" outlineLevel="0" collapsed="false">
      <c r="A63" s="6" t="s">
        <v>400</v>
      </c>
      <c r="B63" s="6" t="n">
        <v>2025</v>
      </c>
      <c r="C63" s="16" t="n">
        <v>49</v>
      </c>
      <c r="D63" s="17" t="n">
        <v>3812.2</v>
      </c>
      <c r="E63" s="6" t="n">
        <f aca="false">IFERROR(INDEX('TRANS'!$B:$B,MATCH($A63,'TRANS'!$A:$A,0)),IFERROR(INDEX('TRANS'!$B:$B,MATCH(TRIM(SUBSTITUTE($A63,CHAR(160)," ")),'TRANS'!$D:$D,0)),IFERROR(INDEX('Manual Matches'!$C:$C,MATCH($A63,'Manual Matches'!$B:$B,0)),"")))</f>
        <v>4408231</v>
      </c>
      <c r="F63" s="6" t="str">
        <f aca="false">IF($E63="","Unmatched",IF(COUNTIF('Manual Matches'!$B:$B,$A63)&gt;0,"Matched (manual)","Matched"))</f>
        <v>Matched</v>
      </c>
    </row>
    <row r="64" customFormat="false" ht="15" hidden="false" customHeight="false" outlineLevel="0" collapsed="false">
      <c r="A64" s="6" t="s">
        <v>400</v>
      </c>
      <c r="B64" s="6" t="n">
        <v>2026</v>
      </c>
      <c r="C64" s="16" t="n">
        <v>14</v>
      </c>
      <c r="D64" s="17" t="n">
        <v>1089.2</v>
      </c>
      <c r="E64" s="6" t="n">
        <f aca="false">IFERROR(INDEX('TRANS'!$B:$B,MATCH($A64,'TRANS'!$A:$A,0)),IFERROR(INDEX('TRANS'!$B:$B,MATCH(TRIM(SUBSTITUTE($A64,CHAR(160)," ")),'TRANS'!$D:$D,0)),IFERROR(INDEX('Manual Matches'!$C:$C,MATCH($A64,'Manual Matches'!$B:$B,0)),"")))</f>
        <v>4408231</v>
      </c>
      <c r="F64" s="6" t="str">
        <f aca="false">IF($E64="","Unmatched",IF(COUNTIF('Manual Matches'!$B:$B,$A64)&gt;0,"Matched (manual)","Matched"))</f>
        <v>Matched</v>
      </c>
    </row>
    <row r="65" customFormat="false" ht="15" hidden="false" customHeight="false" outlineLevel="0" collapsed="false">
      <c r="A65" s="6" t="s">
        <v>786</v>
      </c>
      <c r="B65" s="6" t="n">
        <v>2025</v>
      </c>
      <c r="C65" s="16" t="n">
        <v>315</v>
      </c>
      <c r="D65" s="17" t="n">
        <v>7695.45</v>
      </c>
      <c r="E65" s="6" t="n">
        <f aca="false">IFERROR(INDEX('TRANS'!$B:$B,MATCH($A65,'TRANS'!$A:$A,0)),IFERROR(INDEX('TRANS'!$B:$B,MATCH(TRIM(SUBSTITUTE($A65,CHAR(160)," ")),'TRANS'!$D:$D,0)),IFERROR(INDEX('Manual Matches'!$C:$C,MATCH($A65,'Manual Matches'!$B:$B,0)),"")))</f>
        <v>4408052</v>
      </c>
      <c r="F65" s="6" t="str">
        <f aca="false">IF($E65="","Unmatched",IF(COUNTIF('Manual Matches'!$B:$B,$A65)&gt;0,"Matched (manual)","Matched"))</f>
        <v>Matched</v>
      </c>
    </row>
    <row r="66" customFormat="false" ht="15" hidden="false" customHeight="false" outlineLevel="0" collapsed="false">
      <c r="A66" s="6" t="s">
        <v>786</v>
      </c>
      <c r="B66" s="6" t="n">
        <v>2026</v>
      </c>
      <c r="C66" s="16" t="n">
        <v>83</v>
      </c>
      <c r="D66" s="17" t="n">
        <v>2056.32</v>
      </c>
      <c r="E66" s="6" t="n">
        <f aca="false">IFERROR(INDEX('TRANS'!$B:$B,MATCH($A66,'TRANS'!$A:$A,0)),IFERROR(INDEX('TRANS'!$B:$B,MATCH(TRIM(SUBSTITUTE($A66,CHAR(160)," ")),'TRANS'!$D:$D,0)),IFERROR(INDEX('Manual Matches'!$C:$C,MATCH($A66,'Manual Matches'!$B:$B,0)),"")))</f>
        <v>4408052</v>
      </c>
      <c r="F66" s="6" t="str">
        <f aca="false">IF($E66="","Unmatched",IF(COUNTIF('Manual Matches'!$B:$B,$A66)&gt;0,"Matched (manual)","Matched"))</f>
        <v>Matched</v>
      </c>
    </row>
    <row r="67" customFormat="false" ht="15" hidden="false" customHeight="false" outlineLevel="0" collapsed="false">
      <c r="A67" s="6" t="s">
        <v>714</v>
      </c>
      <c r="B67" s="6" t="n">
        <v>2025</v>
      </c>
      <c r="C67" s="16" t="n">
        <v>163</v>
      </c>
      <c r="D67" s="17" t="n">
        <v>2089.66</v>
      </c>
      <c r="E67" s="6" t="n">
        <f aca="false">IFERROR(INDEX('TRANS'!$B:$B,MATCH($A67,'TRANS'!$A:$A,0)),IFERROR(INDEX('TRANS'!$B:$B,MATCH(TRIM(SUBSTITUTE($A67,CHAR(160)," ")),'TRANS'!$D:$D,0)),IFERROR(INDEX('Manual Matches'!$C:$C,MATCH($A67,'Manual Matches'!$B:$B,0)),"")))</f>
        <v>4402007</v>
      </c>
      <c r="F67" s="6" t="str">
        <f aca="false">IF($E67="","Unmatched",IF(COUNTIF('Manual Matches'!$B:$B,$A67)&gt;0,"Matched (manual)","Matched"))</f>
        <v>Matched</v>
      </c>
    </row>
    <row r="68" customFormat="false" ht="15" hidden="false" customHeight="false" outlineLevel="0" collapsed="false">
      <c r="A68" s="6" t="s">
        <v>714</v>
      </c>
      <c r="B68" s="6" t="n">
        <v>2026</v>
      </c>
      <c r="C68" s="16" t="n">
        <v>34</v>
      </c>
      <c r="D68" s="17" t="n">
        <v>435.88</v>
      </c>
      <c r="E68" s="6" t="n">
        <f aca="false">IFERROR(INDEX('TRANS'!$B:$B,MATCH($A68,'TRANS'!$A:$A,0)),IFERROR(INDEX('TRANS'!$B:$B,MATCH(TRIM(SUBSTITUTE($A68,CHAR(160)," ")),'TRANS'!$D:$D,0)),IFERROR(INDEX('Manual Matches'!$C:$C,MATCH($A68,'Manual Matches'!$B:$B,0)),"")))</f>
        <v>4402007</v>
      </c>
      <c r="F68" s="6" t="str">
        <f aca="false">IF($E68="","Unmatched",IF(COUNTIF('Manual Matches'!$B:$B,$A68)&gt;0,"Matched (manual)","Matched"))</f>
        <v>Matched</v>
      </c>
    </row>
    <row r="69" customFormat="false" ht="15" hidden="false" customHeight="false" outlineLevel="0" collapsed="false">
      <c r="A69" s="6" t="s">
        <v>908</v>
      </c>
      <c r="B69" s="6" t="n">
        <v>2025</v>
      </c>
      <c r="C69" s="16" t="n">
        <v>320</v>
      </c>
      <c r="D69" s="17" t="n">
        <v>9257.6</v>
      </c>
      <c r="E69" s="6" t="n">
        <f aca="false">IFERROR(INDEX('TRANS'!$B:$B,MATCH($A69,'TRANS'!$A:$A,0)),IFERROR(INDEX('TRANS'!$B:$B,MATCH(TRIM(SUBSTITUTE($A69,CHAR(160)," ")),'TRANS'!$D:$D,0)),IFERROR(INDEX('Manual Matches'!$C:$C,MATCH($A69,'Manual Matches'!$B:$B,0)),"")))</f>
        <v>4413043</v>
      </c>
      <c r="F69" s="6" t="str">
        <f aca="false">IF($E69="","Unmatched",IF(COUNTIF('Manual Matches'!$B:$B,$A69)&gt;0,"Matched (manual)","Matched"))</f>
        <v>Matched</v>
      </c>
    </row>
    <row r="70" customFormat="false" ht="15" hidden="false" customHeight="false" outlineLevel="0" collapsed="false">
      <c r="A70" s="6" t="s">
        <v>908</v>
      </c>
      <c r="B70" s="6" t="n">
        <v>2026</v>
      </c>
      <c r="C70" s="16" t="n">
        <v>102</v>
      </c>
      <c r="D70" s="17" t="n">
        <v>2950.86</v>
      </c>
      <c r="E70" s="6" t="n">
        <f aca="false">IFERROR(INDEX('TRANS'!$B:$B,MATCH($A70,'TRANS'!$A:$A,0)),IFERROR(INDEX('TRANS'!$B:$B,MATCH(TRIM(SUBSTITUTE($A70,CHAR(160)," ")),'TRANS'!$D:$D,0)),IFERROR(INDEX('Manual Matches'!$C:$C,MATCH($A70,'Manual Matches'!$B:$B,0)),"")))</f>
        <v>4413043</v>
      </c>
      <c r="F70" s="6" t="str">
        <f aca="false">IF($E70="","Unmatched",IF(COUNTIF('Manual Matches'!$B:$B,$A70)&gt;0,"Matched (manual)","Matched"))</f>
        <v>Matched</v>
      </c>
    </row>
    <row r="71" customFormat="false" ht="15" hidden="false" customHeight="false" outlineLevel="0" collapsed="false">
      <c r="A71" s="6" t="s">
        <v>910</v>
      </c>
      <c r="B71" s="6" t="n">
        <v>2025</v>
      </c>
      <c r="C71" s="16" t="n">
        <v>289</v>
      </c>
      <c r="D71" s="17" t="n">
        <v>8360.77</v>
      </c>
      <c r="E71" s="6" t="n">
        <f aca="false">IFERROR(INDEX('TRANS'!$B:$B,MATCH($A71,'TRANS'!$A:$A,0)),IFERROR(INDEX('TRANS'!$B:$B,MATCH(TRIM(SUBSTITUTE($A71,CHAR(160)," ")),'TRANS'!$D:$D,0)),IFERROR(INDEX('Manual Matches'!$C:$C,MATCH($A71,'Manual Matches'!$B:$B,0)),"")))</f>
        <v>4413041</v>
      </c>
      <c r="F71" s="6" t="str">
        <f aca="false">IF($E71="","Unmatched",IF(COUNTIF('Manual Matches'!$B:$B,$A71)&gt;0,"Matched (manual)","Matched"))</f>
        <v>Matched</v>
      </c>
    </row>
    <row r="72" customFormat="false" ht="15" hidden="false" customHeight="false" outlineLevel="0" collapsed="false">
      <c r="A72" s="6" t="s">
        <v>910</v>
      </c>
      <c r="B72" s="6" t="n">
        <v>2026</v>
      </c>
      <c r="C72" s="16" t="n">
        <v>66</v>
      </c>
      <c r="D72" s="17" t="n">
        <v>1909.38</v>
      </c>
      <c r="E72" s="6" t="n">
        <f aca="false">IFERROR(INDEX('TRANS'!$B:$B,MATCH($A72,'TRANS'!$A:$A,0)),IFERROR(INDEX('TRANS'!$B:$B,MATCH(TRIM(SUBSTITUTE($A72,CHAR(160)," ")),'TRANS'!$D:$D,0)),IFERROR(INDEX('Manual Matches'!$C:$C,MATCH($A72,'Manual Matches'!$B:$B,0)),"")))</f>
        <v>4413041</v>
      </c>
      <c r="F72" s="6" t="str">
        <f aca="false">IF($E72="","Unmatched",IF(COUNTIF('Manual Matches'!$B:$B,$A72)&gt;0,"Matched (manual)","Matched"))</f>
        <v>Matched</v>
      </c>
    </row>
    <row r="73" customFormat="false" ht="15" hidden="false" customHeight="false" outlineLevel="0" collapsed="false">
      <c r="A73" s="6" t="s">
        <v>912</v>
      </c>
      <c r="B73" s="6" t="n">
        <v>2025</v>
      </c>
      <c r="C73" s="16" t="n">
        <v>119</v>
      </c>
      <c r="D73" s="17" t="n">
        <v>3442.67</v>
      </c>
      <c r="E73" s="6" t="n">
        <f aca="false">IFERROR(INDEX('TRANS'!$B:$B,MATCH($A73,'TRANS'!$A:$A,0)),IFERROR(INDEX('TRANS'!$B:$B,MATCH(TRIM(SUBSTITUTE($A73,CHAR(160)," ")),'TRANS'!$D:$D,0)),IFERROR(INDEX('Manual Matches'!$C:$C,MATCH($A73,'Manual Matches'!$B:$B,0)),"")))</f>
        <v>4413042</v>
      </c>
      <c r="F73" s="6" t="str">
        <f aca="false">IF($E73="","Unmatched",IF(COUNTIF('Manual Matches'!$B:$B,$A73)&gt;0,"Matched (manual)","Matched"))</f>
        <v>Matched</v>
      </c>
    </row>
    <row r="74" customFormat="false" ht="15" hidden="false" customHeight="false" outlineLevel="0" collapsed="false">
      <c r="A74" s="6" t="s">
        <v>912</v>
      </c>
      <c r="B74" s="6" t="n">
        <v>2026</v>
      </c>
      <c r="C74" s="16" t="n">
        <v>28</v>
      </c>
      <c r="D74" s="17" t="n">
        <v>810.04</v>
      </c>
      <c r="E74" s="6" t="n">
        <f aca="false">IFERROR(INDEX('TRANS'!$B:$B,MATCH($A74,'TRANS'!$A:$A,0)),IFERROR(INDEX('TRANS'!$B:$B,MATCH(TRIM(SUBSTITUTE($A74,CHAR(160)," ")),'TRANS'!$D:$D,0)),IFERROR(INDEX('Manual Matches'!$C:$C,MATCH($A74,'Manual Matches'!$B:$B,0)),"")))</f>
        <v>4413042</v>
      </c>
      <c r="F74" s="6" t="str">
        <f aca="false">IF($E74="","Unmatched",IF(COUNTIF('Manual Matches'!$B:$B,$A74)&gt;0,"Matched (manual)","Matched"))</f>
        <v>Matched</v>
      </c>
    </row>
    <row r="75" customFormat="false" ht="15" hidden="false" customHeight="false" outlineLevel="0" collapsed="false">
      <c r="A75" s="6" t="s">
        <v>914</v>
      </c>
      <c r="B75" s="6" t="n">
        <v>2025</v>
      </c>
      <c r="C75" s="16" t="n">
        <v>192</v>
      </c>
      <c r="D75" s="17" t="n">
        <v>5554.56</v>
      </c>
      <c r="E75" s="6" t="n">
        <f aca="false">IFERROR(INDEX('TRANS'!$B:$B,MATCH($A75,'TRANS'!$A:$A,0)),IFERROR(INDEX('TRANS'!$B:$B,MATCH(TRIM(SUBSTITUTE($A75,CHAR(160)," ")),'TRANS'!$D:$D,0)),IFERROR(INDEX('Manual Matches'!$C:$C,MATCH($A75,'Manual Matches'!$B:$B,0)),"")))</f>
        <v>4413044</v>
      </c>
      <c r="F75" s="6" t="str">
        <f aca="false">IF($E75="","Unmatched",IF(COUNTIF('Manual Matches'!$B:$B,$A75)&gt;0,"Matched (manual)","Matched"))</f>
        <v>Matched</v>
      </c>
    </row>
    <row r="76" customFormat="false" ht="15" hidden="false" customHeight="false" outlineLevel="0" collapsed="false">
      <c r="A76" s="6" t="s">
        <v>914</v>
      </c>
      <c r="B76" s="6" t="n">
        <v>2026</v>
      </c>
      <c r="C76" s="16" t="n">
        <v>56</v>
      </c>
      <c r="D76" s="17" t="n">
        <v>1620.08</v>
      </c>
      <c r="E76" s="6" t="n">
        <f aca="false">IFERROR(INDEX('TRANS'!$B:$B,MATCH($A76,'TRANS'!$A:$A,0)),IFERROR(INDEX('TRANS'!$B:$B,MATCH(TRIM(SUBSTITUTE($A76,CHAR(160)," ")),'TRANS'!$D:$D,0)),IFERROR(INDEX('Manual Matches'!$C:$C,MATCH($A76,'Manual Matches'!$B:$B,0)),"")))</f>
        <v>4413044</v>
      </c>
      <c r="F76" s="6" t="str">
        <f aca="false">IF($E76="","Unmatched",IF(COUNTIF('Manual Matches'!$B:$B,$A76)&gt;0,"Matched (manual)","Matched"))</f>
        <v>Matched</v>
      </c>
    </row>
    <row r="77" customFormat="false" ht="15" hidden="false" customHeight="false" outlineLevel="0" collapsed="false">
      <c r="A77" s="6" t="s">
        <v>918</v>
      </c>
      <c r="B77" s="6" t="n">
        <v>2025</v>
      </c>
      <c r="C77" s="16" t="n">
        <v>105</v>
      </c>
      <c r="D77" s="17" t="n">
        <v>4427.85</v>
      </c>
      <c r="E77" s="6" t="n">
        <f aca="false">IFERROR(INDEX('TRANS'!$B:$B,MATCH($A77,'TRANS'!$A:$A,0)),IFERROR(INDEX('TRANS'!$B:$B,MATCH(TRIM(SUBSTITUTE($A77,CHAR(160)," ")),'TRANS'!$D:$D,0)),IFERROR(INDEX('Manual Matches'!$C:$C,MATCH($A77,'Manual Matches'!$B:$B,0)),"")))</f>
        <v>4413161</v>
      </c>
      <c r="F77" s="6" t="str">
        <f aca="false">IF($E77="","Unmatched",IF(COUNTIF('Manual Matches'!$B:$B,$A77)&gt;0,"Matched (manual)","Matched"))</f>
        <v>Matched</v>
      </c>
    </row>
    <row r="78" customFormat="false" ht="15" hidden="false" customHeight="false" outlineLevel="0" collapsed="false">
      <c r="A78" s="6" t="s">
        <v>918</v>
      </c>
      <c r="B78" s="6" t="n">
        <v>2026</v>
      </c>
      <c r="C78" s="16" t="n">
        <v>42</v>
      </c>
      <c r="D78" s="17" t="n">
        <v>1771.14</v>
      </c>
      <c r="E78" s="6" t="n">
        <f aca="false">IFERROR(INDEX('TRANS'!$B:$B,MATCH($A78,'TRANS'!$A:$A,0)),IFERROR(INDEX('TRANS'!$B:$B,MATCH(TRIM(SUBSTITUTE($A78,CHAR(160)," ")),'TRANS'!$D:$D,0)),IFERROR(INDEX('Manual Matches'!$C:$C,MATCH($A78,'Manual Matches'!$B:$B,0)),"")))</f>
        <v>4413161</v>
      </c>
      <c r="F78" s="6" t="str">
        <f aca="false">IF($E78="","Unmatched",IF(COUNTIF('Manual Matches'!$B:$B,$A78)&gt;0,"Matched (manual)","Matched"))</f>
        <v>Matched</v>
      </c>
    </row>
    <row r="79" customFormat="false" ht="15" hidden="false" customHeight="false" outlineLevel="0" collapsed="false">
      <c r="A79" s="6" t="s">
        <v>922</v>
      </c>
      <c r="B79" s="6" t="n">
        <v>2025</v>
      </c>
      <c r="C79" s="16" t="n">
        <v>31</v>
      </c>
      <c r="D79" s="17" t="n">
        <v>1307.27</v>
      </c>
      <c r="E79" s="6" t="n">
        <f aca="false">IFERROR(INDEX('TRANS'!$B:$B,MATCH($A79,'TRANS'!$A:$A,0)),IFERROR(INDEX('TRANS'!$B:$B,MATCH(TRIM(SUBSTITUTE($A79,CHAR(160)," ")),'TRANS'!$D:$D,0)),IFERROR(INDEX('Manual Matches'!$C:$C,MATCH($A79,'Manual Matches'!$B:$B,0)),"")))</f>
        <v>4413159</v>
      </c>
      <c r="F79" s="6" t="str">
        <f aca="false">IF($E79="","Unmatched",IF(COUNTIF('Manual Matches'!$B:$B,$A79)&gt;0,"Matched (manual)","Matched"))</f>
        <v>Matched</v>
      </c>
    </row>
    <row r="80" customFormat="false" ht="15" hidden="false" customHeight="false" outlineLevel="0" collapsed="false">
      <c r="A80" s="6" t="s">
        <v>922</v>
      </c>
      <c r="B80" s="6" t="n">
        <v>2026</v>
      </c>
      <c r="C80" s="16" t="n">
        <v>14</v>
      </c>
      <c r="D80" s="17" t="n">
        <v>590.38</v>
      </c>
      <c r="E80" s="6" t="n">
        <f aca="false">IFERROR(INDEX('TRANS'!$B:$B,MATCH($A80,'TRANS'!$A:$A,0)),IFERROR(INDEX('TRANS'!$B:$B,MATCH(TRIM(SUBSTITUTE($A80,CHAR(160)," ")),'TRANS'!$D:$D,0)),IFERROR(INDEX('Manual Matches'!$C:$C,MATCH($A80,'Manual Matches'!$B:$B,0)),"")))</f>
        <v>4413159</v>
      </c>
      <c r="F80" s="6" t="str">
        <f aca="false">IF($E80="","Unmatched",IF(COUNTIF('Manual Matches'!$B:$B,$A80)&gt;0,"Matched (manual)","Matched"))</f>
        <v>Matched</v>
      </c>
    </row>
    <row r="81" customFormat="false" ht="15" hidden="false" customHeight="false" outlineLevel="0" collapsed="false">
      <c r="A81" s="6" t="s">
        <v>924</v>
      </c>
      <c r="B81" s="6" t="n">
        <v>2025</v>
      </c>
      <c r="C81" s="16" t="n">
        <v>100</v>
      </c>
      <c r="D81" s="17" t="n">
        <v>4217</v>
      </c>
      <c r="E81" s="6" t="n">
        <f aca="false">IFERROR(INDEX('TRANS'!$B:$B,MATCH($A81,'TRANS'!$A:$A,0)),IFERROR(INDEX('TRANS'!$B:$B,MATCH(TRIM(SUBSTITUTE($A81,CHAR(160)," ")),'TRANS'!$D:$D,0)),IFERROR(INDEX('Manual Matches'!$C:$C,MATCH($A81,'Manual Matches'!$B:$B,0)),"")))</f>
        <v>4413162</v>
      </c>
      <c r="F81" s="6" t="str">
        <f aca="false">IF($E81="","Unmatched",IF(COUNTIF('Manual Matches'!$B:$B,$A81)&gt;0,"Matched (manual)","Matched"))</f>
        <v>Matched</v>
      </c>
    </row>
    <row r="82" customFormat="false" ht="15" hidden="false" customHeight="false" outlineLevel="0" collapsed="false">
      <c r="A82" s="6" t="s">
        <v>924</v>
      </c>
      <c r="B82" s="6" t="n">
        <v>2026</v>
      </c>
      <c r="C82" s="16" t="n">
        <v>17</v>
      </c>
      <c r="D82" s="17" t="n">
        <v>716.89</v>
      </c>
      <c r="E82" s="6" t="n">
        <f aca="false">IFERROR(INDEX('TRANS'!$B:$B,MATCH($A82,'TRANS'!$A:$A,0)),IFERROR(INDEX('TRANS'!$B:$B,MATCH(TRIM(SUBSTITUTE($A82,CHAR(160)," ")),'TRANS'!$D:$D,0)),IFERROR(INDEX('Manual Matches'!$C:$C,MATCH($A82,'Manual Matches'!$B:$B,0)),"")))</f>
        <v>4413162</v>
      </c>
      <c r="F82" s="6" t="str">
        <f aca="false">IF($E82="","Unmatched",IF(COUNTIF('Manual Matches'!$B:$B,$A82)&gt;0,"Matched (manual)","Matched"))</f>
        <v>Matched</v>
      </c>
    </row>
    <row r="83" customFormat="false" ht="15" hidden="false" customHeight="false" outlineLevel="0" collapsed="false">
      <c r="A83" s="6" t="s">
        <v>928</v>
      </c>
      <c r="B83" s="6" t="n">
        <v>2025</v>
      </c>
      <c r="C83" s="16" t="n">
        <v>235</v>
      </c>
      <c r="D83" s="17" t="n">
        <v>3995</v>
      </c>
      <c r="E83" s="6" t="n">
        <f aca="false">IFERROR(INDEX('TRANS'!$B:$B,MATCH($A83,'TRANS'!$A:$A,0)),IFERROR(INDEX('TRANS'!$B:$B,MATCH(TRIM(SUBSTITUTE($A83,CHAR(160)," ")),'TRANS'!$D:$D,0)),IFERROR(INDEX('Manual Matches'!$C:$C,MATCH($A83,'Manual Matches'!$B:$B,0)),"")))</f>
        <v>4413048</v>
      </c>
      <c r="F83" s="6" t="str">
        <f aca="false">IF($E83="","Unmatched",IF(COUNTIF('Manual Matches'!$B:$B,$A83)&gt;0,"Matched (manual)","Matched"))</f>
        <v>Matched</v>
      </c>
    </row>
    <row r="84" customFormat="false" ht="15" hidden="false" customHeight="false" outlineLevel="0" collapsed="false">
      <c r="A84" s="6" t="s">
        <v>928</v>
      </c>
      <c r="B84" s="6" t="n">
        <v>2026</v>
      </c>
      <c r="C84" s="16" t="n">
        <v>91</v>
      </c>
      <c r="D84" s="17" t="n">
        <v>1547</v>
      </c>
      <c r="E84" s="6" t="n">
        <f aca="false">IFERROR(INDEX('TRANS'!$B:$B,MATCH($A84,'TRANS'!$A:$A,0)),IFERROR(INDEX('TRANS'!$B:$B,MATCH(TRIM(SUBSTITUTE($A84,CHAR(160)," ")),'TRANS'!$D:$D,0)),IFERROR(INDEX('Manual Matches'!$C:$C,MATCH($A84,'Manual Matches'!$B:$B,0)),"")))</f>
        <v>4413048</v>
      </c>
      <c r="F84" s="6" t="str">
        <f aca="false">IF($E84="","Unmatched",IF(COUNTIF('Manual Matches'!$B:$B,$A84)&gt;0,"Matched (manual)","Matched"))</f>
        <v>Matched</v>
      </c>
    </row>
    <row r="85" customFormat="false" ht="15" hidden="false" customHeight="false" outlineLevel="0" collapsed="false">
      <c r="A85" s="6" t="s">
        <v>930</v>
      </c>
      <c r="B85" s="6" t="n">
        <v>2025</v>
      </c>
      <c r="C85" s="16" t="n">
        <v>275</v>
      </c>
      <c r="D85" s="17" t="n">
        <v>4675</v>
      </c>
      <c r="E85" s="6" t="n">
        <f aca="false">IFERROR(INDEX('TRANS'!$B:$B,MATCH($A85,'TRANS'!$A:$A,0)),IFERROR(INDEX('TRANS'!$B:$B,MATCH(TRIM(SUBSTITUTE($A85,CHAR(160)," ")),'TRANS'!$D:$D,0)),IFERROR(INDEX('Manual Matches'!$C:$C,MATCH($A85,'Manual Matches'!$B:$B,0)),"")))</f>
        <v>4413049</v>
      </c>
      <c r="F85" s="6" t="str">
        <f aca="false">IF($E85="","Unmatched",IF(COUNTIF('Manual Matches'!$B:$B,$A85)&gt;0,"Matched (manual)","Matched"))</f>
        <v>Matched</v>
      </c>
    </row>
    <row r="86" customFormat="false" ht="15" hidden="false" customHeight="false" outlineLevel="0" collapsed="false">
      <c r="A86" s="6" t="s">
        <v>930</v>
      </c>
      <c r="B86" s="6" t="n">
        <v>2026</v>
      </c>
      <c r="C86" s="16" t="n">
        <v>79</v>
      </c>
      <c r="D86" s="17" t="n">
        <v>1343</v>
      </c>
      <c r="E86" s="6" t="n">
        <f aca="false">IFERROR(INDEX('TRANS'!$B:$B,MATCH($A86,'TRANS'!$A:$A,0)),IFERROR(INDEX('TRANS'!$B:$B,MATCH(TRIM(SUBSTITUTE($A86,CHAR(160)," ")),'TRANS'!$D:$D,0)),IFERROR(INDEX('Manual Matches'!$C:$C,MATCH($A86,'Manual Matches'!$B:$B,0)),"")))</f>
        <v>4413049</v>
      </c>
      <c r="F86" s="6" t="str">
        <f aca="false">IF($E86="","Unmatched",IF(COUNTIF('Manual Matches'!$B:$B,$A86)&gt;0,"Matched (manual)","Matched"))</f>
        <v>Matched</v>
      </c>
    </row>
    <row r="87" customFormat="false" ht="15" hidden="false" customHeight="false" outlineLevel="0" collapsed="false">
      <c r="A87" s="6" t="s">
        <v>932</v>
      </c>
      <c r="B87" s="6" t="n">
        <v>2025</v>
      </c>
      <c r="C87" s="16" t="n">
        <v>95</v>
      </c>
      <c r="D87" s="17" t="n">
        <v>1615</v>
      </c>
      <c r="E87" s="6" t="n">
        <f aca="false">IFERROR(INDEX('TRANS'!$B:$B,MATCH($A87,'TRANS'!$A:$A,0)),IFERROR(INDEX('TRANS'!$B:$B,MATCH(TRIM(SUBSTITUTE($A87,CHAR(160)," ")),'TRANS'!$D:$D,0)),IFERROR(INDEX('Manual Matches'!$C:$C,MATCH($A87,'Manual Matches'!$B:$B,0)),"")))</f>
        <v>4413047</v>
      </c>
      <c r="F87" s="6" t="str">
        <f aca="false">IF($E87="","Unmatched",IF(COUNTIF('Manual Matches'!$B:$B,$A87)&gt;0,"Matched (manual)","Matched"))</f>
        <v>Matched</v>
      </c>
    </row>
    <row r="88" customFormat="false" ht="15" hidden="false" customHeight="false" outlineLevel="0" collapsed="false">
      <c r="A88" s="6" t="s">
        <v>932</v>
      </c>
      <c r="B88" s="6" t="n">
        <v>2026</v>
      </c>
      <c r="C88" s="16" t="n">
        <v>38</v>
      </c>
      <c r="D88" s="17" t="n">
        <v>646</v>
      </c>
      <c r="E88" s="6" t="n">
        <f aca="false">IFERROR(INDEX('TRANS'!$B:$B,MATCH($A88,'TRANS'!$A:$A,0)),IFERROR(INDEX('TRANS'!$B:$B,MATCH(TRIM(SUBSTITUTE($A88,CHAR(160)," ")),'TRANS'!$D:$D,0)),IFERROR(INDEX('Manual Matches'!$C:$C,MATCH($A88,'Manual Matches'!$B:$B,0)),"")))</f>
        <v>4413047</v>
      </c>
      <c r="F88" s="6" t="str">
        <f aca="false">IF($E88="","Unmatched",IF(COUNTIF('Manual Matches'!$B:$B,$A88)&gt;0,"Matched (manual)","Matched"))</f>
        <v>Matched</v>
      </c>
    </row>
    <row r="89" customFormat="false" ht="15" hidden="false" customHeight="false" outlineLevel="0" collapsed="false">
      <c r="A89" s="6" t="s">
        <v>934</v>
      </c>
      <c r="B89" s="6" t="n">
        <v>2025</v>
      </c>
      <c r="C89" s="16" t="n">
        <v>226</v>
      </c>
      <c r="D89" s="17" t="n">
        <v>3842</v>
      </c>
      <c r="E89" s="6" t="n">
        <f aca="false">IFERROR(INDEX('TRANS'!$B:$B,MATCH($A89,'TRANS'!$A:$A,0)),IFERROR(INDEX('TRANS'!$B:$B,MATCH(TRIM(SUBSTITUTE($A89,CHAR(160)," ")),'TRANS'!$D:$D,0)),IFERROR(INDEX('Manual Matches'!$C:$C,MATCH($A89,'Manual Matches'!$B:$B,0)),"")))</f>
        <v>4413050</v>
      </c>
      <c r="F89" s="6" t="str">
        <f aca="false">IF($E89="","Unmatched",IF(COUNTIF('Manual Matches'!$B:$B,$A89)&gt;0,"Matched (manual)","Matched"))</f>
        <v>Matched</v>
      </c>
    </row>
    <row r="90" customFormat="false" ht="15" hidden="false" customHeight="false" outlineLevel="0" collapsed="false">
      <c r="A90" s="6" t="s">
        <v>934</v>
      </c>
      <c r="B90" s="6" t="n">
        <v>2026</v>
      </c>
      <c r="C90" s="16" t="n">
        <v>36</v>
      </c>
      <c r="D90" s="17" t="n">
        <v>612</v>
      </c>
      <c r="E90" s="6" t="n">
        <f aca="false">IFERROR(INDEX('TRANS'!$B:$B,MATCH($A90,'TRANS'!$A:$A,0)),IFERROR(INDEX('TRANS'!$B:$B,MATCH(TRIM(SUBSTITUTE($A90,CHAR(160)," ")),'TRANS'!$D:$D,0)),IFERROR(INDEX('Manual Matches'!$C:$C,MATCH($A90,'Manual Matches'!$B:$B,0)),"")))</f>
        <v>4413050</v>
      </c>
      <c r="F90" s="6" t="str">
        <f aca="false">IF($E90="","Unmatched",IF(COUNTIF('Manual Matches'!$B:$B,$A90)&gt;0,"Matched (manual)","Matched"))</f>
        <v>Matched</v>
      </c>
    </row>
    <row r="91" customFormat="false" ht="15" hidden="false" customHeight="false" outlineLevel="0" collapsed="false">
      <c r="A91" s="6" t="s">
        <v>720</v>
      </c>
      <c r="B91" s="6" t="n">
        <v>2025</v>
      </c>
      <c r="C91" s="16" t="n">
        <v>136</v>
      </c>
      <c r="D91" s="17" t="n">
        <v>2709.12</v>
      </c>
      <c r="E91" s="6" t="n">
        <f aca="false">IFERROR(INDEX('TRANS'!$B:$B,MATCH($A91,'TRANS'!$A:$A,0)),IFERROR(INDEX('TRANS'!$B:$B,MATCH(TRIM(SUBSTITUTE($A91,CHAR(160)," ")),'TRANS'!$D:$D,0)),IFERROR(INDEX('Manual Matches'!$C:$C,MATCH($A91,'Manual Matches'!$B:$B,0)),"")))</f>
        <v>4411001</v>
      </c>
      <c r="F91" s="6" t="str">
        <f aca="false">IF($E91="","Unmatched",IF(COUNTIF('Manual Matches'!$B:$B,$A91)&gt;0,"Matched (manual)","Matched"))</f>
        <v>Matched</v>
      </c>
    </row>
    <row r="92" customFormat="false" ht="15" hidden="false" customHeight="false" outlineLevel="0" collapsed="false">
      <c r="A92" s="6" t="s">
        <v>720</v>
      </c>
      <c r="B92" s="6" t="n">
        <v>2026</v>
      </c>
      <c r="C92" s="16" t="n">
        <v>61</v>
      </c>
      <c r="D92" s="17" t="n">
        <v>1215.12</v>
      </c>
      <c r="E92" s="6" t="n">
        <f aca="false">IFERROR(INDEX('TRANS'!$B:$B,MATCH($A92,'TRANS'!$A:$A,0)),IFERROR(INDEX('TRANS'!$B:$B,MATCH(TRIM(SUBSTITUTE($A92,CHAR(160)," ")),'TRANS'!$D:$D,0)),IFERROR(INDEX('Manual Matches'!$C:$C,MATCH($A92,'Manual Matches'!$B:$B,0)),"")))</f>
        <v>4411001</v>
      </c>
      <c r="F92" s="6" t="str">
        <f aca="false">IF($E92="","Unmatched",IF(COUNTIF('Manual Matches'!$B:$B,$A92)&gt;0,"Matched (manual)","Matched"))</f>
        <v>Matched</v>
      </c>
    </row>
    <row r="93" customFormat="false" ht="15" hidden="false" customHeight="false" outlineLevel="0" collapsed="false">
      <c r="A93" s="6" t="s">
        <v>730</v>
      </c>
      <c r="B93" s="6" t="n">
        <v>2025</v>
      </c>
      <c r="C93" s="16" t="n">
        <v>158</v>
      </c>
      <c r="D93" s="17" t="n">
        <v>1276.64</v>
      </c>
      <c r="E93" s="6" t="n">
        <f aca="false">IFERROR(INDEX('TRANS'!$B:$B,MATCH($A93,'TRANS'!$A:$A,0)),IFERROR(INDEX('TRANS'!$B:$B,MATCH(TRIM(SUBSTITUTE($A93,CHAR(160)," ")),'TRANS'!$D:$D,0)),IFERROR(INDEX('Manual Matches'!$C:$C,MATCH($A93,'Manual Matches'!$B:$B,0)),"")))</f>
        <v>4409001</v>
      </c>
      <c r="F93" s="6" t="str">
        <f aca="false">IF($E93="","Unmatched",IF(COUNTIF('Manual Matches'!$B:$B,$A93)&gt;0,"Matched (manual)","Matched"))</f>
        <v>Matched</v>
      </c>
    </row>
    <row r="94" customFormat="false" ht="15" hidden="false" customHeight="false" outlineLevel="0" collapsed="false">
      <c r="A94" s="6" t="s">
        <v>730</v>
      </c>
      <c r="B94" s="6" t="n">
        <v>2026</v>
      </c>
      <c r="C94" s="16" t="n">
        <v>63</v>
      </c>
      <c r="D94" s="17" t="n">
        <v>509.04</v>
      </c>
      <c r="E94" s="6" t="n">
        <f aca="false">IFERROR(INDEX('TRANS'!$B:$B,MATCH($A94,'TRANS'!$A:$A,0)),IFERROR(INDEX('TRANS'!$B:$B,MATCH(TRIM(SUBSTITUTE($A94,CHAR(160)," ")),'TRANS'!$D:$D,0)),IFERROR(INDEX('Manual Matches'!$C:$C,MATCH($A94,'Manual Matches'!$B:$B,0)),"")))</f>
        <v>4409001</v>
      </c>
      <c r="F94" s="6" t="str">
        <f aca="false">IF($E94="","Unmatched",IF(COUNTIF('Manual Matches'!$B:$B,$A94)&gt;0,"Matched (manual)","Matched"))</f>
        <v>Matched</v>
      </c>
    </row>
    <row r="95" customFormat="false" ht="15" hidden="false" customHeight="false" outlineLevel="0" collapsed="false">
      <c r="A95" s="6" t="s">
        <v>736</v>
      </c>
      <c r="B95" s="6" t="n">
        <v>2025</v>
      </c>
      <c r="C95" s="16" t="n">
        <v>76</v>
      </c>
      <c r="D95" s="17" t="n">
        <v>2941.2</v>
      </c>
      <c r="E95" s="6" t="n">
        <f aca="false">IFERROR(INDEX('TRANS'!$B:$B,MATCH($A95,'TRANS'!$A:$A,0)),IFERROR(INDEX('TRANS'!$B:$B,MATCH(TRIM(SUBSTITUTE($A95,CHAR(160)," ")),'TRANS'!$D:$D,0)),IFERROR(INDEX('Manual Matches'!$C:$C,MATCH($A95,'Manual Matches'!$B:$B,0)),"")))</f>
        <v>4413340</v>
      </c>
      <c r="F95" s="6" t="str">
        <f aca="false">IF($E95="","Unmatched",IF(COUNTIF('Manual Matches'!$B:$B,$A95)&gt;0,"Matched (manual)","Matched"))</f>
        <v>Matched</v>
      </c>
    </row>
    <row r="96" customFormat="false" ht="15" hidden="false" customHeight="false" outlineLevel="0" collapsed="false">
      <c r="A96" s="6" t="s">
        <v>736</v>
      </c>
      <c r="B96" s="6" t="n">
        <v>2026</v>
      </c>
      <c r="C96" s="16" t="n">
        <v>17</v>
      </c>
      <c r="D96" s="17" t="n">
        <v>657.9</v>
      </c>
      <c r="E96" s="6" t="n">
        <f aca="false">IFERROR(INDEX('TRANS'!$B:$B,MATCH($A96,'TRANS'!$A:$A,0)),IFERROR(INDEX('TRANS'!$B:$B,MATCH(TRIM(SUBSTITUTE($A96,CHAR(160)," ")),'TRANS'!$D:$D,0)),IFERROR(INDEX('Manual Matches'!$C:$C,MATCH($A96,'Manual Matches'!$B:$B,0)),"")))</f>
        <v>4413340</v>
      </c>
      <c r="F96" s="6" t="str">
        <f aca="false">IF($E96="","Unmatched",IF(COUNTIF('Manual Matches'!$B:$B,$A96)&gt;0,"Matched (manual)","Matched"))</f>
        <v>Matched</v>
      </c>
    </row>
    <row r="97" customFormat="false" ht="15" hidden="false" customHeight="false" outlineLevel="0" collapsed="false">
      <c r="A97" s="6" t="s">
        <v>738</v>
      </c>
      <c r="B97" s="6" t="n">
        <v>2025</v>
      </c>
      <c r="C97" s="16" t="n">
        <v>151</v>
      </c>
      <c r="D97" s="17" t="n">
        <v>1710.83</v>
      </c>
      <c r="E97" s="6" t="n">
        <f aca="false">IFERROR(INDEX('TRANS'!$B:$B,MATCH($A97,'TRANS'!$A:$A,0)),IFERROR(INDEX('TRANS'!$B:$B,MATCH(TRIM(SUBSTITUTE($A97,CHAR(160)," ")),'TRANS'!$D:$D,0)),IFERROR(INDEX('Manual Matches'!$C:$C,MATCH($A97,'Manual Matches'!$B:$B,0)),"")))</f>
        <v>4413063</v>
      </c>
      <c r="F97" s="6" t="str">
        <f aca="false">IF($E97="","Unmatched",IF(COUNTIF('Manual Matches'!$B:$B,$A97)&gt;0,"Matched (manual)","Matched"))</f>
        <v>Matched</v>
      </c>
    </row>
    <row r="98" customFormat="false" ht="15" hidden="false" customHeight="false" outlineLevel="0" collapsed="false">
      <c r="A98" s="6" t="s">
        <v>738</v>
      </c>
      <c r="B98" s="6" t="n">
        <v>2026</v>
      </c>
      <c r="C98" s="16" t="n">
        <v>23</v>
      </c>
      <c r="D98" s="17" t="n">
        <v>260.59</v>
      </c>
      <c r="E98" s="6" t="n">
        <f aca="false">IFERROR(INDEX('TRANS'!$B:$B,MATCH($A98,'TRANS'!$A:$A,0)),IFERROR(INDEX('TRANS'!$B:$B,MATCH(TRIM(SUBSTITUTE($A98,CHAR(160)," ")),'TRANS'!$D:$D,0)),IFERROR(INDEX('Manual Matches'!$C:$C,MATCH($A98,'Manual Matches'!$B:$B,0)),"")))</f>
        <v>4413063</v>
      </c>
      <c r="F98" s="6" t="str">
        <f aca="false">IF($E98="","Unmatched",IF(COUNTIF('Manual Matches'!$B:$B,$A98)&gt;0,"Matched (manual)","Matched"))</f>
        <v>Matched</v>
      </c>
    </row>
    <row r="99" customFormat="false" ht="15" hidden="false" customHeight="false" outlineLevel="0" collapsed="false">
      <c r="A99" s="6" t="s">
        <v>742</v>
      </c>
      <c r="B99" s="6" t="n">
        <v>2025</v>
      </c>
      <c r="C99" s="16" t="n">
        <v>168</v>
      </c>
      <c r="D99" s="17" t="n">
        <v>4628.4</v>
      </c>
      <c r="E99" s="6" t="n">
        <f aca="false">IFERROR(INDEX('TRANS'!$B:$B,MATCH($A99,'TRANS'!$A:$A,0)),IFERROR(INDEX('TRANS'!$B:$B,MATCH(TRIM(SUBSTITUTE($A99,CHAR(160)," ")),'TRANS'!$D:$D,0)),IFERROR(INDEX('Manual Matches'!$C:$C,MATCH($A99,'Manual Matches'!$B:$B,0)),"")))</f>
        <v>4413370</v>
      </c>
      <c r="F99" s="6" t="str">
        <f aca="false">IF($E99="","Unmatched",IF(COUNTIF('Manual Matches'!$B:$B,$A99)&gt;0,"Matched (manual)","Matched"))</f>
        <v>Matched</v>
      </c>
    </row>
    <row r="100" customFormat="false" ht="15" hidden="false" customHeight="false" outlineLevel="0" collapsed="false">
      <c r="A100" s="6" t="s">
        <v>742</v>
      </c>
      <c r="B100" s="6" t="n">
        <v>2026</v>
      </c>
      <c r="C100" s="16" t="n">
        <v>35</v>
      </c>
      <c r="D100" s="17" t="n">
        <v>964.25</v>
      </c>
      <c r="E100" s="6" t="n">
        <f aca="false">IFERROR(INDEX('TRANS'!$B:$B,MATCH($A100,'TRANS'!$A:$A,0)),IFERROR(INDEX('TRANS'!$B:$B,MATCH(TRIM(SUBSTITUTE($A100,CHAR(160)," ")),'TRANS'!$D:$D,0)),IFERROR(INDEX('Manual Matches'!$C:$C,MATCH($A100,'Manual Matches'!$B:$B,0)),"")))</f>
        <v>4413370</v>
      </c>
      <c r="F100" s="6" t="str">
        <f aca="false">IF($E100="","Unmatched",IF(COUNTIF('Manual Matches'!$B:$B,$A100)&gt;0,"Matched (manual)","Matched"))</f>
        <v>Matched</v>
      </c>
    </row>
    <row r="101" customFormat="false" ht="15" hidden="false" customHeight="false" outlineLevel="0" collapsed="false">
      <c r="A101" s="6" t="s">
        <v>744</v>
      </c>
      <c r="B101" s="6" t="n">
        <v>2025</v>
      </c>
      <c r="C101" s="16" t="n">
        <v>75</v>
      </c>
      <c r="D101" s="17" t="n">
        <v>1518</v>
      </c>
      <c r="E101" s="6" t="n">
        <f aca="false">IFERROR(INDEX('TRANS'!$B:$B,MATCH($A101,'TRANS'!$A:$A,0)),IFERROR(INDEX('TRANS'!$B:$B,MATCH(TRIM(SUBSTITUTE($A101,CHAR(160)," ")),'TRANS'!$D:$D,0)),IFERROR(INDEX('Manual Matches'!$C:$C,MATCH($A101,'Manual Matches'!$B:$B,0)),"")))</f>
        <v>4413371</v>
      </c>
      <c r="F101" s="6" t="str">
        <f aca="false">IF($E101="","Unmatched",IF(COUNTIF('Manual Matches'!$B:$B,$A101)&gt;0,"Matched (manual)","Matched"))</f>
        <v>Matched</v>
      </c>
    </row>
    <row r="102" customFormat="false" ht="15" hidden="false" customHeight="false" outlineLevel="0" collapsed="false">
      <c r="A102" s="6" t="s">
        <v>744</v>
      </c>
      <c r="B102" s="6" t="n">
        <v>2026</v>
      </c>
      <c r="C102" s="16" t="n">
        <v>23</v>
      </c>
      <c r="D102" s="17" t="n">
        <v>465.52</v>
      </c>
      <c r="E102" s="6" t="n">
        <f aca="false">IFERROR(INDEX('TRANS'!$B:$B,MATCH($A102,'TRANS'!$A:$A,0)),IFERROR(INDEX('TRANS'!$B:$B,MATCH(TRIM(SUBSTITUTE($A102,CHAR(160)," ")),'TRANS'!$D:$D,0)),IFERROR(INDEX('Manual Matches'!$C:$C,MATCH($A102,'Manual Matches'!$B:$B,0)),"")))</f>
        <v>4413371</v>
      </c>
      <c r="F102" s="6" t="str">
        <f aca="false">IF($E102="","Unmatched",IF(COUNTIF('Manual Matches'!$B:$B,$A102)&gt;0,"Matched (manual)","Matched"))</f>
        <v>Matched</v>
      </c>
    </row>
    <row r="103" customFormat="false" ht="15" hidden="false" customHeight="false" outlineLevel="0" collapsed="false">
      <c r="A103" s="6" t="s">
        <v>748</v>
      </c>
      <c r="B103" s="6" t="n">
        <v>2025</v>
      </c>
      <c r="C103" s="16" t="n">
        <v>336</v>
      </c>
      <c r="D103" s="17" t="n">
        <v>5987.52</v>
      </c>
      <c r="E103" s="6" t="n">
        <f aca="false">IFERROR(INDEX('TRANS'!$B:$B,MATCH($A103,'TRANS'!$A:$A,0)),IFERROR(INDEX('TRANS'!$B:$B,MATCH(TRIM(SUBSTITUTE($A103,CHAR(160)," ")),'TRANS'!$D:$D,0)),IFERROR(INDEX('Manual Matches'!$C:$C,MATCH($A103,'Manual Matches'!$B:$B,0)),"")))</f>
        <v>4401001</v>
      </c>
      <c r="F103" s="6" t="str">
        <f aca="false">IF($E103="","Unmatched",IF(COUNTIF('Manual Matches'!$B:$B,$A103)&gt;0,"Matched (manual)","Matched"))</f>
        <v>Matched</v>
      </c>
    </row>
    <row r="104" customFormat="false" ht="15" hidden="false" customHeight="false" outlineLevel="0" collapsed="false">
      <c r="A104" s="6" t="s">
        <v>748</v>
      </c>
      <c r="B104" s="6" t="n">
        <v>2026</v>
      </c>
      <c r="C104" s="16" t="n">
        <v>140</v>
      </c>
      <c r="D104" s="17" t="n">
        <v>2494.8</v>
      </c>
      <c r="E104" s="6" t="n">
        <f aca="false">IFERROR(INDEX('TRANS'!$B:$B,MATCH($A104,'TRANS'!$A:$A,0)),IFERROR(INDEX('TRANS'!$B:$B,MATCH(TRIM(SUBSTITUTE($A104,CHAR(160)," ")),'TRANS'!$D:$D,0)),IFERROR(INDEX('Manual Matches'!$C:$C,MATCH($A104,'Manual Matches'!$B:$B,0)),"")))</f>
        <v>4401001</v>
      </c>
      <c r="F104" s="6" t="str">
        <f aca="false">IF($E104="","Unmatched",IF(COUNTIF('Manual Matches'!$B:$B,$A104)&gt;0,"Matched (manual)","Matched"))</f>
        <v>Matched</v>
      </c>
    </row>
    <row r="105" customFormat="false" ht="15" hidden="false" customHeight="false" outlineLevel="0" collapsed="false">
      <c r="A105" s="6" t="s">
        <v>142</v>
      </c>
      <c r="B105" s="6" t="n">
        <v>2025</v>
      </c>
      <c r="C105" s="16" t="n">
        <v>52</v>
      </c>
      <c r="D105" s="17" t="n">
        <v>1854.84</v>
      </c>
      <c r="E105" s="6" t="n">
        <f aca="false">IFERROR(INDEX('TRANS'!$B:$B,MATCH($A105,'TRANS'!$A:$A,0)),IFERROR(INDEX('TRANS'!$B:$B,MATCH(TRIM(SUBSTITUTE($A105,CHAR(160)," ")),'TRANS'!$D:$D,0)),IFERROR(INDEX('Manual Matches'!$C:$C,MATCH($A105,'Manual Matches'!$B:$B,0)),"")))</f>
        <v>4420016</v>
      </c>
      <c r="F105" s="6" t="str">
        <f aca="false">IF($E105="","Unmatched",IF(COUNTIF('Manual Matches'!$B:$B,$A105)&gt;0,"Matched (manual)","Matched"))</f>
        <v>Matched</v>
      </c>
    </row>
    <row r="106" customFormat="false" ht="15" hidden="false" customHeight="false" outlineLevel="0" collapsed="false">
      <c r="A106" s="6" t="s">
        <v>142</v>
      </c>
      <c r="B106" s="6" t="n">
        <v>2026</v>
      </c>
      <c r="C106" s="16" t="n">
        <v>11</v>
      </c>
      <c r="D106" s="17" t="n">
        <v>392.37</v>
      </c>
      <c r="E106" s="6" t="n">
        <f aca="false">IFERROR(INDEX('TRANS'!$B:$B,MATCH($A106,'TRANS'!$A:$A,0)),IFERROR(INDEX('TRANS'!$B:$B,MATCH(TRIM(SUBSTITUTE($A106,CHAR(160)," ")),'TRANS'!$D:$D,0)),IFERROR(INDEX('Manual Matches'!$C:$C,MATCH($A106,'Manual Matches'!$B:$B,0)),"")))</f>
        <v>4420016</v>
      </c>
      <c r="F106" s="6" t="str">
        <f aca="false">IF($E106="","Unmatched",IF(COUNTIF('Manual Matches'!$B:$B,$A106)&gt;0,"Matched (manual)","Matched"))</f>
        <v>Matched</v>
      </c>
    </row>
    <row r="107" customFormat="false" ht="15" hidden="false" customHeight="false" outlineLevel="0" collapsed="false">
      <c r="A107" s="6" t="s">
        <v>168</v>
      </c>
      <c r="B107" s="6" t="n">
        <v>2025</v>
      </c>
      <c r="C107" s="16" t="n">
        <v>142</v>
      </c>
      <c r="D107" s="17" t="n">
        <v>2343</v>
      </c>
      <c r="E107" s="6" t="n">
        <f aca="false">IFERROR(INDEX('TRANS'!$B:$B,MATCH($A107,'TRANS'!$A:$A,0)),IFERROR(INDEX('TRANS'!$B:$B,MATCH(TRIM(SUBSTITUTE($A107,CHAR(160)," ")),'TRANS'!$D:$D,0)),IFERROR(INDEX('Manual Matches'!$C:$C,MATCH($A107,'Manual Matches'!$B:$B,0)),"")))</f>
        <v>4413094</v>
      </c>
      <c r="F107" s="6" t="str">
        <f aca="false">IF($E107="","Unmatched",IF(COUNTIF('Manual Matches'!$B:$B,$A107)&gt;0,"Matched (manual)","Matched"))</f>
        <v>Matched</v>
      </c>
    </row>
    <row r="108" customFormat="false" ht="15" hidden="false" customHeight="false" outlineLevel="0" collapsed="false">
      <c r="A108" s="6" t="s">
        <v>168</v>
      </c>
      <c r="B108" s="6" t="n">
        <v>2026</v>
      </c>
      <c r="C108" s="16" t="n">
        <v>52</v>
      </c>
      <c r="D108" s="17" t="n">
        <v>858</v>
      </c>
      <c r="E108" s="6" t="n">
        <f aca="false">IFERROR(INDEX('TRANS'!$B:$B,MATCH($A108,'TRANS'!$A:$A,0)),IFERROR(INDEX('TRANS'!$B:$B,MATCH(TRIM(SUBSTITUTE($A108,CHAR(160)," ")),'TRANS'!$D:$D,0)),IFERROR(INDEX('Manual Matches'!$C:$C,MATCH($A108,'Manual Matches'!$B:$B,0)),"")))</f>
        <v>4413094</v>
      </c>
      <c r="F108" s="6" t="str">
        <f aca="false">IF($E108="","Unmatched",IF(COUNTIF('Manual Matches'!$B:$B,$A108)&gt;0,"Matched (manual)","Matched"))</f>
        <v>Matched</v>
      </c>
    </row>
    <row r="109" customFormat="false" ht="15" hidden="false" customHeight="false" outlineLevel="0" collapsed="false">
      <c r="A109" s="6" t="s">
        <v>170</v>
      </c>
      <c r="B109" s="6" t="n">
        <v>2025</v>
      </c>
      <c r="C109" s="16" t="n">
        <v>383</v>
      </c>
      <c r="D109" s="17" t="n">
        <v>6319.5</v>
      </c>
      <c r="E109" s="6" t="n">
        <f aca="false">IFERROR(INDEX('TRANS'!$B:$B,MATCH($A109,'TRANS'!$A:$A,0)),IFERROR(INDEX('TRANS'!$B:$B,MATCH(TRIM(SUBSTITUTE($A109,CHAR(160)," ")),'TRANS'!$D:$D,0)),IFERROR(INDEX('Manual Matches'!$C:$C,MATCH($A109,'Manual Matches'!$B:$B,0)),"")))</f>
        <v>4413095</v>
      </c>
      <c r="F109" s="6" t="str">
        <f aca="false">IF($E109="","Unmatched",IF(COUNTIF('Manual Matches'!$B:$B,$A109)&gt;0,"Matched (manual)","Matched"))</f>
        <v>Matched</v>
      </c>
    </row>
    <row r="110" customFormat="false" ht="15" hidden="false" customHeight="false" outlineLevel="0" collapsed="false">
      <c r="A110" s="6" t="s">
        <v>170</v>
      </c>
      <c r="B110" s="6" t="n">
        <v>2026</v>
      </c>
      <c r="C110" s="16" t="n">
        <v>83</v>
      </c>
      <c r="D110" s="17" t="n">
        <v>1369.5</v>
      </c>
      <c r="E110" s="6" t="n">
        <f aca="false">IFERROR(INDEX('TRANS'!$B:$B,MATCH($A110,'TRANS'!$A:$A,0)),IFERROR(INDEX('TRANS'!$B:$B,MATCH(TRIM(SUBSTITUTE($A110,CHAR(160)," ")),'TRANS'!$D:$D,0)),IFERROR(INDEX('Manual Matches'!$C:$C,MATCH($A110,'Manual Matches'!$B:$B,0)),"")))</f>
        <v>4413095</v>
      </c>
      <c r="F110" s="6" t="str">
        <f aca="false">IF($E110="","Unmatched",IF(COUNTIF('Manual Matches'!$B:$B,$A110)&gt;0,"Matched (manual)","Matched"))</f>
        <v>Matched</v>
      </c>
    </row>
    <row r="111" customFormat="false" ht="15" hidden="false" customHeight="false" outlineLevel="0" collapsed="false">
      <c r="A111" s="6" t="s">
        <v>104</v>
      </c>
      <c r="B111" s="6" t="n">
        <v>2026</v>
      </c>
      <c r="C111" s="16" t="n">
        <v>2</v>
      </c>
      <c r="D111" s="17" t="n">
        <v>0</v>
      </c>
      <c r="E111" s="6" t="str">
        <f aca="false">IFERROR(INDEX('TRANS'!$B:$B,MATCH($A111,'TRANS'!$A:$A,0)),IFERROR(INDEX('TRANS'!$B:$B,MATCH(TRIM(SUBSTITUTE($A111,CHAR(160)," ")),'TRANS'!$D:$D,0)),IFERROR(INDEX('Manual Matches'!$C:$C,MATCH($A111,'Manual Matches'!$B:$B,0)),"")))</f>
        <v/>
      </c>
      <c r="F111" s="6" t="str">
        <f aca="false">IF($E111="","Unmatched",IF(COUNTIF('Manual Matches'!$B:$B,$A111)&gt;0,"Matched (manual)","Matched"))</f>
        <v>Unmatched</v>
      </c>
    </row>
    <row r="112" customFormat="false" ht="15" hidden="false" customHeight="false" outlineLevel="0" collapsed="false">
      <c r="A112" s="6" t="s">
        <v>672</v>
      </c>
      <c r="B112" s="6" t="n">
        <v>2025</v>
      </c>
      <c r="C112" s="16" t="n">
        <v>345</v>
      </c>
      <c r="D112" s="17" t="n">
        <v>12075</v>
      </c>
      <c r="E112" s="6" t="n">
        <f aca="false">IFERROR(INDEX('TRANS'!$B:$B,MATCH($A112,'TRANS'!$A:$A,0)),IFERROR(INDEX('TRANS'!$B:$B,MATCH(TRIM(SUBSTITUTE($A112,CHAR(160)," ")),'TRANS'!$D:$D,0)),IFERROR(INDEX('Manual Matches'!$C:$C,MATCH($A112,'Manual Matches'!$B:$B,0)),"")))</f>
        <v>4413135</v>
      </c>
      <c r="F112" s="6" t="str">
        <f aca="false">IF($E112="","Unmatched",IF(COUNTIF('Manual Matches'!$B:$B,$A112)&gt;0,"Matched (manual)","Matched"))</f>
        <v>Matched</v>
      </c>
    </row>
    <row r="113" customFormat="false" ht="15" hidden="false" customHeight="false" outlineLevel="0" collapsed="false">
      <c r="A113" s="6" t="s">
        <v>672</v>
      </c>
      <c r="B113" s="6" t="n">
        <v>2026</v>
      </c>
      <c r="C113" s="16" t="n">
        <v>106</v>
      </c>
      <c r="D113" s="17" t="n">
        <v>3710</v>
      </c>
      <c r="E113" s="6" t="n">
        <f aca="false">IFERROR(INDEX('TRANS'!$B:$B,MATCH($A113,'TRANS'!$A:$A,0)),IFERROR(INDEX('TRANS'!$B:$B,MATCH(TRIM(SUBSTITUTE($A113,CHAR(160)," ")),'TRANS'!$D:$D,0)),IFERROR(INDEX('Manual Matches'!$C:$C,MATCH($A113,'Manual Matches'!$B:$B,0)),"")))</f>
        <v>4413135</v>
      </c>
      <c r="F113" s="6" t="str">
        <f aca="false">IF($E113="","Unmatched",IF(COUNTIF('Manual Matches'!$B:$B,$A113)&gt;0,"Matched (manual)","Matched"))</f>
        <v>Matched</v>
      </c>
    </row>
    <row r="114" customFormat="false" ht="15" hidden="false" customHeight="false" outlineLevel="0" collapsed="false">
      <c r="A114" s="6" t="s">
        <v>674</v>
      </c>
      <c r="B114" s="6" t="n">
        <v>2025</v>
      </c>
      <c r="C114" s="16" t="n">
        <v>309</v>
      </c>
      <c r="D114" s="17" t="n">
        <v>10815</v>
      </c>
      <c r="E114" s="6" t="n">
        <f aca="false">IFERROR(INDEX('TRANS'!$B:$B,MATCH($A114,'TRANS'!$A:$A,0)),IFERROR(INDEX('TRANS'!$B:$B,MATCH(TRIM(SUBSTITUTE($A114,CHAR(160)," ")),'TRANS'!$D:$D,0)),IFERROR(INDEX('Manual Matches'!$C:$C,MATCH($A114,'Manual Matches'!$B:$B,0)),"")))</f>
        <v>4413136</v>
      </c>
      <c r="F114" s="6" t="str">
        <f aca="false">IF($E114="","Unmatched",IF(COUNTIF('Manual Matches'!$B:$B,$A114)&gt;0,"Matched (manual)","Matched"))</f>
        <v>Matched</v>
      </c>
    </row>
    <row r="115" customFormat="false" ht="15" hidden="false" customHeight="false" outlineLevel="0" collapsed="false">
      <c r="A115" s="6" t="s">
        <v>674</v>
      </c>
      <c r="B115" s="6" t="n">
        <v>2026</v>
      </c>
      <c r="C115" s="16" t="n">
        <v>65</v>
      </c>
      <c r="D115" s="17" t="n">
        <v>2275</v>
      </c>
      <c r="E115" s="6" t="n">
        <f aca="false">IFERROR(INDEX('TRANS'!$B:$B,MATCH($A115,'TRANS'!$A:$A,0)),IFERROR(INDEX('TRANS'!$B:$B,MATCH(TRIM(SUBSTITUTE($A115,CHAR(160)," ")),'TRANS'!$D:$D,0)),IFERROR(INDEX('Manual Matches'!$C:$C,MATCH($A115,'Manual Matches'!$B:$B,0)),"")))</f>
        <v>4413136</v>
      </c>
      <c r="F115" s="6" t="str">
        <f aca="false">IF($E115="","Unmatched",IF(COUNTIF('Manual Matches'!$B:$B,$A115)&gt;0,"Matched (manual)","Matched"))</f>
        <v>Matched</v>
      </c>
    </row>
    <row r="116" customFormat="false" ht="15" hidden="false" customHeight="false" outlineLevel="0" collapsed="false">
      <c r="A116" s="6" t="s">
        <v>676</v>
      </c>
      <c r="B116" s="6" t="n">
        <v>2025</v>
      </c>
      <c r="C116" s="16" t="n">
        <v>127</v>
      </c>
      <c r="D116" s="17" t="n">
        <v>4445</v>
      </c>
      <c r="E116" s="6" t="n">
        <f aca="false">IFERROR(INDEX('TRANS'!$B:$B,MATCH($A116,'TRANS'!$A:$A,0)),IFERROR(INDEX('TRANS'!$B:$B,MATCH(TRIM(SUBSTITUTE($A116,CHAR(160)," ")),'TRANS'!$D:$D,0)),IFERROR(INDEX('Manual Matches'!$C:$C,MATCH($A116,'Manual Matches'!$B:$B,0)),"")))</f>
        <v>4413137</v>
      </c>
      <c r="F116" s="6" t="str">
        <f aca="false">IF($E116="","Unmatched",IF(COUNTIF('Manual Matches'!$B:$B,$A116)&gt;0,"Matched (manual)","Matched"))</f>
        <v>Matched</v>
      </c>
    </row>
    <row r="117" customFormat="false" ht="15" hidden="false" customHeight="false" outlineLevel="0" collapsed="false">
      <c r="A117" s="6" t="s">
        <v>676</v>
      </c>
      <c r="B117" s="6" t="n">
        <v>2026</v>
      </c>
      <c r="C117" s="16" t="n">
        <v>44</v>
      </c>
      <c r="D117" s="17" t="n">
        <v>1540</v>
      </c>
      <c r="E117" s="6" t="n">
        <f aca="false">IFERROR(INDEX('TRANS'!$B:$B,MATCH($A117,'TRANS'!$A:$A,0)),IFERROR(INDEX('TRANS'!$B:$B,MATCH(TRIM(SUBSTITUTE($A117,CHAR(160)," ")),'TRANS'!$D:$D,0)),IFERROR(INDEX('Manual Matches'!$C:$C,MATCH($A117,'Manual Matches'!$B:$B,0)),"")))</f>
        <v>4413137</v>
      </c>
      <c r="F117" s="6" t="str">
        <f aca="false">IF($E117="","Unmatched",IF(COUNTIF('Manual Matches'!$B:$B,$A117)&gt;0,"Matched (manual)","Matched"))</f>
        <v>Matched</v>
      </c>
    </row>
    <row r="118" customFormat="false" ht="15" hidden="false" customHeight="false" outlineLevel="0" collapsed="false">
      <c r="A118" s="6" t="s">
        <v>678</v>
      </c>
      <c r="B118" s="6" t="n">
        <v>2025</v>
      </c>
      <c r="C118" s="16" t="n">
        <v>133</v>
      </c>
      <c r="D118" s="17" t="n">
        <v>4655</v>
      </c>
      <c r="E118" s="6" t="n">
        <f aca="false">IFERROR(INDEX('TRANS'!$B:$B,MATCH($A118,'TRANS'!$A:$A,0)),IFERROR(INDEX('TRANS'!$B:$B,MATCH(TRIM(SUBSTITUTE($A118,CHAR(160)," ")),'TRANS'!$D:$D,0)),IFERROR(INDEX('Manual Matches'!$C:$C,MATCH($A118,'Manual Matches'!$B:$B,0)),"")))</f>
        <v>4413138</v>
      </c>
      <c r="F118" s="6" t="str">
        <f aca="false">IF($E118="","Unmatched",IF(COUNTIF('Manual Matches'!$B:$B,$A118)&gt;0,"Matched (manual)","Matched"))</f>
        <v>Matched</v>
      </c>
    </row>
    <row r="119" customFormat="false" ht="15" hidden="false" customHeight="false" outlineLevel="0" collapsed="false">
      <c r="A119" s="6" t="s">
        <v>678</v>
      </c>
      <c r="B119" s="6" t="n">
        <v>2026</v>
      </c>
      <c r="C119" s="16" t="n">
        <v>43</v>
      </c>
      <c r="D119" s="17" t="n">
        <v>1505</v>
      </c>
      <c r="E119" s="6" t="n">
        <f aca="false">IFERROR(INDEX('TRANS'!$B:$B,MATCH($A119,'TRANS'!$A:$A,0)),IFERROR(INDEX('TRANS'!$B:$B,MATCH(TRIM(SUBSTITUTE($A119,CHAR(160)," ")),'TRANS'!$D:$D,0)),IFERROR(INDEX('Manual Matches'!$C:$C,MATCH($A119,'Manual Matches'!$B:$B,0)),"")))</f>
        <v>4413138</v>
      </c>
      <c r="F119" s="6" t="str">
        <f aca="false">IF($E119="","Unmatched",IF(COUNTIF('Manual Matches'!$B:$B,$A119)&gt;0,"Matched (manual)","Matched"))</f>
        <v>Matched</v>
      </c>
    </row>
    <row r="120" customFormat="false" ht="15" hidden="false" customHeight="false" outlineLevel="0" collapsed="false">
      <c r="A120" s="6" t="s">
        <v>628</v>
      </c>
      <c r="B120" s="6" t="n">
        <v>2025</v>
      </c>
      <c r="C120" s="16" t="n">
        <v>244</v>
      </c>
      <c r="D120" s="17" t="n">
        <v>4148</v>
      </c>
      <c r="E120" s="6" t="n">
        <f aca="false">IFERROR(INDEX('TRANS'!$B:$B,MATCH($A120,'TRANS'!$A:$A,0)),IFERROR(INDEX('TRANS'!$B:$B,MATCH(TRIM(SUBSTITUTE($A120,CHAR(160)," ")),'TRANS'!$D:$D,0)),IFERROR(INDEX('Manual Matches'!$C:$C,MATCH($A120,'Manual Matches'!$B:$B,0)),"")))</f>
        <v>4413140</v>
      </c>
      <c r="F120" s="6" t="str">
        <f aca="false">IF($E120="","Unmatched",IF(COUNTIF('Manual Matches'!$B:$B,$A120)&gt;0,"Matched (manual)","Matched"))</f>
        <v>Matched</v>
      </c>
    </row>
    <row r="121" customFormat="false" ht="15" hidden="false" customHeight="false" outlineLevel="0" collapsed="false">
      <c r="A121" s="6" t="s">
        <v>628</v>
      </c>
      <c r="B121" s="6" t="n">
        <v>2026</v>
      </c>
      <c r="C121" s="16" t="n">
        <v>73</v>
      </c>
      <c r="D121" s="17" t="n">
        <v>1241</v>
      </c>
      <c r="E121" s="6" t="n">
        <f aca="false">IFERROR(INDEX('TRANS'!$B:$B,MATCH($A121,'TRANS'!$A:$A,0)),IFERROR(INDEX('TRANS'!$B:$B,MATCH(TRIM(SUBSTITUTE($A121,CHAR(160)," ")),'TRANS'!$D:$D,0)),IFERROR(INDEX('Manual Matches'!$C:$C,MATCH($A121,'Manual Matches'!$B:$B,0)),"")))</f>
        <v>4413140</v>
      </c>
      <c r="F121" s="6" t="str">
        <f aca="false">IF($E121="","Unmatched",IF(COUNTIF('Manual Matches'!$B:$B,$A121)&gt;0,"Matched (manual)","Matched"))</f>
        <v>Matched</v>
      </c>
    </row>
    <row r="122" customFormat="false" ht="15" hidden="false" customHeight="false" outlineLevel="0" collapsed="false">
      <c r="A122" s="6" t="s">
        <v>630</v>
      </c>
      <c r="B122" s="6" t="n">
        <v>2025</v>
      </c>
      <c r="C122" s="16" t="n">
        <v>186</v>
      </c>
      <c r="D122" s="17" t="n">
        <v>3162</v>
      </c>
      <c r="E122" s="6" t="n">
        <f aca="false">IFERROR(INDEX('TRANS'!$B:$B,MATCH($A122,'TRANS'!$A:$A,0)),IFERROR(INDEX('TRANS'!$B:$B,MATCH(TRIM(SUBSTITUTE($A122,CHAR(160)," ")),'TRANS'!$D:$D,0)),IFERROR(INDEX('Manual Matches'!$C:$C,MATCH($A122,'Manual Matches'!$B:$B,0)),"")))</f>
        <v>4413141</v>
      </c>
      <c r="F122" s="6" t="str">
        <f aca="false">IF($E122="","Unmatched",IF(COUNTIF('Manual Matches'!$B:$B,$A122)&gt;0,"Matched (manual)","Matched"))</f>
        <v>Matched</v>
      </c>
    </row>
    <row r="123" customFormat="false" ht="15" hidden="false" customHeight="false" outlineLevel="0" collapsed="false">
      <c r="A123" s="6" t="s">
        <v>630</v>
      </c>
      <c r="B123" s="6" t="n">
        <v>2026</v>
      </c>
      <c r="C123" s="16" t="n">
        <v>57</v>
      </c>
      <c r="D123" s="17" t="n">
        <v>969</v>
      </c>
      <c r="E123" s="6" t="n">
        <f aca="false">IFERROR(INDEX('TRANS'!$B:$B,MATCH($A123,'TRANS'!$A:$A,0)),IFERROR(INDEX('TRANS'!$B:$B,MATCH(TRIM(SUBSTITUTE($A123,CHAR(160)," ")),'TRANS'!$D:$D,0)),IFERROR(INDEX('Manual Matches'!$C:$C,MATCH($A123,'Manual Matches'!$B:$B,0)),"")))</f>
        <v>4413141</v>
      </c>
      <c r="F123" s="6" t="str">
        <f aca="false">IF($E123="","Unmatched",IF(COUNTIF('Manual Matches'!$B:$B,$A123)&gt;0,"Matched (manual)","Matched"))</f>
        <v>Matched</v>
      </c>
    </row>
    <row r="124" customFormat="false" ht="15" hidden="false" customHeight="false" outlineLevel="0" collapsed="false">
      <c r="A124" s="6" t="s">
        <v>856</v>
      </c>
      <c r="B124" s="6" t="n">
        <v>2025</v>
      </c>
      <c r="C124" s="16" t="n">
        <v>172</v>
      </c>
      <c r="D124" s="17" t="n">
        <v>2855.2</v>
      </c>
      <c r="E124" s="6" t="n">
        <f aca="false">IFERROR(INDEX('TRANS'!$B:$B,MATCH($A124,'TRANS'!$A:$A,0)),IFERROR(INDEX('TRANS'!$B:$B,MATCH(TRIM(SUBSTITUTE($A124,CHAR(160)," ")),'TRANS'!$D:$D,0)),IFERROR(INDEX('Manual Matches'!$C:$C,MATCH($A124,'Manual Matches'!$B:$B,0)),"")))</f>
        <v>4408268</v>
      </c>
      <c r="F124" s="6" t="str">
        <f aca="false">IF($E124="","Unmatched",IF(COUNTIF('Manual Matches'!$B:$B,$A124)&gt;0,"Matched (manual)","Matched"))</f>
        <v>Matched</v>
      </c>
    </row>
    <row r="125" customFormat="false" ht="15" hidden="false" customHeight="false" outlineLevel="0" collapsed="false">
      <c r="A125" s="6" t="s">
        <v>856</v>
      </c>
      <c r="B125" s="6" t="n">
        <v>2026</v>
      </c>
      <c r="C125" s="16" t="n">
        <v>44</v>
      </c>
      <c r="D125" s="17" t="n">
        <v>730.4</v>
      </c>
      <c r="E125" s="6" t="n">
        <f aca="false">IFERROR(INDEX('TRANS'!$B:$B,MATCH($A125,'TRANS'!$A:$A,0)),IFERROR(INDEX('TRANS'!$B:$B,MATCH(TRIM(SUBSTITUTE($A125,CHAR(160)," ")),'TRANS'!$D:$D,0)),IFERROR(INDEX('Manual Matches'!$C:$C,MATCH($A125,'Manual Matches'!$B:$B,0)),"")))</f>
        <v>4408268</v>
      </c>
      <c r="F125" s="6" t="str">
        <f aca="false">IF($E125="","Unmatched",IF(COUNTIF('Manual Matches'!$B:$B,$A125)&gt;0,"Matched (manual)","Matched"))</f>
        <v>Matched</v>
      </c>
    </row>
    <row r="126" customFormat="false" ht="15" hidden="false" customHeight="false" outlineLevel="0" collapsed="false">
      <c r="A126" s="6" t="s">
        <v>276</v>
      </c>
      <c r="B126" s="6" t="n">
        <v>2025</v>
      </c>
      <c r="C126" s="16" t="n">
        <v>206</v>
      </c>
      <c r="D126" s="17" t="n">
        <v>3790.4</v>
      </c>
      <c r="E126" s="6" t="n">
        <f aca="false">IFERROR(INDEX('TRANS'!$B:$B,MATCH($A126,'TRANS'!$A:$A,0)),IFERROR(INDEX('TRANS'!$B:$B,MATCH(TRIM(SUBSTITUTE($A126,CHAR(160)," ")),'TRANS'!$D:$D,0)),IFERROR(INDEX('Manual Matches'!$C:$C,MATCH($A126,'Manual Matches'!$B:$B,0)),"")))</f>
        <v>4403019</v>
      </c>
      <c r="F126" s="6" t="str">
        <f aca="false">IF($E126="","Unmatched",IF(COUNTIF('Manual Matches'!$B:$B,$A126)&gt;0,"Matched (manual)","Matched"))</f>
        <v>Matched</v>
      </c>
    </row>
    <row r="127" customFormat="false" ht="15" hidden="false" customHeight="false" outlineLevel="0" collapsed="false">
      <c r="A127" s="6" t="s">
        <v>276</v>
      </c>
      <c r="B127" s="6" t="n">
        <v>2026</v>
      </c>
      <c r="C127" s="16" t="n">
        <v>21</v>
      </c>
      <c r="D127" s="17" t="n">
        <v>386.4</v>
      </c>
      <c r="E127" s="6" t="n">
        <f aca="false">IFERROR(INDEX('TRANS'!$B:$B,MATCH($A127,'TRANS'!$A:$A,0)),IFERROR(INDEX('TRANS'!$B:$B,MATCH(TRIM(SUBSTITUTE($A127,CHAR(160)," ")),'TRANS'!$D:$D,0)),IFERROR(INDEX('Manual Matches'!$C:$C,MATCH($A127,'Manual Matches'!$B:$B,0)),"")))</f>
        <v>4403019</v>
      </c>
      <c r="F127" s="6" t="str">
        <f aca="false">IF($E127="","Unmatched",IF(COUNTIF('Manual Matches'!$B:$B,$A127)&gt;0,"Matched (manual)","Matched"))</f>
        <v>Matched</v>
      </c>
    </row>
    <row r="128" customFormat="false" ht="15" hidden="false" customHeight="false" outlineLevel="0" collapsed="false">
      <c r="A128" s="6" t="s">
        <v>474</v>
      </c>
      <c r="B128" s="6" t="n">
        <v>2025</v>
      </c>
      <c r="C128" s="16" t="n">
        <v>1180</v>
      </c>
      <c r="D128" s="17" t="n">
        <v>15812</v>
      </c>
      <c r="E128" s="6" t="n">
        <f aca="false">IFERROR(INDEX('TRANS'!$B:$B,MATCH($A128,'TRANS'!$A:$A,0)),IFERROR(INDEX('TRANS'!$B:$B,MATCH(TRIM(SUBSTITUTE($A128,CHAR(160)," ")),'TRANS'!$D:$D,0)),IFERROR(INDEX('Manual Matches'!$C:$C,MATCH($A128,'Manual Matches'!$B:$B,0)),"")))</f>
        <v>4409004</v>
      </c>
      <c r="F128" s="6" t="str">
        <f aca="false">IF($E128="","Unmatched",IF(COUNTIF('Manual Matches'!$B:$B,$A128)&gt;0,"Matched (manual)","Matched"))</f>
        <v>Matched</v>
      </c>
    </row>
    <row r="129" customFormat="false" ht="15" hidden="false" customHeight="false" outlineLevel="0" collapsed="false">
      <c r="A129" s="6" t="s">
        <v>474</v>
      </c>
      <c r="B129" s="6" t="n">
        <v>2026</v>
      </c>
      <c r="C129" s="16" t="n">
        <v>192</v>
      </c>
      <c r="D129" s="17" t="n">
        <v>2572.8</v>
      </c>
      <c r="E129" s="6" t="n">
        <f aca="false">IFERROR(INDEX('TRANS'!$B:$B,MATCH($A129,'TRANS'!$A:$A,0)),IFERROR(INDEX('TRANS'!$B:$B,MATCH(TRIM(SUBSTITUTE($A129,CHAR(160)," ")),'TRANS'!$D:$D,0)),IFERROR(INDEX('Manual Matches'!$C:$C,MATCH($A129,'Manual Matches'!$B:$B,0)),"")))</f>
        <v>4409004</v>
      </c>
      <c r="F129" s="6" t="str">
        <f aca="false">IF($E129="","Unmatched",IF(COUNTIF('Manual Matches'!$B:$B,$A129)&gt;0,"Matched (manual)","Matched"))</f>
        <v>Matched</v>
      </c>
    </row>
    <row r="130" customFormat="false" ht="15" hidden="false" customHeight="false" outlineLevel="0" collapsed="false">
      <c r="A130" s="6" t="s">
        <v>314</v>
      </c>
      <c r="B130" s="6" t="n">
        <v>2025</v>
      </c>
      <c r="C130" s="16" t="n">
        <v>392</v>
      </c>
      <c r="D130" s="17" t="n">
        <v>25480</v>
      </c>
      <c r="E130" s="6" t="n">
        <f aca="false">IFERROR(INDEX('TRANS'!$B:$B,MATCH($A130,'TRANS'!$A:$A,0)),IFERROR(INDEX('TRANS'!$B:$B,MATCH(TRIM(SUBSTITUTE($A130,CHAR(160)," ")),'TRANS'!$D:$D,0)),IFERROR(INDEX('Manual Matches'!$C:$C,MATCH($A130,'Manual Matches'!$B:$B,0)),"")))</f>
        <v>4408221</v>
      </c>
      <c r="F130" s="6" t="str">
        <f aca="false">IF($E130="","Unmatched",IF(COUNTIF('Manual Matches'!$B:$B,$A130)&gt;0,"Matched (manual)","Matched"))</f>
        <v>Matched</v>
      </c>
    </row>
    <row r="131" customFormat="false" ht="15" hidden="false" customHeight="false" outlineLevel="0" collapsed="false">
      <c r="A131" s="6" t="s">
        <v>314</v>
      </c>
      <c r="B131" s="6" t="n">
        <v>2026</v>
      </c>
      <c r="C131" s="16" t="n">
        <v>63</v>
      </c>
      <c r="D131" s="17" t="n">
        <v>4277.36</v>
      </c>
      <c r="E131" s="6" t="n">
        <f aca="false">IFERROR(INDEX('TRANS'!$B:$B,MATCH($A131,'TRANS'!$A:$A,0)),IFERROR(INDEX('TRANS'!$B:$B,MATCH(TRIM(SUBSTITUTE($A131,CHAR(160)," ")),'TRANS'!$D:$D,0)),IFERROR(INDEX('Manual Matches'!$C:$C,MATCH($A131,'Manual Matches'!$B:$B,0)),"")))</f>
        <v>4408221</v>
      </c>
      <c r="F131" s="6" t="str">
        <f aca="false">IF($E131="","Unmatched",IF(COUNTIF('Manual Matches'!$B:$B,$A131)&gt;0,"Matched (manual)","Matched"))</f>
        <v>Matched</v>
      </c>
    </row>
    <row r="132" customFormat="false" ht="15" hidden="false" customHeight="false" outlineLevel="0" collapsed="false">
      <c r="A132" s="6" t="s">
        <v>316</v>
      </c>
      <c r="B132" s="6" t="n">
        <v>2025</v>
      </c>
      <c r="C132" s="16" t="n">
        <v>150</v>
      </c>
      <c r="D132" s="17" t="n">
        <v>9750</v>
      </c>
      <c r="E132" s="6" t="n">
        <f aca="false">IFERROR(INDEX('TRANS'!$B:$B,MATCH($A132,'TRANS'!$A:$A,0)),IFERROR(INDEX('TRANS'!$B:$B,MATCH(TRIM(SUBSTITUTE($A132,CHAR(160)," ")),'TRANS'!$D:$D,0)),IFERROR(INDEX('Manual Matches'!$C:$C,MATCH($A132,'Manual Matches'!$B:$B,0)),"")))</f>
        <v>4408220</v>
      </c>
      <c r="F132" s="6" t="str">
        <f aca="false">IF($E132="","Unmatched",IF(COUNTIF('Manual Matches'!$B:$B,$A132)&gt;0,"Matched (manual)","Matched"))</f>
        <v>Matched</v>
      </c>
    </row>
    <row r="133" customFormat="false" ht="15" hidden="false" customHeight="false" outlineLevel="0" collapsed="false">
      <c r="A133" s="6" t="s">
        <v>316</v>
      </c>
      <c r="B133" s="6" t="n">
        <v>2026</v>
      </c>
      <c r="C133" s="16" t="n">
        <v>25</v>
      </c>
      <c r="D133" s="17" t="n">
        <v>1807.36</v>
      </c>
      <c r="E133" s="6" t="n">
        <f aca="false">IFERROR(INDEX('TRANS'!$B:$B,MATCH($A133,'TRANS'!$A:$A,0)),IFERROR(INDEX('TRANS'!$B:$B,MATCH(TRIM(SUBSTITUTE($A133,CHAR(160)," ")),'TRANS'!$D:$D,0)),IFERROR(INDEX('Manual Matches'!$C:$C,MATCH($A133,'Manual Matches'!$B:$B,0)),"")))</f>
        <v>4408220</v>
      </c>
      <c r="F133" s="6" t="str">
        <f aca="false">IF($E133="","Unmatched",IF(COUNTIF('Manual Matches'!$B:$B,$A133)&gt;0,"Matched (manual)","Matched"))</f>
        <v>Matched</v>
      </c>
    </row>
    <row r="134" customFormat="false" ht="15" hidden="false" customHeight="false" outlineLevel="0" collapsed="false">
      <c r="A134" s="6" t="s">
        <v>320</v>
      </c>
      <c r="B134" s="6" t="n">
        <v>2025</v>
      </c>
      <c r="C134" s="16" t="n">
        <v>279</v>
      </c>
      <c r="D134" s="17" t="n">
        <v>18135</v>
      </c>
      <c r="E134" s="6" t="n">
        <f aca="false">IFERROR(INDEX('TRANS'!$B:$B,MATCH($A134,'TRANS'!$A:$A,0)),IFERROR(INDEX('TRANS'!$B:$B,MATCH(TRIM(SUBSTITUTE($A134,CHAR(160)," ")),'TRANS'!$D:$D,0)),IFERROR(INDEX('Manual Matches'!$C:$C,MATCH($A134,'Manual Matches'!$B:$B,0)),"")))</f>
        <v>4408222</v>
      </c>
      <c r="F134" s="6" t="str">
        <f aca="false">IF($E134="","Unmatched",IF(COUNTIF('Manual Matches'!$B:$B,$A134)&gt;0,"Matched (manual)","Matched"))</f>
        <v>Matched</v>
      </c>
    </row>
    <row r="135" customFormat="false" ht="15" hidden="false" customHeight="false" outlineLevel="0" collapsed="false">
      <c r="A135" s="6" t="s">
        <v>320</v>
      </c>
      <c r="B135" s="6" t="n">
        <v>2026</v>
      </c>
      <c r="C135" s="16" t="n">
        <v>54</v>
      </c>
      <c r="D135" s="17" t="n">
        <v>3692.36</v>
      </c>
      <c r="E135" s="6" t="n">
        <f aca="false">IFERROR(INDEX('TRANS'!$B:$B,MATCH($A135,'TRANS'!$A:$A,0)),IFERROR(INDEX('TRANS'!$B:$B,MATCH(TRIM(SUBSTITUTE($A135,CHAR(160)," ")),'TRANS'!$D:$D,0)),IFERROR(INDEX('Manual Matches'!$C:$C,MATCH($A135,'Manual Matches'!$B:$B,0)),"")))</f>
        <v>4408222</v>
      </c>
      <c r="F135" s="6" t="str">
        <f aca="false">IF($E135="","Unmatched",IF(COUNTIF('Manual Matches'!$B:$B,$A135)&gt;0,"Matched (manual)","Matched"))</f>
        <v>Matched</v>
      </c>
    </row>
    <row r="136" customFormat="false" ht="15" hidden="false" customHeight="false" outlineLevel="0" collapsed="false">
      <c r="A136" s="6" t="s">
        <v>974</v>
      </c>
      <c r="B136" s="6" t="n">
        <v>2025</v>
      </c>
      <c r="C136" s="16" t="n">
        <v>646</v>
      </c>
      <c r="D136" s="17" t="n">
        <v>6343.72</v>
      </c>
      <c r="E136" s="6" t="n">
        <f aca="false">IFERROR(INDEX('TRANS'!$B:$B,MATCH($A136,'TRANS'!$A:$A,0)),IFERROR(INDEX('TRANS'!$B:$B,MATCH(TRIM(SUBSTITUTE($A136,CHAR(160)," ")),'TRANS'!$D:$D,0)),IFERROR(INDEX('Manual Matches'!$C:$C,MATCH($A136,'Manual Matches'!$B:$B,0)),"")))</f>
        <v>4420002</v>
      </c>
      <c r="F136" s="6" t="str">
        <f aca="false">IF($E136="","Unmatched",IF(COUNTIF('Manual Matches'!$B:$B,$A136)&gt;0,"Matched (manual)","Matched"))</f>
        <v>Matched</v>
      </c>
    </row>
    <row r="137" customFormat="false" ht="15" hidden="false" customHeight="false" outlineLevel="0" collapsed="false">
      <c r="A137" s="6" t="s">
        <v>974</v>
      </c>
      <c r="B137" s="6" t="n">
        <v>2026</v>
      </c>
      <c r="C137" s="16" t="n">
        <v>110</v>
      </c>
      <c r="D137" s="17" t="n">
        <v>1080.2</v>
      </c>
      <c r="E137" s="6" t="n">
        <f aca="false">IFERROR(INDEX('TRANS'!$B:$B,MATCH($A137,'TRANS'!$A:$A,0)),IFERROR(INDEX('TRANS'!$B:$B,MATCH(TRIM(SUBSTITUTE($A137,CHAR(160)," ")),'TRANS'!$D:$D,0)),IFERROR(INDEX('Manual Matches'!$C:$C,MATCH($A137,'Manual Matches'!$B:$B,0)),"")))</f>
        <v>4420002</v>
      </c>
      <c r="F137" s="6" t="str">
        <f aca="false">IF($E137="","Unmatched",IF(COUNTIF('Manual Matches'!$B:$B,$A137)&gt;0,"Matched (manual)","Matched"))</f>
        <v>Matched</v>
      </c>
    </row>
    <row r="138" customFormat="false" ht="15" hidden="false" customHeight="false" outlineLevel="0" collapsed="false">
      <c r="A138" s="6" t="s">
        <v>854</v>
      </c>
      <c r="B138" s="6" t="n">
        <v>2025</v>
      </c>
      <c r="C138" s="16" t="n">
        <v>527</v>
      </c>
      <c r="D138" s="17" t="n">
        <v>10540</v>
      </c>
      <c r="E138" s="6" t="n">
        <f aca="false">IFERROR(INDEX('TRANS'!$B:$B,MATCH($A138,'TRANS'!$A:$A,0)),IFERROR(INDEX('TRANS'!$B:$B,MATCH(TRIM(SUBSTITUTE($A138,CHAR(160)," ")),'TRANS'!$D:$D,0)),IFERROR(INDEX('Manual Matches'!$C:$C,MATCH($A138,'Manual Matches'!$B:$B,0)),"")))</f>
        <v>4415028</v>
      </c>
      <c r="F138" s="6" t="str">
        <f aca="false">IF($E138="","Unmatched",IF(COUNTIF('Manual Matches'!$B:$B,$A138)&gt;0,"Matched (manual)","Matched"))</f>
        <v>Matched</v>
      </c>
    </row>
    <row r="139" customFormat="false" ht="15" hidden="false" customHeight="false" outlineLevel="0" collapsed="false">
      <c r="A139" s="6" t="s">
        <v>854</v>
      </c>
      <c r="B139" s="6" t="n">
        <v>2026</v>
      </c>
      <c r="C139" s="16" t="n">
        <v>128</v>
      </c>
      <c r="D139" s="17" t="n">
        <v>2668.54</v>
      </c>
      <c r="E139" s="6" t="n">
        <f aca="false">IFERROR(INDEX('TRANS'!$B:$B,MATCH($A139,'TRANS'!$A:$A,0)),IFERROR(INDEX('TRANS'!$B:$B,MATCH(TRIM(SUBSTITUTE($A139,CHAR(160)," ")),'TRANS'!$D:$D,0)),IFERROR(INDEX('Manual Matches'!$C:$C,MATCH($A139,'Manual Matches'!$B:$B,0)),"")))</f>
        <v>4415028</v>
      </c>
      <c r="F139" s="6" t="str">
        <f aca="false">IF($E139="","Unmatched",IF(COUNTIF('Manual Matches'!$B:$B,$A139)&gt;0,"Matched (manual)","Matched"))</f>
        <v>Matched</v>
      </c>
    </row>
    <row r="140" customFormat="false" ht="15" hidden="false" customHeight="false" outlineLevel="0" collapsed="false">
      <c r="A140" s="6" t="s">
        <v>788</v>
      </c>
      <c r="B140" s="6" t="n">
        <v>2025</v>
      </c>
      <c r="C140" s="16" t="n">
        <v>434</v>
      </c>
      <c r="D140" s="17" t="n">
        <v>10602.62</v>
      </c>
      <c r="E140" s="6" t="n">
        <f aca="false">IFERROR(INDEX('TRANS'!$B:$B,MATCH($A140,'TRANS'!$A:$A,0)),IFERROR(INDEX('TRANS'!$B:$B,MATCH(TRIM(SUBSTITUTE($A140,CHAR(160)," ")),'TRANS'!$D:$D,0)),IFERROR(INDEX('Manual Matches'!$C:$C,MATCH($A140,'Manual Matches'!$B:$B,0)),"")))</f>
        <v>4408053</v>
      </c>
      <c r="F140" s="6" t="str">
        <f aca="false">IF($E140="","Unmatched",IF(COUNTIF('Manual Matches'!$B:$B,$A140)&gt;0,"Matched (manual)","Matched"))</f>
        <v>Matched</v>
      </c>
    </row>
    <row r="141" customFormat="false" ht="15" hidden="false" customHeight="false" outlineLevel="0" collapsed="false">
      <c r="A141" s="6" t="s">
        <v>788</v>
      </c>
      <c r="B141" s="6" t="n">
        <v>2026</v>
      </c>
      <c r="C141" s="16" t="n">
        <v>123</v>
      </c>
      <c r="D141" s="17" t="n">
        <v>3004.89</v>
      </c>
      <c r="E141" s="6" t="n">
        <f aca="false">IFERROR(INDEX('TRANS'!$B:$B,MATCH($A141,'TRANS'!$A:$A,0)),IFERROR(INDEX('TRANS'!$B:$B,MATCH(TRIM(SUBSTITUTE($A141,CHAR(160)," ")),'TRANS'!$D:$D,0)),IFERROR(INDEX('Manual Matches'!$C:$C,MATCH($A141,'Manual Matches'!$B:$B,0)),"")))</f>
        <v>4408053</v>
      </c>
      <c r="F141" s="6" t="str">
        <f aca="false">IF($E141="","Unmatched",IF(COUNTIF('Manual Matches'!$B:$B,$A141)&gt;0,"Matched (manual)","Matched"))</f>
        <v>Matched</v>
      </c>
    </row>
    <row r="142" customFormat="false" ht="15" hidden="false" customHeight="false" outlineLevel="0" collapsed="false">
      <c r="A142" s="6" t="s">
        <v>790</v>
      </c>
      <c r="B142" s="6" t="n">
        <v>2025</v>
      </c>
      <c r="C142" s="16" t="n">
        <v>181</v>
      </c>
      <c r="D142" s="17" t="n">
        <v>4421.83</v>
      </c>
      <c r="E142" s="6" t="n">
        <f aca="false">IFERROR(INDEX('TRANS'!$B:$B,MATCH($A142,'TRANS'!$A:$A,0)),IFERROR(INDEX('TRANS'!$B:$B,MATCH(TRIM(SUBSTITUTE($A142,CHAR(160)," ")),'TRANS'!$D:$D,0)),IFERROR(INDEX('Manual Matches'!$C:$C,MATCH($A142,'Manual Matches'!$B:$B,0)),"")))</f>
        <v>4408051</v>
      </c>
      <c r="F142" s="6" t="str">
        <f aca="false">IF($E142="","Unmatched",IF(COUNTIF('Manual Matches'!$B:$B,$A142)&gt;0,"Matched (manual)","Matched"))</f>
        <v>Matched</v>
      </c>
    </row>
    <row r="143" customFormat="false" ht="15" hidden="false" customHeight="false" outlineLevel="0" collapsed="false">
      <c r="A143" s="6" t="s">
        <v>790</v>
      </c>
      <c r="B143" s="6" t="n">
        <v>2026</v>
      </c>
      <c r="C143" s="16" t="n">
        <v>44</v>
      </c>
      <c r="D143" s="17" t="n">
        <v>1074.92</v>
      </c>
      <c r="E143" s="6" t="n">
        <f aca="false">IFERROR(INDEX('TRANS'!$B:$B,MATCH($A143,'TRANS'!$A:$A,0)),IFERROR(INDEX('TRANS'!$B:$B,MATCH(TRIM(SUBSTITUTE($A143,CHAR(160)," ")),'TRANS'!$D:$D,0)),IFERROR(INDEX('Manual Matches'!$C:$C,MATCH($A143,'Manual Matches'!$B:$B,0)),"")))</f>
        <v>4408051</v>
      </c>
      <c r="F143" s="6" t="str">
        <f aca="false">IF($E143="","Unmatched",IF(COUNTIF('Manual Matches'!$B:$B,$A143)&gt;0,"Matched (manual)","Matched"))</f>
        <v>Matched</v>
      </c>
    </row>
    <row r="144" customFormat="false" ht="15" hidden="false" customHeight="false" outlineLevel="0" collapsed="false">
      <c r="A144" s="6" t="s">
        <v>288</v>
      </c>
      <c r="B144" s="6" t="n">
        <v>2025</v>
      </c>
      <c r="C144" s="16" t="n">
        <v>312</v>
      </c>
      <c r="D144" s="17" t="n">
        <v>13044.72</v>
      </c>
      <c r="E144" s="6" t="n">
        <f aca="false">IFERROR(INDEX('TRANS'!$B:$B,MATCH($A144,'TRANS'!$A:$A,0)),IFERROR(INDEX('TRANS'!$B:$B,MATCH(TRIM(SUBSTITUTE($A144,CHAR(160)," ")),'TRANS'!$D:$D,0)),IFERROR(INDEX('Manual Matches'!$C:$C,MATCH($A144,'Manual Matches'!$B:$B,0)),"")))</f>
        <v>4403029</v>
      </c>
      <c r="F144" s="6" t="str">
        <f aca="false">IF($E144="","Unmatched",IF(COUNTIF('Manual Matches'!$B:$B,$A144)&gt;0,"Matched (manual)","Matched"))</f>
        <v>Matched</v>
      </c>
    </row>
    <row r="145" customFormat="false" ht="15" hidden="false" customHeight="false" outlineLevel="0" collapsed="false">
      <c r="A145" s="6" t="s">
        <v>288</v>
      </c>
      <c r="B145" s="6" t="n">
        <v>2026</v>
      </c>
      <c r="C145" s="16" t="n">
        <v>-2</v>
      </c>
      <c r="D145" s="17" t="n">
        <v>-83.62</v>
      </c>
      <c r="E145" s="6" t="n">
        <f aca="false">IFERROR(INDEX('TRANS'!$B:$B,MATCH($A145,'TRANS'!$A:$A,0)),IFERROR(INDEX('TRANS'!$B:$B,MATCH(TRIM(SUBSTITUTE($A145,CHAR(160)," ")),'TRANS'!$D:$D,0)),IFERROR(INDEX('Manual Matches'!$C:$C,MATCH($A145,'Manual Matches'!$B:$B,0)),"")))</f>
        <v>4403029</v>
      </c>
      <c r="F145" s="6" t="str">
        <f aca="false">IF($E145="","Unmatched",IF(COUNTIF('Manual Matches'!$B:$B,$A145)&gt;0,"Matched (manual)","Matched"))</f>
        <v>Matched</v>
      </c>
    </row>
    <row r="146" customFormat="false" ht="15" hidden="false" customHeight="false" outlineLevel="0" collapsed="false">
      <c r="A146" s="6" t="s">
        <v>130</v>
      </c>
      <c r="B146" s="6" t="n">
        <v>2025</v>
      </c>
      <c r="C146" s="16" t="n">
        <v>284</v>
      </c>
      <c r="D146" s="17" t="n">
        <v>11874.04</v>
      </c>
      <c r="E146" s="6" t="n">
        <f aca="false">IFERROR(INDEX('TRANS'!$B:$B,MATCH($A146,'TRANS'!$A:$A,0)),IFERROR(INDEX('TRANS'!$B:$B,MATCH(TRIM(SUBSTITUTE($A146,CHAR(160)," ")),'TRANS'!$D:$D,0)),IFERROR(INDEX('Manual Matches'!$C:$C,MATCH($A146,'Manual Matches'!$B:$B,0)),"")))</f>
        <v>4403043</v>
      </c>
      <c r="F146" s="6" t="str">
        <f aca="false">IF($E146="","Unmatched",IF(COUNTIF('Manual Matches'!$B:$B,$A146)&gt;0,"Matched (manual)","Matched"))</f>
        <v>Matched (manual)</v>
      </c>
    </row>
    <row r="147" customFormat="false" ht="15" hidden="false" customHeight="false" outlineLevel="0" collapsed="false">
      <c r="A147" s="6" t="s">
        <v>130</v>
      </c>
      <c r="B147" s="6" t="n">
        <v>2026</v>
      </c>
      <c r="C147" s="16" t="n">
        <v>-2</v>
      </c>
      <c r="D147" s="17" t="n">
        <v>-83.62</v>
      </c>
      <c r="E147" s="6" t="n">
        <f aca="false">IFERROR(INDEX('TRANS'!$B:$B,MATCH($A147,'TRANS'!$A:$A,0)),IFERROR(INDEX('TRANS'!$B:$B,MATCH(TRIM(SUBSTITUTE($A147,CHAR(160)," ")),'TRANS'!$D:$D,0)),IFERROR(INDEX('Manual Matches'!$C:$C,MATCH($A147,'Manual Matches'!$B:$B,0)),"")))</f>
        <v>4403043</v>
      </c>
      <c r="F147" s="6" t="str">
        <f aca="false">IF($E147="","Unmatched",IF(COUNTIF('Manual Matches'!$B:$B,$A147)&gt;0,"Matched (manual)","Matched"))</f>
        <v>Matched (manual)</v>
      </c>
    </row>
    <row r="148" customFormat="false" ht="15" hidden="false" customHeight="false" outlineLevel="0" collapsed="false">
      <c r="A148" s="6" t="s">
        <v>152</v>
      </c>
      <c r="B148" s="6" t="n">
        <v>2025</v>
      </c>
      <c r="C148" s="16" t="n">
        <v>3</v>
      </c>
      <c r="D148" s="17" t="n">
        <v>231.72</v>
      </c>
      <c r="E148" s="6" t="n">
        <f aca="false">IFERROR(INDEX('TRANS'!$B:$B,MATCH($A148,'TRANS'!$A:$A,0)),IFERROR(INDEX('TRANS'!$B:$B,MATCH(TRIM(SUBSTITUTE($A148,CHAR(160)," ")),'TRANS'!$D:$D,0)),IFERROR(INDEX('Manual Matches'!$C:$C,MATCH($A148,'Manual Matches'!$B:$B,0)),"")))</f>
        <v>4413071</v>
      </c>
      <c r="F148" s="6" t="str">
        <f aca="false">IF($E148="","Unmatched",IF(COUNTIF('Manual Matches'!$B:$B,$A148)&gt;0,"Matched (manual)","Matched"))</f>
        <v>Matched</v>
      </c>
    </row>
    <row r="149" customFormat="false" ht="15" hidden="false" customHeight="false" outlineLevel="0" collapsed="false">
      <c r="A149" s="6" t="s">
        <v>152</v>
      </c>
      <c r="B149" s="6" t="n">
        <v>2026</v>
      </c>
      <c r="C149" s="16" t="n">
        <v>1</v>
      </c>
      <c r="D149" s="17" t="n">
        <v>77.24</v>
      </c>
      <c r="E149" s="6" t="n">
        <f aca="false">IFERROR(INDEX('TRANS'!$B:$B,MATCH($A149,'TRANS'!$A:$A,0)),IFERROR(INDEX('TRANS'!$B:$B,MATCH(TRIM(SUBSTITUTE($A149,CHAR(160)," ")),'TRANS'!$D:$D,0)),IFERROR(INDEX('Manual Matches'!$C:$C,MATCH($A149,'Manual Matches'!$B:$B,0)),"")))</f>
        <v>4413071</v>
      </c>
      <c r="F149" s="6" t="str">
        <f aca="false">IF($E149="","Unmatched",IF(COUNTIF('Manual Matches'!$B:$B,$A149)&gt;0,"Matched (manual)","Matched"))</f>
        <v>Matched</v>
      </c>
    </row>
    <row r="150" customFormat="false" ht="15" hidden="false" customHeight="false" outlineLevel="0" collapsed="false">
      <c r="A150" s="6" t="s">
        <v>858</v>
      </c>
      <c r="B150" s="6" t="n">
        <v>2025</v>
      </c>
      <c r="C150" s="16" t="n">
        <v>474</v>
      </c>
      <c r="D150" s="17" t="n">
        <v>8769</v>
      </c>
      <c r="E150" s="6" t="n">
        <f aca="false">IFERROR(INDEX('TRANS'!$B:$B,MATCH($A150,'TRANS'!$A:$A,0)),IFERROR(INDEX('TRANS'!$B:$B,MATCH(TRIM(SUBSTITUTE($A150,CHAR(160)," ")),'TRANS'!$D:$D,0)),IFERROR(INDEX('Manual Matches'!$C:$C,MATCH($A150,'Manual Matches'!$B:$B,0)),"")))</f>
        <v>4408267</v>
      </c>
      <c r="F150" s="6" t="str">
        <f aca="false">IF($E150="","Unmatched",IF(COUNTIF('Manual Matches'!$B:$B,$A150)&gt;0,"Matched (manual)","Matched"))</f>
        <v>Matched</v>
      </c>
    </row>
    <row r="151" customFormat="false" ht="15" hidden="false" customHeight="false" outlineLevel="0" collapsed="false">
      <c r="A151" s="6" t="s">
        <v>858</v>
      </c>
      <c r="B151" s="6" t="n">
        <v>2026</v>
      </c>
      <c r="C151" s="16" t="n">
        <v>221</v>
      </c>
      <c r="D151" s="17" t="n">
        <v>4088.5</v>
      </c>
      <c r="E151" s="6" t="n">
        <f aca="false">IFERROR(INDEX('TRANS'!$B:$B,MATCH($A151,'TRANS'!$A:$A,0)),IFERROR(INDEX('TRANS'!$B:$B,MATCH(TRIM(SUBSTITUTE($A151,CHAR(160)," ")),'TRANS'!$D:$D,0)),IFERROR(INDEX('Manual Matches'!$C:$C,MATCH($A151,'Manual Matches'!$B:$B,0)),"")))</f>
        <v>4408267</v>
      </c>
      <c r="F151" s="6" t="str">
        <f aca="false">IF($E151="","Unmatched",IF(COUNTIF('Manual Matches'!$B:$B,$A151)&gt;0,"Matched (manual)","Matched"))</f>
        <v>Matched</v>
      </c>
    </row>
    <row r="152" customFormat="false" ht="15" hidden="false" customHeight="false" outlineLevel="0" collapsed="false">
      <c r="A152" s="6" t="s">
        <v>960</v>
      </c>
      <c r="B152" s="6" t="n">
        <v>2025</v>
      </c>
      <c r="C152" s="16" t="n">
        <v>177</v>
      </c>
      <c r="D152" s="17" t="n">
        <v>3717</v>
      </c>
      <c r="E152" s="6" t="n">
        <f aca="false">IFERROR(INDEX('TRANS'!$B:$B,MATCH($A152,'TRANS'!$A:$A,0)),IFERROR(INDEX('TRANS'!$B:$B,MATCH(TRIM(SUBSTITUTE($A152,CHAR(160)," ")),'TRANS'!$D:$D,0)),IFERROR(INDEX('Manual Matches'!$C:$C,MATCH($A152,'Manual Matches'!$B:$B,0)),"")))</f>
        <v>4408269</v>
      </c>
      <c r="F152" s="6" t="str">
        <f aca="false">IF($E152="","Unmatched",IF(COUNTIF('Manual Matches'!$B:$B,$A152)&gt;0,"Matched (manual)","Matched"))</f>
        <v>Matched</v>
      </c>
    </row>
    <row r="153" customFormat="false" ht="15" hidden="false" customHeight="false" outlineLevel="0" collapsed="false">
      <c r="A153" s="6" t="s">
        <v>960</v>
      </c>
      <c r="B153" s="6" t="n">
        <v>2026</v>
      </c>
      <c r="C153" s="16" t="n">
        <v>73</v>
      </c>
      <c r="D153" s="17" t="n">
        <v>1533</v>
      </c>
      <c r="E153" s="6" t="n">
        <f aca="false">IFERROR(INDEX('TRANS'!$B:$B,MATCH($A153,'TRANS'!$A:$A,0)),IFERROR(INDEX('TRANS'!$B:$B,MATCH(TRIM(SUBSTITUTE($A153,CHAR(160)," ")),'TRANS'!$D:$D,0)),IFERROR(INDEX('Manual Matches'!$C:$C,MATCH($A153,'Manual Matches'!$B:$B,0)),"")))</f>
        <v>4408269</v>
      </c>
      <c r="F153" s="6" t="str">
        <f aca="false">IF($E153="","Unmatched",IF(COUNTIF('Manual Matches'!$B:$B,$A153)&gt;0,"Matched (manual)","Matched"))</f>
        <v>Matched</v>
      </c>
    </row>
    <row r="154" customFormat="false" ht="15" hidden="false" customHeight="false" outlineLevel="0" collapsed="false">
      <c r="A154" s="6" t="s">
        <v>222</v>
      </c>
      <c r="B154" s="6" t="n">
        <v>2025</v>
      </c>
      <c r="C154" s="16" t="n">
        <v>145</v>
      </c>
      <c r="D154" s="17" t="n">
        <v>7757.5</v>
      </c>
      <c r="E154" s="6" t="n">
        <f aca="false">IFERROR(INDEX('TRANS'!$B:$B,MATCH($A154,'TRANS'!$A:$A,0)),IFERROR(INDEX('TRANS'!$B:$B,MATCH(TRIM(SUBSTITUTE($A154,CHAR(160)," ")),'TRANS'!$D:$D,0)),IFERROR(INDEX('Manual Matches'!$C:$C,MATCH($A154,'Manual Matches'!$B:$B,0)),"")))</f>
        <v>4402011</v>
      </c>
      <c r="F154" s="6" t="str">
        <f aca="false">IF($E154="","Unmatched",IF(COUNTIF('Manual Matches'!$B:$B,$A154)&gt;0,"Matched (manual)","Matched"))</f>
        <v>Matched</v>
      </c>
    </row>
    <row r="155" customFormat="false" ht="15" hidden="false" customHeight="false" outlineLevel="0" collapsed="false">
      <c r="A155" s="6" t="s">
        <v>222</v>
      </c>
      <c r="B155" s="6" t="n">
        <v>2026</v>
      </c>
      <c r="C155" s="16" t="n">
        <v>49</v>
      </c>
      <c r="D155" s="17" t="n">
        <v>2621.5</v>
      </c>
      <c r="E155" s="6" t="n">
        <f aca="false">IFERROR(INDEX('TRANS'!$B:$B,MATCH($A155,'TRANS'!$A:$A,0)),IFERROR(INDEX('TRANS'!$B:$B,MATCH(TRIM(SUBSTITUTE($A155,CHAR(160)," ")),'TRANS'!$D:$D,0)),IFERROR(INDEX('Manual Matches'!$C:$C,MATCH($A155,'Manual Matches'!$B:$B,0)),"")))</f>
        <v>4402011</v>
      </c>
      <c r="F155" s="6" t="str">
        <f aca="false">IF($E155="","Unmatched",IF(COUNTIF('Manual Matches'!$B:$B,$A155)&gt;0,"Matched (manual)","Matched"))</f>
        <v>Matched</v>
      </c>
    </row>
    <row r="156" customFormat="false" ht="15" hidden="false" customHeight="false" outlineLevel="0" collapsed="false">
      <c r="A156" s="6" t="s">
        <v>328</v>
      </c>
      <c r="B156" s="6" t="n">
        <v>2025</v>
      </c>
      <c r="C156" s="16" t="n">
        <v>64</v>
      </c>
      <c r="D156" s="17" t="n">
        <v>11232</v>
      </c>
      <c r="E156" s="6" t="n">
        <f aca="false">IFERROR(INDEX('TRANS'!$B:$B,MATCH($A156,'TRANS'!$A:$A,0)),IFERROR(INDEX('TRANS'!$B:$B,MATCH(TRIM(SUBSTITUTE($A156,CHAR(160)," ")),'TRANS'!$D:$D,0)),IFERROR(INDEX('Manual Matches'!$C:$C,MATCH($A156,'Manual Matches'!$B:$B,0)),"")))</f>
        <v>4408015</v>
      </c>
      <c r="F156" s="6" t="str">
        <f aca="false">IF($E156="","Unmatched",IF(COUNTIF('Manual Matches'!$B:$B,$A156)&gt;0,"Matched (manual)","Matched"))</f>
        <v>Matched</v>
      </c>
    </row>
    <row r="157" customFormat="false" ht="15" hidden="false" customHeight="false" outlineLevel="0" collapsed="false">
      <c r="A157" s="6" t="s">
        <v>328</v>
      </c>
      <c r="B157" s="6" t="n">
        <v>2026</v>
      </c>
      <c r="C157" s="16" t="n">
        <v>12</v>
      </c>
      <c r="D157" s="17" t="n">
        <v>2106</v>
      </c>
      <c r="E157" s="6" t="n">
        <f aca="false">IFERROR(INDEX('TRANS'!$B:$B,MATCH($A157,'TRANS'!$A:$A,0)),IFERROR(INDEX('TRANS'!$B:$B,MATCH(TRIM(SUBSTITUTE($A157,CHAR(160)," ")),'TRANS'!$D:$D,0)),IFERROR(INDEX('Manual Matches'!$C:$C,MATCH($A157,'Manual Matches'!$B:$B,0)),"")))</f>
        <v>4408015</v>
      </c>
      <c r="F157" s="6" t="str">
        <f aca="false">IF($E157="","Unmatched",IF(COUNTIF('Manual Matches'!$B:$B,$A157)&gt;0,"Matched (manual)","Matched"))</f>
        <v>Matched</v>
      </c>
    </row>
    <row r="158" customFormat="false" ht="15" hidden="false" customHeight="false" outlineLevel="0" collapsed="false">
      <c r="A158" s="6" t="s">
        <v>334</v>
      </c>
      <c r="B158" s="6" t="n">
        <v>2025</v>
      </c>
      <c r="C158" s="16" t="n">
        <v>67</v>
      </c>
      <c r="D158" s="17" t="n">
        <v>11758.5</v>
      </c>
      <c r="E158" s="6" t="n">
        <f aca="false">IFERROR(INDEX('TRANS'!$B:$B,MATCH($A158,'TRANS'!$A:$A,0)),IFERROR(INDEX('TRANS'!$B:$B,MATCH(TRIM(SUBSTITUTE($A158,CHAR(160)," ")),'TRANS'!$D:$D,0)),IFERROR(INDEX('Manual Matches'!$C:$C,MATCH($A158,'Manual Matches'!$B:$B,0)),"")))</f>
        <v>4408017</v>
      </c>
      <c r="F158" s="6" t="str">
        <f aca="false">IF($E158="","Unmatched",IF(COUNTIF('Manual Matches'!$B:$B,$A158)&gt;0,"Matched (manual)","Matched"))</f>
        <v>Matched</v>
      </c>
    </row>
    <row r="159" customFormat="false" ht="15" hidden="false" customHeight="false" outlineLevel="0" collapsed="false">
      <c r="A159" s="6" t="s">
        <v>334</v>
      </c>
      <c r="B159" s="6" t="n">
        <v>2026</v>
      </c>
      <c r="C159" s="16" t="n">
        <v>11</v>
      </c>
      <c r="D159" s="17" t="n">
        <v>1930.5</v>
      </c>
      <c r="E159" s="6" t="n">
        <f aca="false">IFERROR(INDEX('TRANS'!$B:$B,MATCH($A159,'TRANS'!$A:$A,0)),IFERROR(INDEX('TRANS'!$B:$B,MATCH(TRIM(SUBSTITUTE($A159,CHAR(160)," ")),'TRANS'!$D:$D,0)),IFERROR(INDEX('Manual Matches'!$C:$C,MATCH($A159,'Manual Matches'!$B:$B,0)),"")))</f>
        <v>4408017</v>
      </c>
      <c r="F159" s="6" t="str">
        <f aca="false">IF($E159="","Unmatched",IF(COUNTIF('Manual Matches'!$B:$B,$A159)&gt;0,"Matched (manual)","Matched"))</f>
        <v>Matched</v>
      </c>
    </row>
    <row r="160" customFormat="false" ht="15" hidden="false" customHeight="false" outlineLevel="0" collapsed="false">
      <c r="A160" s="6" t="s">
        <v>336</v>
      </c>
      <c r="B160" s="6" t="n">
        <v>2025</v>
      </c>
      <c r="C160" s="16" t="n">
        <v>52</v>
      </c>
      <c r="D160" s="17" t="n">
        <v>9126</v>
      </c>
      <c r="E160" s="6" t="n">
        <f aca="false">IFERROR(INDEX('TRANS'!$B:$B,MATCH($A160,'TRANS'!$A:$A,0)),IFERROR(INDEX('TRANS'!$B:$B,MATCH(TRIM(SUBSTITUTE($A160,CHAR(160)," ")),'TRANS'!$D:$D,0)),IFERROR(INDEX('Manual Matches'!$C:$C,MATCH($A160,'Manual Matches'!$B:$B,0)),"")))</f>
        <v>4408018</v>
      </c>
      <c r="F160" s="6" t="str">
        <f aca="false">IF($E160="","Unmatched",IF(COUNTIF('Manual Matches'!$B:$B,$A160)&gt;0,"Matched (manual)","Matched"))</f>
        <v>Matched</v>
      </c>
    </row>
    <row r="161" customFormat="false" ht="15" hidden="false" customHeight="false" outlineLevel="0" collapsed="false">
      <c r="A161" s="6" t="s">
        <v>336</v>
      </c>
      <c r="B161" s="6" t="n">
        <v>2026</v>
      </c>
      <c r="C161" s="16" t="n">
        <v>4</v>
      </c>
      <c r="D161" s="17" t="n">
        <v>702</v>
      </c>
      <c r="E161" s="6" t="n">
        <f aca="false">IFERROR(INDEX('TRANS'!$B:$B,MATCH($A161,'TRANS'!$A:$A,0)),IFERROR(INDEX('TRANS'!$B:$B,MATCH(TRIM(SUBSTITUTE($A161,CHAR(160)," ")),'TRANS'!$D:$D,0)),IFERROR(INDEX('Manual Matches'!$C:$C,MATCH($A161,'Manual Matches'!$B:$B,0)),"")))</f>
        <v>4408018</v>
      </c>
      <c r="F161" s="6" t="str">
        <f aca="false">IF($E161="","Unmatched",IF(COUNTIF('Manual Matches'!$B:$B,$A161)&gt;0,"Matched (manual)","Matched"))</f>
        <v>Matched</v>
      </c>
    </row>
    <row r="162" customFormat="false" ht="15" hidden="false" customHeight="false" outlineLevel="0" collapsed="false">
      <c r="A162" s="6" t="s">
        <v>344</v>
      </c>
      <c r="B162" s="6" t="n">
        <v>2025</v>
      </c>
      <c r="C162" s="16" t="n">
        <v>74</v>
      </c>
      <c r="D162" s="17" t="n">
        <v>5353.16</v>
      </c>
      <c r="E162" s="6" t="n">
        <f aca="false">IFERROR(INDEX('TRANS'!$B:$B,MATCH($A162,'TRANS'!$A:$A,0)),IFERROR(INDEX('TRANS'!$B:$B,MATCH(TRIM(SUBSTITUTE($A162,CHAR(160)," ")),'TRANS'!$D:$D,0)),IFERROR(INDEX('Manual Matches'!$C:$C,MATCH($A162,'Manual Matches'!$B:$B,0)),"")))</f>
        <v>4408032</v>
      </c>
      <c r="F162" s="6" t="str">
        <f aca="false">IF($E162="","Unmatched",IF(COUNTIF('Manual Matches'!$B:$B,$A162)&gt;0,"Matched (manual)","Matched"))</f>
        <v>Matched</v>
      </c>
    </row>
    <row r="163" customFormat="false" ht="15" hidden="false" customHeight="false" outlineLevel="0" collapsed="false">
      <c r="A163" s="6" t="s">
        <v>344</v>
      </c>
      <c r="B163" s="6" t="n">
        <v>2026</v>
      </c>
      <c r="C163" s="16" t="n">
        <v>17</v>
      </c>
      <c r="D163" s="17" t="n">
        <v>1229.78</v>
      </c>
      <c r="E163" s="6" t="n">
        <f aca="false">IFERROR(INDEX('TRANS'!$B:$B,MATCH($A163,'TRANS'!$A:$A,0)),IFERROR(INDEX('TRANS'!$B:$B,MATCH(TRIM(SUBSTITUTE($A163,CHAR(160)," ")),'TRANS'!$D:$D,0)),IFERROR(INDEX('Manual Matches'!$C:$C,MATCH($A163,'Manual Matches'!$B:$B,0)),"")))</f>
        <v>4408032</v>
      </c>
      <c r="F163" s="6" t="str">
        <f aca="false">IF($E163="","Unmatched",IF(COUNTIF('Manual Matches'!$B:$B,$A163)&gt;0,"Matched (manual)","Matched"))</f>
        <v>Matched</v>
      </c>
    </row>
    <row r="164" customFormat="false" ht="15" hidden="false" customHeight="false" outlineLevel="0" collapsed="false">
      <c r="A164" s="6" t="s">
        <v>348</v>
      </c>
      <c r="B164" s="6" t="n">
        <v>2025</v>
      </c>
      <c r="C164" s="16" t="n">
        <v>33</v>
      </c>
      <c r="D164" s="17" t="n">
        <v>2387.22</v>
      </c>
      <c r="E164" s="6" t="n">
        <f aca="false">IFERROR(INDEX('TRANS'!$B:$B,MATCH($A164,'TRANS'!$A:$A,0)),IFERROR(INDEX('TRANS'!$B:$B,MATCH(TRIM(SUBSTITUTE($A164,CHAR(160)," ")),'TRANS'!$D:$D,0)),IFERROR(INDEX('Manual Matches'!$C:$C,MATCH($A164,'Manual Matches'!$B:$B,0)),"")))</f>
        <v>4408031</v>
      </c>
      <c r="F164" s="6" t="str">
        <f aca="false">IF($E164="","Unmatched",IF(COUNTIF('Manual Matches'!$B:$B,$A164)&gt;0,"Matched (manual)","Matched"))</f>
        <v>Matched</v>
      </c>
    </row>
    <row r="165" customFormat="false" ht="15" hidden="false" customHeight="false" outlineLevel="0" collapsed="false">
      <c r="A165" s="6" t="s">
        <v>348</v>
      </c>
      <c r="B165" s="6" t="n">
        <v>2026</v>
      </c>
      <c r="C165" s="16" t="n">
        <v>2</v>
      </c>
      <c r="D165" s="17" t="n">
        <v>144.68</v>
      </c>
      <c r="E165" s="6" t="n">
        <f aca="false">IFERROR(INDEX('TRANS'!$B:$B,MATCH($A165,'TRANS'!$A:$A,0)),IFERROR(INDEX('TRANS'!$B:$B,MATCH(TRIM(SUBSTITUTE($A165,CHAR(160)," ")),'TRANS'!$D:$D,0)),IFERROR(INDEX('Manual Matches'!$C:$C,MATCH($A165,'Manual Matches'!$B:$B,0)),"")))</f>
        <v>4408031</v>
      </c>
      <c r="F165" s="6" t="str">
        <f aca="false">IF($E165="","Unmatched",IF(COUNTIF('Manual Matches'!$B:$B,$A165)&gt;0,"Matched (manual)","Matched"))</f>
        <v>Matched</v>
      </c>
    </row>
    <row r="166" customFormat="false" ht="15" hidden="false" customHeight="false" outlineLevel="0" collapsed="false">
      <c r="A166" s="6" t="s">
        <v>350</v>
      </c>
      <c r="B166" s="6" t="n">
        <v>2025</v>
      </c>
      <c r="C166" s="16" t="n">
        <v>112</v>
      </c>
      <c r="D166" s="17" t="n">
        <v>8102.08000000001</v>
      </c>
      <c r="E166" s="6" t="n">
        <f aca="false">IFERROR(INDEX('TRANS'!$B:$B,MATCH($A166,'TRANS'!$A:$A,0)),IFERROR(INDEX('TRANS'!$B:$B,MATCH(TRIM(SUBSTITUTE($A166,CHAR(160)," ")),'TRANS'!$D:$D,0)),IFERROR(INDEX('Manual Matches'!$C:$C,MATCH($A166,'Manual Matches'!$B:$B,0)),"")))</f>
        <v>4408034</v>
      </c>
      <c r="F166" s="6" t="str">
        <f aca="false">IF($E166="","Unmatched",IF(COUNTIF('Manual Matches'!$B:$B,$A166)&gt;0,"Matched (manual)","Matched"))</f>
        <v>Matched</v>
      </c>
    </row>
    <row r="167" customFormat="false" ht="15" hidden="false" customHeight="false" outlineLevel="0" collapsed="false">
      <c r="A167" s="6" t="s">
        <v>350</v>
      </c>
      <c r="B167" s="6" t="n">
        <v>2026</v>
      </c>
      <c r="C167" s="16" t="n">
        <v>38</v>
      </c>
      <c r="D167" s="17" t="n">
        <v>2748.92</v>
      </c>
      <c r="E167" s="6" t="n">
        <f aca="false">IFERROR(INDEX('TRANS'!$B:$B,MATCH($A167,'TRANS'!$A:$A,0)),IFERROR(INDEX('TRANS'!$B:$B,MATCH(TRIM(SUBSTITUTE($A167,CHAR(160)," ")),'TRANS'!$D:$D,0)),IFERROR(INDEX('Manual Matches'!$C:$C,MATCH($A167,'Manual Matches'!$B:$B,0)),"")))</f>
        <v>4408034</v>
      </c>
      <c r="F167" s="6" t="str">
        <f aca="false">IF($E167="","Unmatched",IF(COUNTIF('Manual Matches'!$B:$B,$A167)&gt;0,"Matched (manual)","Matched"))</f>
        <v>Matched</v>
      </c>
    </row>
    <row r="168" customFormat="false" ht="15" hidden="false" customHeight="false" outlineLevel="0" collapsed="false">
      <c r="A168" s="6" t="s">
        <v>352</v>
      </c>
      <c r="B168" s="6" t="n">
        <v>2025</v>
      </c>
      <c r="C168" s="16" t="n">
        <v>76</v>
      </c>
      <c r="D168" s="17" t="n">
        <v>5497.84</v>
      </c>
      <c r="E168" s="6" t="n">
        <f aca="false">IFERROR(INDEX('TRANS'!$B:$B,MATCH($A168,'TRANS'!$A:$A,0)),IFERROR(INDEX('TRANS'!$B:$B,MATCH(TRIM(SUBSTITUTE($A168,CHAR(160)," ")),'TRANS'!$D:$D,0)),IFERROR(INDEX('Manual Matches'!$C:$C,MATCH($A168,'Manual Matches'!$B:$B,0)),"")))</f>
        <v>4408035</v>
      </c>
      <c r="F168" s="6" t="str">
        <f aca="false">IF($E168="","Unmatched",IF(COUNTIF('Manual Matches'!$B:$B,$A168)&gt;0,"Matched (manual)","Matched"))</f>
        <v>Matched</v>
      </c>
    </row>
    <row r="169" customFormat="false" ht="15" hidden="false" customHeight="false" outlineLevel="0" collapsed="false">
      <c r="A169" s="6" t="s">
        <v>352</v>
      </c>
      <c r="B169" s="6" t="n">
        <v>2026</v>
      </c>
      <c r="C169" s="16" t="n">
        <v>13</v>
      </c>
      <c r="D169" s="17" t="n">
        <v>940.42</v>
      </c>
      <c r="E169" s="6" t="n">
        <f aca="false">IFERROR(INDEX('TRANS'!$B:$B,MATCH($A169,'TRANS'!$A:$A,0)),IFERROR(INDEX('TRANS'!$B:$B,MATCH(TRIM(SUBSTITUTE($A169,CHAR(160)," ")),'TRANS'!$D:$D,0)),IFERROR(INDEX('Manual Matches'!$C:$C,MATCH($A169,'Manual Matches'!$B:$B,0)),"")))</f>
        <v>4408035</v>
      </c>
      <c r="F169" s="6" t="str">
        <f aca="false">IF($E169="","Unmatched",IF(COUNTIF('Manual Matches'!$B:$B,$A169)&gt;0,"Matched (manual)","Matched"))</f>
        <v>Matched</v>
      </c>
    </row>
    <row r="170" customFormat="false" ht="15" hidden="false" customHeight="false" outlineLevel="0" collapsed="false">
      <c r="A170" s="6" t="s">
        <v>402</v>
      </c>
      <c r="B170" s="6" t="n">
        <v>2025</v>
      </c>
      <c r="C170" s="16" t="n">
        <v>24</v>
      </c>
      <c r="D170" s="17" t="n">
        <v>1867.2</v>
      </c>
      <c r="E170" s="6" t="n">
        <f aca="false">IFERROR(INDEX('TRANS'!$B:$B,MATCH($A170,'TRANS'!$A:$A,0)),IFERROR(INDEX('TRANS'!$B:$B,MATCH(TRIM(SUBSTITUTE($A170,CHAR(160)," ")),'TRANS'!$D:$D,0)),IFERROR(INDEX('Manual Matches'!$C:$C,MATCH($A170,'Manual Matches'!$B:$B,0)),"")))</f>
        <v>4408232</v>
      </c>
      <c r="F170" s="6" t="str">
        <f aca="false">IF($E170="","Unmatched",IF(COUNTIF('Manual Matches'!$B:$B,$A170)&gt;0,"Matched (manual)","Matched"))</f>
        <v>Matched</v>
      </c>
    </row>
    <row r="171" customFormat="false" ht="15" hidden="false" customHeight="false" outlineLevel="0" collapsed="false">
      <c r="A171" s="6" t="s">
        <v>402</v>
      </c>
      <c r="B171" s="6" t="n">
        <v>2026</v>
      </c>
      <c r="C171" s="16" t="n">
        <v>9</v>
      </c>
      <c r="D171" s="17" t="n">
        <v>700.2</v>
      </c>
      <c r="E171" s="6" t="n">
        <f aca="false">IFERROR(INDEX('TRANS'!$B:$B,MATCH($A171,'TRANS'!$A:$A,0)),IFERROR(INDEX('TRANS'!$B:$B,MATCH(TRIM(SUBSTITUTE($A171,CHAR(160)," ")),'TRANS'!$D:$D,0)),IFERROR(INDEX('Manual Matches'!$C:$C,MATCH($A171,'Manual Matches'!$B:$B,0)),"")))</f>
        <v>4408232</v>
      </c>
      <c r="F171" s="6" t="str">
        <f aca="false">IF($E171="","Unmatched",IF(COUNTIF('Manual Matches'!$B:$B,$A171)&gt;0,"Matched (manual)","Matched"))</f>
        <v>Matched</v>
      </c>
    </row>
    <row r="172" customFormat="false" ht="15" hidden="false" customHeight="false" outlineLevel="0" collapsed="false">
      <c r="A172" s="6" t="s">
        <v>792</v>
      </c>
      <c r="B172" s="6" t="n">
        <v>2025</v>
      </c>
      <c r="C172" s="16" t="n">
        <v>157</v>
      </c>
      <c r="D172" s="17" t="n">
        <v>3835.51</v>
      </c>
      <c r="E172" s="6" t="n">
        <f aca="false">IFERROR(INDEX('TRANS'!$B:$B,MATCH($A172,'TRANS'!$A:$A,0)),IFERROR(INDEX('TRANS'!$B:$B,MATCH(TRIM(SUBSTITUTE($A172,CHAR(160)," ")),'TRANS'!$D:$D,0)),IFERROR(INDEX('Manual Matches'!$C:$C,MATCH($A172,'Manual Matches'!$B:$B,0)),"")))</f>
        <v>4408054</v>
      </c>
      <c r="F172" s="6" t="str">
        <f aca="false">IF($E172="","Unmatched",IF(COUNTIF('Manual Matches'!$B:$B,$A172)&gt;0,"Matched (manual)","Matched"))</f>
        <v>Matched</v>
      </c>
    </row>
    <row r="173" customFormat="false" ht="15" hidden="false" customHeight="false" outlineLevel="0" collapsed="false">
      <c r="A173" s="6" t="s">
        <v>792</v>
      </c>
      <c r="B173" s="6" t="n">
        <v>2026</v>
      </c>
      <c r="C173" s="16" t="n">
        <v>35</v>
      </c>
      <c r="D173" s="17" t="n">
        <v>855.05</v>
      </c>
      <c r="E173" s="6" t="n">
        <f aca="false">IFERROR(INDEX('TRANS'!$B:$B,MATCH($A173,'TRANS'!$A:$A,0)),IFERROR(INDEX('TRANS'!$B:$B,MATCH(TRIM(SUBSTITUTE($A173,CHAR(160)," ")),'TRANS'!$D:$D,0)),IFERROR(INDEX('Manual Matches'!$C:$C,MATCH($A173,'Manual Matches'!$B:$B,0)),"")))</f>
        <v>4408054</v>
      </c>
      <c r="F173" s="6" t="str">
        <f aca="false">IF($E173="","Unmatched",IF(COUNTIF('Manual Matches'!$B:$B,$A173)&gt;0,"Matched (manual)","Matched"))</f>
        <v>Matched</v>
      </c>
    </row>
    <row r="174" customFormat="false" ht="15" hidden="false" customHeight="false" outlineLevel="0" collapsed="false">
      <c r="A174" s="6" t="s">
        <v>916</v>
      </c>
      <c r="B174" s="6" t="n">
        <v>2025</v>
      </c>
      <c r="C174" s="16" t="n">
        <v>64</v>
      </c>
      <c r="D174" s="17" t="n">
        <v>1851.52</v>
      </c>
      <c r="E174" s="6" t="n">
        <f aca="false">IFERROR(INDEX('TRANS'!$B:$B,MATCH($A174,'TRANS'!$A:$A,0)),IFERROR(INDEX('TRANS'!$B:$B,MATCH(TRIM(SUBSTITUTE($A174,CHAR(160)," ")),'TRANS'!$D:$D,0)),IFERROR(INDEX('Manual Matches'!$C:$C,MATCH($A174,'Manual Matches'!$B:$B,0)),"")))</f>
        <v>4413046</v>
      </c>
      <c r="F174" s="6" t="str">
        <f aca="false">IF($E174="","Unmatched",IF(COUNTIF('Manual Matches'!$B:$B,$A174)&gt;0,"Matched (manual)","Matched"))</f>
        <v>Matched</v>
      </c>
    </row>
    <row r="175" customFormat="false" ht="15" hidden="false" customHeight="false" outlineLevel="0" collapsed="false">
      <c r="A175" s="6" t="s">
        <v>916</v>
      </c>
      <c r="B175" s="6" t="n">
        <v>2026</v>
      </c>
      <c r="C175" s="16" t="n">
        <v>22</v>
      </c>
      <c r="D175" s="17" t="n">
        <v>636.46</v>
      </c>
      <c r="E175" s="6" t="n">
        <f aca="false">IFERROR(INDEX('TRANS'!$B:$B,MATCH($A175,'TRANS'!$A:$A,0)),IFERROR(INDEX('TRANS'!$B:$B,MATCH(TRIM(SUBSTITUTE($A175,CHAR(160)," ")),'TRANS'!$D:$D,0)),IFERROR(INDEX('Manual Matches'!$C:$C,MATCH($A175,'Manual Matches'!$B:$B,0)),"")))</f>
        <v>4413046</v>
      </c>
      <c r="F175" s="6" t="str">
        <f aca="false">IF($E175="","Unmatched",IF(COUNTIF('Manual Matches'!$B:$B,$A175)&gt;0,"Matched (manual)","Matched"))</f>
        <v>Matched</v>
      </c>
    </row>
    <row r="176" customFormat="false" ht="15" hidden="false" customHeight="false" outlineLevel="0" collapsed="false">
      <c r="A176" s="6" t="s">
        <v>936</v>
      </c>
      <c r="B176" s="6" t="n">
        <v>2025</v>
      </c>
      <c r="C176" s="16" t="n">
        <v>77</v>
      </c>
      <c r="D176" s="17" t="n">
        <v>1309</v>
      </c>
      <c r="E176" s="6" t="n">
        <f aca="false">IFERROR(INDEX('TRANS'!$B:$B,MATCH($A176,'TRANS'!$A:$A,0)),IFERROR(INDEX('TRANS'!$B:$B,MATCH(TRIM(SUBSTITUTE($A176,CHAR(160)," ")),'TRANS'!$D:$D,0)),IFERROR(INDEX('Manual Matches'!$C:$C,MATCH($A176,'Manual Matches'!$B:$B,0)),"")))</f>
        <v>4413051</v>
      </c>
      <c r="F176" s="6" t="str">
        <f aca="false">IF($E176="","Unmatched",IF(COUNTIF('Manual Matches'!$B:$B,$A176)&gt;0,"Matched (manual)","Matched"))</f>
        <v>Matched</v>
      </c>
    </row>
    <row r="177" customFormat="false" ht="15" hidden="false" customHeight="false" outlineLevel="0" collapsed="false">
      <c r="A177" s="6" t="s">
        <v>936</v>
      </c>
      <c r="B177" s="6" t="n">
        <v>2026</v>
      </c>
      <c r="C177" s="16" t="n">
        <v>13</v>
      </c>
      <c r="D177" s="17" t="n">
        <v>221</v>
      </c>
      <c r="E177" s="6" t="n">
        <f aca="false">IFERROR(INDEX('TRANS'!$B:$B,MATCH($A177,'TRANS'!$A:$A,0)),IFERROR(INDEX('TRANS'!$B:$B,MATCH(TRIM(SUBSTITUTE($A177,CHAR(160)," ")),'TRANS'!$D:$D,0)),IFERROR(INDEX('Manual Matches'!$C:$C,MATCH($A177,'Manual Matches'!$B:$B,0)),"")))</f>
        <v>4413051</v>
      </c>
      <c r="F177" s="6" t="str">
        <f aca="false">IF($E177="","Unmatched",IF(COUNTIF('Manual Matches'!$B:$B,$A177)&gt;0,"Matched (manual)","Matched"))</f>
        <v>Matched</v>
      </c>
    </row>
    <row r="178" customFormat="false" ht="15" hidden="false" customHeight="false" outlineLevel="0" collapsed="false">
      <c r="A178" s="6" t="s">
        <v>144</v>
      </c>
      <c r="B178" s="6" t="n">
        <v>2025</v>
      </c>
      <c r="C178" s="16" t="n">
        <v>76</v>
      </c>
      <c r="D178" s="17" t="n">
        <v>4931.64</v>
      </c>
      <c r="E178" s="6" t="n">
        <f aca="false">IFERROR(INDEX('TRANS'!$B:$B,MATCH($A178,'TRANS'!$A:$A,0)),IFERROR(INDEX('TRANS'!$B:$B,MATCH(TRIM(SUBSTITUTE($A178,CHAR(160)," ")),'TRANS'!$D:$D,0)),IFERROR(INDEX('Manual Matches'!$C:$C,MATCH($A178,'Manual Matches'!$B:$B,0)),"")))</f>
        <v>4420017</v>
      </c>
      <c r="F178" s="6" t="str">
        <f aca="false">IF($E178="","Unmatched",IF(COUNTIF('Manual Matches'!$B:$B,$A178)&gt;0,"Matched (manual)","Matched"))</f>
        <v>Matched</v>
      </c>
    </row>
    <row r="179" customFormat="false" ht="15" hidden="false" customHeight="false" outlineLevel="0" collapsed="false">
      <c r="A179" s="6" t="s">
        <v>144</v>
      </c>
      <c r="B179" s="6" t="n">
        <v>2026</v>
      </c>
      <c r="C179" s="16" t="n">
        <v>14</v>
      </c>
      <c r="D179" s="17" t="n">
        <v>908.46</v>
      </c>
      <c r="E179" s="6" t="n">
        <f aca="false">IFERROR(INDEX('TRANS'!$B:$B,MATCH($A179,'TRANS'!$A:$A,0)),IFERROR(INDEX('TRANS'!$B:$B,MATCH(TRIM(SUBSTITUTE($A179,CHAR(160)," ")),'TRANS'!$D:$D,0)),IFERROR(INDEX('Manual Matches'!$C:$C,MATCH($A179,'Manual Matches'!$B:$B,0)),"")))</f>
        <v>4420017</v>
      </c>
      <c r="F179" s="6" t="str">
        <f aca="false">IF($E179="","Unmatched",IF(COUNTIF('Manual Matches'!$B:$B,$A179)&gt;0,"Matched (manual)","Matched"))</f>
        <v>Matched</v>
      </c>
    </row>
    <row r="180" customFormat="false" ht="15" hidden="false" customHeight="false" outlineLevel="0" collapsed="false">
      <c r="A180" s="6" t="s">
        <v>172</v>
      </c>
      <c r="B180" s="6" t="n">
        <v>2025</v>
      </c>
      <c r="C180" s="16" t="n">
        <v>178</v>
      </c>
      <c r="D180" s="17" t="n">
        <v>2937</v>
      </c>
      <c r="E180" s="6" t="n">
        <f aca="false">IFERROR(INDEX('TRANS'!$B:$B,MATCH($A180,'TRANS'!$A:$A,0)),IFERROR(INDEX('TRANS'!$B:$B,MATCH(TRIM(SUBSTITUTE($A180,CHAR(160)," ")),'TRANS'!$D:$D,0)),IFERROR(INDEX('Manual Matches'!$C:$C,MATCH($A180,'Manual Matches'!$B:$B,0)),"")))</f>
        <v>4413096</v>
      </c>
      <c r="F180" s="6" t="str">
        <f aca="false">IF($E180="","Unmatched",IF(COUNTIF('Manual Matches'!$B:$B,$A180)&gt;0,"Matched (manual)","Matched"))</f>
        <v>Matched</v>
      </c>
    </row>
    <row r="181" customFormat="false" ht="15" hidden="false" customHeight="false" outlineLevel="0" collapsed="false">
      <c r="A181" s="6" t="s">
        <v>172</v>
      </c>
      <c r="B181" s="6" t="n">
        <v>2026</v>
      </c>
      <c r="C181" s="16" t="n">
        <v>46</v>
      </c>
      <c r="D181" s="17" t="n">
        <v>759</v>
      </c>
      <c r="E181" s="6" t="n">
        <f aca="false">IFERROR(INDEX('TRANS'!$B:$B,MATCH($A181,'TRANS'!$A:$A,0)),IFERROR(INDEX('TRANS'!$B:$B,MATCH(TRIM(SUBSTITUTE($A181,CHAR(160)," ")),'TRANS'!$D:$D,0)),IFERROR(INDEX('Manual Matches'!$C:$C,MATCH($A181,'Manual Matches'!$B:$B,0)),"")))</f>
        <v>4413096</v>
      </c>
      <c r="F181" s="6" t="str">
        <f aca="false">IF($E181="","Unmatched",IF(COUNTIF('Manual Matches'!$B:$B,$A181)&gt;0,"Matched (manual)","Matched"))</f>
        <v>Matched</v>
      </c>
    </row>
    <row r="182" customFormat="false" ht="15" hidden="false" customHeight="false" outlineLevel="0" collapsed="false">
      <c r="A182" s="6" t="s">
        <v>608</v>
      </c>
      <c r="B182" s="6" t="n">
        <v>2025</v>
      </c>
      <c r="C182" s="16" t="n">
        <v>1</v>
      </c>
      <c r="D182" s="17" t="n">
        <v>126.57</v>
      </c>
      <c r="E182" s="6" t="n">
        <f aca="false">IFERROR(INDEX('TRANS'!$B:$B,MATCH($A182,'TRANS'!$A:$A,0)),IFERROR(INDEX('TRANS'!$B:$B,MATCH(TRIM(SUBSTITUTE($A182,CHAR(160)," ")),'TRANS'!$D:$D,0)),IFERROR(INDEX('Manual Matches'!$C:$C,MATCH($A182,'Manual Matches'!$B:$B,0)),"")))</f>
        <v>4408075</v>
      </c>
      <c r="F182" s="6" t="str">
        <f aca="false">IF($E182="","Unmatched",IF(COUNTIF('Manual Matches'!$B:$B,$A182)&gt;0,"Matched (manual)","Matched"))</f>
        <v>Matched</v>
      </c>
    </row>
    <row r="183" customFormat="false" ht="15" hidden="false" customHeight="false" outlineLevel="0" collapsed="false">
      <c r="A183" s="6" t="s">
        <v>608</v>
      </c>
      <c r="B183" s="6" t="n">
        <v>2026</v>
      </c>
      <c r="C183" s="16" t="n">
        <v>1</v>
      </c>
      <c r="D183" s="17" t="n">
        <v>126.57</v>
      </c>
      <c r="E183" s="6" t="n">
        <f aca="false">IFERROR(INDEX('TRANS'!$B:$B,MATCH($A183,'TRANS'!$A:$A,0)),IFERROR(INDEX('TRANS'!$B:$B,MATCH(TRIM(SUBSTITUTE($A183,CHAR(160)," ")),'TRANS'!$D:$D,0)),IFERROR(INDEX('Manual Matches'!$C:$C,MATCH($A183,'Manual Matches'!$B:$B,0)),"")))</f>
        <v>4408075</v>
      </c>
      <c r="F183" s="6" t="str">
        <f aca="false">IF($E183="","Unmatched",IF(COUNTIF('Manual Matches'!$B:$B,$A183)&gt;0,"Matched (manual)","Matched"))</f>
        <v>Matched</v>
      </c>
    </row>
    <row r="184" customFormat="false" ht="15" hidden="false" customHeight="false" outlineLevel="0" collapsed="false">
      <c r="A184" s="6" t="s">
        <v>452</v>
      </c>
      <c r="B184" s="6" t="n">
        <v>2025</v>
      </c>
      <c r="C184" s="16" t="n">
        <v>111</v>
      </c>
      <c r="D184" s="17" t="n">
        <v>2775</v>
      </c>
      <c r="E184" s="6" t="n">
        <f aca="false">IFERROR(INDEX('TRANS'!$B:$B,MATCH($A184,'TRANS'!$A:$A,0)),IFERROR(INDEX('TRANS'!$B:$B,MATCH(TRIM(SUBSTITUTE($A184,CHAR(160)," ")),'TRANS'!$D:$D,0)),IFERROR(INDEX('Manual Matches'!$C:$C,MATCH($A184,'Manual Matches'!$B:$B,0)),"")))</f>
        <v>4409015</v>
      </c>
      <c r="F184" s="6" t="str">
        <f aca="false">IF($E184="","Unmatched",IF(COUNTIF('Manual Matches'!$B:$B,$A184)&gt;0,"Matched (manual)","Matched"))</f>
        <v>Matched</v>
      </c>
    </row>
    <row r="185" customFormat="false" ht="15" hidden="false" customHeight="false" outlineLevel="0" collapsed="false">
      <c r="A185" s="6" t="s">
        <v>452</v>
      </c>
      <c r="B185" s="6" t="n">
        <v>2026</v>
      </c>
      <c r="C185" s="16" t="n">
        <v>43</v>
      </c>
      <c r="D185" s="17" t="n">
        <v>1075</v>
      </c>
      <c r="E185" s="6" t="n">
        <f aca="false">IFERROR(INDEX('TRANS'!$B:$B,MATCH($A185,'TRANS'!$A:$A,0)),IFERROR(INDEX('TRANS'!$B:$B,MATCH(TRIM(SUBSTITUTE($A185,CHAR(160)," ")),'TRANS'!$D:$D,0)),IFERROR(INDEX('Manual Matches'!$C:$C,MATCH($A185,'Manual Matches'!$B:$B,0)),"")))</f>
        <v>4409015</v>
      </c>
      <c r="F185" s="6" t="str">
        <f aca="false">IF($E185="","Unmatched",IF(COUNTIF('Manual Matches'!$B:$B,$A185)&gt;0,"Matched (manual)","Matched"))</f>
        <v>Matched</v>
      </c>
    </row>
    <row r="186" customFormat="false" ht="15" hidden="false" customHeight="false" outlineLevel="0" collapsed="false">
      <c r="A186" s="6" t="s">
        <v>454</v>
      </c>
      <c r="B186" s="6" t="n">
        <v>2025</v>
      </c>
      <c r="C186" s="16" t="n">
        <v>104</v>
      </c>
      <c r="D186" s="17" t="n">
        <v>2600</v>
      </c>
      <c r="E186" s="6" t="n">
        <f aca="false">IFERROR(INDEX('TRANS'!$B:$B,MATCH($A186,'TRANS'!$A:$A,0)),IFERROR(INDEX('TRANS'!$B:$B,MATCH(TRIM(SUBSTITUTE($A186,CHAR(160)," ")),'TRANS'!$D:$D,0)),IFERROR(INDEX('Manual Matches'!$C:$C,MATCH($A186,'Manual Matches'!$B:$B,0)),"")))</f>
        <v>4409016</v>
      </c>
      <c r="F186" s="6" t="str">
        <f aca="false">IF($E186="","Unmatched",IF(COUNTIF('Manual Matches'!$B:$B,$A186)&gt;0,"Matched (manual)","Matched"))</f>
        <v>Matched</v>
      </c>
    </row>
    <row r="187" customFormat="false" ht="15" hidden="false" customHeight="false" outlineLevel="0" collapsed="false">
      <c r="A187" s="6" t="s">
        <v>454</v>
      </c>
      <c r="B187" s="6" t="n">
        <v>2026</v>
      </c>
      <c r="C187" s="16" t="n">
        <v>41</v>
      </c>
      <c r="D187" s="17" t="n">
        <v>1025</v>
      </c>
      <c r="E187" s="6" t="n">
        <f aca="false">IFERROR(INDEX('TRANS'!$B:$B,MATCH($A187,'TRANS'!$A:$A,0)),IFERROR(INDEX('TRANS'!$B:$B,MATCH(TRIM(SUBSTITUTE($A187,CHAR(160)," ")),'TRANS'!$D:$D,0)),IFERROR(INDEX('Manual Matches'!$C:$C,MATCH($A187,'Manual Matches'!$B:$B,0)),"")))</f>
        <v>4409016</v>
      </c>
      <c r="F187" s="6" t="str">
        <f aca="false">IF($E187="","Unmatched",IF(COUNTIF('Manual Matches'!$B:$B,$A187)&gt;0,"Matched (manual)","Matched"))</f>
        <v>Matched</v>
      </c>
    </row>
    <row r="188" customFormat="false" ht="15" hidden="false" customHeight="false" outlineLevel="0" collapsed="false">
      <c r="A188" s="6" t="s">
        <v>456</v>
      </c>
      <c r="B188" s="6" t="n">
        <v>2025</v>
      </c>
      <c r="C188" s="16" t="n">
        <v>92</v>
      </c>
      <c r="D188" s="17" t="n">
        <v>2300</v>
      </c>
      <c r="E188" s="6" t="n">
        <f aca="false">IFERROR(INDEX('TRANS'!$B:$B,MATCH($A188,'TRANS'!$A:$A,0)),IFERROR(INDEX('TRANS'!$B:$B,MATCH(TRIM(SUBSTITUTE($A188,CHAR(160)," ")),'TRANS'!$D:$D,0)),IFERROR(INDEX('Manual Matches'!$C:$C,MATCH($A188,'Manual Matches'!$B:$B,0)),"")))</f>
        <v>4409014</v>
      </c>
      <c r="F188" s="6" t="str">
        <f aca="false">IF($E188="","Unmatched",IF(COUNTIF('Manual Matches'!$B:$B,$A188)&gt;0,"Matched (manual)","Matched"))</f>
        <v>Matched</v>
      </c>
    </row>
    <row r="189" customFormat="false" ht="15" hidden="false" customHeight="false" outlineLevel="0" collapsed="false">
      <c r="A189" s="6" t="s">
        <v>456</v>
      </c>
      <c r="B189" s="6" t="n">
        <v>2026</v>
      </c>
      <c r="C189" s="16" t="n">
        <v>30</v>
      </c>
      <c r="D189" s="17" t="n">
        <v>750</v>
      </c>
      <c r="E189" s="6" t="n">
        <f aca="false">IFERROR(INDEX('TRANS'!$B:$B,MATCH($A189,'TRANS'!$A:$A,0)),IFERROR(INDEX('TRANS'!$B:$B,MATCH(TRIM(SUBSTITUTE($A189,CHAR(160)," ")),'TRANS'!$D:$D,0)),IFERROR(INDEX('Manual Matches'!$C:$C,MATCH($A189,'Manual Matches'!$B:$B,0)),"")))</f>
        <v>4409014</v>
      </c>
      <c r="F189" s="6" t="str">
        <f aca="false">IF($E189="","Unmatched",IF(COUNTIF('Manual Matches'!$B:$B,$A189)&gt;0,"Matched (manual)","Matched"))</f>
        <v>Matched</v>
      </c>
    </row>
    <row r="190" customFormat="false" ht="15" hidden="false" customHeight="false" outlineLevel="0" collapsed="false">
      <c r="A190" s="6" t="s">
        <v>626</v>
      </c>
      <c r="B190" s="6" t="n">
        <v>2025</v>
      </c>
      <c r="C190" s="16" t="n">
        <v>217</v>
      </c>
      <c r="D190" s="17" t="n">
        <v>3689</v>
      </c>
      <c r="E190" s="6" t="n">
        <f aca="false">IFERROR(INDEX('TRANS'!$B:$B,MATCH($A190,'TRANS'!$A:$A,0)),IFERROR(INDEX('TRANS'!$B:$B,MATCH(TRIM(SUBSTITUTE($A190,CHAR(160)," ")),'TRANS'!$D:$D,0)),IFERROR(INDEX('Manual Matches'!$C:$C,MATCH($A190,'Manual Matches'!$B:$B,0)),"")))</f>
        <v>4413139</v>
      </c>
      <c r="F190" s="6" t="str">
        <f aca="false">IF($E190="","Unmatched",IF(COUNTIF('Manual Matches'!$B:$B,$A190)&gt;0,"Matched (manual)","Matched"))</f>
        <v>Matched</v>
      </c>
    </row>
    <row r="191" customFormat="false" ht="15" hidden="false" customHeight="false" outlineLevel="0" collapsed="false">
      <c r="A191" s="6" t="s">
        <v>626</v>
      </c>
      <c r="B191" s="6" t="n">
        <v>2026</v>
      </c>
      <c r="C191" s="16" t="n">
        <v>68</v>
      </c>
      <c r="D191" s="17" t="n">
        <v>1156</v>
      </c>
      <c r="E191" s="6" t="n">
        <f aca="false">IFERROR(INDEX('TRANS'!$B:$B,MATCH($A191,'TRANS'!$A:$A,0)),IFERROR(INDEX('TRANS'!$B:$B,MATCH(TRIM(SUBSTITUTE($A191,CHAR(160)," ")),'TRANS'!$D:$D,0)),IFERROR(INDEX('Manual Matches'!$C:$C,MATCH($A191,'Manual Matches'!$B:$B,0)),"")))</f>
        <v>4413139</v>
      </c>
      <c r="F191" s="6" t="str">
        <f aca="false">IF($E191="","Unmatched",IF(COUNTIF('Manual Matches'!$B:$B,$A191)&gt;0,"Matched (manual)","Matched"))</f>
        <v>Matched</v>
      </c>
    </row>
    <row r="192" customFormat="false" ht="15" hidden="false" customHeight="false" outlineLevel="0" collapsed="false">
      <c r="A192" s="6" t="s">
        <v>632</v>
      </c>
      <c r="B192" s="6" t="n">
        <v>2025</v>
      </c>
      <c r="C192" s="16" t="n">
        <v>85</v>
      </c>
      <c r="D192" s="17" t="n">
        <v>1445</v>
      </c>
      <c r="E192" s="6" t="n">
        <f aca="false">IFERROR(INDEX('TRANS'!$B:$B,MATCH($A192,'TRANS'!$A:$A,0)),IFERROR(INDEX('TRANS'!$B:$B,MATCH(TRIM(SUBSTITUTE($A192,CHAR(160)," ")),'TRANS'!$D:$D,0)),IFERROR(INDEX('Manual Matches'!$C:$C,MATCH($A192,'Manual Matches'!$B:$B,0)),"")))</f>
        <v>4413142</v>
      </c>
      <c r="F192" s="6" t="str">
        <f aca="false">IF($E192="","Unmatched",IF(COUNTIF('Manual Matches'!$B:$B,$A192)&gt;0,"Matched (manual)","Matched"))</f>
        <v>Matched</v>
      </c>
    </row>
    <row r="193" customFormat="false" ht="15" hidden="false" customHeight="false" outlineLevel="0" collapsed="false">
      <c r="A193" s="6" t="s">
        <v>632</v>
      </c>
      <c r="B193" s="6" t="n">
        <v>2026</v>
      </c>
      <c r="C193" s="16" t="n">
        <v>35</v>
      </c>
      <c r="D193" s="17" t="n">
        <v>595</v>
      </c>
      <c r="E193" s="6" t="n">
        <f aca="false">IFERROR(INDEX('TRANS'!$B:$B,MATCH($A193,'TRANS'!$A:$A,0)),IFERROR(INDEX('TRANS'!$B:$B,MATCH(TRIM(SUBSTITUTE($A193,CHAR(160)," ")),'TRANS'!$D:$D,0)),IFERROR(INDEX('Manual Matches'!$C:$C,MATCH($A193,'Manual Matches'!$B:$B,0)),"")))</f>
        <v>4413142</v>
      </c>
      <c r="F193" s="6" t="str">
        <f aca="false">IF($E193="","Unmatched",IF(COUNTIF('Manual Matches'!$B:$B,$A193)&gt;0,"Matched (manual)","Matched"))</f>
        <v>Matched</v>
      </c>
    </row>
    <row r="194" customFormat="false" ht="15" hidden="false" customHeight="false" outlineLevel="0" collapsed="false">
      <c r="A194" s="6" t="s">
        <v>636</v>
      </c>
      <c r="B194" s="6" t="n">
        <v>2025</v>
      </c>
      <c r="C194" s="16" t="n">
        <v>13</v>
      </c>
      <c r="D194" s="17" t="n">
        <v>221</v>
      </c>
      <c r="E194" s="6" t="n">
        <f aca="false">IFERROR(INDEX('TRANS'!$B:$B,MATCH($A194,'TRANS'!$A:$A,0)),IFERROR(INDEX('TRANS'!$B:$B,MATCH(TRIM(SUBSTITUTE($A194,CHAR(160)," ")),'TRANS'!$D:$D,0)),IFERROR(INDEX('Manual Matches'!$C:$C,MATCH($A194,'Manual Matches'!$B:$B,0)),"")))</f>
        <v>4413144</v>
      </c>
      <c r="F194" s="6" t="str">
        <f aca="false">IF($E194="","Unmatched",IF(COUNTIF('Manual Matches'!$B:$B,$A194)&gt;0,"Matched (manual)","Matched"))</f>
        <v>Matched</v>
      </c>
    </row>
    <row r="195" customFormat="false" ht="15" hidden="false" customHeight="false" outlineLevel="0" collapsed="false">
      <c r="A195" s="6" t="s">
        <v>636</v>
      </c>
      <c r="B195" s="6" t="n">
        <v>2026</v>
      </c>
      <c r="C195" s="16" t="n">
        <v>8</v>
      </c>
      <c r="D195" s="17" t="n">
        <v>136</v>
      </c>
      <c r="E195" s="6" t="n">
        <f aca="false">IFERROR(INDEX('TRANS'!$B:$B,MATCH($A195,'TRANS'!$A:$A,0)),IFERROR(INDEX('TRANS'!$B:$B,MATCH(TRIM(SUBSTITUTE($A195,CHAR(160)," ")),'TRANS'!$D:$D,0)),IFERROR(INDEX('Manual Matches'!$C:$C,MATCH($A195,'Manual Matches'!$B:$B,0)),"")))</f>
        <v>4413144</v>
      </c>
      <c r="F195" s="6" t="str">
        <f aca="false">IF($E195="","Unmatched",IF(COUNTIF('Manual Matches'!$B:$B,$A195)&gt;0,"Matched (manual)","Matched"))</f>
        <v>Matched</v>
      </c>
    </row>
    <row r="196" customFormat="false" ht="15" hidden="false" customHeight="false" outlineLevel="0" collapsed="false">
      <c r="A196" s="6" t="s">
        <v>764</v>
      </c>
      <c r="B196" s="6" t="n">
        <v>2025</v>
      </c>
      <c r="C196" s="16" t="n">
        <v>442</v>
      </c>
      <c r="D196" s="17" t="n">
        <v>4596.8</v>
      </c>
      <c r="E196" s="6" t="n">
        <f aca="false">IFERROR(INDEX('TRANS'!$B:$B,MATCH($A196,'TRANS'!$A:$A,0)),IFERROR(INDEX('TRANS'!$B:$B,MATCH(TRIM(SUBSTITUTE($A196,CHAR(160)," ")),'TRANS'!$D:$D,0)),IFERROR(INDEX('Manual Matches'!$C:$C,MATCH($A196,'Manual Matches'!$B:$B,0)),"")))</f>
        <v>4419006</v>
      </c>
      <c r="F196" s="6" t="str">
        <f aca="false">IF($E196="","Unmatched",IF(COUNTIF('Manual Matches'!$B:$B,$A196)&gt;0,"Matched (manual)","Matched"))</f>
        <v>Matched</v>
      </c>
    </row>
    <row r="197" customFormat="false" ht="15" hidden="false" customHeight="false" outlineLevel="0" collapsed="false">
      <c r="A197" s="6" t="s">
        <v>764</v>
      </c>
      <c r="B197" s="6" t="n">
        <v>2026</v>
      </c>
      <c r="C197" s="16" t="n">
        <v>123</v>
      </c>
      <c r="D197" s="17" t="n">
        <v>1279.2</v>
      </c>
      <c r="E197" s="6" t="n">
        <f aca="false">IFERROR(INDEX('TRANS'!$B:$B,MATCH($A197,'TRANS'!$A:$A,0)),IFERROR(INDEX('TRANS'!$B:$B,MATCH(TRIM(SUBSTITUTE($A197,CHAR(160)," ")),'TRANS'!$D:$D,0)),IFERROR(INDEX('Manual Matches'!$C:$C,MATCH($A197,'Manual Matches'!$B:$B,0)),"")))</f>
        <v>4419006</v>
      </c>
      <c r="F197" s="6" t="str">
        <f aca="false">IF($E197="","Unmatched",IF(COUNTIF('Manual Matches'!$B:$B,$A197)&gt;0,"Matched (manual)","Matched"))</f>
        <v>Matched</v>
      </c>
    </row>
    <row r="198" customFormat="false" ht="15" hidden="false" customHeight="false" outlineLevel="0" collapsed="false">
      <c r="A198" s="6" t="s">
        <v>768</v>
      </c>
      <c r="B198" s="6" t="n">
        <v>2025</v>
      </c>
      <c r="C198" s="16" t="n">
        <v>205</v>
      </c>
      <c r="D198" s="17" t="n">
        <v>3679.75</v>
      </c>
      <c r="E198" s="6" t="n">
        <f aca="false">IFERROR(INDEX('TRANS'!$B:$B,MATCH($A198,'TRANS'!$A:$A,0)),IFERROR(INDEX('TRANS'!$B:$B,MATCH(TRIM(SUBSTITUTE($A198,CHAR(160)," ")),'TRANS'!$D:$D,0)),IFERROR(INDEX('Manual Matches'!$C:$C,MATCH($A198,'Manual Matches'!$B:$B,0)),"")))</f>
        <v>4417000</v>
      </c>
      <c r="F198" s="6" t="str">
        <f aca="false">IF($E198="","Unmatched",IF(COUNTIF('Manual Matches'!$B:$B,$A198)&gt;0,"Matched (manual)","Matched"))</f>
        <v>Matched</v>
      </c>
    </row>
    <row r="199" customFormat="false" ht="15" hidden="false" customHeight="false" outlineLevel="0" collapsed="false">
      <c r="A199" s="6" t="s">
        <v>768</v>
      </c>
      <c r="B199" s="6" t="n">
        <v>2026</v>
      </c>
      <c r="C199" s="16" t="n">
        <v>42</v>
      </c>
      <c r="D199" s="17" t="n">
        <v>753.9</v>
      </c>
      <c r="E199" s="6" t="n">
        <f aca="false">IFERROR(INDEX('TRANS'!$B:$B,MATCH($A199,'TRANS'!$A:$A,0)),IFERROR(INDEX('TRANS'!$B:$B,MATCH(TRIM(SUBSTITUTE($A199,CHAR(160)," ")),'TRANS'!$D:$D,0)),IFERROR(INDEX('Manual Matches'!$C:$C,MATCH($A199,'Manual Matches'!$B:$B,0)),"")))</f>
        <v>4417000</v>
      </c>
      <c r="F199" s="6" t="str">
        <f aca="false">IF($E199="","Unmatched",IF(COUNTIF('Manual Matches'!$B:$B,$A199)&gt;0,"Matched (manual)","Matched"))</f>
        <v>Matched</v>
      </c>
    </row>
    <row r="200" customFormat="false" ht="15" hidden="false" customHeight="false" outlineLevel="0" collapsed="false">
      <c r="A200" s="6" t="s">
        <v>860</v>
      </c>
      <c r="B200" s="6" t="n">
        <v>2025</v>
      </c>
      <c r="C200" s="16" t="n">
        <v>223</v>
      </c>
      <c r="D200" s="17" t="n">
        <v>5575</v>
      </c>
      <c r="E200" s="6" t="n">
        <f aca="false">IFERROR(INDEX('TRANS'!$B:$B,MATCH($A200,'TRANS'!$A:$A,0)),IFERROR(INDEX('TRANS'!$B:$B,MATCH(TRIM(SUBSTITUTE($A200,CHAR(160)," ")),'TRANS'!$D:$D,0)),IFERROR(INDEX('Manual Matches'!$C:$C,MATCH($A200,'Manual Matches'!$B:$B,0)),"")))</f>
        <v>4415177</v>
      </c>
      <c r="F200" s="6" t="str">
        <f aca="false">IF($E200="","Unmatched",IF(COUNTIF('Manual Matches'!$B:$B,$A200)&gt;0,"Matched (manual)","Matched"))</f>
        <v>Matched</v>
      </c>
    </row>
    <row r="201" customFormat="false" ht="15" hidden="false" customHeight="false" outlineLevel="0" collapsed="false">
      <c r="A201" s="6" t="s">
        <v>860</v>
      </c>
      <c r="B201" s="6" t="n">
        <v>2026</v>
      </c>
      <c r="C201" s="16" t="n">
        <v>70</v>
      </c>
      <c r="D201" s="17" t="n">
        <v>1750</v>
      </c>
      <c r="E201" s="6" t="n">
        <f aca="false">IFERROR(INDEX('TRANS'!$B:$B,MATCH($A201,'TRANS'!$A:$A,0)),IFERROR(INDEX('TRANS'!$B:$B,MATCH(TRIM(SUBSTITUTE($A201,CHAR(160)," ")),'TRANS'!$D:$D,0)),IFERROR(INDEX('Manual Matches'!$C:$C,MATCH($A201,'Manual Matches'!$B:$B,0)),"")))</f>
        <v>4415177</v>
      </c>
      <c r="F201" s="6" t="str">
        <f aca="false">IF($E201="","Unmatched",IF(COUNTIF('Manual Matches'!$B:$B,$A201)&gt;0,"Matched (manual)","Matched"))</f>
        <v>Matched</v>
      </c>
    </row>
    <row r="202" customFormat="false" ht="15" hidden="false" customHeight="false" outlineLevel="0" collapsed="false">
      <c r="A202" s="6" t="s">
        <v>708</v>
      </c>
      <c r="B202" s="6" t="n">
        <v>2025</v>
      </c>
      <c r="C202" s="16" t="n">
        <v>207</v>
      </c>
      <c r="D202" s="17" t="n">
        <v>2032.74</v>
      </c>
      <c r="E202" s="6" t="n">
        <f aca="false">IFERROR(INDEX('TRANS'!$B:$B,MATCH($A202,'TRANS'!$A:$A,0)),IFERROR(INDEX('TRANS'!$B:$B,MATCH(TRIM(SUBSTITUTE($A202,CHAR(160)," ")),'TRANS'!$D:$D,0)),IFERROR(INDEX('Manual Matches'!$C:$C,MATCH($A202,'Manual Matches'!$B:$B,0)),"")))</f>
        <v>4413033</v>
      </c>
      <c r="F202" s="6" t="str">
        <f aca="false">IF($E202="","Unmatched",IF(COUNTIF('Manual Matches'!$B:$B,$A202)&gt;0,"Matched (manual)","Matched"))</f>
        <v>Matched</v>
      </c>
    </row>
    <row r="203" customFormat="false" ht="15" hidden="false" customHeight="false" outlineLevel="0" collapsed="false">
      <c r="A203" s="6" t="s">
        <v>708</v>
      </c>
      <c r="B203" s="6" t="n">
        <v>2026</v>
      </c>
      <c r="C203" s="16" t="n">
        <v>61</v>
      </c>
      <c r="D203" s="17" t="n">
        <v>599.02</v>
      </c>
      <c r="E203" s="6" t="n">
        <f aca="false">IFERROR(INDEX('TRANS'!$B:$B,MATCH($A203,'TRANS'!$A:$A,0)),IFERROR(INDEX('TRANS'!$B:$B,MATCH(TRIM(SUBSTITUTE($A203,CHAR(160)," ")),'TRANS'!$D:$D,0)),IFERROR(INDEX('Manual Matches'!$C:$C,MATCH($A203,'Manual Matches'!$B:$B,0)),"")))</f>
        <v>4413033</v>
      </c>
      <c r="F203" s="6" t="str">
        <f aca="false">IF($E203="","Unmatched",IF(COUNTIF('Manual Matches'!$B:$B,$A203)&gt;0,"Matched (manual)","Matched"))</f>
        <v>Matched</v>
      </c>
    </row>
    <row r="204" customFormat="false" ht="15" hidden="false" customHeight="false" outlineLevel="0" collapsed="false">
      <c r="A204" s="6" t="s">
        <v>710</v>
      </c>
      <c r="B204" s="6" t="n">
        <v>2025</v>
      </c>
      <c r="C204" s="16" t="n">
        <v>69</v>
      </c>
      <c r="D204" s="17" t="n">
        <v>985.32</v>
      </c>
      <c r="E204" s="6" t="n">
        <f aca="false">IFERROR(INDEX('TRANS'!$B:$B,MATCH($A204,'TRANS'!$A:$A,0)),IFERROR(INDEX('TRANS'!$B:$B,MATCH(TRIM(SUBSTITUTE($A204,CHAR(160)," ")),'TRANS'!$D:$D,0)),IFERROR(INDEX('Manual Matches'!$C:$C,MATCH($A204,'Manual Matches'!$B:$B,0)),"")))</f>
        <v>4413034</v>
      </c>
      <c r="F204" s="6" t="str">
        <f aca="false">IF($E204="","Unmatched",IF(COUNTIF('Manual Matches'!$B:$B,$A204)&gt;0,"Matched (manual)","Matched"))</f>
        <v>Matched</v>
      </c>
    </row>
    <row r="205" customFormat="false" ht="15" hidden="false" customHeight="false" outlineLevel="0" collapsed="false">
      <c r="A205" s="6" t="s">
        <v>710</v>
      </c>
      <c r="B205" s="6" t="n">
        <v>2026</v>
      </c>
      <c r="C205" s="16" t="n">
        <v>15</v>
      </c>
      <c r="D205" s="17" t="n">
        <v>214.2</v>
      </c>
      <c r="E205" s="6" t="n">
        <f aca="false">IFERROR(INDEX('TRANS'!$B:$B,MATCH($A205,'TRANS'!$A:$A,0)),IFERROR(INDEX('TRANS'!$B:$B,MATCH(TRIM(SUBSTITUTE($A205,CHAR(160)," ")),'TRANS'!$D:$D,0)),IFERROR(INDEX('Manual Matches'!$C:$C,MATCH($A205,'Manual Matches'!$B:$B,0)),"")))</f>
        <v>4413034</v>
      </c>
      <c r="F205" s="6" t="str">
        <f aca="false">IF($E205="","Unmatched",IF(COUNTIF('Manual Matches'!$B:$B,$A205)&gt;0,"Matched (manual)","Matched"))</f>
        <v>Matched</v>
      </c>
    </row>
    <row r="206" customFormat="false" ht="15" hidden="false" customHeight="false" outlineLevel="0" collapsed="false">
      <c r="A206" s="6" t="s">
        <v>920</v>
      </c>
      <c r="B206" s="6" t="n">
        <v>2025</v>
      </c>
      <c r="C206" s="16" t="n">
        <v>132</v>
      </c>
      <c r="D206" s="17" t="n">
        <v>5566.44</v>
      </c>
      <c r="E206" s="6" t="n">
        <f aca="false">IFERROR(INDEX('TRANS'!$B:$B,MATCH($A206,'TRANS'!$A:$A,0)),IFERROR(INDEX('TRANS'!$B:$B,MATCH(TRIM(SUBSTITUTE($A206,CHAR(160)," ")),'TRANS'!$D:$D,0)),IFERROR(INDEX('Manual Matches'!$C:$C,MATCH($A206,'Manual Matches'!$B:$B,0)),"")))</f>
        <v>4413160</v>
      </c>
      <c r="F206" s="6" t="str">
        <f aca="false">IF($E206="","Unmatched",IF(COUNTIF('Manual Matches'!$B:$B,$A206)&gt;0,"Matched (manual)","Matched"))</f>
        <v>Matched</v>
      </c>
    </row>
    <row r="207" customFormat="false" ht="15" hidden="false" customHeight="false" outlineLevel="0" collapsed="false">
      <c r="A207" s="6" t="s">
        <v>920</v>
      </c>
      <c r="B207" s="6" t="n">
        <v>2026</v>
      </c>
      <c r="C207" s="16" t="n">
        <v>18</v>
      </c>
      <c r="D207" s="17" t="n">
        <v>759.06</v>
      </c>
      <c r="E207" s="6" t="n">
        <f aca="false">IFERROR(INDEX('TRANS'!$B:$B,MATCH($A207,'TRANS'!$A:$A,0)),IFERROR(INDEX('TRANS'!$B:$B,MATCH(TRIM(SUBSTITUTE($A207,CHAR(160)," ")),'TRANS'!$D:$D,0)),IFERROR(INDEX('Manual Matches'!$C:$C,MATCH($A207,'Manual Matches'!$B:$B,0)),"")))</f>
        <v>4413160</v>
      </c>
      <c r="F207" s="6" t="str">
        <f aca="false">IF($E207="","Unmatched",IF(COUNTIF('Manual Matches'!$B:$B,$A207)&gt;0,"Matched (manual)","Matched"))</f>
        <v>Matched</v>
      </c>
    </row>
    <row r="208" customFormat="false" ht="15" hidden="false" customHeight="false" outlineLevel="0" collapsed="false">
      <c r="A208" s="6" t="s">
        <v>716</v>
      </c>
      <c r="B208" s="6" t="n">
        <v>2025</v>
      </c>
      <c r="C208" s="16" t="n">
        <v>109</v>
      </c>
      <c r="D208" s="17" t="n">
        <v>4490.8</v>
      </c>
      <c r="E208" s="6" t="n">
        <f aca="false">IFERROR(INDEX('TRANS'!$B:$B,MATCH($A208,'TRANS'!$A:$A,0)),IFERROR(INDEX('TRANS'!$B:$B,MATCH(TRIM(SUBSTITUTE($A208,CHAR(160)," ")),'TRANS'!$D:$D,0)),IFERROR(INDEX('Manual Matches'!$C:$C,MATCH($A208,'Manual Matches'!$B:$B,0)),"")))</f>
        <v>4421001</v>
      </c>
      <c r="F208" s="6" t="str">
        <f aca="false">IF($E208="","Unmatched",IF(COUNTIF('Manual Matches'!$B:$B,$A208)&gt;0,"Matched (manual)","Matched"))</f>
        <v>Matched</v>
      </c>
    </row>
    <row r="209" customFormat="false" ht="15" hidden="false" customHeight="false" outlineLevel="0" collapsed="false">
      <c r="A209" s="6" t="s">
        <v>716</v>
      </c>
      <c r="B209" s="6" t="n">
        <v>2026</v>
      </c>
      <c r="C209" s="16" t="n">
        <v>35</v>
      </c>
      <c r="D209" s="17" t="n">
        <v>1442</v>
      </c>
      <c r="E209" s="6" t="n">
        <f aca="false">IFERROR(INDEX('TRANS'!$B:$B,MATCH($A209,'TRANS'!$A:$A,0)),IFERROR(INDEX('TRANS'!$B:$B,MATCH(TRIM(SUBSTITUTE($A209,CHAR(160)," ")),'TRANS'!$D:$D,0)),IFERROR(INDEX('Manual Matches'!$C:$C,MATCH($A209,'Manual Matches'!$B:$B,0)),"")))</f>
        <v>4421001</v>
      </c>
      <c r="F209" s="6" t="str">
        <f aca="false">IF($E209="","Unmatched",IF(COUNTIF('Manual Matches'!$B:$B,$A209)&gt;0,"Matched (manual)","Matched"))</f>
        <v>Matched</v>
      </c>
    </row>
    <row r="210" customFormat="false" ht="15" hidden="false" customHeight="false" outlineLevel="0" collapsed="false">
      <c r="A210" s="6" t="s">
        <v>726</v>
      </c>
      <c r="B210" s="6" t="n">
        <v>2025</v>
      </c>
      <c r="C210" s="16" t="n">
        <v>199</v>
      </c>
      <c r="D210" s="17" t="n">
        <v>2577.05</v>
      </c>
      <c r="E210" s="6" t="n">
        <f aca="false">IFERROR(INDEX('TRANS'!$B:$B,MATCH($A210,'TRANS'!$A:$A,0)),IFERROR(INDEX('TRANS'!$B:$B,MATCH(TRIM(SUBSTITUTE($A210,CHAR(160)," ")),'TRANS'!$D:$D,0)),IFERROR(INDEX('Manual Matches'!$C:$C,MATCH($A210,'Manual Matches'!$B:$B,0)),"")))</f>
        <v>4413061</v>
      </c>
      <c r="F210" s="6" t="str">
        <f aca="false">IF($E210="","Unmatched",IF(COUNTIF('Manual Matches'!$B:$B,$A210)&gt;0,"Matched (manual)","Matched"))</f>
        <v>Matched</v>
      </c>
    </row>
    <row r="211" customFormat="false" ht="15" hidden="false" customHeight="false" outlineLevel="0" collapsed="false">
      <c r="A211" s="6" t="s">
        <v>726</v>
      </c>
      <c r="B211" s="6" t="n">
        <v>2026</v>
      </c>
      <c r="C211" s="16" t="n">
        <v>23</v>
      </c>
      <c r="D211" s="17" t="n">
        <v>297.85</v>
      </c>
      <c r="E211" s="6" t="n">
        <f aca="false">IFERROR(INDEX('TRANS'!$B:$B,MATCH($A211,'TRANS'!$A:$A,0)),IFERROR(INDEX('TRANS'!$B:$B,MATCH(TRIM(SUBSTITUTE($A211,CHAR(160)," ")),'TRANS'!$D:$D,0)),IFERROR(INDEX('Manual Matches'!$C:$C,MATCH($A211,'Manual Matches'!$B:$B,0)),"")))</f>
        <v>4413061</v>
      </c>
      <c r="F211" s="6" t="str">
        <f aca="false">IF($E211="","Unmatched",IF(COUNTIF('Manual Matches'!$B:$B,$A211)&gt;0,"Matched (manual)","Matched"))</f>
        <v>Matched</v>
      </c>
    </row>
    <row r="212" customFormat="false" ht="15" hidden="false" customHeight="false" outlineLevel="0" collapsed="false">
      <c r="A212" s="6" t="s">
        <v>746</v>
      </c>
      <c r="B212" s="6" t="n">
        <v>2025</v>
      </c>
      <c r="C212" s="16" t="n">
        <v>104</v>
      </c>
      <c r="D212" s="17" t="n">
        <v>1439.36</v>
      </c>
      <c r="E212" s="6" t="n">
        <f aca="false">IFERROR(INDEX('TRANS'!$B:$B,MATCH($A212,'TRANS'!$A:$A,0)),IFERROR(INDEX('TRANS'!$B:$B,MATCH(TRIM(SUBSTITUTE($A212,CHAR(160)," ")),'TRANS'!$D:$D,0)),IFERROR(INDEX('Manual Matches'!$C:$C,MATCH($A212,'Manual Matches'!$B:$B,0)),"")))</f>
        <v>4413066</v>
      </c>
      <c r="F212" s="6" t="str">
        <f aca="false">IF($E212="","Unmatched",IF(COUNTIF('Manual Matches'!$B:$B,$A212)&gt;0,"Matched (manual)","Matched"))</f>
        <v>Matched</v>
      </c>
    </row>
    <row r="213" customFormat="false" ht="15" hidden="false" customHeight="false" outlineLevel="0" collapsed="false">
      <c r="A213" s="6" t="s">
        <v>746</v>
      </c>
      <c r="B213" s="6" t="n">
        <v>2026</v>
      </c>
      <c r="C213" s="16" t="n">
        <v>19</v>
      </c>
      <c r="D213" s="17" t="n">
        <v>262.96</v>
      </c>
      <c r="E213" s="6" t="n">
        <f aca="false">IFERROR(INDEX('TRANS'!$B:$B,MATCH($A213,'TRANS'!$A:$A,0)),IFERROR(INDEX('TRANS'!$B:$B,MATCH(TRIM(SUBSTITUTE($A213,CHAR(160)," ")),'TRANS'!$D:$D,0)),IFERROR(INDEX('Manual Matches'!$C:$C,MATCH($A213,'Manual Matches'!$B:$B,0)),"")))</f>
        <v>4413066</v>
      </c>
      <c r="F213" s="6" t="str">
        <f aca="false">IF($E213="","Unmatched",IF(COUNTIF('Manual Matches'!$B:$B,$A213)&gt;0,"Matched (manual)","Matched"))</f>
        <v>Matched</v>
      </c>
    </row>
    <row r="214" customFormat="false" ht="15" hidden="false" customHeight="false" outlineLevel="0" collapsed="false">
      <c r="A214" s="6" t="s">
        <v>750</v>
      </c>
      <c r="B214" s="6" t="n">
        <v>2025</v>
      </c>
      <c r="C214" s="16" t="n">
        <v>234</v>
      </c>
      <c r="D214" s="17" t="n">
        <v>3790.8</v>
      </c>
      <c r="E214" s="6" t="n">
        <f aca="false">IFERROR(INDEX('TRANS'!$B:$B,MATCH($A214,'TRANS'!$A:$A,0)),IFERROR(INDEX('TRANS'!$B:$B,MATCH(TRIM(SUBSTITUTE($A214,CHAR(160)," ")),'TRANS'!$D:$D,0)),IFERROR(INDEX('Manual Matches'!$C:$C,MATCH($A214,'Manual Matches'!$B:$B,0)),"")))</f>
        <v>4401000</v>
      </c>
      <c r="F214" s="6" t="str">
        <f aca="false">IF($E214="","Unmatched",IF(COUNTIF('Manual Matches'!$B:$B,$A214)&gt;0,"Matched (manual)","Matched"))</f>
        <v>Matched</v>
      </c>
    </row>
    <row r="215" customFormat="false" ht="15" hidden="false" customHeight="false" outlineLevel="0" collapsed="false">
      <c r="A215" s="6" t="s">
        <v>750</v>
      </c>
      <c r="B215" s="6" t="n">
        <v>2026</v>
      </c>
      <c r="C215" s="16" t="n">
        <v>53</v>
      </c>
      <c r="D215" s="17" t="n">
        <v>858.6</v>
      </c>
      <c r="E215" s="6" t="n">
        <f aca="false">IFERROR(INDEX('TRANS'!$B:$B,MATCH($A215,'TRANS'!$A:$A,0)),IFERROR(INDEX('TRANS'!$B:$B,MATCH(TRIM(SUBSTITUTE($A215,CHAR(160)," ")),'TRANS'!$D:$D,0)),IFERROR(INDEX('Manual Matches'!$C:$C,MATCH($A215,'Manual Matches'!$B:$B,0)),"")))</f>
        <v>4401000</v>
      </c>
      <c r="F215" s="6" t="str">
        <f aca="false">IF($E215="","Unmatched",IF(COUNTIF('Manual Matches'!$B:$B,$A215)&gt;0,"Matched (manual)","Matched"))</f>
        <v>Matched</v>
      </c>
    </row>
    <row r="216" customFormat="false" ht="15" hidden="false" customHeight="false" outlineLevel="0" collapsed="false">
      <c r="A216" s="6" t="s">
        <v>296</v>
      </c>
      <c r="B216" s="6" t="n">
        <v>2025</v>
      </c>
      <c r="C216" s="16" t="n">
        <v>25</v>
      </c>
      <c r="D216" s="17" t="n">
        <v>590</v>
      </c>
      <c r="E216" s="6" t="n">
        <f aca="false">IFERROR(INDEX('TRANS'!$B:$B,MATCH($A216,'TRANS'!$A:$A,0)),IFERROR(INDEX('TRANS'!$B:$B,MATCH(TRIM(SUBSTITUTE($A216,CHAR(160)," ")),'TRANS'!$D:$D,0)),IFERROR(INDEX('Manual Matches'!$C:$C,MATCH($A216,'Manual Matches'!$B:$B,0)),"")))</f>
        <v>4403005</v>
      </c>
      <c r="F216" s="6" t="str">
        <f aca="false">IF($E216="","Unmatched",IF(COUNTIF('Manual Matches'!$B:$B,$A216)&gt;0,"Matched (manual)","Matched"))</f>
        <v>Matched</v>
      </c>
    </row>
    <row r="217" customFormat="false" ht="15" hidden="false" customHeight="false" outlineLevel="0" collapsed="false">
      <c r="A217" s="6" t="s">
        <v>296</v>
      </c>
      <c r="B217" s="6" t="n">
        <v>2026</v>
      </c>
      <c r="C217" s="16" t="n">
        <v>9</v>
      </c>
      <c r="D217" s="17" t="n">
        <v>212.4</v>
      </c>
      <c r="E217" s="6" t="n">
        <f aca="false">IFERROR(INDEX('TRANS'!$B:$B,MATCH($A217,'TRANS'!$A:$A,0)),IFERROR(INDEX('TRANS'!$B:$B,MATCH(TRIM(SUBSTITUTE($A217,CHAR(160)," ")),'TRANS'!$D:$D,0)),IFERROR(INDEX('Manual Matches'!$C:$C,MATCH($A217,'Manual Matches'!$B:$B,0)),"")))</f>
        <v>4403005</v>
      </c>
      <c r="F217" s="6" t="str">
        <f aca="false">IF($E217="","Unmatched",IF(COUNTIF('Manual Matches'!$B:$B,$A217)&gt;0,"Matched (manual)","Matched"))</f>
        <v>Matched</v>
      </c>
    </row>
    <row r="218" customFormat="false" ht="15" hidden="false" customHeight="false" outlineLevel="0" collapsed="false">
      <c r="A218" s="6" t="s">
        <v>270</v>
      </c>
      <c r="B218" s="6" t="n">
        <v>2025</v>
      </c>
      <c r="C218" s="16" t="n">
        <v>39</v>
      </c>
      <c r="D218" s="17" t="n">
        <v>920.4</v>
      </c>
      <c r="E218" s="6" t="n">
        <f aca="false">IFERROR(INDEX('TRANS'!$B:$B,MATCH($A218,'TRANS'!$A:$A,0)),IFERROR(INDEX('TRANS'!$B:$B,MATCH(TRIM(SUBSTITUTE($A218,CHAR(160)," ")),'TRANS'!$D:$D,0)),IFERROR(INDEX('Manual Matches'!$C:$C,MATCH($A218,'Manual Matches'!$B:$B,0)),"")))</f>
        <v>4403008</v>
      </c>
      <c r="F218" s="6" t="str">
        <f aca="false">IF($E218="","Unmatched",IF(COUNTIF('Manual Matches'!$B:$B,$A218)&gt;0,"Matched (manual)","Matched"))</f>
        <v>Matched</v>
      </c>
    </row>
    <row r="219" customFormat="false" ht="15" hidden="false" customHeight="false" outlineLevel="0" collapsed="false">
      <c r="A219" s="6" t="s">
        <v>270</v>
      </c>
      <c r="B219" s="6" t="n">
        <v>2026</v>
      </c>
      <c r="C219" s="16" t="n">
        <v>10</v>
      </c>
      <c r="D219" s="17" t="n">
        <v>236</v>
      </c>
      <c r="E219" s="6" t="n">
        <f aca="false">IFERROR(INDEX('TRANS'!$B:$B,MATCH($A219,'TRANS'!$A:$A,0)),IFERROR(INDEX('TRANS'!$B:$B,MATCH(TRIM(SUBSTITUTE($A219,CHAR(160)," ")),'TRANS'!$D:$D,0)),IFERROR(INDEX('Manual Matches'!$C:$C,MATCH($A219,'Manual Matches'!$B:$B,0)),"")))</f>
        <v>4403008</v>
      </c>
      <c r="F219" s="6" t="str">
        <f aca="false">IF($E219="","Unmatched",IF(COUNTIF('Manual Matches'!$B:$B,$A219)&gt;0,"Matched (manual)","Matched"))</f>
        <v>Matched</v>
      </c>
    </row>
    <row r="220" customFormat="false" ht="15" hidden="false" customHeight="false" outlineLevel="0" collapsed="false">
      <c r="A220" s="6" t="s">
        <v>766</v>
      </c>
      <c r="B220" s="6" t="n">
        <v>2025</v>
      </c>
      <c r="C220" s="16" t="n">
        <v>101</v>
      </c>
      <c r="D220" s="17" t="n">
        <v>2181.6</v>
      </c>
      <c r="E220" s="6" t="n">
        <f aca="false">IFERROR(INDEX('TRANS'!$B:$B,MATCH($A220,'TRANS'!$A:$A,0)),IFERROR(INDEX('TRANS'!$B:$B,MATCH(TRIM(SUBSTITUTE($A220,CHAR(160)," ")),'TRANS'!$D:$D,0)),IFERROR(INDEX('Manual Matches'!$C:$C,MATCH($A220,'Manual Matches'!$B:$B,0)),"")))</f>
        <v>4413150</v>
      </c>
      <c r="F220" s="6" t="str">
        <f aca="false">IF($E220="","Unmatched",IF(COUNTIF('Manual Matches'!$B:$B,$A220)&gt;0,"Matched (manual)","Matched"))</f>
        <v>Matched</v>
      </c>
    </row>
    <row r="221" customFormat="false" ht="15" hidden="false" customHeight="false" outlineLevel="0" collapsed="false">
      <c r="A221" s="6" t="s">
        <v>766</v>
      </c>
      <c r="B221" s="6" t="n">
        <v>2026</v>
      </c>
      <c r="C221" s="16" t="n">
        <v>42</v>
      </c>
      <c r="D221" s="17" t="n">
        <v>907.2</v>
      </c>
      <c r="E221" s="6" t="n">
        <f aca="false">IFERROR(INDEX('TRANS'!$B:$B,MATCH($A221,'TRANS'!$A:$A,0)),IFERROR(INDEX('TRANS'!$B:$B,MATCH(TRIM(SUBSTITUTE($A221,CHAR(160)," ")),'TRANS'!$D:$D,0)),IFERROR(INDEX('Manual Matches'!$C:$C,MATCH($A221,'Manual Matches'!$B:$B,0)),"")))</f>
        <v>4413150</v>
      </c>
      <c r="F221" s="6" t="str">
        <f aca="false">IF($E221="","Unmatched",IF(COUNTIF('Manual Matches'!$B:$B,$A221)&gt;0,"Matched (manual)","Matched"))</f>
        <v>Matched</v>
      </c>
    </row>
    <row r="222" customFormat="false" ht="15" hidden="false" customHeight="false" outlineLevel="0" collapsed="false">
      <c r="A222" s="6" t="s">
        <v>112</v>
      </c>
      <c r="B222" s="6" t="n">
        <v>2025</v>
      </c>
      <c r="C222" s="16" t="n">
        <v>11</v>
      </c>
      <c r="D222" s="17" t="n">
        <v>1035.1</v>
      </c>
      <c r="E222" s="6" t="str">
        <f aca="false">IFERROR(INDEX('TRANS'!$B:$B,MATCH($A222,'TRANS'!$A:$A,0)),IFERROR(INDEX('TRANS'!$B:$B,MATCH(TRIM(SUBSTITUTE($A222,CHAR(160)," ")),'TRANS'!$D:$D,0)),IFERROR(INDEX('Manual Matches'!$C:$C,MATCH($A222,'Manual Matches'!$B:$B,0)),"")))</f>
        <v/>
      </c>
      <c r="F222" s="6" t="str">
        <f aca="false">IF($E222="","Unmatched",IF(COUNTIF('Manual Matches'!$B:$B,$A222)&gt;0,"Matched (manual)","Matched"))</f>
        <v>Unmatched</v>
      </c>
    </row>
    <row r="223" customFormat="false" ht="15" hidden="false" customHeight="false" outlineLevel="0" collapsed="false">
      <c r="A223" s="6" t="s">
        <v>112</v>
      </c>
      <c r="B223" s="6" t="n">
        <v>2026</v>
      </c>
      <c r="C223" s="16" t="n">
        <v>7</v>
      </c>
      <c r="D223" s="17" t="n">
        <v>658.7</v>
      </c>
      <c r="E223" s="6" t="str">
        <f aca="false">IFERROR(INDEX('TRANS'!$B:$B,MATCH($A223,'TRANS'!$A:$A,0)),IFERROR(INDEX('TRANS'!$B:$B,MATCH(TRIM(SUBSTITUTE($A223,CHAR(160)," ")),'TRANS'!$D:$D,0)),IFERROR(INDEX('Manual Matches'!$C:$C,MATCH($A223,'Manual Matches'!$B:$B,0)),"")))</f>
        <v/>
      </c>
      <c r="F223" s="6" t="str">
        <f aca="false">IF($E223="","Unmatched",IF(COUNTIF('Manual Matches'!$B:$B,$A223)&gt;0,"Matched (manual)","Matched"))</f>
        <v>Unmatched</v>
      </c>
    </row>
    <row r="224" customFormat="false" ht="15" hidden="false" customHeight="false" outlineLevel="0" collapsed="false">
      <c r="A224" s="6" t="s">
        <v>760</v>
      </c>
      <c r="B224" s="6" t="n">
        <v>2025</v>
      </c>
      <c r="C224" s="16" t="n">
        <v>188</v>
      </c>
      <c r="D224" s="17" t="n">
        <v>3468.6</v>
      </c>
      <c r="E224" s="6" t="n">
        <f aca="false">IFERROR(INDEX('TRANS'!$B:$B,MATCH($A224,'TRANS'!$A:$A,0)),IFERROR(INDEX('TRANS'!$B:$B,MATCH(TRIM(SUBSTITUTE($A224,CHAR(160)," ")),'TRANS'!$D:$D,0)),IFERROR(INDEX('Manual Matches'!$C:$C,MATCH($A224,'Manual Matches'!$B:$B,0)),"")))</f>
        <v>4411000</v>
      </c>
      <c r="F224" s="6" t="str">
        <f aca="false">IF($E224="","Unmatched",IF(COUNTIF('Manual Matches'!$B:$B,$A224)&gt;0,"Matched (manual)","Matched"))</f>
        <v>Matched</v>
      </c>
    </row>
    <row r="225" customFormat="false" ht="15" hidden="false" customHeight="false" outlineLevel="0" collapsed="false">
      <c r="A225" s="6" t="s">
        <v>760</v>
      </c>
      <c r="B225" s="6" t="n">
        <v>2026</v>
      </c>
      <c r="C225" s="16" t="n">
        <v>41</v>
      </c>
      <c r="D225" s="17" t="n">
        <v>756.45</v>
      </c>
      <c r="E225" s="6" t="n">
        <f aca="false">IFERROR(INDEX('TRANS'!$B:$B,MATCH($A225,'TRANS'!$A:$A,0)),IFERROR(INDEX('TRANS'!$B:$B,MATCH(TRIM(SUBSTITUTE($A225,CHAR(160)," ")),'TRANS'!$D:$D,0)),IFERROR(INDEX('Manual Matches'!$C:$C,MATCH($A225,'Manual Matches'!$B:$B,0)),"")))</f>
        <v>4411000</v>
      </c>
      <c r="F225" s="6" t="str">
        <f aca="false">IF($E225="","Unmatched",IF(COUNTIF('Manual Matches'!$B:$B,$A225)&gt;0,"Matched (manual)","Matched"))</f>
        <v>Matched</v>
      </c>
    </row>
    <row r="226" customFormat="false" ht="15" hidden="false" customHeight="false" outlineLevel="0" collapsed="false">
      <c r="A226" s="6" t="s">
        <v>718</v>
      </c>
      <c r="B226" s="6" t="n">
        <v>2025</v>
      </c>
      <c r="C226" s="16" t="n">
        <v>71</v>
      </c>
      <c r="D226" s="17" t="n">
        <v>1661.4</v>
      </c>
      <c r="E226" s="6" t="n">
        <f aca="false">IFERROR(INDEX('TRANS'!$B:$B,MATCH($A226,'TRANS'!$A:$A,0)),IFERROR(INDEX('TRANS'!$B:$B,MATCH(TRIM(SUBSTITUTE($A226,CHAR(160)," ")),'TRANS'!$D:$D,0)),IFERROR(INDEX('Manual Matches'!$C:$C,MATCH($A226,'Manual Matches'!$B:$B,0)),"")))</f>
        <v>4413058</v>
      </c>
      <c r="F226" s="6" t="str">
        <f aca="false">IF($E226="","Unmatched",IF(COUNTIF('Manual Matches'!$B:$B,$A226)&gt;0,"Matched (manual)","Matched"))</f>
        <v>Matched</v>
      </c>
    </row>
    <row r="227" customFormat="false" ht="15" hidden="false" customHeight="false" outlineLevel="0" collapsed="false">
      <c r="A227" s="6" t="s">
        <v>718</v>
      </c>
      <c r="B227" s="6" t="n">
        <v>2026</v>
      </c>
      <c r="C227" s="16" t="n">
        <v>11</v>
      </c>
      <c r="D227" s="17" t="n">
        <v>257.4</v>
      </c>
      <c r="E227" s="6" t="n">
        <f aca="false">IFERROR(INDEX('TRANS'!$B:$B,MATCH($A227,'TRANS'!$A:$A,0)),IFERROR(INDEX('TRANS'!$B:$B,MATCH(TRIM(SUBSTITUTE($A227,CHAR(160)," ")),'TRANS'!$D:$D,0)),IFERROR(INDEX('Manual Matches'!$C:$C,MATCH($A227,'Manual Matches'!$B:$B,0)),"")))</f>
        <v>4413058</v>
      </c>
      <c r="F227" s="6" t="str">
        <f aca="false">IF($E227="","Unmatched",IF(COUNTIF('Manual Matches'!$B:$B,$A227)&gt;0,"Matched (manual)","Matched"))</f>
        <v>Matched</v>
      </c>
    </row>
    <row r="228" customFormat="false" ht="15" hidden="false" customHeight="false" outlineLevel="0" collapsed="false">
      <c r="A228" s="6" t="s">
        <v>132</v>
      </c>
      <c r="B228" s="6" t="n">
        <v>2025</v>
      </c>
      <c r="C228" s="16" t="n">
        <v>154</v>
      </c>
      <c r="D228" s="17" t="n">
        <v>2671.9</v>
      </c>
      <c r="E228" s="6" t="n">
        <f aca="false">IFERROR(INDEX('TRANS'!$B:$B,MATCH($A228,'TRANS'!$A:$A,0)),IFERROR(INDEX('TRANS'!$B:$B,MATCH(TRIM(SUBSTITUTE($A228,CHAR(160)," ")),'TRANS'!$D:$D,0)),IFERROR(INDEX('Manual Matches'!$C:$C,MATCH($A228,'Manual Matches'!$B:$B,0)),"")))</f>
        <v>4402000</v>
      </c>
      <c r="F228" s="6" t="str">
        <f aca="false">IF($E228="","Unmatched",IF(COUNTIF('Manual Matches'!$B:$B,$A228)&gt;0,"Matched (manual)","Matched"))</f>
        <v>Matched (manual)</v>
      </c>
    </row>
    <row r="229" customFormat="false" ht="15" hidden="false" customHeight="false" outlineLevel="0" collapsed="false">
      <c r="A229" s="6" t="s">
        <v>132</v>
      </c>
      <c r="B229" s="6" t="n">
        <v>2026</v>
      </c>
      <c r="C229" s="16" t="n">
        <v>26</v>
      </c>
      <c r="D229" s="17" t="n">
        <v>451.1</v>
      </c>
      <c r="E229" s="6" t="n">
        <f aca="false">IFERROR(INDEX('TRANS'!$B:$B,MATCH($A229,'TRANS'!$A:$A,0)),IFERROR(INDEX('TRANS'!$B:$B,MATCH(TRIM(SUBSTITUTE($A229,CHAR(160)," ")),'TRANS'!$D:$D,0)),IFERROR(INDEX('Manual Matches'!$C:$C,MATCH($A229,'Manual Matches'!$B:$B,0)),"")))</f>
        <v>4402000</v>
      </c>
      <c r="F229" s="6" t="str">
        <f aca="false">IF($E229="","Unmatched",IF(COUNTIF('Manual Matches'!$B:$B,$A229)&gt;0,"Matched (manual)","Matched"))</f>
        <v>Matched (manual)</v>
      </c>
    </row>
    <row r="230" customFormat="false" ht="15" hidden="false" customHeight="false" outlineLevel="0" collapsed="false">
      <c r="A230" s="6" t="s">
        <v>732</v>
      </c>
      <c r="B230" s="6" t="n">
        <v>2025</v>
      </c>
      <c r="C230" s="16" t="n">
        <v>335</v>
      </c>
      <c r="D230" s="17" t="n">
        <v>3252.85</v>
      </c>
      <c r="E230" s="6" t="n">
        <f aca="false">IFERROR(INDEX('TRANS'!$B:$B,MATCH($A230,'TRANS'!$A:$A,0)),IFERROR(INDEX('TRANS'!$B:$B,MATCH(TRIM(SUBSTITUTE($A230,CHAR(160)," ")),'TRANS'!$D:$D,0)),IFERROR(INDEX('Manual Matches'!$C:$C,MATCH($A230,'Manual Matches'!$B:$B,0)),"")))</f>
        <v>4409000</v>
      </c>
      <c r="F230" s="6" t="str">
        <f aca="false">IF($E230="","Unmatched",IF(COUNTIF('Manual Matches'!$B:$B,$A230)&gt;0,"Matched (manual)","Matched"))</f>
        <v>Matched</v>
      </c>
    </row>
    <row r="231" customFormat="false" ht="15" hidden="false" customHeight="false" outlineLevel="0" collapsed="false">
      <c r="A231" s="6" t="s">
        <v>732</v>
      </c>
      <c r="B231" s="6" t="n">
        <v>2026</v>
      </c>
      <c r="C231" s="16" t="n">
        <v>116</v>
      </c>
      <c r="D231" s="17" t="n">
        <v>1126.36</v>
      </c>
      <c r="E231" s="6" t="n">
        <f aca="false">IFERROR(INDEX('TRANS'!$B:$B,MATCH($A231,'TRANS'!$A:$A,0)),IFERROR(INDEX('TRANS'!$B:$B,MATCH(TRIM(SUBSTITUTE($A231,CHAR(160)," ")),'TRANS'!$D:$D,0)),IFERROR(INDEX('Manual Matches'!$C:$C,MATCH($A231,'Manual Matches'!$B:$B,0)),"")))</f>
        <v>4409000</v>
      </c>
      <c r="F231" s="6" t="str">
        <f aca="false">IF($E231="","Unmatched",IF(COUNTIF('Manual Matches'!$B:$B,$A231)&gt;0,"Matched (manual)","Matched"))</f>
        <v>Matched</v>
      </c>
    </row>
    <row r="232" customFormat="false" ht="15" hidden="false" customHeight="false" outlineLevel="0" collapsed="false">
      <c r="A232" s="6" t="s">
        <v>752</v>
      </c>
      <c r="B232" s="6" t="n">
        <v>2025</v>
      </c>
      <c r="C232" s="16" t="n">
        <v>17</v>
      </c>
      <c r="D232" s="17" t="n">
        <v>910.01</v>
      </c>
      <c r="E232" s="6" t="n">
        <f aca="false">IFERROR(INDEX('TRANS'!$B:$B,MATCH($A232,'TRANS'!$A:$A,0)),IFERROR(INDEX('TRANS'!$B:$B,MATCH(TRIM(SUBSTITUTE($A232,CHAR(160)," ")),'TRANS'!$D:$D,0)),IFERROR(INDEX('Manual Matches'!$C:$C,MATCH($A232,'Manual Matches'!$B:$B,0)),"")))</f>
        <v>4408069</v>
      </c>
      <c r="F232" s="6" t="str">
        <f aca="false">IF($E232="","Unmatched",IF(COUNTIF('Manual Matches'!$B:$B,$A232)&gt;0,"Matched (manual)","Matched"))</f>
        <v>Matched</v>
      </c>
    </row>
    <row r="233" customFormat="false" ht="15" hidden="false" customHeight="false" outlineLevel="0" collapsed="false">
      <c r="A233" s="6" t="s">
        <v>752</v>
      </c>
      <c r="B233" s="6" t="n">
        <v>2026</v>
      </c>
      <c r="C233" s="16" t="n">
        <v>1</v>
      </c>
      <c r="D233" s="17" t="n">
        <v>53.53</v>
      </c>
      <c r="E233" s="6" t="n">
        <f aca="false">IFERROR(INDEX('TRANS'!$B:$B,MATCH($A233,'TRANS'!$A:$A,0)),IFERROR(INDEX('TRANS'!$B:$B,MATCH(TRIM(SUBSTITUTE($A233,CHAR(160)," ")),'TRANS'!$D:$D,0)),IFERROR(INDEX('Manual Matches'!$C:$C,MATCH($A233,'Manual Matches'!$B:$B,0)),"")))</f>
        <v>4408069</v>
      </c>
      <c r="F233" s="6" t="str">
        <f aca="false">IF($E233="","Unmatched",IF(COUNTIF('Manual Matches'!$B:$B,$A233)&gt;0,"Matched (manual)","Matched"))</f>
        <v>Matched</v>
      </c>
    </row>
    <row r="234" customFormat="false" ht="15" hidden="false" customHeight="false" outlineLevel="0" collapsed="false">
      <c r="A234" s="6" t="s">
        <v>98</v>
      </c>
      <c r="B234" s="6" t="n">
        <v>2025</v>
      </c>
      <c r="C234" s="16" t="n">
        <v>31</v>
      </c>
      <c r="D234" s="17" t="n">
        <v>731.6</v>
      </c>
      <c r="E234" s="6" t="str">
        <f aca="false">IFERROR(INDEX('TRANS'!$B:$B,MATCH($A234,'TRANS'!$A:$A,0)),IFERROR(INDEX('TRANS'!$B:$B,MATCH(TRIM(SUBSTITUTE($A234,CHAR(160)," ")),'TRANS'!$D:$D,0)),IFERROR(INDEX('Manual Matches'!$C:$C,MATCH($A234,'Manual Matches'!$B:$B,0)),"")))</f>
        <v/>
      </c>
      <c r="F234" s="6" t="str">
        <f aca="false">IF($E234="","Unmatched",IF(COUNTIF('Manual Matches'!$B:$B,$A234)&gt;0,"Matched (manual)","Matched"))</f>
        <v>Unmatched</v>
      </c>
    </row>
    <row r="235" customFormat="false" ht="15" hidden="false" customHeight="false" outlineLevel="0" collapsed="false">
      <c r="A235" s="6" t="s">
        <v>98</v>
      </c>
      <c r="B235" s="6" t="n">
        <v>2026</v>
      </c>
      <c r="C235" s="16" t="n">
        <v>9</v>
      </c>
      <c r="D235" s="17" t="n">
        <v>212.4</v>
      </c>
      <c r="E235" s="6" t="str">
        <f aca="false">IFERROR(INDEX('TRANS'!$B:$B,MATCH($A235,'TRANS'!$A:$A,0)),IFERROR(INDEX('TRANS'!$B:$B,MATCH(TRIM(SUBSTITUTE($A235,CHAR(160)," ")),'TRANS'!$D:$D,0)),IFERROR(INDEX('Manual Matches'!$C:$C,MATCH($A235,'Manual Matches'!$B:$B,0)),"")))</f>
        <v/>
      </c>
      <c r="F235" s="6" t="str">
        <f aca="false">IF($E235="","Unmatched",IF(COUNTIF('Manual Matches'!$B:$B,$A235)&gt;0,"Matched (manual)","Matched"))</f>
        <v>Unmatched</v>
      </c>
    </row>
    <row r="236" customFormat="false" ht="15" hidden="false" customHeight="false" outlineLevel="0" collapsed="false">
      <c r="A236" s="6" t="s">
        <v>268</v>
      </c>
      <c r="B236" s="6" t="n">
        <v>2025</v>
      </c>
      <c r="C236" s="16" t="n">
        <v>31</v>
      </c>
      <c r="D236" s="17" t="n">
        <v>731.6</v>
      </c>
      <c r="E236" s="6" t="n">
        <f aca="false">IFERROR(INDEX('TRANS'!$B:$B,MATCH($A236,'TRANS'!$A:$A,0)),IFERROR(INDEX('TRANS'!$B:$B,MATCH(TRIM(SUBSTITUTE($A236,CHAR(160)," ")),'TRANS'!$D:$D,0)),IFERROR(INDEX('Manual Matches'!$C:$C,MATCH($A236,'Manual Matches'!$B:$B,0)),"")))</f>
        <v>4403007</v>
      </c>
      <c r="F236" s="6" t="str">
        <f aca="false">IF($E236="","Unmatched",IF(COUNTIF('Manual Matches'!$B:$B,$A236)&gt;0,"Matched (manual)","Matched"))</f>
        <v>Matched</v>
      </c>
    </row>
    <row r="237" customFormat="false" ht="15" hidden="false" customHeight="false" outlineLevel="0" collapsed="false">
      <c r="A237" s="6" t="s">
        <v>268</v>
      </c>
      <c r="B237" s="6" t="n">
        <v>2026</v>
      </c>
      <c r="C237" s="16" t="n">
        <v>3</v>
      </c>
      <c r="D237" s="17" t="n">
        <v>70.8</v>
      </c>
      <c r="E237" s="6" t="n">
        <f aca="false">IFERROR(INDEX('TRANS'!$B:$B,MATCH($A237,'TRANS'!$A:$A,0)),IFERROR(INDEX('TRANS'!$B:$B,MATCH(TRIM(SUBSTITUTE($A237,CHAR(160)," ")),'TRANS'!$D:$D,0)),IFERROR(INDEX('Manual Matches'!$C:$C,MATCH($A237,'Manual Matches'!$B:$B,0)),"")))</f>
        <v>4403007</v>
      </c>
      <c r="F237" s="6" t="str">
        <f aca="false">IF($E237="","Unmatched",IF(COUNTIF('Manual Matches'!$B:$B,$A237)&gt;0,"Matched (manual)","Matched"))</f>
        <v>Matched</v>
      </c>
    </row>
    <row r="238" customFormat="false" ht="15" hidden="false" customHeight="false" outlineLevel="0" collapsed="false">
      <c r="A238" s="6" t="s">
        <v>272</v>
      </c>
      <c r="B238" s="6" t="n">
        <v>2025</v>
      </c>
      <c r="C238" s="16" t="n">
        <v>63</v>
      </c>
      <c r="D238" s="17" t="n">
        <v>1159.2</v>
      </c>
      <c r="E238" s="6" t="n">
        <f aca="false">IFERROR(INDEX('TRANS'!$B:$B,MATCH($A238,'TRANS'!$A:$A,0)),IFERROR(INDEX('TRANS'!$B:$B,MATCH(TRIM(SUBSTITUTE($A238,CHAR(160)," ")),'TRANS'!$D:$D,0)),IFERROR(INDEX('Manual Matches'!$C:$C,MATCH($A238,'Manual Matches'!$B:$B,0)),"")))</f>
        <v>4403017</v>
      </c>
      <c r="F238" s="6" t="str">
        <f aca="false">IF($E238="","Unmatched",IF(COUNTIF('Manual Matches'!$B:$B,$A238)&gt;0,"Matched (manual)","Matched"))</f>
        <v>Matched</v>
      </c>
    </row>
    <row r="239" customFormat="false" ht="15" hidden="false" customHeight="false" outlineLevel="0" collapsed="false">
      <c r="A239" s="6" t="s">
        <v>272</v>
      </c>
      <c r="B239" s="6" t="n">
        <v>2026</v>
      </c>
      <c r="C239" s="16" t="n">
        <v>3</v>
      </c>
      <c r="D239" s="17" t="n">
        <v>55.2</v>
      </c>
      <c r="E239" s="6" t="n">
        <f aca="false">IFERROR(INDEX('TRANS'!$B:$B,MATCH($A239,'TRANS'!$A:$A,0)),IFERROR(INDEX('TRANS'!$B:$B,MATCH(TRIM(SUBSTITUTE($A239,CHAR(160)," ")),'TRANS'!$D:$D,0)),IFERROR(INDEX('Manual Matches'!$C:$C,MATCH($A239,'Manual Matches'!$B:$B,0)),"")))</f>
        <v>4403017</v>
      </c>
      <c r="F239" s="6" t="str">
        <f aca="false">IF($E239="","Unmatched",IF(COUNTIF('Manual Matches'!$B:$B,$A239)&gt;0,"Matched (manual)","Matched"))</f>
        <v>Matched</v>
      </c>
    </row>
    <row r="240" customFormat="false" ht="15" hidden="false" customHeight="false" outlineLevel="0" collapsed="false">
      <c r="A240" s="6" t="s">
        <v>274</v>
      </c>
      <c r="B240" s="6" t="n">
        <v>2025</v>
      </c>
      <c r="C240" s="16" t="n">
        <v>191</v>
      </c>
      <c r="D240" s="17" t="n">
        <v>3514.4</v>
      </c>
      <c r="E240" s="6" t="n">
        <f aca="false">IFERROR(INDEX('TRANS'!$B:$B,MATCH($A240,'TRANS'!$A:$A,0)),IFERROR(INDEX('TRANS'!$B:$B,MATCH(TRIM(SUBSTITUTE($A240,CHAR(160)," ")),'TRANS'!$D:$D,0)),IFERROR(INDEX('Manual Matches'!$C:$C,MATCH($A240,'Manual Matches'!$B:$B,0)),"")))</f>
        <v>4403018</v>
      </c>
      <c r="F240" s="6" t="str">
        <f aca="false">IF($E240="","Unmatched",IF(COUNTIF('Manual Matches'!$B:$B,$A240)&gt;0,"Matched (manual)","Matched"))</f>
        <v>Matched</v>
      </c>
    </row>
    <row r="241" customFormat="false" ht="15" hidden="false" customHeight="false" outlineLevel="0" collapsed="false">
      <c r="A241" s="6" t="s">
        <v>274</v>
      </c>
      <c r="B241" s="6" t="n">
        <v>2026</v>
      </c>
      <c r="C241" s="16" t="n">
        <v>20</v>
      </c>
      <c r="D241" s="17" t="n">
        <v>368</v>
      </c>
      <c r="E241" s="6" t="n">
        <f aca="false">IFERROR(INDEX('TRANS'!$B:$B,MATCH($A241,'TRANS'!$A:$A,0)),IFERROR(INDEX('TRANS'!$B:$B,MATCH(TRIM(SUBSTITUTE($A241,CHAR(160)," ")),'TRANS'!$D:$D,0)),IFERROR(INDEX('Manual Matches'!$C:$C,MATCH($A241,'Manual Matches'!$B:$B,0)),"")))</f>
        <v>4403018</v>
      </c>
      <c r="F241" s="6" t="str">
        <f aca="false">IF($E241="","Unmatched",IF(COUNTIF('Manual Matches'!$B:$B,$A241)&gt;0,"Matched (manual)","Matched"))</f>
        <v>Matched</v>
      </c>
    </row>
    <row r="242" customFormat="false" ht="15" hidden="false" customHeight="false" outlineLevel="0" collapsed="false">
      <c r="A242" s="6" t="s">
        <v>278</v>
      </c>
      <c r="B242" s="6" t="n">
        <v>2025</v>
      </c>
      <c r="C242" s="16" t="n">
        <v>49</v>
      </c>
      <c r="D242" s="17" t="n">
        <v>901.6</v>
      </c>
      <c r="E242" s="6" t="n">
        <f aca="false">IFERROR(INDEX('TRANS'!$B:$B,MATCH($A242,'TRANS'!$A:$A,0)),IFERROR(INDEX('TRANS'!$B:$B,MATCH(TRIM(SUBSTITUTE($A242,CHAR(160)," ")),'TRANS'!$D:$D,0)),IFERROR(INDEX('Manual Matches'!$C:$C,MATCH($A242,'Manual Matches'!$B:$B,0)),"")))</f>
        <v>4403023</v>
      </c>
      <c r="F242" s="6" t="str">
        <f aca="false">IF($E242="","Unmatched",IF(COUNTIF('Manual Matches'!$B:$B,$A242)&gt;0,"Matched (manual)","Matched"))</f>
        <v>Matched</v>
      </c>
    </row>
    <row r="243" customFormat="false" ht="15" hidden="false" customHeight="false" outlineLevel="0" collapsed="false">
      <c r="A243" s="6" t="s">
        <v>278</v>
      </c>
      <c r="B243" s="6" t="n">
        <v>2026</v>
      </c>
      <c r="C243" s="16" t="n">
        <v>14</v>
      </c>
      <c r="D243" s="17" t="n">
        <v>257.6</v>
      </c>
      <c r="E243" s="6" t="n">
        <f aca="false">IFERROR(INDEX('TRANS'!$B:$B,MATCH($A243,'TRANS'!$A:$A,0)),IFERROR(INDEX('TRANS'!$B:$B,MATCH(TRIM(SUBSTITUTE($A243,CHAR(160)," ")),'TRANS'!$D:$D,0)),IFERROR(INDEX('Manual Matches'!$C:$C,MATCH($A243,'Manual Matches'!$B:$B,0)),"")))</f>
        <v>4403023</v>
      </c>
      <c r="F243" s="6" t="str">
        <f aca="false">IF($E243="","Unmatched",IF(COUNTIF('Manual Matches'!$B:$B,$A243)&gt;0,"Matched (manual)","Matched"))</f>
        <v>Matched</v>
      </c>
    </row>
    <row r="244" customFormat="false" ht="15" hidden="false" customHeight="false" outlineLevel="0" collapsed="false">
      <c r="A244" s="6" t="s">
        <v>128</v>
      </c>
      <c r="B244" s="6" t="n">
        <v>2025</v>
      </c>
      <c r="C244" s="16" t="n">
        <v>125</v>
      </c>
      <c r="D244" s="17" t="n">
        <v>5226.25</v>
      </c>
      <c r="E244" s="6" t="n">
        <f aca="false">IFERROR(INDEX('TRANS'!$B:$B,MATCH($A244,'TRANS'!$A:$A,0)),IFERROR(INDEX('TRANS'!$B:$B,MATCH(TRIM(SUBSTITUTE($A244,CHAR(160)," ")),'TRANS'!$D:$D,0)),IFERROR(INDEX('Manual Matches'!$C:$C,MATCH($A244,'Manual Matches'!$B:$B,0)),"")))</f>
        <v>4403041</v>
      </c>
      <c r="F244" s="6" t="str">
        <f aca="false">IF($E244="","Unmatched",IF(COUNTIF('Manual Matches'!$B:$B,$A244)&gt;0,"Matched (manual)","Matched"))</f>
        <v>Matched (manual)</v>
      </c>
    </row>
    <row r="245" customFormat="false" ht="15" hidden="false" customHeight="false" outlineLevel="0" collapsed="false">
      <c r="A245" s="6" t="s">
        <v>128</v>
      </c>
      <c r="B245" s="6" t="n">
        <v>2026</v>
      </c>
      <c r="C245" s="16" t="n">
        <v>-3</v>
      </c>
      <c r="D245" s="17" t="n">
        <v>-125.43</v>
      </c>
      <c r="E245" s="6" t="n">
        <f aca="false">IFERROR(INDEX('TRANS'!$B:$B,MATCH($A245,'TRANS'!$A:$A,0)),IFERROR(INDEX('TRANS'!$B:$B,MATCH(TRIM(SUBSTITUTE($A245,CHAR(160)," ")),'TRANS'!$D:$D,0)),IFERROR(INDEX('Manual Matches'!$C:$C,MATCH($A245,'Manual Matches'!$B:$B,0)),"")))</f>
        <v>4403041</v>
      </c>
      <c r="F245" s="6" t="str">
        <f aca="false">IF($E245="","Unmatched",IF(COUNTIF('Manual Matches'!$B:$B,$A245)&gt;0,"Matched (manual)","Matched"))</f>
        <v>Matched (manual)</v>
      </c>
    </row>
    <row r="246" customFormat="false" ht="15" hidden="false" customHeight="false" outlineLevel="0" collapsed="false">
      <c r="A246" s="6" t="s">
        <v>200</v>
      </c>
      <c r="B246" s="6" t="n">
        <v>2025</v>
      </c>
      <c r="C246" s="16" t="n">
        <v>135</v>
      </c>
      <c r="D246" s="17" t="n">
        <v>2767.5</v>
      </c>
      <c r="E246" s="6" t="n">
        <f aca="false">IFERROR(INDEX('TRANS'!$B:$B,MATCH($A246,'TRANS'!$A:$A,0)),IFERROR(INDEX('TRANS'!$B:$B,MATCH(TRIM(SUBSTITUTE($A246,CHAR(160)," ")),'TRANS'!$D:$D,0)),IFERROR(INDEX('Manual Matches'!$C:$C,MATCH($A246,'Manual Matches'!$B:$B,0)),"")))</f>
        <v>4413105</v>
      </c>
      <c r="F246" s="6" t="str">
        <f aca="false">IF($E246="","Unmatched",IF(COUNTIF('Manual Matches'!$B:$B,$A246)&gt;0,"Matched (manual)","Matched"))</f>
        <v>Matched</v>
      </c>
    </row>
    <row r="247" customFormat="false" ht="15" hidden="false" customHeight="false" outlineLevel="0" collapsed="false">
      <c r="A247" s="6" t="s">
        <v>200</v>
      </c>
      <c r="B247" s="6" t="n">
        <v>2026</v>
      </c>
      <c r="C247" s="16" t="n">
        <v>41</v>
      </c>
      <c r="D247" s="17" t="n">
        <v>840.5</v>
      </c>
      <c r="E247" s="6" t="n">
        <f aca="false">IFERROR(INDEX('TRANS'!$B:$B,MATCH($A247,'TRANS'!$A:$A,0)),IFERROR(INDEX('TRANS'!$B:$B,MATCH(TRIM(SUBSTITUTE($A247,CHAR(160)," ")),'TRANS'!$D:$D,0)),IFERROR(INDEX('Manual Matches'!$C:$C,MATCH($A247,'Manual Matches'!$B:$B,0)),"")))</f>
        <v>4413105</v>
      </c>
      <c r="F247" s="6" t="str">
        <f aca="false">IF($E247="","Unmatched",IF(COUNTIF('Manual Matches'!$B:$B,$A247)&gt;0,"Matched (manual)","Matched"))</f>
        <v>Matched</v>
      </c>
    </row>
    <row r="248" customFormat="false" ht="15" hidden="false" customHeight="false" outlineLevel="0" collapsed="false">
      <c r="A248" s="6" t="s">
        <v>614</v>
      </c>
      <c r="B248" s="6" t="n">
        <v>2025</v>
      </c>
      <c r="C248" s="16" t="n">
        <v>18</v>
      </c>
      <c r="D248" s="17" t="n">
        <v>2278.26</v>
      </c>
      <c r="E248" s="6" t="n">
        <f aca="false">IFERROR(INDEX('TRANS'!$B:$B,MATCH($A248,'TRANS'!$A:$A,0)),IFERROR(INDEX('TRANS'!$B:$B,MATCH(TRIM(SUBSTITUTE($A248,CHAR(160)," ")),'TRANS'!$D:$D,0)),IFERROR(INDEX('Manual Matches'!$C:$C,MATCH($A248,'Manual Matches'!$B:$B,0)),"")))</f>
        <v>4408081</v>
      </c>
      <c r="F248" s="6" t="str">
        <f aca="false">IF($E248="","Unmatched",IF(COUNTIF('Manual Matches'!$B:$B,$A248)&gt;0,"Matched (manual)","Matched"))</f>
        <v>Matched</v>
      </c>
    </row>
    <row r="249" customFormat="false" ht="15" hidden="false" customHeight="false" outlineLevel="0" collapsed="false">
      <c r="A249" s="6" t="s">
        <v>614</v>
      </c>
      <c r="B249" s="6" t="n">
        <v>2026</v>
      </c>
      <c r="C249" s="16" t="n">
        <v>2</v>
      </c>
      <c r="D249" s="17" t="n">
        <v>253.14</v>
      </c>
      <c r="E249" s="6" t="n">
        <f aca="false">IFERROR(INDEX('TRANS'!$B:$B,MATCH($A249,'TRANS'!$A:$A,0)),IFERROR(INDEX('TRANS'!$B:$B,MATCH(TRIM(SUBSTITUTE($A249,CHAR(160)," ")),'TRANS'!$D:$D,0)),IFERROR(INDEX('Manual Matches'!$C:$C,MATCH($A249,'Manual Matches'!$B:$B,0)),"")))</f>
        <v>4408081</v>
      </c>
      <c r="F249" s="6" t="str">
        <f aca="false">IF($E249="","Unmatched",IF(COUNTIF('Manual Matches'!$B:$B,$A249)&gt;0,"Matched (manual)","Matched"))</f>
        <v>Matched</v>
      </c>
    </row>
    <row r="250" customFormat="false" ht="15" hidden="false" customHeight="false" outlineLevel="0" collapsed="false">
      <c r="A250" s="6" t="s">
        <v>330</v>
      </c>
      <c r="B250" s="6" t="n">
        <v>2025</v>
      </c>
      <c r="C250" s="16" t="n">
        <v>21</v>
      </c>
      <c r="D250" s="17" t="n">
        <v>3685.5</v>
      </c>
      <c r="E250" s="6" t="n">
        <f aca="false">IFERROR(INDEX('TRANS'!$B:$B,MATCH($A250,'TRANS'!$A:$A,0)),IFERROR(INDEX('TRANS'!$B:$B,MATCH(TRIM(SUBSTITUTE($A250,CHAR(160)," ")),'TRANS'!$D:$D,0)),IFERROR(INDEX('Manual Matches'!$C:$C,MATCH($A250,'Manual Matches'!$B:$B,0)),"")))</f>
        <v>4408016</v>
      </c>
      <c r="F250" s="6" t="str">
        <f aca="false">IF($E250="","Unmatched",IF(COUNTIF('Manual Matches'!$B:$B,$A250)&gt;0,"Matched (manual)","Matched"))</f>
        <v>Matched</v>
      </c>
    </row>
    <row r="251" customFormat="false" ht="15" hidden="false" customHeight="false" outlineLevel="0" collapsed="false">
      <c r="A251" s="6" t="s">
        <v>330</v>
      </c>
      <c r="B251" s="6" t="n">
        <v>2026</v>
      </c>
      <c r="C251" s="16" t="n">
        <v>4</v>
      </c>
      <c r="D251" s="17" t="n">
        <v>702</v>
      </c>
      <c r="E251" s="6" t="n">
        <f aca="false">IFERROR(INDEX('TRANS'!$B:$B,MATCH($A251,'TRANS'!$A:$A,0)),IFERROR(INDEX('TRANS'!$B:$B,MATCH(TRIM(SUBSTITUTE($A251,CHAR(160)," ")),'TRANS'!$D:$D,0)),IFERROR(INDEX('Manual Matches'!$C:$C,MATCH($A251,'Manual Matches'!$B:$B,0)),"")))</f>
        <v>4408016</v>
      </c>
      <c r="F251" s="6" t="str">
        <f aca="false">IF($E251="","Unmatched",IF(COUNTIF('Manual Matches'!$B:$B,$A251)&gt;0,"Matched (manual)","Matched"))</f>
        <v>Matched</v>
      </c>
    </row>
    <row r="252" customFormat="false" ht="15" hidden="false" customHeight="false" outlineLevel="0" collapsed="false">
      <c r="A252" s="6" t="s">
        <v>332</v>
      </c>
      <c r="B252" s="6" t="n">
        <v>2025</v>
      </c>
      <c r="C252" s="16" t="n">
        <v>6</v>
      </c>
      <c r="D252" s="17" t="n">
        <v>1053</v>
      </c>
      <c r="E252" s="6" t="n">
        <f aca="false">IFERROR(INDEX('TRANS'!$B:$B,MATCH($A252,'TRANS'!$A:$A,0)),IFERROR(INDEX('TRANS'!$B:$B,MATCH(TRIM(SUBSTITUTE($A252,CHAR(160)," ")),'TRANS'!$D:$D,0)),IFERROR(INDEX('Manual Matches'!$C:$C,MATCH($A252,'Manual Matches'!$B:$B,0)),"")))</f>
        <v>4408014</v>
      </c>
      <c r="F252" s="6" t="str">
        <f aca="false">IF($E252="","Unmatched",IF(COUNTIF('Manual Matches'!$B:$B,$A252)&gt;0,"Matched (manual)","Matched"))</f>
        <v>Matched</v>
      </c>
    </row>
    <row r="253" customFormat="false" ht="15" hidden="false" customHeight="false" outlineLevel="0" collapsed="false">
      <c r="A253" s="6" t="s">
        <v>332</v>
      </c>
      <c r="B253" s="6" t="n">
        <v>2026</v>
      </c>
      <c r="C253" s="16" t="n">
        <v>3</v>
      </c>
      <c r="D253" s="17" t="n">
        <v>526.5</v>
      </c>
      <c r="E253" s="6" t="n">
        <f aca="false">IFERROR(INDEX('TRANS'!$B:$B,MATCH($A253,'TRANS'!$A:$A,0)),IFERROR(INDEX('TRANS'!$B:$B,MATCH(TRIM(SUBSTITUTE($A253,CHAR(160)," ")),'TRANS'!$D:$D,0)),IFERROR(INDEX('Manual Matches'!$C:$C,MATCH($A253,'Manual Matches'!$B:$B,0)),"")))</f>
        <v>4408014</v>
      </c>
      <c r="F253" s="6" t="str">
        <f aca="false">IF($E253="","Unmatched",IF(COUNTIF('Manual Matches'!$B:$B,$A253)&gt;0,"Matched (manual)","Matched"))</f>
        <v>Matched</v>
      </c>
    </row>
    <row r="254" customFormat="false" ht="15" hidden="false" customHeight="false" outlineLevel="0" collapsed="false">
      <c r="A254" s="6" t="s">
        <v>346</v>
      </c>
      <c r="B254" s="6" t="n">
        <v>2025</v>
      </c>
      <c r="C254" s="16" t="n">
        <v>57</v>
      </c>
      <c r="D254" s="17" t="n">
        <v>4123.38</v>
      </c>
      <c r="E254" s="6" t="n">
        <f aca="false">IFERROR(INDEX('TRANS'!$B:$B,MATCH($A254,'TRANS'!$A:$A,0)),IFERROR(INDEX('TRANS'!$B:$B,MATCH(TRIM(SUBSTITUTE($A254,CHAR(160)," ")),'TRANS'!$D:$D,0)),IFERROR(INDEX('Manual Matches'!$C:$C,MATCH($A254,'Manual Matches'!$B:$B,0)),"")))</f>
        <v>4408033</v>
      </c>
      <c r="F254" s="6" t="str">
        <f aca="false">IF($E254="","Unmatched",IF(COUNTIF('Manual Matches'!$B:$B,$A254)&gt;0,"Matched (manual)","Matched"))</f>
        <v>Matched</v>
      </c>
    </row>
    <row r="255" customFormat="false" ht="15" hidden="false" customHeight="false" outlineLevel="0" collapsed="false">
      <c r="A255" s="6" t="s">
        <v>346</v>
      </c>
      <c r="B255" s="6" t="n">
        <v>2026</v>
      </c>
      <c r="C255" s="16" t="n">
        <v>12</v>
      </c>
      <c r="D255" s="17" t="n">
        <v>868.08</v>
      </c>
      <c r="E255" s="6" t="n">
        <f aca="false">IFERROR(INDEX('TRANS'!$B:$B,MATCH($A255,'TRANS'!$A:$A,0)),IFERROR(INDEX('TRANS'!$B:$B,MATCH(TRIM(SUBSTITUTE($A255,CHAR(160)," ")),'TRANS'!$D:$D,0)),IFERROR(INDEX('Manual Matches'!$C:$C,MATCH($A255,'Manual Matches'!$B:$B,0)),"")))</f>
        <v>4408033</v>
      </c>
      <c r="F255" s="6" t="str">
        <f aca="false">IF($E255="","Unmatched",IF(COUNTIF('Manual Matches'!$B:$B,$A255)&gt;0,"Matched (manual)","Matched"))</f>
        <v>Matched</v>
      </c>
    </row>
    <row r="256" customFormat="false" ht="15" hidden="false" customHeight="false" outlineLevel="0" collapsed="false">
      <c r="A256" s="6" t="s">
        <v>282</v>
      </c>
      <c r="B256" s="6" t="n">
        <v>2025</v>
      </c>
      <c r="C256" s="16" t="n">
        <v>50</v>
      </c>
      <c r="D256" s="17" t="n">
        <v>920</v>
      </c>
      <c r="E256" s="6" t="n">
        <f aca="false">IFERROR(INDEX('TRANS'!$B:$B,MATCH($A256,'TRANS'!$A:$A,0)),IFERROR(INDEX('TRANS'!$B:$B,MATCH(TRIM(SUBSTITUTE($A256,CHAR(160)," ")),'TRANS'!$D:$D,0)),IFERROR(INDEX('Manual Matches'!$C:$C,MATCH($A256,'Manual Matches'!$B:$B,0)),"")))</f>
        <v>4403025</v>
      </c>
      <c r="F256" s="6" t="str">
        <f aca="false">IF($E256="","Unmatched",IF(COUNTIF('Manual Matches'!$B:$B,$A256)&gt;0,"Matched (manual)","Matched"))</f>
        <v>Matched</v>
      </c>
    </row>
    <row r="257" customFormat="false" ht="15" hidden="false" customHeight="false" outlineLevel="0" collapsed="false">
      <c r="A257" s="6" t="s">
        <v>282</v>
      </c>
      <c r="B257" s="6" t="n">
        <v>2026</v>
      </c>
      <c r="C257" s="16" t="n">
        <v>20</v>
      </c>
      <c r="D257" s="17" t="n">
        <v>368</v>
      </c>
      <c r="E257" s="6" t="n">
        <f aca="false">IFERROR(INDEX('TRANS'!$B:$B,MATCH($A257,'TRANS'!$A:$A,0)),IFERROR(INDEX('TRANS'!$B:$B,MATCH(TRIM(SUBSTITUTE($A257,CHAR(160)," ")),'TRANS'!$D:$D,0)),IFERROR(INDEX('Manual Matches'!$C:$C,MATCH($A257,'Manual Matches'!$B:$B,0)),"")))</f>
        <v>4403025</v>
      </c>
      <c r="F257" s="6" t="str">
        <f aca="false">IF($E257="","Unmatched",IF(COUNTIF('Manual Matches'!$B:$B,$A257)&gt;0,"Matched (manual)","Matched"))</f>
        <v>Matched</v>
      </c>
    </row>
    <row r="258" customFormat="false" ht="15" hidden="false" customHeight="false" outlineLevel="0" collapsed="false">
      <c r="A258" s="6" t="s">
        <v>988</v>
      </c>
      <c r="B258" s="6" t="n">
        <v>2025</v>
      </c>
      <c r="C258" s="16" t="n">
        <v>10</v>
      </c>
      <c r="D258" s="17" t="n">
        <v>210</v>
      </c>
      <c r="E258" s="6" t="n">
        <f aca="false">IFERROR(INDEX('TRANS'!$B:$B,MATCH($A258,'TRANS'!$A:$A,0)),IFERROR(INDEX('TRANS'!$B:$B,MATCH(TRIM(SUBSTITUTE($A258,CHAR(160)," ")),'TRANS'!$D:$D,0)),IFERROR(INDEX('Manual Matches'!$C:$C,MATCH($A258,'Manual Matches'!$B:$B,0)),"")))</f>
        <v>4413114</v>
      </c>
      <c r="F258" s="6" t="str">
        <f aca="false">IF($E258="","Unmatched",IF(COUNTIF('Manual Matches'!$B:$B,$A258)&gt;0,"Matched (manual)","Matched"))</f>
        <v>Matched</v>
      </c>
    </row>
    <row r="259" customFormat="false" ht="15" hidden="false" customHeight="false" outlineLevel="0" collapsed="false">
      <c r="A259" s="6" t="s">
        <v>988</v>
      </c>
      <c r="B259" s="6" t="n">
        <v>2026</v>
      </c>
      <c r="C259" s="16" t="n">
        <v>6</v>
      </c>
      <c r="D259" s="17" t="n">
        <v>126</v>
      </c>
      <c r="E259" s="6" t="n">
        <f aca="false">IFERROR(INDEX('TRANS'!$B:$B,MATCH($A259,'TRANS'!$A:$A,0)),IFERROR(INDEX('TRANS'!$B:$B,MATCH(TRIM(SUBSTITUTE($A259,CHAR(160)," ")),'TRANS'!$D:$D,0)),IFERROR(INDEX('Manual Matches'!$C:$C,MATCH($A259,'Manual Matches'!$B:$B,0)),"")))</f>
        <v>4413114</v>
      </c>
      <c r="F259" s="6" t="str">
        <f aca="false">IF($E259="","Unmatched",IF(COUNTIF('Manual Matches'!$B:$B,$A259)&gt;0,"Matched (manual)","Matched"))</f>
        <v>Matched</v>
      </c>
    </row>
    <row r="260" customFormat="false" ht="15" hidden="false" customHeight="false" outlineLevel="0" collapsed="false">
      <c r="A260" s="6" t="s">
        <v>612</v>
      </c>
      <c r="B260" s="6" t="n">
        <v>2025</v>
      </c>
      <c r="C260" s="16" t="n">
        <v>17</v>
      </c>
      <c r="D260" s="17" t="n">
        <v>2151.69</v>
      </c>
      <c r="E260" s="6" t="n">
        <f aca="false">IFERROR(INDEX('TRANS'!$B:$B,MATCH($A260,'TRANS'!$A:$A,0)),IFERROR(INDEX('TRANS'!$B:$B,MATCH(TRIM(SUBSTITUTE($A260,CHAR(160)," ")),'TRANS'!$D:$D,0)),IFERROR(INDEX('Manual Matches'!$C:$C,MATCH($A260,'Manual Matches'!$B:$B,0)),"")))</f>
        <v>4408080</v>
      </c>
      <c r="F260" s="6" t="str">
        <f aca="false">IF($E260="","Unmatched",IF(COUNTIF('Manual Matches'!$B:$B,$A260)&gt;0,"Matched (manual)","Matched"))</f>
        <v>Matched</v>
      </c>
    </row>
    <row r="261" customFormat="false" ht="15" hidden="false" customHeight="false" outlineLevel="0" collapsed="false">
      <c r="A261" s="6" t="s">
        <v>612</v>
      </c>
      <c r="B261" s="6" t="n">
        <v>2026</v>
      </c>
      <c r="C261" s="16" t="n">
        <v>3</v>
      </c>
      <c r="D261" s="17" t="n">
        <v>379.71</v>
      </c>
      <c r="E261" s="6" t="n">
        <f aca="false">IFERROR(INDEX('TRANS'!$B:$B,MATCH($A261,'TRANS'!$A:$A,0)),IFERROR(INDEX('TRANS'!$B:$B,MATCH(TRIM(SUBSTITUTE($A261,CHAR(160)," ")),'TRANS'!$D:$D,0)),IFERROR(INDEX('Manual Matches'!$C:$C,MATCH($A261,'Manual Matches'!$B:$B,0)),"")))</f>
        <v>4408080</v>
      </c>
      <c r="F261" s="6" t="str">
        <f aca="false">IF($E261="","Unmatched",IF(COUNTIF('Manual Matches'!$B:$B,$A261)&gt;0,"Matched (manual)","Matched"))</f>
        <v>Matched</v>
      </c>
    </row>
    <row r="262" customFormat="false" ht="15" hidden="false" customHeight="false" outlineLevel="0" collapsed="false">
      <c r="A262" s="6" t="s">
        <v>532</v>
      </c>
      <c r="B262" s="6" t="n">
        <v>2025</v>
      </c>
      <c r="C262" s="16" t="n">
        <v>55</v>
      </c>
      <c r="D262" s="17" t="n">
        <v>875.05</v>
      </c>
      <c r="E262" s="6" t="n">
        <f aca="false">IFERROR(INDEX('TRANS'!$B:$B,MATCH($A262,'TRANS'!$A:$A,0)),IFERROR(INDEX('TRANS'!$B:$B,MATCH(TRIM(SUBSTITUTE($A262,CHAR(160)," ")),'TRANS'!$D:$D,0)),IFERROR(INDEX('Manual Matches'!$C:$C,MATCH($A262,'Manual Matches'!$B:$B,0)),"")))</f>
        <v>4420025</v>
      </c>
      <c r="F262" s="6" t="str">
        <f aca="false">IF($E262="","Unmatched",IF(COUNTIF('Manual Matches'!$B:$B,$A262)&gt;0,"Matched (manual)","Matched"))</f>
        <v>Matched</v>
      </c>
    </row>
    <row r="263" customFormat="false" ht="15" hidden="false" customHeight="false" outlineLevel="0" collapsed="false">
      <c r="A263" s="6" t="s">
        <v>532</v>
      </c>
      <c r="B263" s="6" t="n">
        <v>2026</v>
      </c>
      <c r="C263" s="16" t="n">
        <v>11</v>
      </c>
      <c r="D263" s="17" t="n">
        <v>175.01</v>
      </c>
      <c r="E263" s="6" t="n">
        <f aca="false">IFERROR(INDEX('TRANS'!$B:$B,MATCH($A263,'TRANS'!$A:$A,0)),IFERROR(INDEX('TRANS'!$B:$B,MATCH(TRIM(SUBSTITUTE($A263,CHAR(160)," ")),'TRANS'!$D:$D,0)),IFERROR(INDEX('Manual Matches'!$C:$C,MATCH($A263,'Manual Matches'!$B:$B,0)),"")))</f>
        <v>4420025</v>
      </c>
      <c r="F263" s="6" t="str">
        <f aca="false">IF($E263="","Unmatched",IF(COUNTIF('Manual Matches'!$B:$B,$A263)&gt;0,"Matched (manual)","Matched"))</f>
        <v>Matched</v>
      </c>
    </row>
    <row r="264" customFormat="false" ht="15" hidden="false" customHeight="false" outlineLevel="0" collapsed="false">
      <c r="A264" s="6" t="s">
        <v>522</v>
      </c>
      <c r="B264" s="6" t="n">
        <v>2025</v>
      </c>
      <c r="C264" s="16" t="n">
        <v>10</v>
      </c>
      <c r="D264" s="17" t="n">
        <v>1287.1</v>
      </c>
      <c r="E264" s="6" t="n">
        <f aca="false">IFERROR(INDEX('TRANS'!$B:$B,MATCH($A264,'TRANS'!$A:$A,0)),IFERROR(INDEX('TRANS'!$B:$B,MATCH(TRIM(SUBSTITUTE($A264,CHAR(160)," ")),'TRANS'!$D:$D,0)),IFERROR(INDEX('Manual Matches'!$C:$C,MATCH($A264,'Manual Matches'!$B:$B,0)),"")))</f>
        <v>4422007</v>
      </c>
      <c r="F264" s="6" t="str">
        <f aca="false">IF($E264="","Unmatched",IF(COUNTIF('Manual Matches'!$B:$B,$A264)&gt;0,"Matched (manual)","Matched"))</f>
        <v>Matched</v>
      </c>
    </row>
    <row r="265" customFormat="false" ht="15" hidden="false" customHeight="false" outlineLevel="0" collapsed="false">
      <c r="A265" s="6" t="s">
        <v>522</v>
      </c>
      <c r="B265" s="6" t="n">
        <v>2026</v>
      </c>
      <c r="C265" s="16" t="n">
        <v>1</v>
      </c>
      <c r="D265" s="17" t="n">
        <v>128.71</v>
      </c>
      <c r="E265" s="6" t="n">
        <f aca="false">IFERROR(INDEX('TRANS'!$B:$B,MATCH($A265,'TRANS'!$A:$A,0)),IFERROR(INDEX('TRANS'!$B:$B,MATCH(TRIM(SUBSTITUTE($A265,CHAR(160)," ")),'TRANS'!$D:$D,0)),IFERROR(INDEX('Manual Matches'!$C:$C,MATCH($A265,'Manual Matches'!$B:$B,0)),"")))</f>
        <v>4422007</v>
      </c>
      <c r="F265" s="6" t="str">
        <f aca="false">IF($E265="","Unmatched",IF(COUNTIF('Manual Matches'!$B:$B,$A265)&gt;0,"Matched (manual)","Matched"))</f>
        <v>Matched</v>
      </c>
    </row>
    <row r="266" customFormat="false" ht="15" hidden="false" customHeight="false" outlineLevel="0" collapsed="false">
      <c r="A266" s="6" t="s">
        <v>322</v>
      </c>
      <c r="B266" s="6" t="n">
        <v>2025</v>
      </c>
      <c r="C266" s="16" t="n">
        <v>145</v>
      </c>
      <c r="D266" s="17" t="n">
        <v>9425</v>
      </c>
      <c r="E266" s="6" t="n">
        <f aca="false">IFERROR(INDEX('TRANS'!$B:$B,MATCH($A266,'TRANS'!$A:$A,0)),IFERROR(INDEX('TRANS'!$B:$B,MATCH(TRIM(SUBSTITUTE($A266,CHAR(160)," ")),'TRANS'!$D:$D,0)),IFERROR(INDEX('Manual Matches'!$C:$C,MATCH($A266,'Manual Matches'!$B:$B,0)),"")))</f>
        <v>4408223</v>
      </c>
      <c r="F266" s="6" t="str">
        <f aca="false">IF($E266="","Unmatched",IF(COUNTIF('Manual Matches'!$B:$B,$A266)&gt;0,"Matched (manual)","Matched"))</f>
        <v>Matched</v>
      </c>
    </row>
    <row r="267" customFormat="false" ht="15" hidden="false" customHeight="false" outlineLevel="0" collapsed="false">
      <c r="A267" s="6" t="s">
        <v>322</v>
      </c>
      <c r="B267" s="6" t="n">
        <v>2026</v>
      </c>
      <c r="C267" s="16" t="n">
        <v>29</v>
      </c>
      <c r="D267" s="17" t="n">
        <v>2067.36</v>
      </c>
      <c r="E267" s="6" t="n">
        <f aca="false">IFERROR(INDEX('TRANS'!$B:$B,MATCH($A267,'TRANS'!$A:$A,0)),IFERROR(INDEX('TRANS'!$B:$B,MATCH(TRIM(SUBSTITUTE($A267,CHAR(160)," ")),'TRANS'!$D:$D,0)),IFERROR(INDEX('Manual Matches'!$C:$C,MATCH($A267,'Manual Matches'!$B:$B,0)),"")))</f>
        <v>4408223</v>
      </c>
      <c r="F267" s="6" t="str">
        <f aca="false">IF($E267="","Unmatched",IF(COUNTIF('Manual Matches'!$B:$B,$A267)&gt;0,"Matched (manual)","Matched"))</f>
        <v>Matched</v>
      </c>
    </row>
    <row r="268" customFormat="false" ht="15" hidden="false" customHeight="false" outlineLevel="0" collapsed="false">
      <c r="A268" s="6" t="s">
        <v>370</v>
      </c>
      <c r="B268" s="6" t="n">
        <v>2025</v>
      </c>
      <c r="C268" s="16" t="n">
        <v>8</v>
      </c>
      <c r="D268" s="17" t="n">
        <v>908.64</v>
      </c>
      <c r="E268" s="6" t="n">
        <f aca="false">IFERROR(INDEX('TRANS'!$B:$B,MATCH($A268,'TRANS'!$A:$A,0)),IFERROR(INDEX('TRANS'!$B:$B,MATCH(TRIM(SUBSTITUTE($A268,CHAR(160)," ")),'TRANS'!$D:$D,0)),IFERROR(INDEX('Manual Matches'!$C:$C,MATCH($A268,'Manual Matches'!$B:$B,0)),"")))</f>
        <v>4408261</v>
      </c>
      <c r="F268" s="6" t="str">
        <f aca="false">IF($E268="","Unmatched",IF(COUNTIF('Manual Matches'!$B:$B,$A268)&gt;0,"Matched (manual)","Matched"))</f>
        <v>Matched</v>
      </c>
    </row>
    <row r="269" customFormat="false" ht="15" hidden="false" customHeight="false" outlineLevel="0" collapsed="false">
      <c r="A269" s="6" t="s">
        <v>370</v>
      </c>
      <c r="B269" s="6" t="n">
        <v>2026</v>
      </c>
      <c r="C269" s="16" t="n">
        <v>2</v>
      </c>
      <c r="D269" s="17" t="n">
        <v>227.16</v>
      </c>
      <c r="E269" s="6" t="n">
        <f aca="false">IFERROR(INDEX('TRANS'!$B:$B,MATCH($A269,'TRANS'!$A:$A,0)),IFERROR(INDEX('TRANS'!$B:$B,MATCH(TRIM(SUBSTITUTE($A269,CHAR(160)," ")),'TRANS'!$D:$D,0)),IFERROR(INDEX('Manual Matches'!$C:$C,MATCH($A269,'Manual Matches'!$B:$B,0)),"")))</f>
        <v>4408261</v>
      </c>
      <c r="F269" s="6" t="str">
        <f aca="false">IF($E269="","Unmatched",IF(COUNTIF('Manual Matches'!$B:$B,$A269)&gt;0,"Matched (manual)","Matched"))</f>
        <v>Matched</v>
      </c>
    </row>
    <row r="270" customFormat="false" ht="15" hidden="false" customHeight="false" outlineLevel="0" collapsed="false">
      <c r="A270" s="6" t="s">
        <v>458</v>
      </c>
      <c r="B270" s="6" t="n">
        <v>2025</v>
      </c>
      <c r="C270" s="16" t="n">
        <v>96</v>
      </c>
      <c r="D270" s="17" t="n">
        <v>1056</v>
      </c>
      <c r="E270" s="6" t="n">
        <f aca="false">IFERROR(INDEX('TRANS'!$B:$B,MATCH($A270,'TRANS'!$A:$A,0)),IFERROR(INDEX('TRANS'!$B:$B,MATCH(TRIM(SUBSTITUTE($A270,CHAR(160)," ")),'TRANS'!$D:$D,0)),IFERROR(INDEX('Manual Matches'!$C:$C,MATCH($A270,'Manual Matches'!$B:$B,0)),"")))</f>
        <v>4419013</v>
      </c>
      <c r="F270" s="6" t="str">
        <f aca="false">IF($E270="","Unmatched",IF(COUNTIF('Manual Matches'!$B:$B,$A270)&gt;0,"Matched (manual)","Matched"))</f>
        <v>Matched</v>
      </c>
    </row>
    <row r="271" customFormat="false" ht="15" hidden="false" customHeight="false" outlineLevel="0" collapsed="false">
      <c r="A271" s="6" t="s">
        <v>458</v>
      </c>
      <c r="B271" s="6" t="n">
        <v>2026</v>
      </c>
      <c r="C271" s="16" t="n">
        <v>-3</v>
      </c>
      <c r="D271" s="17" t="n">
        <v>-33</v>
      </c>
      <c r="E271" s="6" t="n">
        <f aca="false">IFERROR(INDEX('TRANS'!$B:$B,MATCH($A271,'TRANS'!$A:$A,0)),IFERROR(INDEX('TRANS'!$B:$B,MATCH(TRIM(SUBSTITUTE($A271,CHAR(160)," ")),'TRANS'!$D:$D,0)),IFERROR(INDEX('Manual Matches'!$C:$C,MATCH($A271,'Manual Matches'!$B:$B,0)),"")))</f>
        <v>4419013</v>
      </c>
      <c r="F271" s="6" t="str">
        <f aca="false">IF($E271="","Unmatched",IF(COUNTIF('Manual Matches'!$B:$B,$A271)&gt;0,"Matched (manual)","Matched"))</f>
        <v>Matched</v>
      </c>
    </row>
    <row r="272" customFormat="false" ht="15" hidden="false" customHeight="false" outlineLevel="0" collapsed="false">
      <c r="A272" s="6" t="s">
        <v>460</v>
      </c>
      <c r="B272" s="6" t="n">
        <v>2025</v>
      </c>
      <c r="C272" s="16" t="n">
        <v>90</v>
      </c>
      <c r="D272" s="17" t="n">
        <v>990</v>
      </c>
      <c r="E272" s="6" t="n">
        <f aca="false">IFERROR(INDEX('TRANS'!$B:$B,MATCH($A272,'TRANS'!$A:$A,0)),IFERROR(INDEX('TRANS'!$B:$B,MATCH(TRIM(SUBSTITUTE($A272,CHAR(160)," ")),'TRANS'!$D:$D,0)),IFERROR(INDEX('Manual Matches'!$C:$C,MATCH($A272,'Manual Matches'!$B:$B,0)),"")))</f>
        <v>4419011</v>
      </c>
      <c r="F272" s="6" t="str">
        <f aca="false">IF($E272="","Unmatched",IF(COUNTIF('Manual Matches'!$B:$B,$A272)&gt;0,"Matched (manual)","Matched"))</f>
        <v>Matched</v>
      </c>
    </row>
    <row r="273" customFormat="false" ht="15" hidden="false" customHeight="false" outlineLevel="0" collapsed="false">
      <c r="A273" s="6" t="s">
        <v>93</v>
      </c>
      <c r="B273" s="6" t="n">
        <v>2025</v>
      </c>
      <c r="C273" s="16" t="n">
        <v>54</v>
      </c>
      <c r="D273" s="17" t="n">
        <v>594</v>
      </c>
      <c r="E273" s="6" t="str">
        <f aca="false">IFERROR(INDEX('TRANS'!$B:$B,MATCH($A273,'TRANS'!$A:$A,0)),IFERROR(INDEX('TRANS'!$B:$B,MATCH(TRIM(SUBSTITUTE($A273,CHAR(160)," ")),'TRANS'!$D:$D,0)),IFERROR(INDEX('Manual Matches'!$C:$C,MATCH($A273,'Manual Matches'!$B:$B,0)),"")))</f>
        <v/>
      </c>
      <c r="F273" s="6" t="str">
        <f aca="false">IF($E273="","Unmatched",IF(COUNTIF('Manual Matches'!$B:$B,$A273)&gt;0,"Matched (manual)","Matched"))</f>
        <v>Unmatched</v>
      </c>
    </row>
    <row r="274" customFormat="false" ht="15" hidden="false" customHeight="false" outlineLevel="0" collapsed="false">
      <c r="A274" s="6" t="s">
        <v>93</v>
      </c>
      <c r="B274" s="6" t="n">
        <v>2026</v>
      </c>
      <c r="C274" s="16" t="n">
        <v>-3</v>
      </c>
      <c r="D274" s="17" t="n">
        <v>-33</v>
      </c>
      <c r="E274" s="6" t="str">
        <f aca="false">IFERROR(INDEX('TRANS'!$B:$B,MATCH($A274,'TRANS'!$A:$A,0)),IFERROR(INDEX('TRANS'!$B:$B,MATCH(TRIM(SUBSTITUTE($A274,CHAR(160)," ")),'TRANS'!$D:$D,0)),IFERROR(INDEX('Manual Matches'!$C:$C,MATCH($A274,'Manual Matches'!$B:$B,0)),"")))</f>
        <v/>
      </c>
      <c r="F274" s="6" t="str">
        <f aca="false">IF($E274="","Unmatched",IF(COUNTIF('Manual Matches'!$B:$B,$A274)&gt;0,"Matched (manual)","Matched"))</f>
        <v>Unmatched</v>
      </c>
    </row>
    <row r="275" customFormat="false" ht="15" hidden="false" customHeight="false" outlineLevel="0" collapsed="false">
      <c r="A275" s="6" t="s">
        <v>462</v>
      </c>
      <c r="B275" s="6" t="n">
        <v>2025</v>
      </c>
      <c r="C275" s="16" t="n">
        <v>36</v>
      </c>
      <c r="D275" s="17" t="n">
        <v>396</v>
      </c>
      <c r="E275" s="6" t="n">
        <f aca="false">IFERROR(INDEX('TRANS'!$B:$B,MATCH($A275,'TRANS'!$A:$A,0)),IFERROR(INDEX('TRANS'!$B:$B,MATCH(TRIM(SUBSTITUTE($A275,CHAR(160)," ")),'TRANS'!$D:$D,0)),IFERROR(INDEX('Manual Matches'!$C:$C,MATCH($A275,'Manual Matches'!$B:$B,0)),"")))</f>
        <v>4419014</v>
      </c>
      <c r="F275" s="6" t="str">
        <f aca="false">IF($E275="","Unmatched",IF(COUNTIF('Manual Matches'!$B:$B,$A275)&gt;0,"Matched (manual)","Matched"))</f>
        <v>Matched</v>
      </c>
    </row>
    <row r="276" customFormat="false" ht="15" hidden="false" customHeight="false" outlineLevel="0" collapsed="false">
      <c r="A276" s="6" t="s">
        <v>462</v>
      </c>
      <c r="B276" s="6" t="n">
        <v>2026</v>
      </c>
      <c r="C276" s="16" t="n">
        <v>-3</v>
      </c>
      <c r="D276" s="17" t="n">
        <v>-33</v>
      </c>
      <c r="E276" s="6" t="n">
        <f aca="false">IFERROR(INDEX('TRANS'!$B:$B,MATCH($A276,'TRANS'!$A:$A,0)),IFERROR(INDEX('TRANS'!$B:$B,MATCH(TRIM(SUBSTITUTE($A276,CHAR(160)," ")),'TRANS'!$D:$D,0)),IFERROR(INDEX('Manual Matches'!$C:$C,MATCH($A276,'Manual Matches'!$B:$B,0)),"")))</f>
        <v>4419014</v>
      </c>
      <c r="F276" s="6" t="str">
        <f aca="false">IF($E276="","Unmatched",IF(COUNTIF('Manual Matches'!$B:$B,$A276)&gt;0,"Matched (manual)","Matched"))</f>
        <v>Matched</v>
      </c>
    </row>
    <row r="277" customFormat="false" ht="15" hidden="false" customHeight="false" outlineLevel="0" collapsed="false">
      <c r="A277" s="6" t="s">
        <v>94</v>
      </c>
      <c r="B277" s="6" t="n">
        <v>2025</v>
      </c>
      <c r="C277" s="16" t="n">
        <v>25</v>
      </c>
      <c r="D277" s="17" t="n">
        <v>723.25</v>
      </c>
      <c r="E277" s="6" t="str">
        <f aca="false">IFERROR(INDEX('TRANS'!$B:$B,MATCH($A277,'TRANS'!$A:$A,0)),IFERROR(INDEX('TRANS'!$B:$B,MATCH(TRIM(SUBSTITUTE($A277,CHAR(160)," ")),'TRANS'!$D:$D,0)),IFERROR(INDEX('Manual Matches'!$C:$C,MATCH($A277,'Manual Matches'!$B:$B,0)),"")))</f>
        <v/>
      </c>
      <c r="F277" s="6" t="str">
        <f aca="false">IF($E277="","Unmatched",IF(COUNTIF('Manual Matches'!$B:$B,$A277)&gt;0,"Matched (manual)","Matched"))</f>
        <v>Unmatched</v>
      </c>
    </row>
    <row r="278" customFormat="false" ht="15" hidden="false" customHeight="false" outlineLevel="0" collapsed="false">
      <c r="A278" s="6" t="s">
        <v>94</v>
      </c>
      <c r="B278" s="6" t="n">
        <v>2026</v>
      </c>
      <c r="C278" s="16" t="n">
        <v>2</v>
      </c>
      <c r="D278" s="17" t="n">
        <v>57.86</v>
      </c>
      <c r="E278" s="6" t="str">
        <f aca="false">IFERROR(INDEX('TRANS'!$B:$B,MATCH($A278,'TRANS'!$A:$A,0)),IFERROR(INDEX('TRANS'!$B:$B,MATCH(TRIM(SUBSTITUTE($A278,CHAR(160)," ")),'TRANS'!$D:$D,0)),IFERROR(INDEX('Manual Matches'!$C:$C,MATCH($A278,'Manual Matches'!$B:$B,0)),"")))</f>
        <v/>
      </c>
      <c r="F278" s="6" t="str">
        <f aca="false">IF($E278="","Unmatched",IF(COUNTIF('Manual Matches'!$B:$B,$A278)&gt;0,"Matched (manual)","Matched"))</f>
        <v>Unmatched</v>
      </c>
    </row>
    <row r="279" customFormat="false" ht="15" hidden="false" customHeight="false" outlineLevel="0" collapsed="false">
      <c r="A279" s="6" t="s">
        <v>926</v>
      </c>
      <c r="B279" s="6" t="n">
        <v>2025</v>
      </c>
      <c r="C279" s="16" t="n">
        <v>22</v>
      </c>
      <c r="D279" s="17" t="n">
        <v>927.74</v>
      </c>
      <c r="E279" s="6" t="n">
        <f aca="false">IFERROR(INDEX('TRANS'!$B:$B,MATCH($A279,'TRANS'!$A:$A,0)),IFERROR(INDEX('TRANS'!$B:$B,MATCH(TRIM(SUBSTITUTE($A279,CHAR(160)," ")),'TRANS'!$D:$D,0)),IFERROR(INDEX('Manual Matches'!$C:$C,MATCH($A279,'Manual Matches'!$B:$B,0)),"")))</f>
        <v>4413303</v>
      </c>
      <c r="F279" s="6" t="str">
        <f aca="false">IF($E279="","Unmatched",IF(COUNTIF('Manual Matches'!$B:$B,$A279)&gt;0,"Matched (manual)","Matched"))</f>
        <v>Matched</v>
      </c>
    </row>
    <row r="280" customFormat="false" ht="15" hidden="false" customHeight="false" outlineLevel="0" collapsed="false">
      <c r="A280" s="6" t="s">
        <v>926</v>
      </c>
      <c r="B280" s="6" t="n">
        <v>2026</v>
      </c>
      <c r="C280" s="16" t="n">
        <v>4</v>
      </c>
      <c r="D280" s="17" t="n">
        <v>168.68</v>
      </c>
      <c r="E280" s="6" t="n">
        <f aca="false">IFERROR(INDEX('TRANS'!$B:$B,MATCH($A280,'TRANS'!$A:$A,0)),IFERROR(INDEX('TRANS'!$B:$B,MATCH(TRIM(SUBSTITUTE($A280,CHAR(160)," ")),'TRANS'!$D:$D,0)),IFERROR(INDEX('Manual Matches'!$C:$C,MATCH($A280,'Manual Matches'!$B:$B,0)),"")))</f>
        <v>4413303</v>
      </c>
      <c r="F280" s="6" t="str">
        <f aca="false">IF($E280="","Unmatched",IF(COUNTIF('Manual Matches'!$B:$B,$A280)&gt;0,"Matched (manual)","Matched"))</f>
        <v>Matched</v>
      </c>
    </row>
    <row r="281" customFormat="false" ht="15" hidden="false" customHeight="false" outlineLevel="0" collapsed="false">
      <c r="A281" s="6" t="s">
        <v>95</v>
      </c>
      <c r="B281" s="6" t="n">
        <v>2025</v>
      </c>
      <c r="C281" s="16" t="n">
        <v>8</v>
      </c>
      <c r="D281" s="17" t="n">
        <v>136</v>
      </c>
      <c r="E281" s="6" t="str">
        <f aca="false">IFERROR(INDEX('TRANS'!$B:$B,MATCH($A281,'TRANS'!$A:$A,0)),IFERROR(INDEX('TRANS'!$B:$B,MATCH(TRIM(SUBSTITUTE($A281,CHAR(160)," ")),'TRANS'!$D:$D,0)),IFERROR(INDEX('Manual Matches'!$C:$C,MATCH($A281,'Manual Matches'!$B:$B,0)),"")))</f>
        <v/>
      </c>
      <c r="F281" s="6" t="str">
        <f aca="false">IF($E281="","Unmatched",IF(COUNTIF('Manual Matches'!$B:$B,$A281)&gt;0,"Matched (manual)","Matched"))</f>
        <v>Unmatched</v>
      </c>
    </row>
    <row r="282" customFormat="false" ht="15" hidden="false" customHeight="false" outlineLevel="0" collapsed="false">
      <c r="A282" s="6" t="s">
        <v>95</v>
      </c>
      <c r="B282" s="6" t="n">
        <v>2026</v>
      </c>
      <c r="C282" s="16" t="n">
        <v>3</v>
      </c>
      <c r="D282" s="17" t="n">
        <v>51</v>
      </c>
      <c r="E282" s="6" t="str">
        <f aca="false">IFERROR(INDEX('TRANS'!$B:$B,MATCH($A282,'TRANS'!$A:$A,0)),IFERROR(INDEX('TRANS'!$B:$B,MATCH(TRIM(SUBSTITUTE($A282,CHAR(160)," ")),'TRANS'!$D:$D,0)),IFERROR(INDEX('Manual Matches'!$C:$C,MATCH($A282,'Manual Matches'!$B:$B,0)),"")))</f>
        <v/>
      </c>
      <c r="F282" s="6" t="str">
        <f aca="false">IF($E282="","Unmatched",IF(COUNTIF('Manual Matches'!$B:$B,$A282)&gt;0,"Matched (manual)","Matched"))</f>
        <v>Unmatched</v>
      </c>
    </row>
    <row r="283" customFormat="false" ht="15" hidden="false" customHeight="false" outlineLevel="0" collapsed="false">
      <c r="A283" s="6" t="s">
        <v>968</v>
      </c>
      <c r="B283" s="6" t="n">
        <v>2025</v>
      </c>
      <c r="C283" s="16" t="n">
        <v>359</v>
      </c>
      <c r="D283" s="17" t="n">
        <v>2943.8</v>
      </c>
      <c r="E283" s="6" t="n">
        <f aca="false">IFERROR(INDEX('TRANS'!$B:$B,MATCH($A283,'TRANS'!$A:$A,0)),IFERROR(INDEX('TRANS'!$B:$B,MATCH(TRIM(SUBSTITUTE($A283,CHAR(160)," ")),'TRANS'!$D:$D,0)),IFERROR(INDEX('Manual Matches'!$C:$C,MATCH($A283,'Manual Matches'!$B:$B,0)),"")))</f>
        <v>4420000</v>
      </c>
      <c r="F283" s="6" t="str">
        <f aca="false">IF($E283="","Unmatched",IF(COUNTIF('Manual Matches'!$B:$B,$A283)&gt;0,"Matched (manual)","Matched"))</f>
        <v>Matched</v>
      </c>
    </row>
    <row r="284" customFormat="false" ht="15" hidden="false" customHeight="false" outlineLevel="0" collapsed="false">
      <c r="A284" s="6" t="s">
        <v>968</v>
      </c>
      <c r="B284" s="6" t="n">
        <v>2026</v>
      </c>
      <c r="C284" s="16" t="n">
        <v>119</v>
      </c>
      <c r="D284" s="17" t="n">
        <v>975.8</v>
      </c>
      <c r="E284" s="6" t="n">
        <f aca="false">IFERROR(INDEX('TRANS'!$B:$B,MATCH($A284,'TRANS'!$A:$A,0)),IFERROR(INDEX('TRANS'!$B:$B,MATCH(TRIM(SUBSTITUTE($A284,CHAR(160)," ")),'TRANS'!$D:$D,0)),IFERROR(INDEX('Manual Matches'!$C:$C,MATCH($A284,'Manual Matches'!$B:$B,0)),"")))</f>
        <v>4420000</v>
      </c>
      <c r="F284" s="6" t="str">
        <f aca="false">IF($E284="","Unmatched",IF(COUNTIF('Manual Matches'!$B:$B,$A284)&gt;0,"Matched (manual)","Matched"))</f>
        <v>Matched</v>
      </c>
    </row>
    <row r="285" customFormat="false" ht="15" hidden="false" customHeight="false" outlineLevel="0" collapsed="false">
      <c r="A285" s="6" t="s">
        <v>976</v>
      </c>
      <c r="B285" s="6" t="n">
        <v>2025</v>
      </c>
      <c r="C285" s="16" t="n">
        <v>170</v>
      </c>
      <c r="D285" s="17" t="n">
        <v>1669.4</v>
      </c>
      <c r="E285" s="6" t="n">
        <f aca="false">IFERROR(INDEX('TRANS'!$B:$B,MATCH($A285,'TRANS'!$A:$A,0)),IFERROR(INDEX('TRANS'!$B:$B,MATCH(TRIM(SUBSTITUTE($A285,CHAR(160)," ")),'TRANS'!$D:$D,0)),IFERROR(INDEX('Manual Matches'!$C:$C,MATCH($A285,'Manual Matches'!$B:$B,0)),"")))</f>
        <v>4420003</v>
      </c>
      <c r="F285" s="6" t="str">
        <f aca="false">IF($E285="","Unmatched",IF(COUNTIF('Manual Matches'!$B:$B,$A285)&gt;0,"Matched (manual)","Matched"))</f>
        <v>Matched</v>
      </c>
    </row>
    <row r="286" customFormat="false" ht="15" hidden="false" customHeight="false" outlineLevel="0" collapsed="false">
      <c r="A286" s="6" t="s">
        <v>976</v>
      </c>
      <c r="B286" s="6" t="n">
        <v>2026</v>
      </c>
      <c r="C286" s="16" t="n">
        <v>48</v>
      </c>
      <c r="D286" s="17" t="n">
        <v>471.36</v>
      </c>
      <c r="E286" s="6" t="n">
        <f aca="false">IFERROR(INDEX('TRANS'!$B:$B,MATCH($A286,'TRANS'!$A:$A,0)),IFERROR(INDEX('TRANS'!$B:$B,MATCH(TRIM(SUBSTITUTE($A286,CHAR(160)," ")),'TRANS'!$D:$D,0)),IFERROR(INDEX('Manual Matches'!$C:$C,MATCH($A286,'Manual Matches'!$B:$B,0)),"")))</f>
        <v>4420003</v>
      </c>
      <c r="F286" s="6" t="str">
        <f aca="false">IF($E286="","Unmatched",IF(COUNTIF('Manual Matches'!$B:$B,$A286)&gt;0,"Matched (manual)","Matched"))</f>
        <v>Matched</v>
      </c>
    </row>
    <row r="287" customFormat="false" ht="15" hidden="false" customHeight="false" outlineLevel="0" collapsed="false">
      <c r="A287" s="6" t="s">
        <v>96</v>
      </c>
      <c r="B287" s="6" t="n">
        <v>2025</v>
      </c>
      <c r="C287" s="16" t="n">
        <v>14</v>
      </c>
      <c r="D287" s="17" t="n">
        <v>690.2</v>
      </c>
      <c r="E287" s="6" t="str">
        <f aca="false">IFERROR(INDEX('TRANS'!$B:$B,MATCH($A287,'TRANS'!$A:$A,0)),IFERROR(INDEX('TRANS'!$B:$B,MATCH(TRIM(SUBSTITUTE($A287,CHAR(160)," ")),'TRANS'!$D:$D,0)),IFERROR(INDEX('Manual Matches'!$C:$C,MATCH($A287,'Manual Matches'!$B:$B,0)),"")))</f>
        <v/>
      </c>
      <c r="F287" s="6" t="str">
        <f aca="false">IF($E287="","Unmatched",IF(COUNTIF('Manual Matches'!$B:$B,$A287)&gt;0,"Matched (manual)","Matched"))</f>
        <v>Unmatched</v>
      </c>
    </row>
    <row r="288" customFormat="false" ht="15" hidden="false" customHeight="false" outlineLevel="0" collapsed="false">
      <c r="A288" s="6" t="s">
        <v>1054</v>
      </c>
      <c r="B288" s="6" t="n">
        <v>2025</v>
      </c>
      <c r="C288" s="16" t="n">
        <v>43</v>
      </c>
      <c r="D288" s="17" t="n">
        <v>1806</v>
      </c>
      <c r="E288" s="6" t="n">
        <f aca="false">IFERROR(INDEX('TRANS'!$B:$B,MATCH($A288,'TRANS'!$A:$A,0)),IFERROR(INDEX('TRANS'!$B:$B,MATCH(TRIM(SUBSTITUTE($A288,CHAR(160)," ")),'TRANS'!$D:$D,0)),IFERROR(INDEX('Manual Matches'!$C:$C,MATCH($A288,'Manual Matches'!$B:$B,0)),"")))</f>
        <v>4415298</v>
      </c>
      <c r="F288" s="6" t="str">
        <f aca="false">IF($E288="","Unmatched",IF(COUNTIF('Manual Matches'!$B:$B,$A288)&gt;0,"Matched (manual)","Matched"))</f>
        <v>Matched</v>
      </c>
    </row>
    <row r="289" customFormat="false" ht="15" hidden="false" customHeight="false" outlineLevel="0" collapsed="false">
      <c r="A289" s="6" t="s">
        <v>1054</v>
      </c>
      <c r="B289" s="6" t="n">
        <v>2026</v>
      </c>
      <c r="C289" s="16" t="n">
        <v>7</v>
      </c>
      <c r="D289" s="17" t="n">
        <v>294</v>
      </c>
      <c r="E289" s="6" t="n">
        <f aca="false">IFERROR(INDEX('TRANS'!$B:$B,MATCH($A289,'TRANS'!$A:$A,0)),IFERROR(INDEX('TRANS'!$B:$B,MATCH(TRIM(SUBSTITUTE($A289,CHAR(160)," ")),'TRANS'!$D:$D,0)),IFERROR(INDEX('Manual Matches'!$C:$C,MATCH($A289,'Manual Matches'!$B:$B,0)),"")))</f>
        <v>4415298</v>
      </c>
      <c r="F289" s="6" t="str">
        <f aca="false">IF($E289="","Unmatched",IF(COUNTIF('Manual Matches'!$B:$B,$A289)&gt;0,"Matched (manual)","Matched"))</f>
        <v>Matched</v>
      </c>
    </row>
    <row r="290" customFormat="false" ht="15" hidden="false" customHeight="false" outlineLevel="0" collapsed="false">
      <c r="A290" s="6" t="s">
        <v>1052</v>
      </c>
      <c r="B290" s="6" t="n">
        <v>2025</v>
      </c>
      <c r="C290" s="16" t="n">
        <v>38</v>
      </c>
      <c r="D290" s="17" t="n">
        <v>1596</v>
      </c>
      <c r="E290" s="6" t="n">
        <f aca="false">IFERROR(INDEX('TRANS'!$B:$B,MATCH($A290,'TRANS'!$A:$A,0)),IFERROR(INDEX('TRANS'!$B:$B,MATCH(TRIM(SUBSTITUTE($A290,CHAR(160)," ")),'TRANS'!$D:$D,0)),IFERROR(INDEX('Manual Matches'!$C:$C,MATCH($A290,'Manual Matches'!$B:$B,0)),"")))</f>
        <v>4415299</v>
      </c>
      <c r="F290" s="6" t="str">
        <f aca="false">IF($E290="","Unmatched",IF(COUNTIF('Manual Matches'!$B:$B,$A290)&gt;0,"Matched (manual)","Matched"))</f>
        <v>Matched</v>
      </c>
    </row>
    <row r="291" customFormat="false" ht="15" hidden="false" customHeight="false" outlineLevel="0" collapsed="false">
      <c r="A291" s="6" t="s">
        <v>1052</v>
      </c>
      <c r="B291" s="6" t="n">
        <v>2026</v>
      </c>
      <c r="C291" s="16" t="n">
        <v>8</v>
      </c>
      <c r="D291" s="17" t="n">
        <v>336</v>
      </c>
      <c r="E291" s="6" t="n">
        <f aca="false">IFERROR(INDEX('TRANS'!$B:$B,MATCH($A291,'TRANS'!$A:$A,0)),IFERROR(INDEX('TRANS'!$B:$B,MATCH(TRIM(SUBSTITUTE($A291,CHAR(160)," ")),'TRANS'!$D:$D,0)),IFERROR(INDEX('Manual Matches'!$C:$C,MATCH($A291,'Manual Matches'!$B:$B,0)),"")))</f>
        <v>4415299</v>
      </c>
      <c r="F291" s="6" t="str">
        <f aca="false">IF($E291="","Unmatched",IF(COUNTIF('Manual Matches'!$B:$B,$A291)&gt;0,"Matched (manual)","Matched"))</f>
        <v>Matched</v>
      </c>
    </row>
    <row r="292" customFormat="false" ht="15" hidden="false" customHeight="false" outlineLevel="0" collapsed="false">
      <c r="A292" s="6" t="s">
        <v>984</v>
      </c>
      <c r="B292" s="6" t="n">
        <v>2025</v>
      </c>
      <c r="C292" s="16" t="n">
        <v>7</v>
      </c>
      <c r="D292" s="17" t="n">
        <v>147</v>
      </c>
      <c r="E292" s="6" t="n">
        <f aca="false">IFERROR(INDEX('TRANS'!$B:$B,MATCH($A292,'TRANS'!$A:$A,0)),IFERROR(INDEX('TRANS'!$B:$B,MATCH(TRIM(SUBSTITUTE($A292,CHAR(160)," ")),'TRANS'!$D:$D,0)),IFERROR(INDEX('Manual Matches'!$C:$C,MATCH($A292,'Manual Matches'!$B:$B,0)),"")))</f>
        <v>4413113</v>
      </c>
      <c r="F292" s="6" t="str">
        <f aca="false">IF($E292="","Unmatched",IF(COUNTIF('Manual Matches'!$B:$B,$A292)&gt;0,"Matched (manual)","Matched"))</f>
        <v>Matched</v>
      </c>
    </row>
    <row r="293" customFormat="false" ht="15" hidden="false" customHeight="false" outlineLevel="0" collapsed="false">
      <c r="A293" s="6" t="s">
        <v>984</v>
      </c>
      <c r="B293" s="6" t="n">
        <v>2026</v>
      </c>
      <c r="C293" s="16" t="n">
        <v>7</v>
      </c>
      <c r="D293" s="17" t="n">
        <v>147</v>
      </c>
      <c r="E293" s="6" t="n">
        <f aca="false">IFERROR(INDEX('TRANS'!$B:$B,MATCH($A293,'TRANS'!$A:$A,0)),IFERROR(INDEX('TRANS'!$B:$B,MATCH(TRIM(SUBSTITUTE($A293,CHAR(160)," ")),'TRANS'!$D:$D,0)),IFERROR(INDEX('Manual Matches'!$C:$C,MATCH($A293,'Manual Matches'!$B:$B,0)),"")))</f>
        <v>4413113</v>
      </c>
      <c r="F293" s="6" t="str">
        <f aca="false">IF($E293="","Unmatched",IF(COUNTIF('Manual Matches'!$B:$B,$A293)&gt;0,"Matched (manual)","Matched"))</f>
        <v>Matched</v>
      </c>
    </row>
    <row r="294" customFormat="false" ht="15" hidden="false" customHeight="false" outlineLevel="0" collapsed="false">
      <c r="A294" s="6" t="s">
        <v>1056</v>
      </c>
      <c r="B294" s="6" t="n">
        <v>2025</v>
      </c>
      <c r="C294" s="16" t="n">
        <v>237</v>
      </c>
      <c r="D294" s="17" t="n">
        <v>3377.25</v>
      </c>
      <c r="E294" s="6" t="n">
        <f aca="false">IFERROR(INDEX('TRANS'!$B:$B,MATCH($A294,'TRANS'!$A:$A,0)),IFERROR(INDEX('TRANS'!$B:$B,MATCH(TRIM(SUBSTITUTE($A294,CHAR(160)," ")),'TRANS'!$D:$D,0)),IFERROR(INDEX('Manual Matches'!$C:$C,MATCH($A294,'Manual Matches'!$B:$B,0)),"")))</f>
        <v>4422000</v>
      </c>
      <c r="F294" s="6" t="str">
        <f aca="false">IF($E294="","Unmatched",IF(COUNTIF('Manual Matches'!$B:$B,$A294)&gt;0,"Matched (manual)","Matched"))</f>
        <v>Matched</v>
      </c>
    </row>
    <row r="295" customFormat="false" ht="15" hidden="false" customHeight="false" outlineLevel="0" collapsed="false">
      <c r="A295" s="6" t="s">
        <v>1056</v>
      </c>
      <c r="B295" s="6" t="n">
        <v>2026</v>
      </c>
      <c r="C295" s="16" t="n">
        <v>23</v>
      </c>
      <c r="D295" s="17" t="n">
        <v>327.75</v>
      </c>
      <c r="E295" s="6" t="n">
        <f aca="false">IFERROR(INDEX('TRANS'!$B:$B,MATCH($A295,'TRANS'!$A:$A,0)),IFERROR(INDEX('TRANS'!$B:$B,MATCH(TRIM(SUBSTITUTE($A295,CHAR(160)," ")),'TRANS'!$D:$D,0)),IFERROR(INDEX('Manual Matches'!$C:$C,MATCH($A295,'Manual Matches'!$B:$B,0)),"")))</f>
        <v>4422000</v>
      </c>
      <c r="F295" s="6" t="str">
        <f aca="false">IF($E295="","Unmatched",IF(COUNTIF('Manual Matches'!$B:$B,$A295)&gt;0,"Matched (manual)","Matched"))</f>
        <v>Matched</v>
      </c>
    </row>
    <row r="296" customFormat="false" ht="15" hidden="false" customHeight="false" outlineLevel="0" collapsed="false">
      <c r="A296" s="6" t="s">
        <v>450</v>
      </c>
      <c r="B296" s="6" t="n">
        <v>2025</v>
      </c>
      <c r="C296" s="16" t="n">
        <v>84</v>
      </c>
      <c r="D296" s="17" t="n">
        <v>2100</v>
      </c>
      <c r="E296" s="6" t="n">
        <f aca="false">IFERROR(INDEX('TRANS'!$B:$B,MATCH($A296,'TRANS'!$A:$A,0)),IFERROR(INDEX('TRANS'!$B:$B,MATCH(TRIM(SUBSTITUTE($A296,CHAR(160)," ")),'TRANS'!$D:$D,0)),IFERROR(INDEX('Manual Matches'!$C:$C,MATCH($A296,'Manual Matches'!$B:$B,0)),"")))</f>
        <v>4409017</v>
      </c>
      <c r="F296" s="6" t="str">
        <f aca="false">IF($E296="","Unmatched",IF(COUNTIF('Manual Matches'!$B:$B,$A296)&gt;0,"Matched (manual)","Matched"))</f>
        <v>Matched</v>
      </c>
    </row>
    <row r="297" customFormat="false" ht="15" hidden="false" customHeight="false" outlineLevel="0" collapsed="false">
      <c r="A297" s="6" t="s">
        <v>450</v>
      </c>
      <c r="B297" s="6" t="n">
        <v>2026</v>
      </c>
      <c r="C297" s="16" t="n">
        <v>32</v>
      </c>
      <c r="D297" s="17" t="n">
        <v>800</v>
      </c>
      <c r="E297" s="6" t="n">
        <f aca="false">IFERROR(INDEX('TRANS'!$B:$B,MATCH($A297,'TRANS'!$A:$A,0)),IFERROR(INDEX('TRANS'!$B:$B,MATCH(TRIM(SUBSTITUTE($A297,CHAR(160)," ")),'TRANS'!$D:$D,0)),IFERROR(INDEX('Manual Matches'!$C:$C,MATCH($A297,'Manual Matches'!$B:$B,0)),"")))</f>
        <v>4409017</v>
      </c>
      <c r="F297" s="6" t="str">
        <f aca="false">IF($E297="","Unmatched",IF(COUNTIF('Manual Matches'!$B:$B,$A297)&gt;0,"Matched (manual)","Matched"))</f>
        <v>Matched</v>
      </c>
    </row>
    <row r="298" customFormat="false" ht="15" hidden="false" customHeight="false" outlineLevel="0" collapsed="false">
      <c r="A298" s="6" t="s">
        <v>504</v>
      </c>
      <c r="B298" s="6" t="n">
        <v>2025</v>
      </c>
      <c r="C298" s="16" t="n">
        <v>61</v>
      </c>
      <c r="D298" s="17" t="n">
        <v>7716.5</v>
      </c>
      <c r="E298" s="6" t="n">
        <f aca="false">IFERROR(INDEX('TRANS'!$B:$B,MATCH($A298,'TRANS'!$A:$A,0)),IFERROR(INDEX('TRANS'!$B:$B,MATCH(TRIM(SUBSTITUTE($A298,CHAR(160)," ")),'TRANS'!$D:$D,0)),IFERROR(INDEX('Manual Matches'!$C:$C,MATCH($A298,'Manual Matches'!$B:$B,0)),"")))</f>
        <v>4413196</v>
      </c>
      <c r="F298" s="6" t="str">
        <f aca="false">IF($E298="","Unmatched",IF(COUNTIF('Manual Matches'!$B:$B,$A298)&gt;0,"Matched (manual)","Matched"))</f>
        <v>Matched</v>
      </c>
    </row>
    <row r="299" customFormat="false" ht="15" hidden="false" customHeight="false" outlineLevel="0" collapsed="false">
      <c r="A299" s="6" t="s">
        <v>504</v>
      </c>
      <c r="B299" s="6" t="n">
        <v>2026</v>
      </c>
      <c r="C299" s="16" t="n">
        <v>9</v>
      </c>
      <c r="D299" s="17" t="n">
        <v>1138.5</v>
      </c>
      <c r="E299" s="6" t="n">
        <f aca="false">IFERROR(INDEX('TRANS'!$B:$B,MATCH($A299,'TRANS'!$A:$A,0)),IFERROR(INDEX('TRANS'!$B:$B,MATCH(TRIM(SUBSTITUTE($A299,CHAR(160)," ")),'TRANS'!$D:$D,0)),IFERROR(INDEX('Manual Matches'!$C:$C,MATCH($A299,'Manual Matches'!$B:$B,0)),"")))</f>
        <v>4413196</v>
      </c>
      <c r="F299" s="6" t="str">
        <f aca="false">IF($E299="","Unmatched",IF(COUNTIF('Manual Matches'!$B:$B,$A299)&gt;0,"Matched (manual)","Matched"))</f>
        <v>Matched</v>
      </c>
    </row>
    <row r="300" customFormat="false" ht="15" hidden="false" customHeight="false" outlineLevel="0" collapsed="false">
      <c r="A300" s="6" t="s">
        <v>508</v>
      </c>
      <c r="B300" s="6" t="n">
        <v>2025</v>
      </c>
      <c r="C300" s="16" t="n">
        <v>55</v>
      </c>
      <c r="D300" s="17" t="n">
        <v>6957.5</v>
      </c>
      <c r="E300" s="6" t="n">
        <f aca="false">IFERROR(INDEX('TRANS'!$B:$B,MATCH($A300,'TRANS'!$A:$A,0)),IFERROR(INDEX('TRANS'!$B:$B,MATCH(TRIM(SUBSTITUTE($A300,CHAR(160)," ")),'TRANS'!$D:$D,0)),IFERROR(INDEX('Manual Matches'!$C:$C,MATCH($A300,'Manual Matches'!$B:$B,0)),"")))</f>
        <v>4413198</v>
      </c>
      <c r="F300" s="6" t="str">
        <f aca="false">IF($E300="","Unmatched",IF(COUNTIF('Manual Matches'!$B:$B,$A300)&gt;0,"Matched (manual)","Matched"))</f>
        <v>Matched</v>
      </c>
    </row>
    <row r="301" customFormat="false" ht="15" hidden="false" customHeight="false" outlineLevel="0" collapsed="false">
      <c r="A301" s="6" t="s">
        <v>508</v>
      </c>
      <c r="B301" s="6" t="n">
        <v>2026</v>
      </c>
      <c r="C301" s="16" t="n">
        <v>14</v>
      </c>
      <c r="D301" s="17" t="n">
        <v>1771</v>
      </c>
      <c r="E301" s="6" t="n">
        <f aca="false">IFERROR(INDEX('TRANS'!$B:$B,MATCH($A301,'TRANS'!$A:$A,0)),IFERROR(INDEX('TRANS'!$B:$B,MATCH(TRIM(SUBSTITUTE($A301,CHAR(160)," ")),'TRANS'!$D:$D,0)),IFERROR(INDEX('Manual Matches'!$C:$C,MATCH($A301,'Manual Matches'!$B:$B,0)),"")))</f>
        <v>4413198</v>
      </c>
      <c r="F301" s="6" t="str">
        <f aca="false">IF($E301="","Unmatched",IF(COUNTIF('Manual Matches'!$B:$B,$A301)&gt;0,"Matched (manual)","Matched"))</f>
        <v>Matched</v>
      </c>
    </row>
    <row r="302" customFormat="false" ht="15" hidden="false" customHeight="false" outlineLevel="0" collapsed="false">
      <c r="A302" s="6" t="s">
        <v>510</v>
      </c>
      <c r="B302" s="6" t="n">
        <v>2025</v>
      </c>
      <c r="C302" s="16" t="n">
        <v>18</v>
      </c>
      <c r="D302" s="17" t="n">
        <v>2277</v>
      </c>
      <c r="E302" s="6" t="n">
        <f aca="false">IFERROR(INDEX('TRANS'!$B:$B,MATCH($A302,'TRANS'!$A:$A,0)),IFERROR(INDEX('TRANS'!$B:$B,MATCH(TRIM(SUBSTITUTE($A302,CHAR(160)," ")),'TRANS'!$D:$D,0)),IFERROR(INDEX('Manual Matches'!$C:$C,MATCH($A302,'Manual Matches'!$B:$B,0)),"")))</f>
        <v>4413204</v>
      </c>
      <c r="F302" s="6" t="str">
        <f aca="false">IF($E302="","Unmatched",IF(COUNTIF('Manual Matches'!$B:$B,$A302)&gt;0,"Matched (manual)","Matched"))</f>
        <v>Matched</v>
      </c>
    </row>
    <row r="303" customFormat="false" ht="15" hidden="false" customHeight="false" outlineLevel="0" collapsed="false">
      <c r="A303" s="6" t="s">
        <v>510</v>
      </c>
      <c r="B303" s="6" t="n">
        <v>2026</v>
      </c>
      <c r="C303" s="16" t="n">
        <v>7</v>
      </c>
      <c r="D303" s="17" t="n">
        <v>885.5</v>
      </c>
      <c r="E303" s="6" t="n">
        <f aca="false">IFERROR(INDEX('TRANS'!$B:$B,MATCH($A303,'TRANS'!$A:$A,0)),IFERROR(INDEX('TRANS'!$B:$B,MATCH(TRIM(SUBSTITUTE($A303,CHAR(160)," ")),'TRANS'!$D:$D,0)),IFERROR(INDEX('Manual Matches'!$C:$C,MATCH($A303,'Manual Matches'!$B:$B,0)),"")))</f>
        <v>4413204</v>
      </c>
      <c r="F303" s="6" t="str">
        <f aca="false">IF($E303="","Unmatched",IF(COUNTIF('Manual Matches'!$B:$B,$A303)&gt;0,"Matched (manual)","Matched"))</f>
        <v>Matched</v>
      </c>
    </row>
    <row r="304" customFormat="false" ht="15" hidden="false" customHeight="false" outlineLevel="0" collapsed="false">
      <c r="A304" s="6" t="s">
        <v>526</v>
      </c>
      <c r="B304" s="6" t="n">
        <v>2025</v>
      </c>
      <c r="C304" s="16" t="n">
        <v>38</v>
      </c>
      <c r="D304" s="17" t="n">
        <v>615.6</v>
      </c>
      <c r="E304" s="6" t="n">
        <f aca="false">IFERROR(INDEX('TRANS'!$B:$B,MATCH($A304,'TRANS'!$A:$A,0)),IFERROR(INDEX('TRANS'!$B:$B,MATCH(TRIM(SUBSTITUTE($A304,CHAR(160)," ")),'TRANS'!$D:$D,0)),IFERROR(INDEX('Manual Matches'!$C:$C,MATCH($A304,'Manual Matches'!$B:$B,0)),"")))</f>
        <v>4413056</v>
      </c>
      <c r="F304" s="6" t="str">
        <f aca="false">IF($E304="","Unmatched",IF(COUNTIF('Manual Matches'!$B:$B,$A304)&gt;0,"Matched (manual)","Matched"))</f>
        <v>Matched</v>
      </c>
    </row>
    <row r="305" customFormat="false" ht="15" hidden="false" customHeight="false" outlineLevel="0" collapsed="false">
      <c r="A305" s="6" t="s">
        <v>526</v>
      </c>
      <c r="B305" s="6" t="n">
        <v>2026</v>
      </c>
      <c r="C305" s="16" t="n">
        <v>10</v>
      </c>
      <c r="D305" s="17" t="n">
        <v>162</v>
      </c>
      <c r="E305" s="6" t="n">
        <f aca="false">IFERROR(INDEX('TRANS'!$B:$B,MATCH($A305,'TRANS'!$A:$A,0)),IFERROR(INDEX('TRANS'!$B:$B,MATCH(TRIM(SUBSTITUTE($A305,CHAR(160)," ")),'TRANS'!$D:$D,0)),IFERROR(INDEX('Manual Matches'!$C:$C,MATCH($A305,'Manual Matches'!$B:$B,0)),"")))</f>
        <v>4413056</v>
      </c>
      <c r="F305" s="6" t="str">
        <f aca="false">IF($E305="","Unmatched",IF(COUNTIF('Manual Matches'!$B:$B,$A305)&gt;0,"Matched (manual)","Matched"))</f>
        <v>Matched</v>
      </c>
    </row>
    <row r="306" customFormat="false" ht="15" hidden="false" customHeight="false" outlineLevel="0" collapsed="false">
      <c r="A306" s="6" t="s">
        <v>528</v>
      </c>
      <c r="B306" s="6" t="n">
        <v>2025</v>
      </c>
      <c r="C306" s="16" t="n">
        <v>59</v>
      </c>
      <c r="D306" s="17" t="n">
        <v>938.69</v>
      </c>
      <c r="E306" s="6" t="n">
        <f aca="false">IFERROR(INDEX('TRANS'!$B:$B,MATCH($A306,'TRANS'!$A:$A,0)),IFERROR(INDEX('TRANS'!$B:$B,MATCH(TRIM(SUBSTITUTE($A306,CHAR(160)," ")),'TRANS'!$D:$D,0)),IFERROR(INDEX('Manual Matches'!$C:$C,MATCH($A306,'Manual Matches'!$B:$B,0)),"")))</f>
        <v>4420022</v>
      </c>
      <c r="F306" s="6" t="str">
        <f aca="false">IF($E306="","Unmatched",IF(COUNTIF('Manual Matches'!$B:$B,$A306)&gt;0,"Matched (manual)","Matched"))</f>
        <v>Matched</v>
      </c>
    </row>
    <row r="307" customFormat="false" ht="15" hidden="false" customHeight="false" outlineLevel="0" collapsed="false">
      <c r="A307" s="6" t="s">
        <v>528</v>
      </c>
      <c r="B307" s="6" t="n">
        <v>2026</v>
      </c>
      <c r="C307" s="16" t="n">
        <v>19</v>
      </c>
      <c r="D307" s="17" t="n">
        <v>302.29</v>
      </c>
      <c r="E307" s="6" t="n">
        <f aca="false">IFERROR(INDEX('TRANS'!$B:$B,MATCH($A307,'TRANS'!$A:$A,0)),IFERROR(INDEX('TRANS'!$B:$B,MATCH(TRIM(SUBSTITUTE($A307,CHAR(160)," ")),'TRANS'!$D:$D,0)),IFERROR(INDEX('Manual Matches'!$C:$C,MATCH($A307,'Manual Matches'!$B:$B,0)),"")))</f>
        <v>4420022</v>
      </c>
      <c r="F307" s="6" t="str">
        <f aca="false">IF($E307="","Unmatched",IF(COUNTIF('Manual Matches'!$B:$B,$A307)&gt;0,"Matched (manual)","Matched"))</f>
        <v>Matched</v>
      </c>
    </row>
    <row r="308" customFormat="false" ht="15" hidden="false" customHeight="false" outlineLevel="0" collapsed="false">
      <c r="A308" s="6" t="s">
        <v>770</v>
      </c>
      <c r="B308" s="6" t="n">
        <v>2025</v>
      </c>
      <c r="C308" s="16" t="n">
        <v>58</v>
      </c>
      <c r="D308" s="17" t="n">
        <v>394.4</v>
      </c>
      <c r="E308" s="6" t="n">
        <f aca="false">IFERROR(INDEX('TRANS'!$B:$B,MATCH($A308,'TRANS'!$A:$A,0)),IFERROR(INDEX('TRANS'!$B:$B,MATCH(TRIM(SUBSTITUTE($A308,CHAR(160)," ")),'TRANS'!$D:$D,0)),IFERROR(INDEX('Manual Matches'!$C:$C,MATCH($A308,'Manual Matches'!$B:$B,0)),"")))</f>
        <v>4415080</v>
      </c>
      <c r="F308" s="6" t="str">
        <f aca="false">IF($E308="","Unmatched",IF(COUNTIF('Manual Matches'!$B:$B,$A308)&gt;0,"Matched (manual)","Matched"))</f>
        <v>Matched</v>
      </c>
    </row>
    <row r="309" customFormat="false" ht="15" hidden="false" customHeight="false" outlineLevel="0" collapsed="false">
      <c r="A309" s="6" t="s">
        <v>770</v>
      </c>
      <c r="B309" s="6" t="n">
        <v>2026</v>
      </c>
      <c r="C309" s="16" t="n">
        <v>19</v>
      </c>
      <c r="D309" s="17" t="n">
        <v>129.2</v>
      </c>
      <c r="E309" s="6" t="n">
        <f aca="false">IFERROR(INDEX('TRANS'!$B:$B,MATCH($A309,'TRANS'!$A:$A,0)),IFERROR(INDEX('TRANS'!$B:$B,MATCH(TRIM(SUBSTITUTE($A309,CHAR(160)," ")),'TRANS'!$D:$D,0)),IFERROR(INDEX('Manual Matches'!$C:$C,MATCH($A309,'Manual Matches'!$B:$B,0)),"")))</f>
        <v>4415080</v>
      </c>
      <c r="F309" s="6" t="str">
        <f aca="false">IF($E309="","Unmatched",IF(COUNTIF('Manual Matches'!$B:$B,$A309)&gt;0,"Matched (manual)","Matched"))</f>
        <v>Matched</v>
      </c>
    </row>
    <row r="310" customFormat="false" ht="15" hidden="false" customHeight="false" outlineLevel="0" collapsed="false">
      <c r="A310" s="6" t="s">
        <v>422</v>
      </c>
      <c r="B310" s="6" t="n">
        <v>2025</v>
      </c>
      <c r="C310" s="16" t="n">
        <v>58</v>
      </c>
      <c r="D310" s="17" t="n">
        <v>2088</v>
      </c>
      <c r="E310" s="6" t="n">
        <f aca="false">IFERROR(INDEX('TRANS'!$B:$B,MATCH($A310,'TRANS'!$A:$A,0)),IFERROR(INDEX('TRANS'!$B:$B,MATCH(TRIM(SUBSTITUTE($A310,CHAR(160)," ")),'TRANS'!$D:$D,0)),IFERROR(INDEX('Manual Matches'!$C:$C,MATCH($A310,'Manual Matches'!$B:$B,0)),"")))</f>
        <v>4408270</v>
      </c>
      <c r="F310" s="6" t="str">
        <f aca="false">IF($E310="","Unmatched",IF(COUNTIF('Manual Matches'!$B:$B,$A310)&gt;0,"Matched (manual)","Matched"))</f>
        <v>Matched</v>
      </c>
    </row>
    <row r="311" customFormat="false" ht="15" hidden="false" customHeight="false" outlineLevel="0" collapsed="false">
      <c r="A311" s="6" t="s">
        <v>422</v>
      </c>
      <c r="B311" s="6" t="n">
        <v>2026</v>
      </c>
      <c r="C311" s="16" t="n">
        <v>6</v>
      </c>
      <c r="D311" s="17" t="n">
        <v>306.36</v>
      </c>
      <c r="E311" s="6" t="n">
        <f aca="false">IFERROR(INDEX('TRANS'!$B:$B,MATCH($A311,'TRANS'!$A:$A,0)),IFERROR(INDEX('TRANS'!$B:$B,MATCH(TRIM(SUBSTITUTE($A311,CHAR(160)," ")),'TRANS'!$D:$D,0)),IFERROR(INDEX('Manual Matches'!$C:$C,MATCH($A311,'Manual Matches'!$B:$B,0)),"")))</f>
        <v>4408270</v>
      </c>
      <c r="F311" s="6" t="str">
        <f aca="false">IF($E311="","Unmatched",IF(COUNTIF('Manual Matches'!$B:$B,$A311)&gt;0,"Matched (manual)","Matched"))</f>
        <v>Matched</v>
      </c>
    </row>
    <row r="312" customFormat="false" ht="15" hidden="false" customHeight="false" outlineLevel="0" collapsed="false">
      <c r="A312" s="6" t="s">
        <v>240</v>
      </c>
      <c r="B312" s="6" t="n">
        <v>2025</v>
      </c>
      <c r="C312" s="16" t="n">
        <v>48</v>
      </c>
      <c r="D312" s="17" t="n">
        <v>4488</v>
      </c>
      <c r="E312" s="6" t="n">
        <f aca="false">IFERROR(INDEX('TRANS'!$B:$B,MATCH($A312,'TRANS'!$A:$A,0)),IFERROR(INDEX('TRANS'!$B:$B,MATCH(TRIM(SUBSTITUTE($A312,CHAR(160)," ")),'TRANS'!$D:$D,0)),IFERROR(INDEX('Manual Matches'!$C:$C,MATCH($A312,'Manual Matches'!$B:$B,0)),"")))</f>
        <v>4413532</v>
      </c>
      <c r="F312" s="6" t="str">
        <f aca="false">IF($E312="","Unmatched",IF(COUNTIF('Manual Matches'!$B:$B,$A312)&gt;0,"Matched (manual)","Matched"))</f>
        <v>Matched</v>
      </c>
    </row>
    <row r="313" customFormat="false" ht="15" hidden="false" customHeight="false" outlineLevel="0" collapsed="false">
      <c r="A313" s="6" t="s">
        <v>240</v>
      </c>
      <c r="B313" s="6" t="n">
        <v>2026</v>
      </c>
      <c r="C313" s="16" t="n">
        <v>8</v>
      </c>
      <c r="D313" s="17" t="n">
        <v>748</v>
      </c>
      <c r="E313" s="6" t="n">
        <f aca="false">IFERROR(INDEX('TRANS'!$B:$B,MATCH($A313,'TRANS'!$A:$A,0)),IFERROR(INDEX('TRANS'!$B:$B,MATCH(TRIM(SUBSTITUTE($A313,CHAR(160)," ")),'TRANS'!$D:$D,0)),IFERROR(INDEX('Manual Matches'!$C:$C,MATCH($A313,'Manual Matches'!$B:$B,0)),"")))</f>
        <v>4413532</v>
      </c>
      <c r="F313" s="6" t="str">
        <f aca="false">IF($E313="","Unmatched",IF(COUNTIF('Manual Matches'!$B:$B,$A313)&gt;0,"Matched (manual)","Matched"))</f>
        <v>Matched</v>
      </c>
    </row>
    <row r="314" customFormat="false" ht="15" hidden="false" customHeight="false" outlineLevel="0" collapsed="false">
      <c r="A314" s="6" t="s">
        <v>994</v>
      </c>
      <c r="B314" s="6" t="n">
        <v>2025</v>
      </c>
      <c r="C314" s="16" t="n">
        <v>36</v>
      </c>
      <c r="D314" s="17" t="n">
        <v>738</v>
      </c>
      <c r="E314" s="6" t="n">
        <f aca="false">IFERROR(INDEX('TRANS'!$B:$B,MATCH($A314,'TRANS'!$A:$A,0)),IFERROR(INDEX('TRANS'!$B:$B,MATCH(TRIM(SUBSTITUTE($A314,CHAR(160)," ")),'TRANS'!$D:$D,0)),IFERROR(INDEX('Manual Matches'!$C:$C,MATCH($A314,'Manual Matches'!$B:$B,0)),"")))</f>
        <v>4413533</v>
      </c>
      <c r="F314" s="6" t="str">
        <f aca="false">IF($E314="","Unmatched",IF(COUNTIF('Manual Matches'!$B:$B,$A314)&gt;0,"Matched (manual)","Matched"))</f>
        <v>Matched</v>
      </c>
    </row>
    <row r="315" customFormat="false" ht="15" hidden="false" customHeight="false" outlineLevel="0" collapsed="false">
      <c r="A315" s="6" t="s">
        <v>666</v>
      </c>
      <c r="B315" s="6" t="n">
        <v>2025</v>
      </c>
      <c r="C315" s="16" t="n">
        <v>210</v>
      </c>
      <c r="D315" s="17" t="n">
        <v>4368</v>
      </c>
      <c r="E315" s="6" t="n">
        <f aca="false">IFERROR(INDEX('TRANS'!$B:$B,MATCH($A315,'TRANS'!$A:$A,0)),IFERROR(INDEX('TRANS'!$B:$B,MATCH(TRIM(SUBSTITUTE($A315,CHAR(160)," ")),'TRANS'!$D:$D,0)),IFERROR(INDEX('Manual Matches'!$C:$C,MATCH($A315,'Manual Matches'!$B:$B,0)),"")))</f>
        <v>4413531</v>
      </c>
      <c r="F315" s="6" t="str">
        <f aca="false">IF($E315="","Unmatched",IF(COUNTIF('Manual Matches'!$B:$B,$A315)&gt;0,"Matched (manual)","Matched"))</f>
        <v>Matched</v>
      </c>
    </row>
    <row r="316" customFormat="false" ht="15" hidden="false" customHeight="false" outlineLevel="0" collapsed="false">
      <c r="A316" s="6" t="s">
        <v>666</v>
      </c>
      <c r="B316" s="6" t="n">
        <v>2026</v>
      </c>
      <c r="C316" s="16" t="n">
        <v>60</v>
      </c>
      <c r="D316" s="17" t="n">
        <v>1248</v>
      </c>
      <c r="E316" s="6" t="n">
        <f aca="false">IFERROR(INDEX('TRANS'!$B:$B,MATCH($A316,'TRANS'!$A:$A,0)),IFERROR(INDEX('TRANS'!$B:$B,MATCH(TRIM(SUBSTITUTE($A316,CHAR(160)," ")),'TRANS'!$D:$D,0)),IFERROR(INDEX('Manual Matches'!$C:$C,MATCH($A316,'Manual Matches'!$B:$B,0)),"")))</f>
        <v>4413531</v>
      </c>
      <c r="F316" s="6" t="str">
        <f aca="false">IF($E316="","Unmatched",IF(COUNTIF('Manual Matches'!$B:$B,$A316)&gt;0,"Matched (manual)","Matched"))</f>
        <v>Matched</v>
      </c>
    </row>
    <row r="317" customFormat="false" ht="15" hidden="false" customHeight="false" outlineLevel="0" collapsed="false">
      <c r="A317" s="6" t="s">
        <v>110</v>
      </c>
      <c r="B317" s="6" t="n">
        <v>2025</v>
      </c>
      <c r="C317" s="16" t="n">
        <v>10</v>
      </c>
      <c r="D317" s="17" t="n">
        <v>941</v>
      </c>
      <c r="E317" s="6" t="str">
        <f aca="false">IFERROR(INDEX('TRANS'!$B:$B,MATCH($A317,'TRANS'!$A:$A,0)),IFERROR(INDEX('TRANS'!$B:$B,MATCH(TRIM(SUBSTITUTE($A317,CHAR(160)," ")),'TRANS'!$D:$D,0)),IFERROR(INDEX('Manual Matches'!$C:$C,MATCH($A317,'Manual Matches'!$B:$B,0)),"")))</f>
        <v/>
      </c>
      <c r="F317" s="6" t="str">
        <f aca="false">IF($E317="","Unmatched",IF(COUNTIF('Manual Matches'!$B:$B,$A317)&gt;0,"Matched (manual)","Matched"))</f>
        <v>Unmatched</v>
      </c>
    </row>
    <row r="318" customFormat="false" ht="15" hidden="false" customHeight="false" outlineLevel="0" collapsed="false">
      <c r="A318" s="6" t="s">
        <v>110</v>
      </c>
      <c r="B318" s="6" t="n">
        <v>2026</v>
      </c>
      <c r="C318" s="16" t="n">
        <v>1</v>
      </c>
      <c r="D318" s="17" t="n">
        <v>94.1</v>
      </c>
      <c r="E318" s="6" t="str">
        <f aca="false">IFERROR(INDEX('TRANS'!$B:$B,MATCH($A318,'TRANS'!$A:$A,0)),IFERROR(INDEX('TRANS'!$B:$B,MATCH(TRIM(SUBSTITUTE($A318,CHAR(160)," ")),'TRANS'!$D:$D,0)),IFERROR(INDEX('Manual Matches'!$C:$C,MATCH($A318,'Manual Matches'!$B:$B,0)),"")))</f>
        <v/>
      </c>
      <c r="F318" s="6" t="str">
        <f aca="false">IF($E318="","Unmatched",IF(COUNTIF('Manual Matches'!$B:$B,$A318)&gt;0,"Matched (manual)","Matched"))</f>
        <v>Unmatched</v>
      </c>
    </row>
    <row r="319" customFormat="false" ht="15" hidden="false" customHeight="false" outlineLevel="0" collapsed="false">
      <c r="A319" s="6" t="s">
        <v>111</v>
      </c>
      <c r="B319" s="6" t="n">
        <v>2025</v>
      </c>
      <c r="C319" s="16" t="n">
        <v>10</v>
      </c>
      <c r="D319" s="17" t="n">
        <v>941</v>
      </c>
      <c r="E319" s="6" t="str">
        <f aca="false">IFERROR(INDEX('TRANS'!$B:$B,MATCH($A319,'TRANS'!$A:$A,0)),IFERROR(INDEX('TRANS'!$B:$B,MATCH(TRIM(SUBSTITUTE($A319,CHAR(160)," ")),'TRANS'!$D:$D,0)),IFERROR(INDEX('Manual Matches'!$C:$C,MATCH($A319,'Manual Matches'!$B:$B,0)),"")))</f>
        <v/>
      </c>
      <c r="F319" s="6" t="str">
        <f aca="false">IF($E319="","Unmatched",IF(COUNTIF('Manual Matches'!$B:$B,$A319)&gt;0,"Matched (manual)","Matched"))</f>
        <v>Unmatched</v>
      </c>
    </row>
    <row r="320" customFormat="false" ht="15" hidden="false" customHeight="false" outlineLevel="0" collapsed="false">
      <c r="A320" s="6" t="s">
        <v>111</v>
      </c>
      <c r="B320" s="6" t="n">
        <v>2026</v>
      </c>
      <c r="C320" s="16" t="n">
        <v>2</v>
      </c>
      <c r="D320" s="17" t="n">
        <v>188.2</v>
      </c>
      <c r="E320" s="6" t="str">
        <f aca="false">IFERROR(INDEX('TRANS'!$B:$B,MATCH($A320,'TRANS'!$A:$A,0)),IFERROR(INDEX('TRANS'!$B:$B,MATCH(TRIM(SUBSTITUTE($A320,CHAR(160)," ")),'TRANS'!$D:$D,0)),IFERROR(INDEX('Manual Matches'!$C:$C,MATCH($A320,'Manual Matches'!$B:$B,0)),"")))</f>
        <v/>
      </c>
      <c r="F320" s="6" t="str">
        <f aca="false">IF($E320="","Unmatched",IF(COUNTIF('Manual Matches'!$B:$B,$A320)&gt;0,"Matched (manual)","Matched"))</f>
        <v>Unmatched</v>
      </c>
    </row>
    <row r="321" customFormat="false" ht="15" hidden="false" customHeight="false" outlineLevel="0" collapsed="false">
      <c r="A321" s="6" t="s">
        <v>113</v>
      </c>
      <c r="B321" s="6" t="n">
        <v>2025</v>
      </c>
      <c r="C321" s="16" t="n">
        <v>1</v>
      </c>
      <c r="D321" s="17" t="n">
        <v>94.1</v>
      </c>
      <c r="E321" s="6" t="str">
        <f aca="false">IFERROR(INDEX('TRANS'!$B:$B,MATCH($A321,'TRANS'!$A:$A,0)),IFERROR(INDEX('TRANS'!$B:$B,MATCH(TRIM(SUBSTITUTE($A321,CHAR(160)," ")),'TRANS'!$D:$D,0)),IFERROR(INDEX('Manual Matches'!$C:$C,MATCH($A321,'Manual Matches'!$B:$B,0)),"")))</f>
        <v/>
      </c>
      <c r="F321" s="6" t="str">
        <f aca="false">IF($E321="","Unmatched",IF(COUNTIF('Manual Matches'!$B:$B,$A321)&gt;0,"Matched (manual)","Matched"))</f>
        <v>Unmatched</v>
      </c>
    </row>
    <row r="322" customFormat="false" ht="15" hidden="false" customHeight="false" outlineLevel="0" collapsed="false">
      <c r="A322" s="6" t="s">
        <v>113</v>
      </c>
      <c r="B322" s="6" t="n">
        <v>2026</v>
      </c>
      <c r="C322" s="16" t="n">
        <v>2</v>
      </c>
      <c r="D322" s="17" t="n">
        <v>188.2</v>
      </c>
      <c r="E322" s="6" t="str">
        <f aca="false">IFERROR(INDEX('TRANS'!$B:$B,MATCH($A322,'TRANS'!$A:$A,0)),IFERROR(INDEX('TRANS'!$B:$B,MATCH(TRIM(SUBSTITUTE($A322,CHAR(160)," ")),'TRANS'!$D:$D,0)),IFERROR(INDEX('Manual Matches'!$C:$C,MATCH($A322,'Manual Matches'!$B:$B,0)),"")))</f>
        <v/>
      </c>
      <c r="F322" s="6" t="str">
        <f aca="false">IF($E322="","Unmatched",IF(COUNTIF('Manual Matches'!$B:$B,$A322)&gt;0,"Matched (manual)","Matched"))</f>
        <v>Unmatched</v>
      </c>
    </row>
    <row r="323" customFormat="false" ht="15" hidden="false" customHeight="false" outlineLevel="0" collapsed="false">
      <c r="A323" s="6" t="s">
        <v>134</v>
      </c>
      <c r="B323" s="6" t="n">
        <v>2025</v>
      </c>
      <c r="C323" s="16" t="n">
        <v>63</v>
      </c>
      <c r="D323" s="17" t="n">
        <v>4866.12</v>
      </c>
      <c r="E323" s="6" t="n">
        <f aca="false">IFERROR(INDEX('TRANS'!$B:$B,MATCH($A323,'TRANS'!$A:$A,0)),IFERROR(INDEX('TRANS'!$B:$B,MATCH(TRIM(SUBSTITUTE($A323,CHAR(160)," ")),'TRANS'!$D:$D,0)),IFERROR(INDEX('Manual Matches'!$C:$C,MATCH($A323,'Manual Matches'!$B:$B,0)),"")))</f>
        <v>4420018</v>
      </c>
      <c r="F323" s="6" t="str">
        <f aca="false">IF($E323="","Unmatched",IF(COUNTIF('Manual Matches'!$B:$B,$A323)&gt;0,"Matched (manual)","Matched"))</f>
        <v>Matched (manual)</v>
      </c>
    </row>
    <row r="324" customFormat="false" ht="15" hidden="false" customHeight="false" outlineLevel="0" collapsed="false">
      <c r="A324" s="6" t="s">
        <v>87</v>
      </c>
      <c r="B324" s="6" t="n">
        <v>2025</v>
      </c>
      <c r="C324" s="16" t="n">
        <v>2</v>
      </c>
      <c r="D324" s="17" t="n">
        <v>130</v>
      </c>
      <c r="E324" s="6" t="str">
        <f aca="false">IFERROR(INDEX('TRANS'!$B:$B,MATCH($A324,'TRANS'!$A:$A,0)),IFERROR(INDEX('TRANS'!$B:$B,MATCH(TRIM(SUBSTITUTE($A324,CHAR(160)," ")),'TRANS'!$D:$D,0)),IFERROR(INDEX('Manual Matches'!$C:$C,MATCH($A324,'Manual Matches'!$B:$B,0)),"")))</f>
        <v/>
      </c>
      <c r="F324" s="6" t="str">
        <f aca="false">IF($E324="","Unmatched",IF(COUNTIF('Manual Matches'!$B:$B,$A324)&gt;0,"Matched (manual)","Matched"))</f>
        <v>Unmatched</v>
      </c>
    </row>
    <row r="325" customFormat="false" ht="15" hidden="false" customHeight="false" outlineLevel="0" collapsed="false">
      <c r="A325" s="6" t="s">
        <v>262</v>
      </c>
      <c r="B325" s="6" t="n">
        <v>2025</v>
      </c>
      <c r="C325" s="16" t="n">
        <v>2</v>
      </c>
      <c r="D325" s="17" t="n">
        <v>47.2</v>
      </c>
      <c r="E325" s="6" t="n">
        <f aca="false">IFERROR(INDEX('TRANS'!$B:$B,MATCH($A325,'TRANS'!$A:$A,0)),IFERROR(INDEX('TRANS'!$B:$B,MATCH(TRIM(SUBSTITUTE($A325,CHAR(160)," ")),'TRANS'!$D:$D,0)),IFERROR(INDEX('Manual Matches'!$C:$C,MATCH($A325,'Manual Matches'!$B:$B,0)),"")))</f>
        <v>4403000</v>
      </c>
      <c r="F325" s="6" t="str">
        <f aca="false">IF($E325="","Unmatched",IF(COUNTIF('Manual Matches'!$B:$B,$A325)&gt;0,"Matched (manual)","Matched"))</f>
        <v>Matched</v>
      </c>
    </row>
    <row r="326" customFormat="false" ht="15" hidden="false" customHeight="false" outlineLevel="0" collapsed="false">
      <c r="A326" s="6" t="s">
        <v>262</v>
      </c>
      <c r="B326" s="6" t="n">
        <v>2026</v>
      </c>
      <c r="C326" s="16" t="n">
        <v>11</v>
      </c>
      <c r="D326" s="17" t="n">
        <v>259.6</v>
      </c>
      <c r="E326" s="6" t="n">
        <f aca="false">IFERROR(INDEX('TRANS'!$B:$B,MATCH($A326,'TRANS'!$A:$A,0)),IFERROR(INDEX('TRANS'!$B:$B,MATCH(TRIM(SUBSTITUTE($A326,CHAR(160)," ")),'TRANS'!$D:$D,0)),IFERROR(INDEX('Manual Matches'!$C:$C,MATCH($A326,'Manual Matches'!$B:$B,0)),"")))</f>
        <v>4403000</v>
      </c>
      <c r="F326" s="6" t="str">
        <f aca="false">IF($E326="","Unmatched",IF(COUNTIF('Manual Matches'!$B:$B,$A326)&gt;0,"Matched (manual)","Matched"))</f>
        <v>Matched</v>
      </c>
    </row>
    <row r="327" customFormat="false" ht="15" hidden="false" customHeight="false" outlineLevel="0" collapsed="false">
      <c r="A327" s="6" t="s">
        <v>280</v>
      </c>
      <c r="B327" s="6" t="n">
        <v>2025</v>
      </c>
      <c r="C327" s="16" t="n">
        <v>37</v>
      </c>
      <c r="D327" s="17" t="n">
        <v>680.8</v>
      </c>
      <c r="E327" s="6" t="n">
        <f aca="false">IFERROR(INDEX('TRANS'!$B:$B,MATCH($A327,'TRANS'!$A:$A,0)),IFERROR(INDEX('TRANS'!$B:$B,MATCH(TRIM(SUBSTITUTE($A327,CHAR(160)," ")),'TRANS'!$D:$D,0)),IFERROR(INDEX('Manual Matches'!$C:$C,MATCH($A327,'Manual Matches'!$B:$B,0)),"")))</f>
        <v>4403024</v>
      </c>
      <c r="F327" s="6" t="str">
        <f aca="false">IF($E327="","Unmatched",IF(COUNTIF('Manual Matches'!$B:$B,$A327)&gt;0,"Matched (manual)","Matched"))</f>
        <v>Matched</v>
      </c>
    </row>
    <row r="328" customFormat="false" ht="15" hidden="false" customHeight="false" outlineLevel="0" collapsed="false">
      <c r="A328" s="6" t="s">
        <v>280</v>
      </c>
      <c r="B328" s="6" t="n">
        <v>2026</v>
      </c>
      <c r="C328" s="16" t="n">
        <v>31</v>
      </c>
      <c r="D328" s="17" t="n">
        <v>570.4</v>
      </c>
      <c r="E328" s="6" t="n">
        <f aca="false">IFERROR(INDEX('TRANS'!$B:$B,MATCH($A328,'TRANS'!$A:$A,0)),IFERROR(INDEX('TRANS'!$B:$B,MATCH(TRIM(SUBSTITUTE($A328,CHAR(160)," ")),'TRANS'!$D:$D,0)),IFERROR(INDEX('Manual Matches'!$C:$C,MATCH($A328,'Manual Matches'!$B:$B,0)),"")))</f>
        <v>4403024</v>
      </c>
      <c r="F328" s="6" t="str">
        <f aca="false">IF($E328="","Unmatched",IF(COUNTIF('Manual Matches'!$B:$B,$A328)&gt;0,"Matched (manual)","Matched"))</f>
        <v>Matched</v>
      </c>
    </row>
    <row r="329" customFormat="false" ht="15" hidden="false" customHeight="false" outlineLevel="0" collapsed="false">
      <c r="A329" s="6" t="s">
        <v>386</v>
      </c>
      <c r="B329" s="6" t="n">
        <v>2025</v>
      </c>
      <c r="C329" s="16" t="n">
        <v>9</v>
      </c>
      <c r="D329" s="17" t="n">
        <v>963.81</v>
      </c>
      <c r="E329" s="6" t="n">
        <f aca="false">IFERROR(INDEX('TRANS'!$B:$B,MATCH($A329,'TRANS'!$A:$A,0)),IFERROR(INDEX('TRANS'!$B:$B,MATCH(TRIM(SUBSTITUTE($A329,CHAR(160)," ")),'TRANS'!$D:$D,0)),IFERROR(INDEX('Manual Matches'!$C:$C,MATCH($A329,'Manual Matches'!$B:$B,0)),"")))</f>
        <v>4408153</v>
      </c>
      <c r="F329" s="6" t="str">
        <f aca="false">IF($E329="","Unmatched",IF(COUNTIF('Manual Matches'!$B:$B,$A329)&gt;0,"Matched (manual)","Matched"))</f>
        <v>Matched</v>
      </c>
    </row>
    <row r="330" customFormat="false" ht="15" hidden="false" customHeight="false" outlineLevel="0" collapsed="false">
      <c r="A330" s="6" t="s">
        <v>386</v>
      </c>
      <c r="B330" s="6" t="n">
        <v>2026</v>
      </c>
      <c r="C330" s="16" t="n">
        <v>2</v>
      </c>
      <c r="D330" s="17" t="n">
        <v>214.18</v>
      </c>
      <c r="E330" s="6" t="n">
        <f aca="false">IFERROR(INDEX('TRANS'!$B:$B,MATCH($A330,'TRANS'!$A:$A,0)),IFERROR(INDEX('TRANS'!$B:$B,MATCH(TRIM(SUBSTITUTE($A330,CHAR(160)," ")),'TRANS'!$D:$D,0)),IFERROR(INDEX('Manual Matches'!$C:$C,MATCH($A330,'Manual Matches'!$B:$B,0)),"")))</f>
        <v>4408153</v>
      </c>
      <c r="F330" s="6" t="str">
        <f aca="false">IF($E330="","Unmatched",IF(COUNTIF('Manual Matches'!$B:$B,$A330)&gt;0,"Matched (manual)","Matched"))</f>
        <v>Matched</v>
      </c>
    </row>
    <row r="331" customFormat="false" ht="15" hidden="false" customHeight="false" outlineLevel="0" collapsed="false">
      <c r="A331" s="6" t="s">
        <v>260</v>
      </c>
      <c r="B331" s="6" t="n">
        <v>2025</v>
      </c>
      <c r="C331" s="16" t="n">
        <v>43</v>
      </c>
      <c r="D331" s="17" t="n">
        <v>1014.8</v>
      </c>
      <c r="E331" s="6" t="n">
        <f aca="false">IFERROR(INDEX('TRANS'!$B:$B,MATCH($A331,'TRANS'!$A:$A,0)),IFERROR(INDEX('TRANS'!$B:$B,MATCH(TRIM(SUBSTITUTE($A331,CHAR(160)," ")),'TRANS'!$D:$D,0)),IFERROR(INDEX('Manual Matches'!$C:$C,MATCH($A331,'Manual Matches'!$B:$B,0)),"")))</f>
        <v>4403002</v>
      </c>
      <c r="F331" s="6" t="str">
        <f aca="false">IF($E331="","Unmatched",IF(COUNTIF('Manual Matches'!$B:$B,$A331)&gt;0,"Matched (manual)","Matched"))</f>
        <v>Matched</v>
      </c>
    </row>
    <row r="332" customFormat="false" ht="15" hidden="false" customHeight="false" outlineLevel="0" collapsed="false">
      <c r="A332" s="6" t="s">
        <v>260</v>
      </c>
      <c r="B332" s="6" t="n">
        <v>2026</v>
      </c>
      <c r="C332" s="16" t="n">
        <v>60</v>
      </c>
      <c r="D332" s="17" t="n">
        <v>1416</v>
      </c>
      <c r="E332" s="6" t="n">
        <f aca="false">IFERROR(INDEX('TRANS'!$B:$B,MATCH($A332,'TRANS'!$A:$A,0)),IFERROR(INDEX('TRANS'!$B:$B,MATCH(TRIM(SUBSTITUTE($A332,CHAR(160)," ")),'TRANS'!$D:$D,0)),IFERROR(INDEX('Manual Matches'!$C:$C,MATCH($A332,'Manual Matches'!$B:$B,0)),"")))</f>
        <v>4403002</v>
      </c>
      <c r="F332" s="6" t="str">
        <f aca="false">IF($E332="","Unmatched",IF(COUNTIF('Manual Matches'!$B:$B,$A332)&gt;0,"Matched (manual)","Matched"))</f>
        <v>Matched</v>
      </c>
    </row>
    <row r="333" customFormat="false" ht="15" hidden="false" customHeight="false" outlineLevel="0" collapsed="false">
      <c r="A333" s="6" t="s">
        <v>264</v>
      </c>
      <c r="B333" s="6" t="n">
        <v>2025</v>
      </c>
      <c r="C333" s="16" t="n">
        <v>7</v>
      </c>
      <c r="D333" s="17" t="n">
        <v>165.2</v>
      </c>
      <c r="E333" s="6" t="n">
        <f aca="false">IFERROR(INDEX('TRANS'!$B:$B,MATCH($A333,'TRANS'!$A:$A,0)),IFERROR(INDEX('TRANS'!$B:$B,MATCH(TRIM(SUBSTITUTE($A333,CHAR(160)," ")),'TRANS'!$D:$D,0)),IFERROR(INDEX('Manual Matches'!$C:$C,MATCH($A333,'Manual Matches'!$B:$B,0)),"")))</f>
        <v>4403003</v>
      </c>
      <c r="F333" s="6" t="str">
        <f aca="false">IF($E333="","Unmatched",IF(COUNTIF('Manual Matches'!$B:$B,$A333)&gt;0,"Matched (manual)","Matched"))</f>
        <v>Matched</v>
      </c>
    </row>
    <row r="334" customFormat="false" ht="15" hidden="false" customHeight="false" outlineLevel="0" collapsed="false">
      <c r="A334" s="6" t="s">
        <v>264</v>
      </c>
      <c r="B334" s="6" t="n">
        <v>2026</v>
      </c>
      <c r="C334" s="16" t="n">
        <v>12</v>
      </c>
      <c r="D334" s="17" t="n">
        <v>283.2</v>
      </c>
      <c r="E334" s="6" t="n">
        <f aca="false">IFERROR(INDEX('TRANS'!$B:$B,MATCH($A334,'TRANS'!$A:$A,0)),IFERROR(INDEX('TRANS'!$B:$B,MATCH(TRIM(SUBSTITUTE($A334,CHAR(160)," ")),'TRANS'!$D:$D,0)),IFERROR(INDEX('Manual Matches'!$C:$C,MATCH($A334,'Manual Matches'!$B:$B,0)),"")))</f>
        <v>4403003</v>
      </c>
      <c r="F334" s="6" t="str">
        <f aca="false">IF($E334="","Unmatched",IF(COUNTIF('Manual Matches'!$B:$B,$A334)&gt;0,"Matched (manual)","Matched"))</f>
        <v>Matched</v>
      </c>
    </row>
    <row r="335" customFormat="false" ht="15" hidden="false" customHeight="false" outlineLevel="0" collapsed="false">
      <c r="A335" s="6" t="s">
        <v>266</v>
      </c>
      <c r="B335" s="6" t="n">
        <v>2025</v>
      </c>
      <c r="C335" s="16" t="n">
        <v>3</v>
      </c>
      <c r="D335" s="17" t="n">
        <v>70.8</v>
      </c>
      <c r="E335" s="6" t="n">
        <f aca="false">IFERROR(INDEX('TRANS'!$B:$B,MATCH($A335,'TRANS'!$A:$A,0)),IFERROR(INDEX('TRANS'!$B:$B,MATCH(TRIM(SUBSTITUTE($A335,CHAR(160)," ")),'TRANS'!$D:$D,0)),IFERROR(INDEX('Manual Matches'!$C:$C,MATCH($A335,'Manual Matches'!$B:$B,0)),"")))</f>
        <v>4403006</v>
      </c>
      <c r="F335" s="6" t="str">
        <f aca="false">IF($E335="","Unmatched",IF(COUNTIF('Manual Matches'!$B:$B,$A335)&gt;0,"Matched (manual)","Matched"))</f>
        <v>Matched</v>
      </c>
    </row>
    <row r="336" customFormat="false" ht="15" hidden="false" customHeight="false" outlineLevel="0" collapsed="false">
      <c r="A336" s="6" t="s">
        <v>266</v>
      </c>
      <c r="B336" s="6" t="n">
        <v>2026</v>
      </c>
      <c r="C336" s="16" t="n">
        <v>4</v>
      </c>
      <c r="D336" s="17" t="n">
        <v>94.4</v>
      </c>
      <c r="E336" s="6" t="n">
        <f aca="false">IFERROR(INDEX('TRANS'!$B:$B,MATCH($A336,'TRANS'!$A:$A,0)),IFERROR(INDEX('TRANS'!$B:$B,MATCH(TRIM(SUBSTITUTE($A336,CHAR(160)," ")),'TRANS'!$D:$D,0)),IFERROR(INDEX('Manual Matches'!$C:$C,MATCH($A336,'Manual Matches'!$B:$B,0)),"")))</f>
        <v>4403006</v>
      </c>
      <c r="F336" s="6" t="str">
        <f aca="false">IF($E336="","Unmatched",IF(COUNTIF('Manual Matches'!$B:$B,$A336)&gt;0,"Matched (manual)","Matched"))</f>
        <v>Matched</v>
      </c>
    </row>
    <row r="337" customFormat="false" ht="15" hidden="false" customHeight="false" outlineLevel="0" collapsed="false">
      <c r="A337" s="6" t="s">
        <v>596</v>
      </c>
      <c r="B337" s="6" t="n">
        <v>2025</v>
      </c>
      <c r="C337" s="16" t="n">
        <v>5</v>
      </c>
      <c r="D337" s="17" t="n">
        <v>978.65</v>
      </c>
      <c r="E337" s="6" t="n">
        <f aca="false">IFERROR(INDEX('TRANS'!$B:$B,MATCH($A337,'TRANS'!$A:$A,0)),IFERROR(INDEX('TRANS'!$B:$B,MATCH(TRIM(SUBSTITUTE($A337,CHAR(160)," ")),'TRANS'!$D:$D,0)),IFERROR(INDEX('Manual Matches'!$C:$C,MATCH($A337,'Manual Matches'!$B:$B,0)),"")))</f>
        <v>4408071</v>
      </c>
      <c r="F337" s="6" t="str">
        <f aca="false">IF($E337="","Unmatched",IF(COUNTIF('Manual Matches'!$B:$B,$A337)&gt;0,"Matched (manual)","Matched"))</f>
        <v>Matched</v>
      </c>
    </row>
    <row r="338" customFormat="false" ht="15" hidden="false" customHeight="false" outlineLevel="0" collapsed="false">
      <c r="A338" s="6" t="s">
        <v>596</v>
      </c>
      <c r="B338" s="6" t="n">
        <v>2026</v>
      </c>
      <c r="C338" s="16" t="n">
        <v>-1</v>
      </c>
      <c r="D338" s="17" t="n">
        <v>-195.73</v>
      </c>
      <c r="E338" s="6" t="n">
        <f aca="false">IFERROR(INDEX('TRANS'!$B:$B,MATCH($A338,'TRANS'!$A:$A,0)),IFERROR(INDEX('TRANS'!$B:$B,MATCH(TRIM(SUBSTITUTE($A338,CHAR(160)," ")),'TRANS'!$D:$D,0)),IFERROR(INDEX('Manual Matches'!$C:$C,MATCH($A338,'Manual Matches'!$B:$B,0)),"")))</f>
        <v>4408071</v>
      </c>
      <c r="F338" s="6" t="str">
        <f aca="false">IF($E338="","Unmatched",IF(COUNTIF('Manual Matches'!$B:$B,$A338)&gt;0,"Matched (manual)","Matched"))</f>
        <v>Matched</v>
      </c>
    </row>
    <row r="339" customFormat="false" ht="15" hidden="false" customHeight="false" outlineLevel="0" collapsed="false">
      <c r="A339" s="6" t="s">
        <v>756</v>
      </c>
      <c r="B339" s="6" t="n">
        <v>2025</v>
      </c>
      <c r="C339" s="16" t="n">
        <v>76</v>
      </c>
      <c r="D339" s="17" t="n">
        <v>2464.68</v>
      </c>
      <c r="E339" s="6" t="n">
        <f aca="false">IFERROR(INDEX('TRANS'!$B:$B,MATCH($A339,'TRANS'!$A:$A,0)),IFERROR(INDEX('TRANS'!$B:$B,MATCH(TRIM(SUBSTITUTE($A339,CHAR(160)," ")),'TRANS'!$D:$D,0)),IFERROR(INDEX('Manual Matches'!$C:$C,MATCH($A339,'Manual Matches'!$B:$B,0)),"")))</f>
        <v>4411015</v>
      </c>
      <c r="F339" s="6" t="str">
        <f aca="false">IF($E339="","Unmatched",IF(COUNTIF('Manual Matches'!$B:$B,$A339)&gt;0,"Matched (manual)","Matched"))</f>
        <v>Matched</v>
      </c>
    </row>
    <row r="340" customFormat="false" ht="15" hidden="false" customHeight="false" outlineLevel="0" collapsed="false">
      <c r="A340" s="6" t="s">
        <v>756</v>
      </c>
      <c r="B340" s="6" t="n">
        <v>2026</v>
      </c>
      <c r="C340" s="16" t="n">
        <v>20</v>
      </c>
      <c r="D340" s="17" t="n">
        <v>648.6</v>
      </c>
      <c r="E340" s="6" t="n">
        <f aca="false">IFERROR(INDEX('TRANS'!$B:$B,MATCH($A340,'TRANS'!$A:$A,0)),IFERROR(INDEX('TRANS'!$B:$B,MATCH(TRIM(SUBSTITUTE($A340,CHAR(160)," ")),'TRANS'!$D:$D,0)),IFERROR(INDEX('Manual Matches'!$C:$C,MATCH($A340,'Manual Matches'!$B:$B,0)),"")))</f>
        <v>4411015</v>
      </c>
      <c r="F340" s="6" t="str">
        <f aca="false">IF($E340="","Unmatched",IF(COUNTIF('Manual Matches'!$B:$B,$A340)&gt;0,"Matched (manual)","Matched"))</f>
        <v>Matched</v>
      </c>
    </row>
    <row r="341" customFormat="false" ht="15" hidden="false" customHeight="false" outlineLevel="0" collapsed="false">
      <c r="A341" s="6" t="s">
        <v>318</v>
      </c>
      <c r="B341" s="6" t="n">
        <v>2025</v>
      </c>
      <c r="C341" s="16" t="n">
        <v>26</v>
      </c>
      <c r="D341" s="17" t="n">
        <v>1690</v>
      </c>
      <c r="E341" s="6" t="n">
        <f aca="false">IFERROR(INDEX('TRANS'!$B:$B,MATCH($A341,'TRANS'!$A:$A,0)),IFERROR(INDEX('TRANS'!$B:$B,MATCH(TRIM(SUBSTITUTE($A341,CHAR(160)," ")),'TRANS'!$D:$D,0)),IFERROR(INDEX('Manual Matches'!$C:$C,MATCH($A341,'Manual Matches'!$B:$B,0)),"")))</f>
        <v>4408219</v>
      </c>
      <c r="F341" s="6" t="str">
        <f aca="false">IF($E341="","Unmatched",IF(COUNTIF('Manual Matches'!$B:$B,$A341)&gt;0,"Matched (manual)","Matched"))</f>
        <v>Matched</v>
      </c>
    </row>
    <row r="342" customFormat="false" ht="15" hidden="false" customHeight="false" outlineLevel="0" collapsed="false">
      <c r="A342" s="6" t="s">
        <v>318</v>
      </c>
      <c r="B342" s="6" t="n">
        <v>2026</v>
      </c>
      <c r="C342" s="16" t="n">
        <v>8</v>
      </c>
      <c r="D342" s="17" t="n">
        <v>702.36</v>
      </c>
      <c r="E342" s="6" t="n">
        <f aca="false">IFERROR(INDEX('TRANS'!$B:$B,MATCH($A342,'TRANS'!$A:$A,0)),IFERROR(INDEX('TRANS'!$B:$B,MATCH(TRIM(SUBSTITUTE($A342,CHAR(160)," ")),'TRANS'!$D:$D,0)),IFERROR(INDEX('Manual Matches'!$C:$C,MATCH($A342,'Manual Matches'!$B:$B,0)),"")))</f>
        <v>4408219</v>
      </c>
      <c r="F342" s="6" t="str">
        <f aca="false">IF($E342="","Unmatched",IF(COUNTIF('Manual Matches'!$B:$B,$A342)&gt;0,"Matched (manual)","Matched"))</f>
        <v>Matched</v>
      </c>
    </row>
    <row r="343" customFormat="false" ht="15" hidden="false" customHeight="false" outlineLevel="0" collapsed="false">
      <c r="A343" s="6" t="s">
        <v>388</v>
      </c>
      <c r="B343" s="6" t="n">
        <v>2025</v>
      </c>
      <c r="C343" s="16" t="n">
        <v>0</v>
      </c>
      <c r="D343" s="17" t="n">
        <v>2.8421709430404E-014</v>
      </c>
      <c r="E343" s="6" t="n">
        <f aca="false">IFERROR(INDEX('TRANS'!$B:$B,MATCH($A343,'TRANS'!$A:$A,0)),IFERROR(INDEX('TRANS'!$B:$B,MATCH(TRIM(SUBSTITUTE($A343,CHAR(160)," ")),'TRANS'!$D:$D,0)),IFERROR(INDEX('Manual Matches'!$C:$C,MATCH($A343,'Manual Matches'!$B:$B,0)),"")))</f>
        <v>4408154</v>
      </c>
      <c r="F343" s="6" t="str">
        <f aca="false">IF($E343="","Unmatched",IF(COUNTIF('Manual Matches'!$B:$B,$A343)&gt;0,"Matched (manual)","Matched"))</f>
        <v>Matched</v>
      </c>
    </row>
    <row r="344" customFormat="false" ht="15" hidden="false" customHeight="false" outlineLevel="0" collapsed="false">
      <c r="A344" s="6" t="s">
        <v>388</v>
      </c>
      <c r="B344" s="6" t="n">
        <v>2026</v>
      </c>
      <c r="C344" s="16" t="n">
        <v>5</v>
      </c>
      <c r="D344" s="17" t="n">
        <v>535.45</v>
      </c>
      <c r="E344" s="6" t="n">
        <f aca="false">IFERROR(INDEX('TRANS'!$B:$B,MATCH($A344,'TRANS'!$A:$A,0)),IFERROR(INDEX('TRANS'!$B:$B,MATCH(TRIM(SUBSTITUTE($A344,CHAR(160)," ")),'TRANS'!$D:$D,0)),IFERROR(INDEX('Manual Matches'!$C:$C,MATCH($A344,'Manual Matches'!$B:$B,0)),"")))</f>
        <v>4408154</v>
      </c>
      <c r="F344" s="6" t="str">
        <f aca="false">IF($E344="","Unmatched",IF(COUNTIF('Manual Matches'!$B:$B,$A344)&gt;0,"Matched (manual)","Matched"))</f>
        <v>Matched</v>
      </c>
    </row>
    <row r="345" customFormat="false" ht="15" hidden="false" customHeight="false" outlineLevel="0" collapsed="false">
      <c r="A345" s="6" t="s">
        <v>496</v>
      </c>
      <c r="B345" s="6" t="n">
        <v>2025</v>
      </c>
      <c r="C345" s="16" t="n">
        <v>24</v>
      </c>
      <c r="D345" s="17" t="n">
        <v>3271.2</v>
      </c>
      <c r="E345" s="6" t="n">
        <f aca="false">IFERROR(INDEX('TRANS'!$B:$B,MATCH($A345,'TRANS'!$A:$A,0)),IFERROR(INDEX('TRANS'!$B:$B,MATCH(TRIM(SUBSTITUTE($A345,CHAR(160)," ")),'TRANS'!$D:$D,0)),IFERROR(INDEX('Manual Matches'!$C:$C,MATCH($A345,'Manual Matches'!$B:$B,0)),"")))</f>
        <v>4413133</v>
      </c>
      <c r="F345" s="6" t="str">
        <f aca="false">IF($E345="","Unmatched",IF(COUNTIF('Manual Matches'!$B:$B,$A345)&gt;0,"Matched (manual)","Matched"))</f>
        <v>Matched</v>
      </c>
    </row>
    <row r="346" customFormat="false" ht="15" hidden="false" customHeight="false" outlineLevel="0" collapsed="false">
      <c r="A346" s="6" t="s">
        <v>496</v>
      </c>
      <c r="B346" s="6" t="n">
        <v>2026</v>
      </c>
      <c r="C346" s="16" t="n">
        <v>8</v>
      </c>
      <c r="D346" s="17" t="n">
        <v>1090.4</v>
      </c>
      <c r="E346" s="6" t="n">
        <f aca="false">IFERROR(INDEX('TRANS'!$B:$B,MATCH($A346,'TRANS'!$A:$A,0)),IFERROR(INDEX('TRANS'!$B:$B,MATCH(TRIM(SUBSTITUTE($A346,CHAR(160)," ")),'TRANS'!$D:$D,0)),IFERROR(INDEX('Manual Matches'!$C:$C,MATCH($A346,'Manual Matches'!$B:$B,0)),"")))</f>
        <v>4413133</v>
      </c>
      <c r="F346" s="6" t="str">
        <f aca="false">IF($E346="","Unmatched",IF(COUNTIF('Manual Matches'!$B:$B,$A346)&gt;0,"Matched (manual)","Matched"))</f>
        <v>Matched</v>
      </c>
    </row>
    <row r="347" customFormat="false" ht="15" hidden="false" customHeight="false" outlineLevel="0" collapsed="false">
      <c r="A347" s="6" t="s">
        <v>500</v>
      </c>
      <c r="B347" s="6" t="n">
        <v>2025</v>
      </c>
      <c r="C347" s="16" t="n">
        <v>7</v>
      </c>
      <c r="D347" s="17" t="n">
        <v>954.1</v>
      </c>
      <c r="E347" s="6" t="n">
        <f aca="false">IFERROR(INDEX('TRANS'!$B:$B,MATCH($A347,'TRANS'!$A:$A,0)),IFERROR(INDEX('TRANS'!$B:$B,MATCH(TRIM(SUBSTITUTE($A347,CHAR(160)," ")),'TRANS'!$D:$D,0)),IFERROR(INDEX('Manual Matches'!$C:$C,MATCH($A347,'Manual Matches'!$B:$B,0)),"")))</f>
        <v>4413134</v>
      </c>
      <c r="F347" s="6" t="str">
        <f aca="false">IF($E347="","Unmatched",IF(COUNTIF('Manual Matches'!$B:$B,$A347)&gt;0,"Matched (manual)","Matched"))</f>
        <v>Matched</v>
      </c>
    </row>
    <row r="348" customFormat="false" ht="15" hidden="false" customHeight="false" outlineLevel="0" collapsed="false">
      <c r="A348" s="6" t="s">
        <v>500</v>
      </c>
      <c r="B348" s="6" t="n">
        <v>2026</v>
      </c>
      <c r="C348" s="16" t="n">
        <v>8</v>
      </c>
      <c r="D348" s="17" t="n">
        <v>1090.4</v>
      </c>
      <c r="E348" s="6" t="n">
        <f aca="false">IFERROR(INDEX('TRANS'!$B:$B,MATCH($A348,'TRANS'!$A:$A,0)),IFERROR(INDEX('TRANS'!$B:$B,MATCH(TRIM(SUBSTITUTE($A348,CHAR(160)," ")),'TRANS'!$D:$D,0)),IFERROR(INDEX('Manual Matches'!$C:$C,MATCH($A348,'Manual Matches'!$B:$B,0)),"")))</f>
        <v>4413134</v>
      </c>
      <c r="F348" s="6" t="str">
        <f aca="false">IF($E348="","Unmatched",IF(COUNTIF('Manual Matches'!$B:$B,$A348)&gt;0,"Matched (manual)","Matched"))</f>
        <v>Matched</v>
      </c>
    </row>
    <row r="349" customFormat="false" ht="15" hidden="false" customHeight="false" outlineLevel="0" collapsed="false">
      <c r="A349" s="6" t="s">
        <v>634</v>
      </c>
      <c r="B349" s="6" t="n">
        <v>2025</v>
      </c>
      <c r="C349" s="16" t="n">
        <v>40</v>
      </c>
      <c r="D349" s="17" t="n">
        <v>680</v>
      </c>
      <c r="E349" s="6" t="n">
        <f aca="false">IFERROR(INDEX('TRANS'!$B:$B,MATCH($A349,'TRANS'!$A:$A,0)),IFERROR(INDEX('TRANS'!$B:$B,MATCH(TRIM(SUBSTITUTE($A349,CHAR(160)," ")),'TRANS'!$D:$D,0)),IFERROR(INDEX('Manual Matches'!$C:$C,MATCH($A349,'Manual Matches'!$B:$B,0)),"")))</f>
        <v>4413143</v>
      </c>
      <c r="F349" s="6" t="str">
        <f aca="false">IF($E349="","Unmatched",IF(COUNTIF('Manual Matches'!$B:$B,$A349)&gt;0,"Matched (manual)","Matched"))</f>
        <v>Matched</v>
      </c>
    </row>
    <row r="350" customFormat="false" ht="15" hidden="false" customHeight="false" outlineLevel="0" collapsed="false">
      <c r="A350" s="6" t="s">
        <v>634</v>
      </c>
      <c r="B350" s="6" t="n">
        <v>2026</v>
      </c>
      <c r="C350" s="16" t="n">
        <v>9</v>
      </c>
      <c r="D350" s="17" t="n">
        <v>153</v>
      </c>
      <c r="E350" s="6" t="n">
        <f aca="false">IFERROR(INDEX('TRANS'!$B:$B,MATCH($A350,'TRANS'!$A:$A,0)),IFERROR(INDEX('TRANS'!$B:$B,MATCH(TRIM(SUBSTITUTE($A350,CHAR(160)," ")),'TRANS'!$D:$D,0)),IFERROR(INDEX('Manual Matches'!$C:$C,MATCH($A350,'Manual Matches'!$B:$B,0)),"")))</f>
        <v>4413143</v>
      </c>
      <c r="F350" s="6" t="str">
        <f aca="false">IF($E350="","Unmatched",IF(COUNTIF('Manual Matches'!$B:$B,$A350)&gt;0,"Matched (manual)","Matched"))</f>
        <v>Matched</v>
      </c>
    </row>
    <row r="351" customFormat="false" ht="15" hidden="false" customHeight="false" outlineLevel="0" collapsed="false">
      <c r="A351" s="6" t="s">
        <v>516</v>
      </c>
      <c r="B351" s="6" t="n">
        <v>2025</v>
      </c>
      <c r="C351" s="16" t="n">
        <v>9</v>
      </c>
      <c r="D351" s="17" t="n">
        <v>1158.39</v>
      </c>
      <c r="E351" s="6" t="n">
        <f aca="false">IFERROR(INDEX('TRANS'!$B:$B,MATCH($A351,'TRANS'!$A:$A,0)),IFERROR(INDEX('TRANS'!$B:$B,MATCH(TRIM(SUBSTITUTE($A351,CHAR(160)," ")),'TRANS'!$D:$D,0)),IFERROR(INDEX('Manual Matches'!$C:$C,MATCH($A351,'Manual Matches'!$B:$B,0)),"")))</f>
        <v>4422006</v>
      </c>
      <c r="F351" s="6" t="str">
        <f aca="false">IF($E351="","Unmatched",IF(COUNTIF('Manual Matches'!$B:$B,$A351)&gt;0,"Matched (manual)","Matched"))</f>
        <v>Matched</v>
      </c>
    </row>
    <row r="352" customFormat="false" ht="15" hidden="false" customHeight="false" outlineLevel="0" collapsed="false">
      <c r="A352" s="6" t="s">
        <v>516</v>
      </c>
      <c r="B352" s="6" t="n">
        <v>2026</v>
      </c>
      <c r="C352" s="16" t="n">
        <v>6</v>
      </c>
      <c r="D352" s="17" t="n">
        <v>772.26</v>
      </c>
      <c r="E352" s="6" t="n">
        <f aca="false">IFERROR(INDEX('TRANS'!$B:$B,MATCH($A352,'TRANS'!$A:$A,0)),IFERROR(INDEX('TRANS'!$B:$B,MATCH(TRIM(SUBSTITUTE($A352,CHAR(160)," ")),'TRANS'!$D:$D,0)),IFERROR(INDEX('Manual Matches'!$C:$C,MATCH($A352,'Manual Matches'!$B:$B,0)),"")))</f>
        <v>4422006</v>
      </c>
      <c r="F352" s="6" t="str">
        <f aca="false">IF($E352="","Unmatched",IF(COUNTIF('Manual Matches'!$B:$B,$A352)&gt;0,"Matched (manual)","Matched"))</f>
        <v>Matched</v>
      </c>
    </row>
    <row r="353" customFormat="false" ht="15" hidden="false" customHeight="false" outlineLevel="0" collapsed="false">
      <c r="A353" s="6" t="s">
        <v>518</v>
      </c>
      <c r="B353" s="6" t="n">
        <v>2025</v>
      </c>
      <c r="C353" s="16" t="n">
        <v>16</v>
      </c>
      <c r="D353" s="17" t="n">
        <v>2059.36</v>
      </c>
      <c r="E353" s="6" t="n">
        <f aca="false">IFERROR(INDEX('TRANS'!$B:$B,MATCH($A353,'TRANS'!$A:$A,0)),IFERROR(INDEX('TRANS'!$B:$B,MATCH(TRIM(SUBSTITUTE($A353,CHAR(160)," ")),'TRANS'!$D:$D,0)),IFERROR(INDEX('Manual Matches'!$C:$C,MATCH($A353,'Manual Matches'!$B:$B,0)),"")))</f>
        <v>4422005</v>
      </c>
      <c r="F353" s="6" t="str">
        <f aca="false">IF($E353="","Unmatched",IF(COUNTIF('Manual Matches'!$B:$B,$A353)&gt;0,"Matched (manual)","Matched"))</f>
        <v>Matched</v>
      </c>
    </row>
    <row r="354" customFormat="false" ht="15" hidden="false" customHeight="false" outlineLevel="0" collapsed="false">
      <c r="A354" s="6" t="s">
        <v>518</v>
      </c>
      <c r="B354" s="6" t="n">
        <v>2026</v>
      </c>
      <c r="C354" s="16" t="n">
        <v>3</v>
      </c>
      <c r="D354" s="17" t="n">
        <v>386.13</v>
      </c>
      <c r="E354" s="6" t="n">
        <f aca="false">IFERROR(INDEX('TRANS'!$B:$B,MATCH($A354,'TRANS'!$A:$A,0)),IFERROR(INDEX('TRANS'!$B:$B,MATCH(TRIM(SUBSTITUTE($A354,CHAR(160)," ")),'TRANS'!$D:$D,0)),IFERROR(INDEX('Manual Matches'!$C:$C,MATCH($A354,'Manual Matches'!$B:$B,0)),"")))</f>
        <v>4422005</v>
      </c>
      <c r="F354" s="6" t="str">
        <f aca="false">IF($E354="","Unmatched",IF(COUNTIF('Manual Matches'!$B:$B,$A354)&gt;0,"Matched (manual)","Matched"))</f>
        <v>Matched</v>
      </c>
    </row>
    <row r="355" customFormat="false" ht="15" hidden="false" customHeight="false" outlineLevel="0" collapsed="false">
      <c r="A355" s="6" t="s">
        <v>380</v>
      </c>
      <c r="B355" s="6" t="n">
        <v>2025</v>
      </c>
      <c r="C355" s="16" t="n">
        <v>17</v>
      </c>
      <c r="D355" s="17" t="n">
        <v>1820.53</v>
      </c>
      <c r="E355" s="6" t="n">
        <f aca="false">IFERROR(INDEX('TRANS'!$B:$B,MATCH($A355,'TRANS'!$A:$A,0)),IFERROR(INDEX('TRANS'!$B:$B,MATCH(TRIM(SUBSTITUTE($A355,CHAR(160)," ")),'TRANS'!$D:$D,0)),IFERROR(INDEX('Manual Matches'!$C:$C,MATCH($A355,'Manual Matches'!$B:$B,0)),"")))</f>
        <v>4408152</v>
      </c>
      <c r="F355" s="6" t="str">
        <f aca="false">IF($E355="","Unmatched",IF(COUNTIF('Manual Matches'!$B:$B,$A355)&gt;0,"Matched (manual)","Matched"))</f>
        <v>Matched</v>
      </c>
    </row>
    <row r="356" customFormat="false" ht="15" hidden="false" customHeight="false" outlineLevel="0" collapsed="false">
      <c r="A356" s="6" t="s">
        <v>380</v>
      </c>
      <c r="B356" s="6" t="n">
        <v>2026</v>
      </c>
      <c r="C356" s="16" t="n">
        <v>6</v>
      </c>
      <c r="D356" s="17" t="n">
        <v>642.54</v>
      </c>
      <c r="E356" s="6" t="n">
        <f aca="false">IFERROR(INDEX('TRANS'!$B:$B,MATCH($A356,'TRANS'!$A:$A,0)),IFERROR(INDEX('TRANS'!$B:$B,MATCH(TRIM(SUBSTITUTE($A356,CHAR(160)," ")),'TRANS'!$D:$D,0)),IFERROR(INDEX('Manual Matches'!$C:$C,MATCH($A356,'Manual Matches'!$B:$B,0)),"")))</f>
        <v>4408152</v>
      </c>
      <c r="F356" s="6" t="str">
        <f aca="false">IF($E356="","Unmatched",IF(COUNTIF('Manual Matches'!$B:$B,$A356)&gt;0,"Matched (manual)","Matched"))</f>
        <v>Matched</v>
      </c>
    </row>
    <row r="357" customFormat="false" ht="15" hidden="false" customHeight="false" outlineLevel="0" collapsed="false">
      <c r="A357" s="6" t="s">
        <v>89</v>
      </c>
      <c r="B357" s="6" t="n">
        <v>2025</v>
      </c>
      <c r="C357" s="16" t="n">
        <v>16</v>
      </c>
      <c r="D357" s="17" t="n">
        <v>1038.24</v>
      </c>
      <c r="E357" s="6" t="str">
        <f aca="false">IFERROR(INDEX('TRANS'!$B:$B,MATCH($A357,'TRANS'!$A:$A,0)),IFERROR(INDEX('TRANS'!$B:$B,MATCH(TRIM(SUBSTITUTE($A357,CHAR(160)," ")),'TRANS'!$D:$D,0)),IFERROR(INDEX('Manual Matches'!$C:$C,MATCH($A357,'Manual Matches'!$B:$B,0)),"")))</f>
        <v/>
      </c>
      <c r="F357" s="6" t="str">
        <f aca="false">IF($E357="","Unmatched",IF(COUNTIF('Manual Matches'!$B:$B,$A357)&gt;0,"Matched (manual)","Matched"))</f>
        <v>Unmatched</v>
      </c>
    </row>
    <row r="358" customFormat="false" ht="15" hidden="false" customHeight="false" outlineLevel="0" collapsed="false">
      <c r="A358" s="6" t="s">
        <v>89</v>
      </c>
      <c r="B358" s="6" t="n">
        <v>2026</v>
      </c>
      <c r="C358" s="16" t="n">
        <v>1</v>
      </c>
      <c r="D358" s="17" t="n">
        <v>64.89</v>
      </c>
      <c r="E358" s="6" t="str">
        <f aca="false">IFERROR(INDEX('TRANS'!$B:$B,MATCH($A358,'TRANS'!$A:$A,0)),IFERROR(INDEX('TRANS'!$B:$B,MATCH(TRIM(SUBSTITUTE($A358,CHAR(160)," ")),'TRANS'!$D:$D,0)),IFERROR(INDEX('Manual Matches'!$C:$C,MATCH($A358,'Manual Matches'!$B:$B,0)),"")))</f>
        <v/>
      </c>
      <c r="F358" s="6" t="str">
        <f aca="false">IF($E358="","Unmatched",IF(COUNTIF('Manual Matches'!$B:$B,$A358)&gt;0,"Matched (manual)","Matched"))</f>
        <v>Unmatched</v>
      </c>
    </row>
    <row r="359" customFormat="false" ht="15" hidden="false" customHeight="false" outlineLevel="0" collapsed="false">
      <c r="A359" s="6" t="s">
        <v>91</v>
      </c>
      <c r="B359" s="6" t="n">
        <v>2025</v>
      </c>
      <c r="C359" s="16" t="n">
        <v>5</v>
      </c>
      <c r="D359" s="17" t="n">
        <v>324.45</v>
      </c>
      <c r="E359" s="6" t="str">
        <f aca="false">IFERROR(INDEX('TRANS'!$B:$B,MATCH($A359,'TRANS'!$A:$A,0)),IFERROR(INDEX('TRANS'!$B:$B,MATCH(TRIM(SUBSTITUTE($A359,CHAR(160)," ")),'TRANS'!$D:$D,0)),IFERROR(INDEX('Manual Matches'!$C:$C,MATCH($A359,'Manual Matches'!$B:$B,0)),"")))</f>
        <v/>
      </c>
      <c r="F359" s="6" t="str">
        <f aca="false">IF($E359="","Unmatched",IF(COUNTIF('Manual Matches'!$B:$B,$A359)&gt;0,"Matched (manual)","Matched"))</f>
        <v>Unmatched</v>
      </c>
    </row>
    <row r="360" customFormat="false" ht="15" hidden="false" customHeight="false" outlineLevel="0" collapsed="false">
      <c r="A360" s="6" t="s">
        <v>91</v>
      </c>
      <c r="B360" s="6" t="n">
        <v>2026</v>
      </c>
      <c r="C360" s="16" t="n">
        <v>4</v>
      </c>
      <c r="D360" s="17" t="n">
        <v>259.56</v>
      </c>
      <c r="E360" s="6" t="str">
        <f aca="false">IFERROR(INDEX('TRANS'!$B:$B,MATCH($A360,'TRANS'!$A:$A,0)),IFERROR(INDEX('TRANS'!$B:$B,MATCH(TRIM(SUBSTITUTE($A360,CHAR(160)," ")),'TRANS'!$D:$D,0)),IFERROR(INDEX('Manual Matches'!$C:$C,MATCH($A360,'Manual Matches'!$B:$B,0)),"")))</f>
        <v/>
      </c>
      <c r="F360" s="6" t="str">
        <f aca="false">IF($E360="","Unmatched",IF(COUNTIF('Manual Matches'!$B:$B,$A360)&gt;0,"Matched (manual)","Matched"))</f>
        <v>Unmatched</v>
      </c>
    </row>
    <row r="361" customFormat="false" ht="15" hidden="false" customHeight="false" outlineLevel="0" collapsed="false">
      <c r="A361" s="6" t="s">
        <v>982</v>
      </c>
      <c r="B361" s="6" t="n">
        <v>2025</v>
      </c>
      <c r="C361" s="16" t="n">
        <v>11</v>
      </c>
      <c r="D361" s="17" t="n">
        <v>231</v>
      </c>
      <c r="E361" s="6" t="n">
        <f aca="false">IFERROR(INDEX('TRANS'!$B:$B,MATCH($A361,'TRANS'!$A:$A,0)),IFERROR(INDEX('TRANS'!$B:$B,MATCH(TRIM(SUBSTITUTE($A361,CHAR(160)," ")),'TRANS'!$D:$D,0)),IFERROR(INDEX('Manual Matches'!$C:$C,MATCH($A361,'Manual Matches'!$B:$B,0)),"")))</f>
        <v>4413112</v>
      </c>
      <c r="F361" s="6" t="str">
        <f aca="false">IF($E361="","Unmatched",IF(COUNTIF('Manual Matches'!$B:$B,$A361)&gt;0,"Matched (manual)","Matched"))</f>
        <v>Matched</v>
      </c>
    </row>
    <row r="362" customFormat="false" ht="15" hidden="false" customHeight="false" outlineLevel="0" collapsed="false">
      <c r="A362" s="6" t="s">
        <v>982</v>
      </c>
      <c r="B362" s="6" t="n">
        <v>2026</v>
      </c>
      <c r="C362" s="16" t="n">
        <v>3</v>
      </c>
      <c r="D362" s="17" t="n">
        <v>63</v>
      </c>
      <c r="E362" s="6" t="n">
        <f aca="false">IFERROR(INDEX('TRANS'!$B:$B,MATCH($A362,'TRANS'!$A:$A,0)),IFERROR(INDEX('TRANS'!$B:$B,MATCH(TRIM(SUBSTITUTE($A362,CHAR(160)," ")),'TRANS'!$D:$D,0)),IFERROR(INDEX('Manual Matches'!$C:$C,MATCH($A362,'Manual Matches'!$B:$B,0)),"")))</f>
        <v>4413112</v>
      </c>
      <c r="F362" s="6" t="str">
        <f aca="false">IF($E362="","Unmatched",IF(COUNTIF('Manual Matches'!$B:$B,$A362)&gt;0,"Matched (manual)","Matched"))</f>
        <v>Matched</v>
      </c>
    </row>
    <row r="363" customFormat="false" ht="15" hidden="false" customHeight="false" outlineLevel="0" collapsed="false">
      <c r="A363" s="6" t="s">
        <v>394</v>
      </c>
      <c r="B363" s="6" t="n">
        <v>2026</v>
      </c>
      <c r="C363" s="16" t="n">
        <v>2</v>
      </c>
      <c r="D363" s="17" t="n">
        <v>320</v>
      </c>
      <c r="E363" s="6" t="n">
        <f aca="false">IFERROR(INDEX('TRANS'!$B:$B,MATCH($A363,'TRANS'!$A:$A,0)),IFERROR(INDEX('TRANS'!$B:$B,MATCH(TRIM(SUBSTITUTE($A363,CHAR(160)," ")),'TRANS'!$D:$D,0)),IFERROR(INDEX('Manual Matches'!$C:$C,MATCH($A363,'Manual Matches'!$B:$B,0)),"")))</f>
        <v>4408203</v>
      </c>
      <c r="F363" s="6" t="str">
        <f aca="false">IF($E363="","Unmatched",IF(COUNTIF('Manual Matches'!$B:$B,$A363)&gt;0,"Matched (manual)","Matched"))</f>
        <v>Matched</v>
      </c>
    </row>
    <row r="364" customFormat="false" ht="15" hidden="false" customHeight="false" outlineLevel="0" collapsed="false">
      <c r="A364" s="6" t="s">
        <v>258</v>
      </c>
      <c r="B364" s="6" t="n">
        <v>2025</v>
      </c>
      <c r="C364" s="16" t="n">
        <v>40</v>
      </c>
      <c r="D364" s="17" t="n">
        <v>944</v>
      </c>
      <c r="E364" s="6" t="n">
        <f aca="false">IFERROR(INDEX('TRANS'!$B:$B,MATCH($A364,'TRANS'!$A:$A,0)),IFERROR(INDEX('TRANS'!$B:$B,MATCH(TRIM(SUBSTITUTE($A364,CHAR(160)," ")),'TRANS'!$D:$D,0)),IFERROR(INDEX('Manual Matches'!$C:$C,MATCH($A364,'Manual Matches'!$B:$B,0)),"")))</f>
        <v>4403001</v>
      </c>
      <c r="F364" s="6" t="str">
        <f aca="false">IF($E364="","Unmatched",IF(COUNTIF('Manual Matches'!$B:$B,$A364)&gt;0,"Matched (manual)","Matched"))</f>
        <v>Matched</v>
      </c>
    </row>
    <row r="365" customFormat="false" ht="15" hidden="false" customHeight="false" outlineLevel="0" collapsed="false">
      <c r="A365" s="6" t="s">
        <v>258</v>
      </c>
      <c r="B365" s="6" t="n">
        <v>2026</v>
      </c>
      <c r="C365" s="16" t="n">
        <v>17</v>
      </c>
      <c r="D365" s="17" t="n">
        <v>401.2</v>
      </c>
      <c r="E365" s="6" t="n">
        <f aca="false">IFERROR(INDEX('TRANS'!$B:$B,MATCH($A365,'TRANS'!$A:$A,0)),IFERROR(INDEX('TRANS'!$B:$B,MATCH(TRIM(SUBSTITUTE($A365,CHAR(160)," ")),'TRANS'!$D:$D,0)),IFERROR(INDEX('Manual Matches'!$C:$C,MATCH($A365,'Manual Matches'!$B:$B,0)),"")))</f>
        <v>4403001</v>
      </c>
      <c r="F365" s="6" t="str">
        <f aca="false">IF($E365="","Unmatched",IF(COUNTIF('Manual Matches'!$B:$B,$A365)&gt;0,"Matched (manual)","Matched"))</f>
        <v>Matched</v>
      </c>
    </row>
    <row r="366" customFormat="false" ht="15" hidden="false" customHeight="false" outlineLevel="0" collapsed="false">
      <c r="A366" s="6" t="s">
        <v>498</v>
      </c>
      <c r="B366" s="6" t="n">
        <v>2025</v>
      </c>
      <c r="C366" s="16" t="n">
        <v>14</v>
      </c>
      <c r="D366" s="17" t="n">
        <v>1908.2</v>
      </c>
      <c r="E366" s="6" t="n">
        <f aca="false">IFERROR(INDEX('TRANS'!$B:$B,MATCH($A366,'TRANS'!$A:$A,0)),IFERROR(INDEX('TRANS'!$B:$B,MATCH(TRIM(SUBSTITUTE($A366,CHAR(160)," ")),'TRANS'!$D:$D,0)),IFERROR(INDEX('Manual Matches'!$C:$C,MATCH($A366,'Manual Matches'!$B:$B,0)),"")))</f>
        <v>4413131</v>
      </c>
      <c r="F366" s="6" t="str">
        <f aca="false">IF($E366="","Unmatched",IF(COUNTIF('Manual Matches'!$B:$B,$A366)&gt;0,"Matched (manual)","Matched"))</f>
        <v>Matched</v>
      </c>
    </row>
    <row r="367" customFormat="false" ht="15" hidden="false" customHeight="false" outlineLevel="0" collapsed="false">
      <c r="A367" s="6" t="s">
        <v>498</v>
      </c>
      <c r="B367" s="6" t="n">
        <v>2026</v>
      </c>
      <c r="C367" s="16" t="n">
        <v>1</v>
      </c>
      <c r="D367" s="17" t="n">
        <v>136.3</v>
      </c>
      <c r="E367" s="6" t="n">
        <f aca="false">IFERROR(INDEX('TRANS'!$B:$B,MATCH($A367,'TRANS'!$A:$A,0)),IFERROR(INDEX('TRANS'!$B:$B,MATCH(TRIM(SUBSTITUTE($A367,CHAR(160)," ")),'TRANS'!$D:$D,0)),IFERROR(INDEX('Manual Matches'!$C:$C,MATCH($A367,'Manual Matches'!$B:$B,0)),"")))</f>
        <v>4413131</v>
      </c>
      <c r="F367" s="6" t="str">
        <f aca="false">IF($E367="","Unmatched",IF(COUNTIF('Manual Matches'!$B:$B,$A367)&gt;0,"Matched (manual)","Matched"))</f>
        <v>Matched</v>
      </c>
    </row>
    <row r="368" customFormat="false" ht="15" hidden="false" customHeight="false" outlineLevel="0" collapsed="false">
      <c r="A368" s="6" t="s">
        <v>376</v>
      </c>
      <c r="B368" s="6" t="n">
        <v>2025</v>
      </c>
      <c r="C368" s="16" t="n">
        <v>7</v>
      </c>
      <c r="D368" s="17" t="n">
        <v>795.06</v>
      </c>
      <c r="E368" s="6" t="n">
        <f aca="false">IFERROR(INDEX('TRANS'!$B:$B,MATCH($A368,'TRANS'!$A:$A,0)),IFERROR(INDEX('TRANS'!$B:$B,MATCH(TRIM(SUBSTITUTE($A368,CHAR(160)," ")),'TRANS'!$D:$D,0)),IFERROR(INDEX('Manual Matches'!$C:$C,MATCH($A368,'Manual Matches'!$B:$B,0)),"")))</f>
        <v>4408262</v>
      </c>
      <c r="F368" s="6" t="str">
        <f aca="false">IF($E368="","Unmatched",IF(COUNTIF('Manual Matches'!$B:$B,$A368)&gt;0,"Matched (manual)","Matched"))</f>
        <v>Matched</v>
      </c>
    </row>
    <row r="369" customFormat="false" ht="15" hidden="false" customHeight="false" outlineLevel="0" collapsed="false">
      <c r="A369" s="6" t="s">
        <v>90</v>
      </c>
      <c r="B369" s="6" t="n">
        <v>2025</v>
      </c>
      <c r="C369" s="16" t="n">
        <v>6</v>
      </c>
      <c r="D369" s="17" t="n">
        <v>389.34</v>
      </c>
      <c r="E369" s="6" t="str">
        <f aca="false">IFERROR(INDEX('TRANS'!$B:$B,MATCH($A369,'TRANS'!$A:$A,0)),IFERROR(INDEX('TRANS'!$B:$B,MATCH(TRIM(SUBSTITUTE($A369,CHAR(160)," ")),'TRANS'!$D:$D,0)),IFERROR(INDEX('Manual Matches'!$C:$C,MATCH($A369,'Manual Matches'!$B:$B,0)),"")))</f>
        <v/>
      </c>
      <c r="F369" s="6" t="str">
        <f aca="false">IF($E369="","Unmatched",IF(COUNTIF('Manual Matches'!$B:$B,$A369)&gt;0,"Matched (manual)","Matched"))</f>
        <v>Unmatched</v>
      </c>
    </row>
    <row r="370" customFormat="false" ht="15" hidden="false" customHeight="false" outlineLevel="0" collapsed="false">
      <c r="A370" s="6" t="s">
        <v>906</v>
      </c>
      <c r="B370" s="6" t="n">
        <v>2025</v>
      </c>
      <c r="C370" s="16" t="n">
        <v>44</v>
      </c>
      <c r="D370" s="17" t="n">
        <v>4283.4</v>
      </c>
      <c r="E370" s="6" t="n">
        <f aca="false">IFERROR(INDEX('TRANS'!$B:$B,MATCH($A370,'TRANS'!$A:$A,0)),IFERROR(INDEX('TRANS'!$B:$B,MATCH(TRIM(SUBSTITUTE($A370,CHAR(160)," ")),'TRANS'!$D:$D,0)),IFERROR(INDEX('Manual Matches'!$C:$C,MATCH($A370,'Manual Matches'!$B:$B,0)),"")))</f>
        <v>4415019</v>
      </c>
      <c r="F370" s="6" t="str">
        <f aca="false">IF($E370="","Unmatched",IF(COUNTIF('Manual Matches'!$B:$B,$A370)&gt;0,"Matched (manual)","Matched"))</f>
        <v>Matched</v>
      </c>
    </row>
    <row r="371" customFormat="false" ht="15" hidden="false" customHeight="false" outlineLevel="0" collapsed="false">
      <c r="A371" s="6" t="s">
        <v>906</v>
      </c>
      <c r="B371" s="6" t="n">
        <v>2026</v>
      </c>
      <c r="C371" s="16" t="n">
        <v>-1</v>
      </c>
      <c r="D371" s="17" t="n">
        <v>-97.35</v>
      </c>
      <c r="E371" s="6" t="n">
        <f aca="false">IFERROR(INDEX('TRANS'!$B:$B,MATCH($A371,'TRANS'!$A:$A,0)),IFERROR(INDEX('TRANS'!$B:$B,MATCH(TRIM(SUBSTITUTE($A371,CHAR(160)," ")),'TRANS'!$D:$D,0)),IFERROR(INDEX('Manual Matches'!$C:$C,MATCH($A371,'Manual Matches'!$B:$B,0)),"")))</f>
        <v>4415019</v>
      </c>
      <c r="F371" s="6" t="str">
        <f aca="false">IF($E371="","Unmatched",IF(COUNTIF('Manual Matches'!$B:$B,$A371)&gt;0,"Matched (manual)","Matched"))</f>
        <v>Matched</v>
      </c>
    </row>
    <row r="372" customFormat="false" ht="15" hidden="false" customHeight="false" outlineLevel="0" collapsed="false">
      <c r="A372" s="6" t="s">
        <v>602</v>
      </c>
      <c r="B372" s="6" t="n">
        <v>2025</v>
      </c>
      <c r="C372" s="16" t="n">
        <v>1</v>
      </c>
      <c r="D372" s="17" t="n">
        <v>195.73</v>
      </c>
      <c r="E372" s="6" t="n">
        <f aca="false">IFERROR(INDEX('TRANS'!$B:$B,MATCH($A372,'TRANS'!$A:$A,0)),IFERROR(INDEX('TRANS'!$B:$B,MATCH(TRIM(SUBSTITUTE($A372,CHAR(160)," ")),'TRANS'!$D:$D,0)),IFERROR(INDEX('Manual Matches'!$C:$C,MATCH($A372,'Manual Matches'!$B:$B,0)),"")))</f>
        <v>4408073</v>
      </c>
      <c r="F372" s="6" t="str">
        <f aca="false">IF($E372="","Unmatched",IF(COUNTIF('Manual Matches'!$B:$B,$A372)&gt;0,"Matched (manual)","Matched"))</f>
        <v>Matched</v>
      </c>
    </row>
    <row r="373" customFormat="false" ht="15" hidden="false" customHeight="false" outlineLevel="0" collapsed="false">
      <c r="A373" s="6" t="s">
        <v>602</v>
      </c>
      <c r="B373" s="6" t="n">
        <v>2026</v>
      </c>
      <c r="C373" s="16" t="n">
        <v>2</v>
      </c>
      <c r="D373" s="17" t="n">
        <v>391.46</v>
      </c>
      <c r="E373" s="6" t="n">
        <f aca="false">IFERROR(INDEX('TRANS'!$B:$B,MATCH($A373,'TRANS'!$A:$A,0)),IFERROR(INDEX('TRANS'!$B:$B,MATCH(TRIM(SUBSTITUTE($A373,CHAR(160)," ")),'TRANS'!$D:$D,0)),IFERROR(INDEX('Manual Matches'!$C:$C,MATCH($A373,'Manual Matches'!$B:$B,0)),"")))</f>
        <v>4408073</v>
      </c>
      <c r="F373" s="6" t="str">
        <f aca="false">IF($E373="","Unmatched",IF(COUNTIF('Manual Matches'!$B:$B,$A373)&gt;0,"Matched (manual)","Matched"))</f>
        <v>Matched</v>
      </c>
    </row>
    <row r="374" customFormat="false" ht="15" hidden="false" customHeight="false" outlineLevel="0" collapsed="false">
      <c r="A374" s="6" t="s">
        <v>604</v>
      </c>
      <c r="B374" s="6" t="n">
        <v>2025</v>
      </c>
      <c r="C374" s="16" t="n">
        <v>4</v>
      </c>
      <c r="D374" s="17" t="n">
        <v>506.28</v>
      </c>
      <c r="E374" s="6" t="n">
        <f aca="false">IFERROR(INDEX('TRANS'!$B:$B,MATCH($A374,'TRANS'!$A:$A,0)),IFERROR(INDEX('TRANS'!$B:$B,MATCH(TRIM(SUBSTITUTE($A374,CHAR(160)," ")),'TRANS'!$D:$D,0)),IFERROR(INDEX('Manual Matches'!$C:$C,MATCH($A374,'Manual Matches'!$B:$B,0)),"")))</f>
        <v>4408076</v>
      </c>
      <c r="F374" s="6" t="str">
        <f aca="false">IF($E374="","Unmatched",IF(COUNTIF('Manual Matches'!$B:$B,$A374)&gt;0,"Matched (manual)","Matched"))</f>
        <v>Matched</v>
      </c>
    </row>
    <row r="375" customFormat="false" ht="15" hidden="false" customHeight="false" outlineLevel="0" collapsed="false">
      <c r="A375" s="6" t="s">
        <v>606</v>
      </c>
      <c r="B375" s="6" t="n">
        <v>2025</v>
      </c>
      <c r="C375" s="16" t="n">
        <v>15</v>
      </c>
      <c r="D375" s="17" t="n">
        <v>1898.55</v>
      </c>
      <c r="E375" s="6" t="n">
        <f aca="false">IFERROR(INDEX('TRANS'!$B:$B,MATCH($A375,'TRANS'!$A:$A,0)),IFERROR(INDEX('TRANS'!$B:$B,MATCH(TRIM(SUBSTITUTE($A375,CHAR(160)," ")),'TRANS'!$D:$D,0)),IFERROR(INDEX('Manual Matches'!$C:$C,MATCH($A375,'Manual Matches'!$B:$B,0)),"")))</f>
        <v>4408077</v>
      </c>
      <c r="F375" s="6" t="str">
        <f aca="false">IF($E375="","Unmatched",IF(COUNTIF('Manual Matches'!$B:$B,$A375)&gt;0,"Matched (manual)","Matched"))</f>
        <v>Matched</v>
      </c>
    </row>
    <row r="376" customFormat="false" ht="15" hidden="false" customHeight="false" outlineLevel="0" collapsed="false">
      <c r="A376" s="6" t="s">
        <v>606</v>
      </c>
      <c r="B376" s="6" t="n">
        <v>2026</v>
      </c>
      <c r="C376" s="16" t="n">
        <v>4</v>
      </c>
      <c r="D376" s="17" t="n">
        <v>506.28</v>
      </c>
      <c r="E376" s="6" t="n">
        <f aca="false">IFERROR(INDEX('TRANS'!$B:$B,MATCH($A376,'TRANS'!$A:$A,0)),IFERROR(INDEX('TRANS'!$B:$B,MATCH(TRIM(SUBSTITUTE($A376,CHAR(160)," ")),'TRANS'!$D:$D,0)),IFERROR(INDEX('Manual Matches'!$C:$C,MATCH($A376,'Manual Matches'!$B:$B,0)),"")))</f>
        <v>4408077</v>
      </c>
      <c r="F376" s="6" t="str">
        <f aca="false">IF($E376="","Unmatched",IF(COUNTIF('Manual Matches'!$B:$B,$A376)&gt;0,"Matched (manual)","Matched"))</f>
        <v>Matched</v>
      </c>
    </row>
    <row r="377" customFormat="false" ht="15" hidden="false" customHeight="false" outlineLevel="0" collapsed="false">
      <c r="A377" s="6" t="s">
        <v>610</v>
      </c>
      <c r="B377" s="6" t="n">
        <v>2025</v>
      </c>
      <c r="C377" s="16" t="n">
        <v>1</v>
      </c>
      <c r="D377" s="17" t="n">
        <v>126.57</v>
      </c>
      <c r="E377" s="6" t="n">
        <f aca="false">IFERROR(INDEX('TRANS'!$B:$B,MATCH($A377,'TRANS'!$A:$A,0)),IFERROR(INDEX('TRANS'!$B:$B,MATCH(TRIM(SUBSTITUTE($A377,CHAR(160)," ")),'TRANS'!$D:$D,0)),IFERROR(INDEX('Manual Matches'!$C:$C,MATCH($A377,'Manual Matches'!$B:$B,0)),"")))</f>
        <v>4408078</v>
      </c>
      <c r="F377" s="6" t="str">
        <f aca="false">IF($E377="","Unmatched",IF(COUNTIF('Manual Matches'!$B:$B,$A377)&gt;0,"Matched (manual)","Matched"))</f>
        <v>Matched</v>
      </c>
    </row>
    <row r="378" customFormat="false" ht="15" hidden="false" customHeight="false" outlineLevel="0" collapsed="false">
      <c r="A378" s="6" t="s">
        <v>610</v>
      </c>
      <c r="B378" s="6" t="n">
        <v>2026</v>
      </c>
      <c r="C378" s="16" t="n">
        <v>1</v>
      </c>
      <c r="D378" s="17" t="n">
        <v>126.57</v>
      </c>
      <c r="E378" s="6" t="n">
        <f aca="false">IFERROR(INDEX('TRANS'!$B:$B,MATCH($A378,'TRANS'!$A:$A,0)),IFERROR(INDEX('TRANS'!$B:$B,MATCH(TRIM(SUBSTITUTE($A378,CHAR(160)," ")),'TRANS'!$D:$D,0)),IFERROR(INDEX('Manual Matches'!$C:$C,MATCH($A378,'Manual Matches'!$B:$B,0)),"")))</f>
        <v>4408078</v>
      </c>
      <c r="F378" s="6" t="str">
        <f aca="false">IF($E378="","Unmatched",IF(COUNTIF('Manual Matches'!$B:$B,$A378)&gt;0,"Matched (manual)","Matched"))</f>
        <v>Matched</v>
      </c>
    </row>
    <row r="379" customFormat="false" ht="15" hidden="false" customHeight="false" outlineLevel="0" collapsed="false">
      <c r="A379" s="6" t="s">
        <v>618</v>
      </c>
      <c r="B379" s="6" t="n">
        <v>2025</v>
      </c>
      <c r="C379" s="16" t="n">
        <v>7</v>
      </c>
      <c r="D379" s="17" t="n">
        <v>885.99</v>
      </c>
      <c r="E379" s="6" t="n">
        <f aca="false">IFERROR(INDEX('TRANS'!$B:$B,MATCH($A379,'TRANS'!$A:$A,0)),IFERROR(INDEX('TRANS'!$B:$B,MATCH(TRIM(SUBSTITUTE($A379,CHAR(160)," ")),'TRANS'!$D:$D,0)),IFERROR(INDEX('Manual Matches'!$C:$C,MATCH($A379,'Manual Matches'!$B:$B,0)),"")))</f>
        <v>4408082</v>
      </c>
      <c r="F379" s="6" t="str">
        <f aca="false">IF($E379="","Unmatched",IF(COUNTIF('Manual Matches'!$B:$B,$A379)&gt;0,"Matched (manual)","Matched"))</f>
        <v>Matched</v>
      </c>
    </row>
    <row r="380" customFormat="false" ht="15" hidden="false" customHeight="false" outlineLevel="0" collapsed="false">
      <c r="A380" s="6" t="s">
        <v>494</v>
      </c>
      <c r="B380" s="6" t="n">
        <v>2025</v>
      </c>
      <c r="C380" s="16" t="n">
        <v>19</v>
      </c>
      <c r="D380" s="17" t="n">
        <v>2589.7</v>
      </c>
      <c r="E380" s="6" t="n">
        <f aca="false">IFERROR(INDEX('TRANS'!$B:$B,MATCH($A380,'TRANS'!$A:$A,0)),IFERROR(INDEX('TRANS'!$B:$B,MATCH(TRIM(SUBSTITUTE($A380,CHAR(160)," ")),'TRANS'!$D:$D,0)),IFERROR(INDEX('Manual Matches'!$C:$C,MATCH($A380,'Manual Matches'!$B:$B,0)),"")))</f>
        <v>4413132</v>
      </c>
      <c r="F380" s="6" t="str">
        <f aca="false">IF($E380="","Unmatched",IF(COUNTIF('Manual Matches'!$B:$B,$A380)&gt;0,"Matched (manual)","Matched"))</f>
        <v>Matched</v>
      </c>
    </row>
    <row r="381" customFormat="false" ht="15" hidden="false" customHeight="false" outlineLevel="0" collapsed="false">
      <c r="A381" s="6" t="s">
        <v>494</v>
      </c>
      <c r="B381" s="6" t="n">
        <v>2026</v>
      </c>
      <c r="C381" s="16" t="n">
        <v>10</v>
      </c>
      <c r="D381" s="17" t="n">
        <v>1363</v>
      </c>
      <c r="E381" s="6" t="n">
        <f aca="false">IFERROR(INDEX('TRANS'!$B:$B,MATCH($A381,'TRANS'!$A:$A,0)),IFERROR(INDEX('TRANS'!$B:$B,MATCH(TRIM(SUBSTITUTE($A381,CHAR(160)," ")),'TRANS'!$D:$D,0)),IFERROR(INDEX('Manual Matches'!$C:$C,MATCH($A381,'Manual Matches'!$B:$B,0)),"")))</f>
        <v>4413132</v>
      </c>
      <c r="F381" s="6" t="str">
        <f aca="false">IF($E381="","Unmatched",IF(COUNTIF('Manual Matches'!$B:$B,$A381)&gt;0,"Matched (manual)","Matched"))</f>
        <v>Matched</v>
      </c>
    </row>
    <row r="382" customFormat="false" ht="15" hidden="false" customHeight="false" outlineLevel="0" collapsed="false">
      <c r="A382" s="6" t="s">
        <v>530</v>
      </c>
      <c r="B382" s="6" t="n">
        <v>2025</v>
      </c>
      <c r="C382" s="16" t="n">
        <v>2</v>
      </c>
      <c r="D382" s="17" t="n">
        <v>31.82</v>
      </c>
      <c r="E382" s="6" t="n">
        <f aca="false">IFERROR(INDEX('TRANS'!$B:$B,MATCH($A382,'TRANS'!$A:$A,0)),IFERROR(INDEX('TRANS'!$B:$B,MATCH(TRIM(SUBSTITUTE($A382,CHAR(160)," ")),'TRANS'!$D:$D,0)),IFERROR(INDEX('Manual Matches'!$C:$C,MATCH($A382,'Manual Matches'!$B:$B,0)),"")))</f>
        <v>4420023</v>
      </c>
      <c r="F382" s="6" t="str">
        <f aca="false">IF($E382="","Unmatched",IF(COUNTIF('Manual Matches'!$B:$B,$A382)&gt;0,"Matched (manual)","Matched"))</f>
        <v>Matched</v>
      </c>
    </row>
    <row r="383" customFormat="false" ht="15" hidden="false" customHeight="false" outlineLevel="0" collapsed="false">
      <c r="A383" s="6" t="s">
        <v>530</v>
      </c>
      <c r="B383" s="6" t="n">
        <v>2026</v>
      </c>
      <c r="C383" s="16" t="n">
        <v>1</v>
      </c>
      <c r="D383" s="17" t="n">
        <v>15.91</v>
      </c>
      <c r="E383" s="6" t="n">
        <f aca="false">IFERROR(INDEX('TRANS'!$B:$B,MATCH($A383,'TRANS'!$A:$A,0)),IFERROR(INDEX('TRANS'!$B:$B,MATCH(TRIM(SUBSTITUTE($A383,CHAR(160)," ")),'TRANS'!$D:$D,0)),IFERROR(INDEX('Manual Matches'!$C:$C,MATCH($A383,'Manual Matches'!$B:$B,0)),"")))</f>
        <v>4420023</v>
      </c>
      <c r="F383" s="6" t="str">
        <f aca="false">IF($E383="","Unmatched",IF(COUNTIF('Manual Matches'!$B:$B,$A383)&gt;0,"Matched (manual)","Matched"))</f>
        <v>Matched</v>
      </c>
    </row>
    <row r="384" customFormat="false" ht="15" hidden="false" customHeight="false" outlineLevel="0" collapsed="false">
      <c r="A384" s="6" t="s">
        <v>542</v>
      </c>
      <c r="B384" s="6" t="n">
        <v>2025</v>
      </c>
      <c r="C384" s="16" t="n">
        <v>69</v>
      </c>
      <c r="D384" s="17" t="n">
        <v>997.05</v>
      </c>
      <c r="E384" s="6" t="n">
        <f aca="false">IFERROR(INDEX('TRANS'!$B:$B,MATCH($A384,'TRANS'!$A:$A,0)),IFERROR(INDEX('TRANS'!$B:$B,MATCH(TRIM(SUBSTITUTE($A384,CHAR(160)," ")),'TRANS'!$D:$D,0)),IFERROR(INDEX('Manual Matches'!$C:$C,MATCH($A384,'Manual Matches'!$B:$B,0)),"")))</f>
        <v>4420024</v>
      </c>
      <c r="F384" s="6" t="str">
        <f aca="false">IF($E384="","Unmatched",IF(COUNTIF('Manual Matches'!$B:$B,$A384)&gt;0,"Matched (manual)","Matched"))</f>
        <v>Matched</v>
      </c>
    </row>
    <row r="385" customFormat="false" ht="15" hidden="false" customHeight="false" outlineLevel="0" collapsed="false">
      <c r="A385" s="6" t="s">
        <v>542</v>
      </c>
      <c r="B385" s="6" t="n">
        <v>2026</v>
      </c>
      <c r="C385" s="16" t="n">
        <v>3</v>
      </c>
      <c r="D385" s="17" t="n">
        <v>43.35</v>
      </c>
      <c r="E385" s="6" t="n">
        <f aca="false">IFERROR(INDEX('TRANS'!$B:$B,MATCH($A385,'TRANS'!$A:$A,0)),IFERROR(INDEX('TRANS'!$B:$B,MATCH(TRIM(SUBSTITUTE($A385,CHAR(160)," ")),'TRANS'!$D:$D,0)),IFERROR(INDEX('Manual Matches'!$C:$C,MATCH($A385,'Manual Matches'!$B:$B,0)),"")))</f>
        <v>4420024</v>
      </c>
      <c r="F385" s="6" t="str">
        <f aca="false">IF($E385="","Unmatched",IF(COUNTIF('Manual Matches'!$B:$B,$A385)&gt;0,"Matched (manual)","Matched"))</f>
        <v>Matched</v>
      </c>
    </row>
    <row r="386" customFormat="false" ht="15" hidden="false" customHeight="false" outlineLevel="0" collapsed="false">
      <c r="A386" s="6" t="s">
        <v>986</v>
      </c>
      <c r="B386" s="6" t="n">
        <v>2026</v>
      </c>
      <c r="C386" s="16" t="n">
        <v>1</v>
      </c>
      <c r="D386" s="17" t="n">
        <v>21</v>
      </c>
      <c r="E386" s="6" t="n">
        <f aca="false">IFERROR(INDEX('TRANS'!$B:$B,MATCH($A386,'TRANS'!$A:$A,0)),IFERROR(INDEX('TRANS'!$B:$B,MATCH(TRIM(SUBSTITUTE($A386,CHAR(160)," ")),'TRANS'!$D:$D,0)),IFERROR(INDEX('Manual Matches'!$C:$C,MATCH($A386,'Manual Matches'!$B:$B,0)),"")))</f>
        <v>4413111</v>
      </c>
      <c r="F386" s="6" t="str">
        <f aca="false">IF($E386="","Unmatched",IF(COUNTIF('Manual Matches'!$B:$B,$A386)&gt;0,"Matched (manual)","Matched"))</f>
        <v>Matched</v>
      </c>
    </row>
    <row r="387" customFormat="false" ht="15" hidden="false" customHeight="false" outlineLevel="0" collapsed="false">
      <c r="A387" s="6" t="s">
        <v>86</v>
      </c>
      <c r="B387" s="6" t="n">
        <v>2025</v>
      </c>
      <c r="C387" s="16" t="n">
        <v>2</v>
      </c>
      <c r="D387" s="17" t="n">
        <v>130</v>
      </c>
      <c r="E387" s="6" t="str">
        <f aca="false">IFERROR(INDEX('TRANS'!$B:$B,MATCH($A387,'TRANS'!$A:$A,0)),IFERROR(INDEX('TRANS'!$B:$B,MATCH(TRIM(SUBSTITUTE($A387,CHAR(160)," ")),'TRANS'!$D:$D,0)),IFERROR(INDEX('Manual Matches'!$C:$C,MATCH($A387,'Manual Matches'!$B:$B,0)),"")))</f>
        <v/>
      </c>
      <c r="F387" s="6" t="str">
        <f aca="false">IF($E387="","Unmatched",IF(COUNTIF('Manual Matches'!$B:$B,$A387)&gt;0,"Matched (manual)","Matched"))</f>
        <v>Unmatched</v>
      </c>
    </row>
    <row r="388" customFormat="false" ht="15" hidden="false" customHeight="false" outlineLevel="0" collapsed="false">
      <c r="A388" s="6" t="s">
        <v>382</v>
      </c>
      <c r="B388" s="6" t="n">
        <v>2025</v>
      </c>
      <c r="C388" s="16" t="n">
        <v>8</v>
      </c>
      <c r="D388" s="17" t="n">
        <v>856.72</v>
      </c>
      <c r="E388" s="6" t="n">
        <f aca="false">IFERROR(INDEX('TRANS'!$B:$B,MATCH($A388,'TRANS'!$A:$A,0)),IFERROR(INDEX('TRANS'!$B:$B,MATCH(TRIM(SUBSTITUTE($A388,CHAR(160)," ")),'TRANS'!$D:$D,0)),IFERROR(INDEX('Manual Matches'!$C:$C,MATCH($A388,'Manual Matches'!$B:$B,0)),"")))</f>
        <v>4408151</v>
      </c>
      <c r="F388" s="6" t="str">
        <f aca="false">IF($E388="","Unmatched",IF(COUNTIF('Manual Matches'!$B:$B,$A388)&gt;0,"Matched (manual)","Matched"))</f>
        <v>Matched</v>
      </c>
    </row>
    <row r="389" customFormat="false" ht="15" hidden="false" customHeight="false" outlineLevel="0" collapsed="false">
      <c r="A389" s="6" t="s">
        <v>390</v>
      </c>
      <c r="B389" s="6" t="n">
        <v>2025</v>
      </c>
      <c r="C389" s="16" t="n">
        <v>7</v>
      </c>
      <c r="D389" s="17" t="n">
        <v>749.63</v>
      </c>
      <c r="E389" s="6" t="n">
        <f aca="false">IFERROR(INDEX('TRANS'!$B:$B,MATCH($A389,'TRANS'!$A:$A,0)),IFERROR(INDEX('TRANS'!$B:$B,MATCH(TRIM(SUBSTITUTE($A389,CHAR(160)," ")),'TRANS'!$D:$D,0)),IFERROR(INDEX('Manual Matches'!$C:$C,MATCH($A389,'Manual Matches'!$B:$B,0)),"")))</f>
        <v>4408179</v>
      </c>
      <c r="F389" s="6" t="str">
        <f aca="false">IF($E389="","Unmatched",IF(COUNTIF('Manual Matches'!$B:$B,$A389)&gt;0,"Matched (manual)","Matched"))</f>
        <v>Matched</v>
      </c>
    </row>
    <row r="390" customFormat="false" ht="15" hidden="false" customHeight="false" outlineLevel="0" collapsed="false">
      <c r="A390" s="6" t="s">
        <v>390</v>
      </c>
      <c r="B390" s="6" t="n">
        <v>2026</v>
      </c>
      <c r="C390" s="16" t="n">
        <v>-2</v>
      </c>
      <c r="D390" s="17" t="n">
        <v>-214.18</v>
      </c>
      <c r="E390" s="6" t="n">
        <f aca="false">IFERROR(INDEX('TRANS'!$B:$B,MATCH($A390,'TRANS'!$A:$A,0)),IFERROR(INDEX('TRANS'!$B:$B,MATCH(TRIM(SUBSTITUTE($A390,CHAR(160)," ")),'TRANS'!$D:$D,0)),IFERROR(INDEX('Manual Matches'!$C:$C,MATCH($A390,'Manual Matches'!$B:$B,0)),"")))</f>
        <v>4408179</v>
      </c>
      <c r="F390" s="6" t="str">
        <f aca="false">IF($E390="","Unmatched",IF(COUNTIF('Manual Matches'!$B:$B,$A390)&gt;0,"Matched (manual)","Matched"))</f>
        <v>Matched</v>
      </c>
    </row>
    <row r="391" customFormat="false" ht="15" hidden="false" customHeight="false" outlineLevel="0" collapsed="false">
      <c r="A391" s="6" t="s">
        <v>115</v>
      </c>
      <c r="B391" s="6" t="n">
        <v>2025</v>
      </c>
      <c r="C391" s="16" t="n">
        <v>1</v>
      </c>
      <c r="D391" s="17" t="n">
        <v>73.8</v>
      </c>
      <c r="E391" s="6" t="str">
        <f aca="false">IFERROR(INDEX('TRANS'!$B:$B,MATCH($A391,'TRANS'!$A:$A,0)),IFERROR(INDEX('TRANS'!$B:$B,MATCH(TRIM(SUBSTITUTE($A391,CHAR(160)," ")),'TRANS'!$D:$D,0)),IFERROR(INDEX('Manual Matches'!$C:$C,MATCH($A391,'Manual Matches'!$B:$B,0)),"")))</f>
        <v/>
      </c>
      <c r="F391" s="6" t="str">
        <f aca="false">IF($E391="","Unmatched",IF(COUNTIF('Manual Matches'!$B:$B,$A391)&gt;0,"Matched (manual)","Matched"))</f>
        <v>Unmatched</v>
      </c>
    </row>
    <row r="392" customFormat="false" ht="15" hidden="false" customHeight="false" outlineLevel="0" collapsed="false">
      <c r="A392" s="6" t="s">
        <v>115</v>
      </c>
      <c r="B392" s="6" t="n">
        <v>2026</v>
      </c>
      <c r="C392" s="16" t="n">
        <v>6</v>
      </c>
      <c r="D392" s="17" t="n">
        <v>442.8</v>
      </c>
      <c r="E392" s="6" t="str">
        <f aca="false">IFERROR(INDEX('TRANS'!$B:$B,MATCH($A392,'TRANS'!$A:$A,0)),IFERROR(INDEX('TRANS'!$B:$B,MATCH(TRIM(SUBSTITUTE($A392,CHAR(160)," ")),'TRANS'!$D:$D,0)),IFERROR(INDEX('Manual Matches'!$C:$C,MATCH($A392,'Manual Matches'!$B:$B,0)),"")))</f>
        <v/>
      </c>
      <c r="F392" s="6" t="str">
        <f aca="false">IF($E392="","Unmatched",IF(COUNTIF('Manual Matches'!$B:$B,$A392)&gt;0,"Matched (manual)","Matched"))</f>
        <v>Unmatched</v>
      </c>
    </row>
    <row r="393" customFormat="false" ht="15" hidden="false" customHeight="false" outlineLevel="0" collapsed="false">
      <c r="A393" s="6" t="s">
        <v>990</v>
      </c>
      <c r="B393" s="6" t="n">
        <v>2025</v>
      </c>
      <c r="C393" s="16" t="n">
        <v>1</v>
      </c>
      <c r="D393" s="17" t="n">
        <v>21</v>
      </c>
      <c r="E393" s="6" t="n">
        <f aca="false">IFERROR(INDEX('TRANS'!$B:$B,MATCH($A393,'TRANS'!$A:$A,0)),IFERROR(INDEX('TRANS'!$B:$B,MATCH(TRIM(SUBSTITUTE($A393,CHAR(160)," ")),'TRANS'!$D:$D,0)),IFERROR(INDEX('Manual Matches'!$C:$C,MATCH($A393,'Manual Matches'!$B:$B,0)),"")))</f>
        <v>4413115</v>
      </c>
      <c r="F393" s="6" t="str">
        <f aca="false">IF($E393="","Unmatched",IF(COUNTIF('Manual Matches'!$B:$B,$A393)&gt;0,"Matched (manual)","Matched"))</f>
        <v>Matched</v>
      </c>
    </row>
    <row r="394" customFormat="false" ht="15" hidden="false" customHeight="false" outlineLevel="0" collapsed="false">
      <c r="A394" s="6" t="s">
        <v>378</v>
      </c>
      <c r="B394" s="6" t="n">
        <v>2025</v>
      </c>
      <c r="C394" s="16" t="n">
        <v>7</v>
      </c>
      <c r="D394" s="17" t="n">
        <v>795.06</v>
      </c>
      <c r="E394" s="6" t="n">
        <f aca="false">IFERROR(INDEX('TRANS'!$B:$B,MATCH($A394,'TRANS'!$A:$A,0)),IFERROR(INDEX('TRANS'!$B:$B,MATCH(TRIM(SUBSTITUTE($A394,CHAR(160)," ")),'TRANS'!$D:$D,0)),IFERROR(INDEX('Manual Matches'!$C:$C,MATCH($A394,'Manual Matches'!$B:$B,0)),"")))</f>
        <v>4408263</v>
      </c>
      <c r="F394" s="6" t="str">
        <f aca="false">IF($E394="","Unmatched",IF(COUNTIF('Manual Matches'!$B:$B,$A394)&gt;0,"Matched (manual)","Matched"))</f>
        <v>Matched</v>
      </c>
    </row>
    <row r="395" customFormat="false" ht="15" hidden="false" customHeight="false" outlineLevel="0" collapsed="false">
      <c r="A395" s="6" t="s">
        <v>598</v>
      </c>
      <c r="B395" s="6" t="n">
        <v>2025</v>
      </c>
      <c r="C395" s="16" t="n">
        <v>5</v>
      </c>
      <c r="D395" s="17" t="n">
        <v>978.65</v>
      </c>
      <c r="E395" s="6" t="n">
        <f aca="false">IFERROR(INDEX('TRANS'!$B:$B,MATCH($A395,'TRANS'!$A:$A,0)),IFERROR(INDEX('TRANS'!$B:$B,MATCH(TRIM(SUBSTITUTE($A395,CHAR(160)," ")),'TRANS'!$D:$D,0)),IFERROR(INDEX('Manual Matches'!$C:$C,MATCH($A395,'Manual Matches'!$B:$B,0)),"")))</f>
        <v>4408072</v>
      </c>
      <c r="F395" s="6" t="str">
        <f aca="false">IF($E395="","Unmatched",IF(COUNTIF('Manual Matches'!$B:$B,$A395)&gt;0,"Matched (manual)","Matched"))</f>
        <v>Matched</v>
      </c>
    </row>
    <row r="396" customFormat="false" ht="15" hidden="false" customHeight="false" outlineLevel="0" collapsed="false">
      <c r="A396" s="6" t="s">
        <v>598</v>
      </c>
      <c r="B396" s="6" t="n">
        <v>2026</v>
      </c>
      <c r="C396" s="16" t="n">
        <v>1</v>
      </c>
      <c r="D396" s="17" t="n">
        <v>195.73</v>
      </c>
      <c r="E396" s="6" t="n">
        <f aca="false">IFERROR(INDEX('TRANS'!$B:$B,MATCH($A396,'TRANS'!$A:$A,0)),IFERROR(INDEX('TRANS'!$B:$B,MATCH(TRIM(SUBSTITUTE($A396,CHAR(160)," ")),'TRANS'!$D:$D,0)),IFERROR(INDEX('Manual Matches'!$C:$C,MATCH($A396,'Manual Matches'!$B:$B,0)),"")))</f>
        <v>4408072</v>
      </c>
      <c r="F396" s="6" t="str">
        <f aca="false">IF($E396="","Unmatched",IF(COUNTIF('Manual Matches'!$B:$B,$A396)&gt;0,"Matched (manual)","Matched"))</f>
        <v>Matched</v>
      </c>
    </row>
    <row r="397" customFormat="false" ht="15" hidden="false" customHeight="false" outlineLevel="0" collapsed="false">
      <c r="A397" s="6" t="s">
        <v>600</v>
      </c>
      <c r="B397" s="6" t="n">
        <v>2025</v>
      </c>
      <c r="C397" s="16" t="n">
        <v>2</v>
      </c>
      <c r="D397" s="17" t="n">
        <v>391.46</v>
      </c>
      <c r="E397" s="6" t="n">
        <f aca="false">IFERROR(INDEX('TRANS'!$B:$B,MATCH($A397,'TRANS'!$A:$A,0)),IFERROR(INDEX('TRANS'!$B:$B,MATCH(TRIM(SUBSTITUTE($A397,CHAR(160)," ")),'TRANS'!$D:$D,0)),IFERROR(INDEX('Manual Matches'!$C:$C,MATCH($A397,'Manual Matches'!$B:$B,0)),"")))</f>
        <v>4408070</v>
      </c>
      <c r="F397" s="6" t="str">
        <f aca="false">IF($E397="","Unmatched",IF(COUNTIF('Manual Matches'!$B:$B,$A397)&gt;0,"Matched (manual)","Matched"))</f>
        <v>Matched</v>
      </c>
    </row>
    <row r="398" customFormat="false" ht="15" hidden="false" customHeight="false" outlineLevel="0" collapsed="false">
      <c r="A398" s="6" t="s">
        <v>600</v>
      </c>
      <c r="B398" s="6" t="n">
        <v>2026</v>
      </c>
      <c r="C398" s="16" t="n">
        <v>1</v>
      </c>
      <c r="D398" s="17" t="n">
        <v>195.73</v>
      </c>
      <c r="E398" s="6" t="n">
        <f aca="false">IFERROR(INDEX('TRANS'!$B:$B,MATCH($A398,'TRANS'!$A:$A,0)),IFERROR(INDEX('TRANS'!$B:$B,MATCH(TRIM(SUBSTITUTE($A398,CHAR(160)," ")),'TRANS'!$D:$D,0)),IFERROR(INDEX('Manual Matches'!$C:$C,MATCH($A398,'Manual Matches'!$B:$B,0)),"")))</f>
        <v>4408070</v>
      </c>
      <c r="F398" s="6" t="str">
        <f aca="false">IF($E398="","Unmatched",IF(COUNTIF('Manual Matches'!$B:$B,$A398)&gt;0,"Matched (manual)","Matched"))</f>
        <v>Matched</v>
      </c>
    </row>
    <row r="399" customFormat="false" ht="15" hidden="false" customHeight="false" outlineLevel="0" collapsed="false">
      <c r="A399" s="6" t="s">
        <v>506</v>
      </c>
      <c r="B399" s="6" t="n">
        <v>2025</v>
      </c>
      <c r="C399" s="16" t="n">
        <v>2</v>
      </c>
      <c r="D399" s="17" t="n">
        <v>253</v>
      </c>
      <c r="E399" s="6" t="n">
        <f aca="false">IFERROR(INDEX('TRANS'!$B:$B,MATCH($A399,'TRANS'!$A:$A,0)),IFERROR(INDEX('TRANS'!$B:$B,MATCH(TRIM(SUBSTITUTE($A399,CHAR(160)," ")),'TRANS'!$D:$D,0)),IFERROR(INDEX('Manual Matches'!$C:$C,MATCH($A399,'Manual Matches'!$B:$B,0)),"")))</f>
        <v>4413195</v>
      </c>
      <c r="F399" s="6" t="str">
        <f aca="false">IF($E399="","Unmatched",IF(COUNTIF('Manual Matches'!$B:$B,$A399)&gt;0,"Matched (manual)","Matched"))</f>
        <v>Matched</v>
      </c>
    </row>
    <row r="400" customFormat="false" ht="15" hidden="false" customHeight="false" outlineLevel="0" collapsed="false">
      <c r="A400" s="6" t="s">
        <v>506</v>
      </c>
      <c r="B400" s="6" t="n">
        <v>2026</v>
      </c>
      <c r="C400" s="16" t="n">
        <v>1</v>
      </c>
      <c r="D400" s="17" t="n">
        <v>126.5</v>
      </c>
      <c r="E400" s="6" t="n">
        <f aca="false">IFERROR(INDEX('TRANS'!$B:$B,MATCH($A400,'TRANS'!$A:$A,0)),IFERROR(INDEX('TRANS'!$B:$B,MATCH(TRIM(SUBSTITUTE($A400,CHAR(160)," ")),'TRANS'!$D:$D,0)),IFERROR(INDEX('Manual Matches'!$C:$C,MATCH($A400,'Manual Matches'!$B:$B,0)),"")))</f>
        <v>4413195</v>
      </c>
      <c r="F400" s="6" t="str">
        <f aca="false">IF($E400="","Unmatched",IF(COUNTIF('Manual Matches'!$B:$B,$A400)&gt;0,"Matched (manual)","Matched"))</f>
        <v>Matched</v>
      </c>
    </row>
    <row r="401" customFormat="false" ht="15" hidden="false" customHeight="false" outlineLevel="0" collapsed="false">
      <c r="A401" s="6" t="s">
        <v>520</v>
      </c>
      <c r="B401" s="6" t="n">
        <v>2025</v>
      </c>
      <c r="C401" s="16" t="n">
        <v>2</v>
      </c>
      <c r="D401" s="17" t="n">
        <v>257.42</v>
      </c>
      <c r="E401" s="6" t="n">
        <f aca="false">IFERROR(INDEX('TRANS'!$B:$B,MATCH($A401,'TRANS'!$A:$A,0)),IFERROR(INDEX('TRANS'!$B:$B,MATCH(TRIM(SUBSTITUTE($A401,CHAR(160)," ")),'TRANS'!$D:$D,0)),IFERROR(INDEX('Manual Matches'!$C:$C,MATCH($A401,'Manual Matches'!$B:$B,0)),"")))</f>
        <v>4422004</v>
      </c>
      <c r="F401" s="6" t="str">
        <f aca="false">IF($E401="","Unmatched",IF(COUNTIF('Manual Matches'!$B:$B,$A401)&gt;0,"Matched (manual)","Matched"))</f>
        <v>Matched</v>
      </c>
    </row>
    <row r="402" customFormat="false" ht="15" hidden="false" customHeight="false" outlineLevel="0" collapsed="false">
      <c r="A402" s="6" t="s">
        <v>520</v>
      </c>
      <c r="B402" s="6" t="n">
        <v>2026</v>
      </c>
      <c r="C402" s="16" t="n">
        <v>2</v>
      </c>
      <c r="D402" s="17" t="n">
        <v>257.42</v>
      </c>
      <c r="E402" s="6" t="n">
        <f aca="false">IFERROR(INDEX('TRANS'!$B:$B,MATCH($A402,'TRANS'!$A:$A,0)),IFERROR(INDEX('TRANS'!$B:$B,MATCH(TRIM(SUBSTITUTE($A402,CHAR(160)," ")),'TRANS'!$D:$D,0)),IFERROR(INDEX('Manual Matches'!$C:$C,MATCH($A402,'Manual Matches'!$B:$B,0)),"")))</f>
        <v>4422004</v>
      </c>
      <c r="F402" s="6" t="str">
        <f aca="false">IF($E402="","Unmatched",IF(COUNTIF('Manual Matches'!$B:$B,$A402)&gt;0,"Matched (manual)","Matched"))</f>
        <v>Matched</v>
      </c>
    </row>
    <row r="403" customFormat="false" ht="15" hidden="false" customHeight="false" outlineLevel="0" collapsed="false">
      <c r="A403" s="6" t="s">
        <v>107</v>
      </c>
      <c r="B403" s="6" t="n">
        <v>2025</v>
      </c>
      <c r="C403" s="16" t="n">
        <v>6</v>
      </c>
      <c r="D403" s="17" t="n">
        <v>377.82</v>
      </c>
      <c r="E403" s="6" t="str">
        <f aca="false">IFERROR(INDEX('TRANS'!$B:$B,MATCH($A403,'TRANS'!$A:$A,0)),IFERROR(INDEX('TRANS'!$B:$B,MATCH(TRIM(SUBSTITUTE($A403,CHAR(160)," ")),'TRANS'!$D:$D,0)),IFERROR(INDEX('Manual Matches'!$C:$C,MATCH($A403,'Manual Matches'!$B:$B,0)),"")))</f>
        <v/>
      </c>
      <c r="F403" s="6" t="str">
        <f aca="false">IF($E403="","Unmatched",IF(COUNTIF('Manual Matches'!$B:$B,$A403)&gt;0,"Matched (manual)","Matched"))</f>
        <v>Unmatched</v>
      </c>
    </row>
    <row r="404" customFormat="false" ht="15" hidden="false" customHeight="false" outlineLevel="0" collapsed="false">
      <c r="A404" s="6" t="s">
        <v>107</v>
      </c>
      <c r="B404" s="6" t="n">
        <v>2026</v>
      </c>
      <c r="C404" s="16" t="n">
        <v>4</v>
      </c>
      <c r="D404" s="17" t="n">
        <v>251.88</v>
      </c>
      <c r="E404" s="6" t="str">
        <f aca="false">IFERROR(INDEX('TRANS'!$B:$B,MATCH($A404,'TRANS'!$A:$A,0)),IFERROR(INDEX('TRANS'!$B:$B,MATCH(TRIM(SUBSTITUTE($A404,CHAR(160)," ")),'TRANS'!$D:$D,0)),IFERROR(INDEX('Manual Matches'!$C:$C,MATCH($A404,'Manual Matches'!$B:$B,0)),"")))</f>
        <v/>
      </c>
      <c r="F404" s="6" t="str">
        <f aca="false">IF($E404="","Unmatched",IF(COUNTIF('Manual Matches'!$B:$B,$A404)&gt;0,"Matched (manual)","Matched"))</f>
        <v>Unmatched</v>
      </c>
    </row>
    <row r="405" customFormat="false" ht="15" hidden="false" customHeight="false" outlineLevel="0" collapsed="false">
      <c r="A405" s="6" t="s">
        <v>100</v>
      </c>
      <c r="B405" s="6" t="n">
        <v>2025</v>
      </c>
      <c r="C405" s="16" t="n">
        <v>45</v>
      </c>
      <c r="D405" s="17" t="n">
        <v>828</v>
      </c>
      <c r="E405" s="6" t="str">
        <f aca="false">IFERROR(INDEX('TRANS'!$B:$B,MATCH($A405,'TRANS'!$A:$A,0)),IFERROR(INDEX('TRANS'!$B:$B,MATCH(TRIM(SUBSTITUTE($A405,CHAR(160)," ")),'TRANS'!$D:$D,0)),IFERROR(INDEX('Manual Matches'!$C:$C,MATCH($A405,'Manual Matches'!$B:$B,0)),"")))</f>
        <v/>
      </c>
      <c r="F405" s="6" t="str">
        <f aca="false">IF($E405="","Unmatched",IF(COUNTIF('Manual Matches'!$B:$B,$A405)&gt;0,"Matched (manual)","Matched"))</f>
        <v>Unmatched</v>
      </c>
    </row>
    <row r="406" customFormat="false" ht="15" hidden="false" customHeight="false" outlineLevel="0" collapsed="false">
      <c r="A406" s="6" t="s">
        <v>100</v>
      </c>
      <c r="B406" s="6" t="n">
        <v>2026</v>
      </c>
      <c r="C406" s="16" t="n">
        <v>7</v>
      </c>
      <c r="D406" s="17" t="n">
        <v>128.8</v>
      </c>
      <c r="E406" s="6" t="str">
        <f aca="false">IFERROR(INDEX('TRANS'!$B:$B,MATCH($A406,'TRANS'!$A:$A,0)),IFERROR(INDEX('TRANS'!$B:$B,MATCH(TRIM(SUBSTITUTE($A406,CHAR(160)," ")),'TRANS'!$D:$D,0)),IFERROR(INDEX('Manual Matches'!$C:$C,MATCH($A406,'Manual Matches'!$B:$B,0)),"")))</f>
        <v/>
      </c>
      <c r="F406" s="6" t="str">
        <f aca="false">IF($E406="","Unmatched",IF(COUNTIF('Manual Matches'!$B:$B,$A406)&gt;0,"Matched (manual)","Matched"))</f>
        <v>Unmatched</v>
      </c>
    </row>
    <row r="407" customFormat="false" ht="15" hidden="false" customHeight="false" outlineLevel="0" collapsed="false">
      <c r="A407" s="6" t="s">
        <v>106</v>
      </c>
      <c r="B407" s="6" t="n">
        <v>2025</v>
      </c>
      <c r="C407" s="16" t="n">
        <v>13</v>
      </c>
      <c r="D407" s="17" t="n">
        <v>818.61</v>
      </c>
      <c r="E407" s="6" t="str">
        <f aca="false">IFERROR(INDEX('TRANS'!$B:$B,MATCH($A407,'TRANS'!$A:$A,0)),IFERROR(INDEX('TRANS'!$B:$B,MATCH(TRIM(SUBSTITUTE($A407,CHAR(160)," ")),'TRANS'!$D:$D,0)),IFERROR(INDEX('Manual Matches'!$C:$C,MATCH($A407,'Manual Matches'!$B:$B,0)),"")))</f>
        <v/>
      </c>
      <c r="F407" s="6" t="str">
        <f aca="false">IF($E407="","Unmatched",IF(COUNTIF('Manual Matches'!$B:$B,$A407)&gt;0,"Matched (manual)","Matched"))</f>
        <v>Unmatched</v>
      </c>
    </row>
    <row r="408" customFormat="false" ht="15" hidden="false" customHeight="false" outlineLevel="0" collapsed="false">
      <c r="A408" s="6" t="s">
        <v>108</v>
      </c>
      <c r="B408" s="6" t="n">
        <v>2026</v>
      </c>
      <c r="C408" s="16" t="n">
        <v>1</v>
      </c>
      <c r="D408" s="17" t="n">
        <v>0</v>
      </c>
      <c r="E408" s="6" t="str">
        <f aca="false">IFERROR(INDEX('TRANS'!$B:$B,MATCH($A408,'TRANS'!$A:$A,0)),IFERROR(INDEX('TRANS'!$B:$B,MATCH(TRIM(SUBSTITUTE($A408,CHAR(160)," ")),'TRANS'!$D:$D,0)),IFERROR(INDEX('Manual Matches'!$C:$C,MATCH($A408,'Manual Matches'!$B:$B,0)),"")))</f>
        <v/>
      </c>
      <c r="F408" s="6" t="str">
        <f aca="false">IF($E408="","Unmatched",IF(COUNTIF('Manual Matches'!$B:$B,$A408)&gt;0,"Matched (manual)","Matched"))</f>
        <v>Unmatched</v>
      </c>
    </row>
    <row r="409" customFormat="false" ht="15" hidden="false" customHeight="false" outlineLevel="0" collapsed="false">
      <c r="A409" s="6" t="s">
        <v>114</v>
      </c>
      <c r="B409" s="6" t="n">
        <v>2025</v>
      </c>
      <c r="C409" s="16" t="n">
        <v>2</v>
      </c>
      <c r="D409" s="17" t="n">
        <v>147.6</v>
      </c>
      <c r="E409" s="6" t="str">
        <f aca="false">IFERROR(INDEX('TRANS'!$B:$B,MATCH($A409,'TRANS'!$A:$A,0)),IFERROR(INDEX('TRANS'!$B:$B,MATCH(TRIM(SUBSTITUTE($A409,CHAR(160)," ")),'TRANS'!$D:$D,0)),IFERROR(INDEX('Manual Matches'!$C:$C,MATCH($A409,'Manual Matches'!$B:$B,0)),"")))</f>
        <v/>
      </c>
      <c r="F409" s="6" t="str">
        <f aca="false">IF($E409="","Unmatched",IF(COUNTIF('Manual Matches'!$B:$B,$A409)&gt;0,"Matched (manual)","Matched"))</f>
        <v>Unmatched</v>
      </c>
    </row>
    <row r="410" customFormat="false" ht="15" hidden="false" customHeight="false" outlineLevel="0" collapsed="false">
      <c r="A410" s="6" t="s">
        <v>114</v>
      </c>
      <c r="B410" s="6" t="n">
        <v>2026</v>
      </c>
      <c r="C410" s="16" t="n">
        <v>2</v>
      </c>
      <c r="D410" s="17" t="n">
        <v>147.6</v>
      </c>
      <c r="E410" s="6" t="str">
        <f aca="false">IFERROR(INDEX('TRANS'!$B:$B,MATCH($A410,'TRANS'!$A:$A,0)),IFERROR(INDEX('TRANS'!$B:$B,MATCH(TRIM(SUBSTITUTE($A410,CHAR(160)," ")),'TRANS'!$D:$D,0)),IFERROR(INDEX('Manual Matches'!$C:$C,MATCH($A410,'Manual Matches'!$B:$B,0)),"")))</f>
        <v/>
      </c>
      <c r="F410" s="6" t="str">
        <f aca="false">IF($E410="","Unmatched",IF(COUNTIF('Manual Matches'!$B:$B,$A410)&gt;0,"Matched (manual)","Matched"))</f>
        <v>Unmatched</v>
      </c>
    </row>
    <row r="411" customFormat="false" ht="15" hidden="false" customHeight="false" outlineLevel="0" collapsed="false">
      <c r="A411" s="6" t="s">
        <v>116</v>
      </c>
      <c r="B411" s="6" t="n">
        <v>2026</v>
      </c>
      <c r="C411" s="16" t="n">
        <v>4</v>
      </c>
      <c r="D411" s="17" t="n">
        <v>295.2</v>
      </c>
      <c r="E411" s="6" t="str">
        <f aca="false">IFERROR(INDEX('TRANS'!$B:$B,MATCH($A411,'TRANS'!$A:$A,0)),IFERROR(INDEX('TRANS'!$B:$B,MATCH(TRIM(SUBSTITUTE($A411,CHAR(160)," ")),'TRANS'!$D:$D,0)),IFERROR(INDEX('Manual Matches'!$C:$C,MATCH($A411,'Manual Matches'!$B:$B,0)),"")))</f>
        <v/>
      </c>
      <c r="F411" s="6" t="str">
        <f aca="false">IF($E411="","Unmatched",IF(COUNTIF('Manual Matches'!$B:$B,$A411)&gt;0,"Matched (manual)","Matched"))</f>
        <v>Unmatched</v>
      </c>
    </row>
    <row r="412" customFormat="false" ht="15" hidden="false" customHeight="false" outlineLevel="0" collapsed="false">
      <c r="A412" s="6" t="s">
        <v>109</v>
      </c>
      <c r="B412" s="6" t="n">
        <v>2026</v>
      </c>
      <c r="C412" s="16" t="n">
        <v>6</v>
      </c>
      <c r="D412" s="17" t="n">
        <v>0</v>
      </c>
      <c r="E412" s="6" t="str">
        <f aca="false">IFERROR(INDEX('TRANS'!$B:$B,MATCH($A412,'TRANS'!$A:$A,0)),IFERROR(INDEX('TRANS'!$B:$B,MATCH(TRIM(SUBSTITUTE($A412,CHAR(160)," ")),'TRANS'!$D:$D,0)),IFERROR(INDEX('Manual Matches'!$C:$C,MATCH($A412,'Manual Matches'!$B:$B,0)),"")))</f>
        <v/>
      </c>
      <c r="F412" s="6" t="str">
        <f aca="false">IF($E412="","Unmatched",IF(COUNTIF('Manual Matches'!$B:$B,$A412)&gt;0,"Matched (manual)","Matched"))</f>
        <v>Unmatched</v>
      </c>
    </row>
    <row r="413" customFormat="false" ht="15" hidden="false" customHeight="false" outlineLevel="0" collapsed="false">
      <c r="A413" s="6" t="s">
        <v>524</v>
      </c>
      <c r="B413" s="6" t="n">
        <v>2025</v>
      </c>
      <c r="C413" s="16" t="n">
        <v>1</v>
      </c>
      <c r="D413" s="17" t="n">
        <v>128.71</v>
      </c>
      <c r="E413" s="6" t="n">
        <f aca="false">IFERROR(INDEX('TRANS'!$B:$B,MATCH($A413,'TRANS'!$A:$A,0)),IFERROR(INDEX('TRANS'!$B:$B,MATCH(TRIM(SUBSTITUTE($A413,CHAR(160)," ")),'TRANS'!$D:$D,0)),IFERROR(INDEX('Manual Matches'!$C:$C,MATCH($A413,'Manual Matches'!$B:$B,0)),"")))</f>
        <v>4422009</v>
      </c>
      <c r="F413" s="6" t="str">
        <f aca="false">IF($E413="","Unmatched",IF(COUNTIF('Manual Matches'!$B:$B,$A413)&gt;0,"Matched (manual)","Matched"))</f>
        <v>Matched</v>
      </c>
    </row>
    <row r="414" customFormat="false" ht="15" hidden="false" customHeight="false" outlineLevel="0" collapsed="false">
      <c r="A414" s="6" t="s">
        <v>524</v>
      </c>
      <c r="B414" s="6" t="n">
        <v>2026</v>
      </c>
      <c r="C414" s="16" t="n">
        <v>3</v>
      </c>
      <c r="D414" s="17" t="n">
        <v>386.13</v>
      </c>
      <c r="E414" s="6" t="n">
        <f aca="false">IFERROR(INDEX('TRANS'!$B:$B,MATCH($A414,'TRANS'!$A:$A,0)),IFERROR(INDEX('TRANS'!$B:$B,MATCH(TRIM(SUBSTITUTE($A414,CHAR(160)," ")),'TRANS'!$D:$D,0)),IFERROR(INDEX('Manual Matches'!$C:$C,MATCH($A414,'Manual Matches'!$B:$B,0)),"")))</f>
        <v>4422009</v>
      </c>
      <c r="F414" s="6" t="str">
        <f aca="false">IF($E414="","Unmatched",IF(COUNTIF('Manual Matches'!$B:$B,$A414)&gt;0,"Matched (manual)","Matched"))</f>
        <v>Matched</v>
      </c>
    </row>
    <row r="415" customFormat="false" ht="15" hidden="false" customHeight="false" outlineLevel="0" collapsed="false">
      <c r="A415" s="6" t="s">
        <v>99</v>
      </c>
      <c r="B415" s="6" t="n">
        <v>2025</v>
      </c>
      <c r="C415" s="16" t="n">
        <v>39</v>
      </c>
      <c r="D415" s="17" t="n">
        <v>717.6</v>
      </c>
      <c r="E415" s="6" t="str">
        <f aca="false">IFERROR(INDEX('TRANS'!$B:$B,MATCH($A415,'TRANS'!$A:$A,0)),IFERROR(INDEX('TRANS'!$B:$B,MATCH(TRIM(SUBSTITUTE($A415,CHAR(160)," ")),'TRANS'!$D:$D,0)),IFERROR(INDEX('Manual Matches'!$C:$C,MATCH($A415,'Manual Matches'!$B:$B,0)),"")))</f>
        <v/>
      </c>
      <c r="F415" s="6" t="str">
        <f aca="false">IF($E415="","Unmatched",IF(COUNTIF('Manual Matches'!$B:$B,$A415)&gt;0,"Matched (manual)","Matched"))</f>
        <v>Unmatched</v>
      </c>
    </row>
    <row r="416" customFormat="false" ht="15" hidden="false" customHeight="false" outlineLevel="0" collapsed="false">
      <c r="A416" s="6" t="s">
        <v>482</v>
      </c>
      <c r="B416" s="6" t="n">
        <v>2025</v>
      </c>
      <c r="C416" s="16" t="n">
        <v>4</v>
      </c>
      <c r="D416" s="17" t="n">
        <v>519.24</v>
      </c>
      <c r="E416" s="6" t="n">
        <f aca="false">IFERROR(INDEX('TRANS'!$B:$B,MATCH($A416,'TRANS'!$A:$A,0)),IFERROR(INDEX('TRANS'!$B:$B,MATCH(TRIM(SUBSTITUTE($A416,CHAR(160)," ")),'TRANS'!$D:$D,0)),IFERROR(INDEX('Manual Matches'!$C:$C,MATCH($A416,'Manual Matches'!$B:$B,0)),"")))</f>
        <v>4413165</v>
      </c>
      <c r="F416" s="6" t="str">
        <f aca="false">IF($E416="","Unmatched",IF(COUNTIF('Manual Matches'!$B:$B,$A416)&gt;0,"Matched (manual)","Matched"))</f>
        <v>Matched</v>
      </c>
    </row>
    <row r="417" customFormat="false" ht="15" hidden="false" customHeight="false" outlineLevel="0" collapsed="false">
      <c r="A417" s="6" t="s">
        <v>538</v>
      </c>
      <c r="B417" s="6" t="n">
        <v>2025</v>
      </c>
      <c r="C417" s="16" t="n">
        <v>4</v>
      </c>
      <c r="D417" s="17" t="n">
        <v>128.56</v>
      </c>
      <c r="E417" s="6" t="n">
        <f aca="false">IFERROR(INDEX('TRANS'!$B:$B,MATCH($A417,'TRANS'!$A:$A,0)),IFERROR(INDEX('TRANS'!$B:$B,MATCH(TRIM(SUBSTITUTE($A417,CHAR(160)," ")),'TRANS'!$D:$D,0)),IFERROR(INDEX('Manual Matches'!$C:$C,MATCH($A417,'Manual Matches'!$B:$B,0)),"")))</f>
        <v>4413278</v>
      </c>
      <c r="F417" s="6" t="str">
        <f aca="false">IF($E417="","Unmatched",IF(COUNTIF('Manual Matches'!$B:$B,$A417)&gt;0,"Matched (manual)","Matched"))</f>
        <v>Matched</v>
      </c>
    </row>
    <row r="418" customFormat="false" ht="15" hidden="false" customHeight="false" outlineLevel="0" collapsed="false">
      <c r="A418" s="6" t="s">
        <v>105</v>
      </c>
      <c r="B418" s="6" t="n">
        <v>2025</v>
      </c>
      <c r="C418" s="16" t="n">
        <v>8</v>
      </c>
      <c r="D418" s="17" t="n">
        <v>1038.48</v>
      </c>
      <c r="E418" s="6" t="str">
        <f aca="false">IFERROR(INDEX('TRANS'!$B:$B,MATCH($A418,'TRANS'!$A:$A,0)),IFERROR(INDEX('TRANS'!$B:$B,MATCH(TRIM(SUBSTITUTE($A418,CHAR(160)," ")),'TRANS'!$D:$D,0)),IFERROR(INDEX('Manual Matches'!$C:$C,MATCH($A418,'Manual Matches'!$B:$B,0)),"")))</f>
        <v/>
      </c>
      <c r="F418" s="6" t="str">
        <f aca="false">IF($E418="","Unmatched",IF(COUNTIF('Manual Matches'!$B:$B,$A418)&gt;0,"Matched (manual)","Matched"))</f>
        <v>Unmatched</v>
      </c>
    </row>
    <row r="419" customFormat="false" ht="15" hidden="false" customHeight="false" outlineLevel="0" collapsed="false">
      <c r="A419" s="6" t="s">
        <v>105</v>
      </c>
      <c r="B419" s="6" t="n">
        <v>2026</v>
      </c>
      <c r="C419" s="16" t="n">
        <v>1</v>
      </c>
      <c r="D419" s="17" t="n">
        <v>129.81</v>
      </c>
      <c r="E419" s="6" t="str">
        <f aca="false">IFERROR(INDEX('TRANS'!$B:$B,MATCH($A419,'TRANS'!$A:$A,0)),IFERROR(INDEX('TRANS'!$B:$B,MATCH(TRIM(SUBSTITUTE($A419,CHAR(160)," ")),'TRANS'!$D:$D,0)),IFERROR(INDEX('Manual Matches'!$C:$C,MATCH($A419,'Manual Matches'!$B:$B,0)),"")))</f>
        <v/>
      </c>
      <c r="F419" s="6" t="str">
        <f aca="false">IF($E419="","Unmatched",IF(COUNTIF('Manual Matches'!$B:$B,$A419)&gt;0,"Matched (manual)","Matched"))</f>
        <v>Unmatched</v>
      </c>
    </row>
    <row r="420" customFormat="false" ht="15" hidden="false" customHeight="false" outlineLevel="0" collapsed="false">
      <c r="A420" s="6" t="s">
        <v>372</v>
      </c>
      <c r="B420" s="6" t="n">
        <v>2025</v>
      </c>
      <c r="C420" s="16" t="n">
        <v>3</v>
      </c>
      <c r="D420" s="17" t="n">
        <v>340.74</v>
      </c>
      <c r="E420" s="6" t="n">
        <f aca="false">IFERROR(INDEX('TRANS'!$B:$B,MATCH($A420,'TRANS'!$A:$A,0)),IFERROR(INDEX('TRANS'!$B:$B,MATCH(TRIM(SUBSTITUTE($A420,CHAR(160)," ")),'TRANS'!$D:$D,0)),IFERROR(INDEX('Manual Matches'!$C:$C,MATCH($A420,'Manual Matches'!$B:$B,0)),"")))</f>
        <v>4408260</v>
      </c>
      <c r="F420" s="6" t="str">
        <f aca="false">IF($E420="","Unmatched",IF(COUNTIF('Manual Matches'!$B:$B,$A420)&gt;0,"Matched (manual)","Matched"))</f>
        <v>Matched</v>
      </c>
    </row>
    <row r="421" customFormat="false" ht="15" hidden="false" customHeight="false" outlineLevel="0" collapsed="false">
      <c r="A421" s="6" t="s">
        <v>372</v>
      </c>
      <c r="B421" s="6" t="n">
        <v>2026</v>
      </c>
      <c r="C421" s="16" t="n">
        <v>-1</v>
      </c>
      <c r="D421" s="17" t="n">
        <v>-113.58</v>
      </c>
      <c r="E421" s="6" t="n">
        <f aca="false">IFERROR(INDEX('TRANS'!$B:$B,MATCH($A421,'TRANS'!$A:$A,0)),IFERROR(INDEX('TRANS'!$B:$B,MATCH(TRIM(SUBSTITUTE($A421,CHAR(160)," ")),'TRANS'!$D:$D,0)),IFERROR(INDEX('Manual Matches'!$C:$C,MATCH($A421,'Manual Matches'!$B:$B,0)),"")))</f>
        <v>4408260</v>
      </c>
      <c r="F421" s="6" t="str">
        <f aca="false">IF($E421="","Unmatched",IF(COUNTIF('Manual Matches'!$B:$B,$A421)&gt;0,"Matched (manual)","Matched"))</f>
        <v>Matched</v>
      </c>
    </row>
    <row r="422" customFormat="false" ht="15" hidden="false" customHeight="false" outlineLevel="0" collapsed="false">
      <c r="A422" s="6" t="s">
        <v>92</v>
      </c>
      <c r="B422" s="6" t="n">
        <v>2025</v>
      </c>
      <c r="C422" s="16" t="n">
        <v>1</v>
      </c>
      <c r="D422" s="17" t="n">
        <v>107.09</v>
      </c>
      <c r="E422" s="6" t="str">
        <f aca="false">IFERROR(INDEX('TRANS'!$B:$B,MATCH($A422,'TRANS'!$A:$A,0)),IFERROR(INDEX('TRANS'!$B:$B,MATCH(TRIM(SUBSTITUTE($A422,CHAR(160)," ")),'TRANS'!$D:$D,0)),IFERROR(INDEX('Manual Matches'!$C:$C,MATCH($A422,'Manual Matches'!$B:$B,0)),"")))</f>
        <v/>
      </c>
      <c r="F422" s="6" t="str">
        <f aca="false">IF($E422="","Unmatched",IF(COUNTIF('Manual Matches'!$B:$B,$A422)&gt;0,"Matched (manual)","Matched"))</f>
        <v>Unmatched</v>
      </c>
    </row>
    <row r="423" customFormat="false" ht="15" hidden="false" customHeight="false" outlineLevel="0" collapsed="false">
      <c r="A423" s="6" t="s">
        <v>374</v>
      </c>
      <c r="B423" s="6" t="n">
        <v>2025</v>
      </c>
      <c r="C423" s="16" t="n">
        <v>1</v>
      </c>
      <c r="D423" s="17" t="n">
        <v>113.58</v>
      </c>
      <c r="E423" s="6" t="n">
        <f aca="false">IFERROR(INDEX('TRANS'!$B:$B,MATCH($A423,'TRANS'!$A:$A,0)),IFERROR(INDEX('TRANS'!$B:$B,MATCH(TRIM(SUBSTITUTE($A423,CHAR(160)," ")),'TRANS'!$D:$D,0)),IFERROR(INDEX('Manual Matches'!$C:$C,MATCH($A423,'Manual Matches'!$B:$B,0)),"")))</f>
        <v>4408259</v>
      </c>
      <c r="F423" s="6" t="str">
        <f aca="false">IF($E423="","Unmatched",IF(COUNTIF('Manual Matches'!$B:$B,$A423)&gt;0,"Matched (manual)","Matched"))</f>
        <v>Matched</v>
      </c>
    </row>
    <row r="424" customFormat="false" ht="15" hidden="false" customHeight="false" outlineLevel="0" collapsed="false">
      <c r="A424" s="6" t="s">
        <v>103</v>
      </c>
      <c r="B424" s="6" t="n">
        <v>2026</v>
      </c>
      <c r="C424" s="16" t="n">
        <v>1</v>
      </c>
      <c r="D424" s="17" t="n">
        <v>0</v>
      </c>
      <c r="E424" s="6" t="str">
        <f aca="false">IFERROR(INDEX('TRANS'!$B:$B,MATCH($A424,'TRANS'!$A:$A,0)),IFERROR(INDEX('TRANS'!$B:$B,MATCH(TRIM(SUBSTITUTE($A424,CHAR(160)," ")),'TRANS'!$D:$D,0)),IFERROR(INDEX('Manual Matches'!$C:$C,MATCH($A424,'Manual Matches'!$B:$B,0)),"")))</f>
        <v/>
      </c>
      <c r="F424" s="6" t="str">
        <f aca="false">IF($E424="","Unmatched",IF(COUNTIF('Manual Matches'!$B:$B,$A424)&gt;0,"Matched (manual)","Matched"))</f>
        <v>Unmatched</v>
      </c>
    </row>
    <row r="425" customFormat="false" ht="15" hidden="false" customHeight="false" outlineLevel="0" collapsed="false">
      <c r="A425" s="6" t="s">
        <v>88</v>
      </c>
      <c r="B425" s="6" t="n">
        <v>2026</v>
      </c>
      <c r="C425" s="16" t="n">
        <v>1</v>
      </c>
      <c r="D425" s="17" t="n">
        <v>65</v>
      </c>
      <c r="E425" s="6" t="str">
        <f aca="false">IFERROR(INDEX('TRANS'!$B:$B,MATCH($A425,'TRANS'!$A:$A,0)),IFERROR(INDEX('TRANS'!$B:$B,MATCH(TRIM(SUBSTITUTE($A425,CHAR(160)," ")),'TRANS'!$D:$D,0)),IFERROR(INDEX('Manual Matches'!$C:$C,MATCH($A425,'Manual Matches'!$B:$B,0)),"")))</f>
        <v/>
      </c>
      <c r="F425" s="6" t="str">
        <f aca="false">IF($E425="","Unmatched",IF(COUNTIF('Manual Matches'!$B:$B,$A425)&gt;0,"Matched (manual)","Matched"))</f>
        <v>Unmatched</v>
      </c>
    </row>
    <row r="426" customFormat="false" ht="15" hidden="false" customHeight="false" outlineLevel="0" collapsed="false">
      <c r="A426" s="6" t="s">
        <v>101</v>
      </c>
      <c r="B426" s="6" t="n">
        <v>2025</v>
      </c>
      <c r="C426" s="16" t="n">
        <v>28</v>
      </c>
      <c r="D426" s="17" t="n">
        <v>515.2</v>
      </c>
      <c r="E426" s="6" t="str">
        <f aca="false">IFERROR(INDEX('TRANS'!$B:$B,MATCH($A426,'TRANS'!$A:$A,0)),IFERROR(INDEX('TRANS'!$B:$B,MATCH(TRIM(SUBSTITUTE($A426,CHAR(160)," ")),'TRANS'!$D:$D,0)),IFERROR(INDEX('Manual Matches'!$C:$C,MATCH($A426,'Manual Matches'!$B:$B,0)),"")))</f>
        <v/>
      </c>
      <c r="F426" s="6" t="str">
        <f aca="false">IF($E426="","Unmatched",IF(COUNTIF('Manual Matches'!$B:$B,$A426)&gt;0,"Matched (manual)","Matched"))</f>
        <v>Unmatched</v>
      </c>
    </row>
    <row r="427" customFormat="false" ht="15" hidden="false" customHeight="false" outlineLevel="0" collapsed="false">
      <c r="A427" s="6" t="s">
        <v>101</v>
      </c>
      <c r="B427" s="6" t="n">
        <v>2026</v>
      </c>
      <c r="C427" s="16" t="n">
        <v>4</v>
      </c>
      <c r="D427" s="17" t="n">
        <v>73.6</v>
      </c>
      <c r="E427" s="6" t="str">
        <f aca="false">IFERROR(INDEX('TRANS'!$B:$B,MATCH($A427,'TRANS'!$A:$A,0)),IFERROR(INDEX('TRANS'!$B:$B,MATCH(TRIM(SUBSTITUTE($A427,CHAR(160)," ")),'TRANS'!$D:$D,0)),IFERROR(INDEX('Manual Matches'!$C:$C,MATCH($A427,'Manual Matches'!$B:$B,0)),"")))</f>
        <v/>
      </c>
      <c r="F427" s="6" t="str">
        <f aca="false">IF($E427="","Unmatched",IF(COUNTIF('Manual Matches'!$B:$B,$A427)&gt;0,"Matched (manual)","Matched"))</f>
        <v>Unmatched</v>
      </c>
    </row>
    <row r="428" customFormat="false" ht="15" hidden="false" customHeight="false" outlineLevel="0" collapsed="false">
      <c r="A428" s="6" t="s">
        <v>616</v>
      </c>
      <c r="B428" s="6" t="n">
        <v>2025</v>
      </c>
      <c r="C428" s="16" t="n">
        <v>2</v>
      </c>
      <c r="D428" s="17" t="n">
        <v>253.14</v>
      </c>
      <c r="E428" s="6" t="n">
        <f aca="false">IFERROR(INDEX('TRANS'!$B:$B,MATCH($A428,'TRANS'!$A:$A,0)),IFERROR(INDEX('TRANS'!$B:$B,MATCH(TRIM(SUBSTITUTE($A428,CHAR(160)," ")),'TRANS'!$D:$D,0)),IFERROR(INDEX('Manual Matches'!$C:$C,MATCH($A428,'Manual Matches'!$B:$B,0)),"")))</f>
        <v>4408079</v>
      </c>
      <c r="F428" s="6" t="str">
        <f aca="false">IF($E428="","Unmatched",IF(COUNTIF('Manual Matches'!$B:$B,$A428)&gt;0,"Matched (manual)","Matched"))</f>
        <v>Matched</v>
      </c>
    </row>
    <row r="429" customFormat="false" ht="15" hidden="false" customHeight="false" outlineLevel="0" collapsed="false">
      <c r="A429" s="6" t="s">
        <v>616</v>
      </c>
      <c r="B429" s="6" t="n">
        <v>2026</v>
      </c>
      <c r="C429" s="16" t="n">
        <v>-1</v>
      </c>
      <c r="D429" s="17" t="n">
        <v>-126.57</v>
      </c>
      <c r="E429" s="6" t="n">
        <f aca="false">IFERROR(INDEX('TRANS'!$B:$B,MATCH($A429,'TRANS'!$A:$A,0)),IFERROR(INDEX('TRANS'!$B:$B,MATCH(TRIM(SUBSTITUTE($A429,CHAR(160)," ")),'TRANS'!$D:$D,0)),IFERROR(INDEX('Manual Matches'!$C:$C,MATCH($A429,'Manual Matches'!$B:$B,0)),"")))</f>
        <v>4408079</v>
      </c>
      <c r="F429" s="6" t="str">
        <f aca="false">IF($E429="","Unmatched",IF(COUNTIF('Manual Matches'!$B:$B,$A429)&gt;0,"Matched (manual)","Matched"))</f>
        <v>Matched</v>
      </c>
    </row>
    <row r="430" customFormat="false" ht="15" hidden="false" customHeight="false" outlineLevel="0" collapsed="false">
      <c r="A430" s="6" t="s">
        <v>534</v>
      </c>
      <c r="B430" s="6" t="n">
        <v>2025</v>
      </c>
      <c r="C430" s="16" t="n">
        <v>2</v>
      </c>
      <c r="D430" s="17" t="n">
        <v>64.28</v>
      </c>
      <c r="E430" s="6" t="n">
        <f aca="false">IFERROR(INDEX('TRANS'!$B:$B,MATCH($A430,'TRANS'!$A:$A,0)),IFERROR(INDEX('TRANS'!$B:$B,MATCH(TRIM(SUBSTITUTE($A430,CHAR(160)," ")),'TRANS'!$D:$D,0)),IFERROR(INDEX('Manual Matches'!$C:$C,MATCH($A430,'Manual Matches'!$B:$B,0)),"")))</f>
        <v>4413276</v>
      </c>
      <c r="F430" s="6" t="str">
        <f aca="false">IF($E430="","Unmatched",IF(COUNTIF('Manual Matches'!$B:$B,$A430)&gt;0,"Matched (manual)","Matched"))</f>
        <v>Matched</v>
      </c>
    </row>
    <row r="431" customFormat="false" ht="15" hidden="false" customHeight="false" outlineLevel="0" collapsed="false">
      <c r="A431" s="6" t="s">
        <v>562</v>
      </c>
      <c r="B431" s="6" t="n">
        <v>2025</v>
      </c>
      <c r="C431" s="16" t="n">
        <v>-1</v>
      </c>
      <c r="D431" s="17" t="n">
        <v>0</v>
      </c>
      <c r="E431" s="6" t="n">
        <f aca="false">IFERROR(INDEX('TRANS'!$B:$B,MATCH($A431,'TRANS'!$A:$A,0)),IFERROR(INDEX('TRANS'!$B:$B,MATCH(TRIM(SUBSTITUTE($A431,CHAR(160)," ")),'TRANS'!$D:$D,0)),IFERROR(INDEX('Manual Matches'!$C:$C,MATCH($A431,'Manual Matches'!$B:$B,0)),"")))</f>
        <v>4413158</v>
      </c>
      <c r="F431" s="6" t="str">
        <f aca="false">IF($E431="","Unmatched",IF(COUNTIF('Manual Matches'!$B:$B,$A431)&gt;0,"Matched (manual)","Matched"))</f>
        <v>Matched</v>
      </c>
    </row>
    <row r="432" customFormat="false" ht="15" hidden="false" customHeight="false" outlineLevel="0" collapsed="false">
      <c r="A432" s="6" t="s">
        <v>102</v>
      </c>
      <c r="B432" s="6" t="n">
        <v>2025</v>
      </c>
      <c r="C432" s="16" t="n">
        <v>-1</v>
      </c>
      <c r="D432" s="17" t="n">
        <v>-441.17</v>
      </c>
      <c r="E432" s="6" t="str">
        <f aca="false">IFERROR(INDEX('TRANS'!$B:$B,MATCH($A432,'TRANS'!$A:$A,0)),IFERROR(INDEX('TRANS'!$B:$B,MATCH(TRIM(SUBSTITUTE($A432,CHAR(160)," ")),'TRANS'!$D:$D,0)),IFERROR(INDEX('Manual Matches'!$C:$C,MATCH($A432,'Manual Matches'!$B:$B,0)),"")))</f>
        <v/>
      </c>
      <c r="F432" s="6" t="str">
        <f aca="false">IF($E432="","Unmatched",IF(COUNTIF('Manual Matches'!$B:$B,$A432)&gt;0,"Matched (manual)","Matched"))</f>
        <v>Unmatched</v>
      </c>
    </row>
    <row r="433" customFormat="false" ht="15" hidden="false" customHeight="false" outlineLevel="0" collapsed="false">
      <c r="A433" s="6" t="s">
        <v>430</v>
      </c>
      <c r="B433" s="6" t="n">
        <v>2025</v>
      </c>
      <c r="C433" s="16" t="n">
        <v>-1</v>
      </c>
      <c r="D433" s="17" t="n">
        <v>-74.63</v>
      </c>
      <c r="E433" s="6" t="n">
        <f aca="false">IFERROR(INDEX('TRANS'!$B:$B,MATCH($A433,'TRANS'!$A:$A,0)),IFERROR(INDEX('TRANS'!$B:$B,MATCH(TRIM(SUBSTITUTE($A433,CHAR(160)," ")),'TRANS'!$D:$D,0)),IFERROR(INDEX('Manual Matches'!$C:$C,MATCH($A433,'Manual Matches'!$B:$B,0)),"")))</f>
        <v>4408092</v>
      </c>
      <c r="F433" s="6" t="str">
        <f aca="false">IF($E433="","Unmatched",IF(COUNTIF('Manual Matches'!$B:$B,$A433)&gt;0,"Matched (manual)","Matched"))</f>
        <v>Matched</v>
      </c>
    </row>
    <row r="434" customFormat="false" ht="15" hidden="false" customHeight="false" outlineLevel="0" collapsed="false">
      <c r="A434" s="6" t="s">
        <v>117</v>
      </c>
      <c r="B434" s="6" t="n">
        <v>2025</v>
      </c>
      <c r="C434" s="16" t="n">
        <v>-4</v>
      </c>
      <c r="D434" s="17" t="n">
        <v>-329.92</v>
      </c>
      <c r="E434" s="6" t="str">
        <f aca="false">IFERROR(INDEX('TRANS'!$B:$B,MATCH($A434,'TRANS'!$A:$A,0)),IFERROR(INDEX('TRANS'!$B:$B,MATCH(TRIM(SUBSTITUTE($A434,CHAR(160)," ")),'TRANS'!$D:$D,0)),IFERROR(INDEX('Manual Matches'!$C:$C,MATCH($A434,'Manual Matches'!$B:$B,0)),"")))</f>
        <v/>
      </c>
      <c r="F434" s="6" t="str">
        <f aca="false">IF($E434="","Unmatched",IF(COUNTIF('Manual Matches'!$B:$B,$A434)&gt;0,"Matched (manual)","Matched"))</f>
        <v>Unmatched</v>
      </c>
    </row>
    <row r="435" customFormat="false" ht="15" hidden="false" customHeight="false" outlineLevel="0" collapsed="false">
      <c r="A435" s="6" t="s">
        <v>118</v>
      </c>
      <c r="B435" s="6" t="n">
        <v>2025</v>
      </c>
      <c r="C435" s="16" t="n">
        <v>-3</v>
      </c>
      <c r="D435" s="17" t="n">
        <v>-247.44</v>
      </c>
      <c r="E435" s="6" t="str">
        <f aca="false">IFERROR(INDEX('TRANS'!$B:$B,MATCH($A435,'TRANS'!$A:$A,0)),IFERROR(INDEX('TRANS'!$B:$B,MATCH(TRIM(SUBSTITUTE($A435,CHAR(160)," ")),'TRANS'!$D:$D,0)),IFERROR(INDEX('Manual Matches'!$C:$C,MATCH($A435,'Manual Matches'!$B:$B,0)),"")))</f>
        <v/>
      </c>
      <c r="F435" s="6" t="str">
        <f aca="false">IF($E435="","Unmatched",IF(COUNTIF('Manual Matches'!$B:$B,$A435)&gt;0,"Matched (manual)","Matched"))</f>
        <v>Unmatched</v>
      </c>
    </row>
  </sheetData>
  <mergeCells count="1">
    <mergeCell ref="A3:O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2026-09-24T09:58:22Z</dcterms:created>
  <dc:creator>openpyxl</dc:creator>
  <dc:description/>
  <dc:language>en-US</dc:language>
  <cp:lastModifiedBy/>
  <dcterms:modified xsi:type="dcterms:W3CDTF">2026-09-24T09:58:25Z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